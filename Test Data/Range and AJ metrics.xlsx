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Bryce\Documents\_Personal\School\WES-CAPSTONE\Test Data\"/>
    </mc:Choice>
  </mc:AlternateContent>
  <xr:revisionPtr revIDLastSave="0" documentId="13_ncr:1_{2E11D487-BE24-4FB1-ADDA-658BC7453A8E}" xr6:coauthVersionLast="47" xr6:coauthVersionMax="47" xr10:uidLastSave="{00000000-0000-0000-0000-000000000000}"/>
  <bookViews>
    <workbookView xWindow="-120" yWindow="-120" windowWidth="38640" windowHeight="21240" xr2:uid="{5D53F6DE-6855-4D05-BBF9-A1F7291D73E9}"/>
  </bookViews>
  <sheets>
    <sheet name="Sheet7" sheetId="7" r:id="rId1"/>
    <sheet name="SF7 10" sheetId="1" r:id="rId2"/>
    <sheet name="SF7 20" sheetId="8" r:id="rId3"/>
    <sheet name="SF7 125" sheetId="9" r:id="rId4"/>
    <sheet name="SF7 500" sheetId="10" r:id="rId5"/>
    <sheet name="SF12 125" sheetId="11" r:id="rId6"/>
    <sheet name="SF12 500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442" i="8" l="1"/>
  <c r="I443" i="8" s="1"/>
  <c r="I444" i="8" s="1"/>
  <c r="I445" i="8" s="1"/>
  <c r="I446" i="8" s="1"/>
  <c r="I447" i="8" s="1"/>
  <c r="I448" i="8" s="1"/>
  <c r="I449" i="8" s="1"/>
  <c r="I450" i="8" s="1"/>
  <c r="I451" i="8" s="1"/>
  <c r="I452" i="8" s="1"/>
  <c r="I453" i="8" s="1"/>
  <c r="I454" i="8" s="1"/>
  <c r="I411" i="8"/>
  <c r="I377" i="8"/>
  <c r="I342" i="8"/>
  <c r="I336" i="8"/>
  <c r="I307" i="8"/>
  <c r="I272" i="8"/>
  <c r="I237" i="8"/>
  <c r="I202" i="8"/>
  <c r="I167" i="8"/>
  <c r="I132" i="8"/>
  <c r="I97" i="8"/>
  <c r="I62" i="8"/>
  <c r="G62" i="8"/>
  <c r="G97" i="8"/>
  <c r="G132" i="8"/>
  <c r="G167" i="8"/>
  <c r="G202" i="8"/>
  <c r="G237" i="8"/>
  <c r="G272" i="8"/>
  <c r="G307" i="8"/>
  <c r="G336" i="8"/>
  <c r="G342" i="8"/>
  <c r="G377" i="8"/>
  <c r="G411" i="8"/>
  <c r="G442" i="8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Q650" i="1"/>
  <c r="Q651" i="1" s="1"/>
  <c r="Q648" i="1"/>
  <c r="Q644" i="1"/>
  <c r="Q634" i="1"/>
  <c r="Q630" i="1"/>
  <c r="Q621" i="1"/>
  <c r="Q617" i="1"/>
  <c r="Q611" i="1"/>
  <c r="Q605" i="1"/>
  <c r="Q598" i="1"/>
  <c r="Q595" i="1"/>
  <c r="Q587" i="1"/>
  <c r="Q579" i="1"/>
  <c r="Q570" i="1"/>
  <c r="Q568" i="1"/>
  <c r="Q566" i="1"/>
  <c r="Q560" i="1"/>
  <c r="Q557" i="1"/>
  <c r="Q558" i="1" s="1"/>
  <c r="Q548" i="1"/>
  <c r="Q544" i="1"/>
  <c r="Q542" i="1"/>
  <c r="Q526" i="1"/>
  <c r="Q523" i="1"/>
  <c r="Q518" i="1"/>
  <c r="Q501" i="1"/>
  <c r="Q502" i="1" s="1"/>
  <c r="Q498" i="1"/>
  <c r="Q491" i="1"/>
  <c r="Q484" i="1"/>
  <c r="Q485" i="1" s="1"/>
  <c r="Q480" i="1"/>
  <c r="Q468" i="1"/>
  <c r="Q463" i="1"/>
  <c r="Q464" i="1" s="1"/>
  <c r="Q455" i="1"/>
  <c r="Q443" i="1"/>
  <c r="Q437" i="1"/>
  <c r="Q428" i="1"/>
  <c r="Q421" i="1"/>
  <c r="Q416" i="1"/>
  <c r="Q412" i="1"/>
  <c r="Q400" i="1"/>
  <c r="Q401" i="1" s="1"/>
  <c r="Q394" i="1"/>
  <c r="Q390" i="1"/>
  <c r="Q378" i="1"/>
  <c r="Q373" i="1"/>
  <c r="Q369" i="1"/>
  <c r="Q361" i="1"/>
  <c r="Q351" i="1"/>
  <c r="Q348" i="1"/>
  <c r="Q349" i="1" s="1"/>
  <c r="Q344" i="1"/>
  <c r="Q328" i="1"/>
  <c r="Q329" i="1" s="1"/>
  <c r="Q330" i="1" s="1"/>
  <c r="Q311" i="1"/>
  <c r="Q307" i="1"/>
  <c r="Q308" i="1" s="1"/>
  <c r="Q309" i="1" s="1"/>
  <c r="Q305" i="1"/>
  <c r="Q293" i="1"/>
  <c r="Q287" i="1"/>
  <c r="Q278" i="1"/>
  <c r="Q266" i="1"/>
  <c r="Q262" i="1"/>
  <c r="Q244" i="1"/>
  <c r="Q236" i="1"/>
  <c r="Q237" i="1" s="1"/>
  <c r="Q223" i="1"/>
  <c r="Q200" i="1"/>
  <c r="Q201" i="1" s="1"/>
  <c r="Q196" i="1"/>
  <c r="Q189" i="1"/>
  <c r="Q184" i="1"/>
  <c r="Q180" i="1"/>
  <c r="Q174" i="1"/>
  <c r="Q171" i="1"/>
  <c r="Q158" i="1"/>
  <c r="Q159" i="1" s="1"/>
  <c r="Q155" i="1"/>
  <c r="Q148" i="1"/>
  <c r="Q149" i="1" s="1"/>
  <c r="Q137" i="1"/>
  <c r="Q116" i="1"/>
  <c r="Q112" i="1"/>
  <c r="Q105" i="1"/>
  <c r="Q94" i="1"/>
  <c r="Q95" i="1" s="1"/>
  <c r="Q73" i="1"/>
  <c r="Q51" i="1"/>
  <c r="Q45" i="1"/>
  <c r="Q43" i="1"/>
  <c r="Q30" i="1"/>
  <c r="Q28" i="1"/>
  <c r="Q26" i="1"/>
  <c r="Q19" i="1"/>
  <c r="P605" i="1"/>
  <c r="P595" i="1"/>
  <c r="P587" i="1"/>
  <c r="P542" i="1"/>
  <c r="P523" i="1"/>
  <c r="P518" i="1"/>
  <c r="P443" i="1"/>
  <c r="P428" i="1"/>
  <c r="P421" i="1"/>
  <c r="P361" i="1"/>
  <c r="P348" i="1"/>
  <c r="P349" i="1" s="1"/>
  <c r="P344" i="1"/>
  <c r="P236" i="1"/>
  <c r="P237" i="1" s="1"/>
  <c r="P223" i="1"/>
  <c r="P155" i="1"/>
  <c r="P137" i="1"/>
  <c r="P116" i="1"/>
  <c r="P28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 s="1"/>
  <c r="P20" i="1"/>
  <c r="P21" i="1"/>
  <c r="P22" i="1"/>
  <c r="P23" i="1"/>
  <c r="P24" i="1"/>
  <c r="P25" i="1"/>
  <c r="P26" i="1" s="1"/>
  <c r="P27" i="1"/>
  <c r="P29" i="1"/>
  <c r="P30" i="1" s="1"/>
  <c r="P31" i="1"/>
  <c r="P32" i="1"/>
  <c r="P33" i="1"/>
  <c r="P34" i="1"/>
  <c r="P35" i="1"/>
  <c r="P36" i="1"/>
  <c r="P37" i="1"/>
  <c r="P38" i="1"/>
  <c r="P39" i="1"/>
  <c r="P40" i="1"/>
  <c r="P41" i="1"/>
  <c r="P42" i="1"/>
  <c r="P43" i="1" s="1"/>
  <c r="P44" i="1"/>
  <c r="P45" i="1" s="1"/>
  <c r="P46" i="1"/>
  <c r="P47" i="1"/>
  <c r="P48" i="1"/>
  <c r="P49" i="1"/>
  <c r="P50" i="1"/>
  <c r="P51" i="1" s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 s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 s="1"/>
  <c r="P95" i="1" s="1"/>
  <c r="P96" i="1"/>
  <c r="P97" i="1"/>
  <c r="P98" i="1"/>
  <c r="P99" i="1"/>
  <c r="P100" i="1"/>
  <c r="P101" i="1"/>
  <c r="P102" i="1"/>
  <c r="P103" i="1"/>
  <c r="P104" i="1"/>
  <c r="P105" i="1" s="1"/>
  <c r="P106" i="1"/>
  <c r="P107" i="1"/>
  <c r="P108" i="1"/>
  <c r="P109" i="1"/>
  <c r="P110" i="1"/>
  <c r="P111" i="1"/>
  <c r="P112" i="1" s="1"/>
  <c r="P113" i="1"/>
  <c r="P114" i="1"/>
  <c r="P115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8" i="1"/>
  <c r="P139" i="1"/>
  <c r="P140" i="1"/>
  <c r="P141" i="1"/>
  <c r="P142" i="1"/>
  <c r="P143" i="1"/>
  <c r="P144" i="1"/>
  <c r="P145" i="1"/>
  <c r="P146" i="1"/>
  <c r="P147" i="1"/>
  <c r="P148" i="1" s="1"/>
  <c r="P149" i="1" s="1"/>
  <c r="P150" i="1"/>
  <c r="P151" i="1"/>
  <c r="P152" i="1"/>
  <c r="P153" i="1"/>
  <c r="P154" i="1"/>
  <c r="P156" i="1"/>
  <c r="P157" i="1"/>
  <c r="P158" i="1" s="1"/>
  <c r="P159" i="1" s="1"/>
  <c r="P160" i="1"/>
  <c r="P161" i="1"/>
  <c r="P162" i="1"/>
  <c r="P163" i="1"/>
  <c r="P164" i="1"/>
  <c r="P165" i="1"/>
  <c r="P166" i="1"/>
  <c r="P167" i="1"/>
  <c r="P168" i="1"/>
  <c r="P169" i="1"/>
  <c r="P170" i="1"/>
  <c r="P171" i="1" s="1"/>
  <c r="P172" i="1"/>
  <c r="P173" i="1"/>
  <c r="P174" i="1" s="1"/>
  <c r="P175" i="1"/>
  <c r="P176" i="1"/>
  <c r="P177" i="1"/>
  <c r="P178" i="1"/>
  <c r="P179" i="1"/>
  <c r="P180" i="1" s="1"/>
  <c r="P181" i="1"/>
  <c r="P182" i="1"/>
  <c r="P183" i="1"/>
  <c r="P184" i="1" s="1"/>
  <c r="P185" i="1"/>
  <c r="P186" i="1"/>
  <c r="P187" i="1"/>
  <c r="P188" i="1"/>
  <c r="P189" i="1" s="1"/>
  <c r="P190" i="1"/>
  <c r="P191" i="1"/>
  <c r="P192" i="1"/>
  <c r="P193" i="1"/>
  <c r="P194" i="1"/>
  <c r="P195" i="1"/>
  <c r="P196" i="1" s="1"/>
  <c r="P197" i="1"/>
  <c r="P198" i="1"/>
  <c r="P199" i="1"/>
  <c r="P200" i="1" s="1"/>
  <c r="P201" i="1" s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8" i="1"/>
  <c r="P239" i="1"/>
  <c r="P240" i="1"/>
  <c r="P241" i="1"/>
  <c r="P242" i="1"/>
  <c r="P243" i="1"/>
  <c r="P244" i="1" s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 s="1"/>
  <c r="P263" i="1"/>
  <c r="P264" i="1"/>
  <c r="P265" i="1"/>
  <c r="P266" i="1" s="1"/>
  <c r="P267" i="1"/>
  <c r="P268" i="1"/>
  <c r="P269" i="1"/>
  <c r="P270" i="1"/>
  <c r="P271" i="1"/>
  <c r="P272" i="1"/>
  <c r="P273" i="1"/>
  <c r="P274" i="1"/>
  <c r="P275" i="1"/>
  <c r="P276" i="1"/>
  <c r="P277" i="1"/>
  <c r="P278" i="1" s="1"/>
  <c r="P279" i="1"/>
  <c r="P280" i="1"/>
  <c r="P281" i="1"/>
  <c r="P282" i="1"/>
  <c r="P283" i="1"/>
  <c r="P284" i="1"/>
  <c r="P285" i="1"/>
  <c r="P286" i="1"/>
  <c r="P287" i="1" s="1"/>
  <c r="P288" i="1"/>
  <c r="P289" i="1"/>
  <c r="P290" i="1"/>
  <c r="P291" i="1"/>
  <c r="P292" i="1"/>
  <c r="P293" i="1" s="1"/>
  <c r="P294" i="1"/>
  <c r="P295" i="1"/>
  <c r="P296" i="1"/>
  <c r="P297" i="1"/>
  <c r="P298" i="1"/>
  <c r="P299" i="1"/>
  <c r="P300" i="1"/>
  <c r="P301" i="1"/>
  <c r="P302" i="1"/>
  <c r="P303" i="1"/>
  <c r="P304" i="1"/>
  <c r="P305" i="1" s="1"/>
  <c r="P306" i="1"/>
  <c r="P307" i="1" s="1"/>
  <c r="P308" i="1" s="1"/>
  <c r="P309" i="1" s="1"/>
  <c r="P310" i="1"/>
  <c r="P311" i="1" s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 s="1"/>
  <c r="P329" i="1" s="1"/>
  <c r="P330" i="1" s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5" i="1"/>
  <c r="P346" i="1"/>
  <c r="P347" i="1"/>
  <c r="P350" i="1"/>
  <c r="P351" i="1" s="1"/>
  <c r="P352" i="1"/>
  <c r="P353" i="1"/>
  <c r="P354" i="1"/>
  <c r="P355" i="1"/>
  <c r="P356" i="1"/>
  <c r="P357" i="1"/>
  <c r="P358" i="1"/>
  <c r="P359" i="1"/>
  <c r="P360" i="1"/>
  <c r="P362" i="1"/>
  <c r="P363" i="1"/>
  <c r="P364" i="1"/>
  <c r="P365" i="1"/>
  <c r="P366" i="1"/>
  <c r="P367" i="1"/>
  <c r="P368" i="1"/>
  <c r="P369" i="1" s="1"/>
  <c r="P370" i="1"/>
  <c r="P371" i="1"/>
  <c r="P372" i="1"/>
  <c r="P373" i="1" s="1"/>
  <c r="P374" i="1"/>
  <c r="P375" i="1"/>
  <c r="P376" i="1"/>
  <c r="P377" i="1"/>
  <c r="P378" i="1" s="1"/>
  <c r="P379" i="1"/>
  <c r="P380" i="1"/>
  <c r="P381" i="1"/>
  <c r="P382" i="1"/>
  <c r="P383" i="1"/>
  <c r="P384" i="1"/>
  <c r="P385" i="1"/>
  <c r="P386" i="1"/>
  <c r="P387" i="1"/>
  <c r="P388" i="1"/>
  <c r="P389" i="1"/>
  <c r="P390" i="1" s="1"/>
  <c r="P391" i="1"/>
  <c r="P392" i="1"/>
  <c r="P393" i="1"/>
  <c r="P394" i="1" s="1"/>
  <c r="P395" i="1"/>
  <c r="P396" i="1"/>
  <c r="P397" i="1"/>
  <c r="P398" i="1"/>
  <c r="P399" i="1"/>
  <c r="P400" i="1" s="1"/>
  <c r="P401" i="1" s="1"/>
  <c r="P402" i="1"/>
  <c r="P403" i="1"/>
  <c r="P404" i="1"/>
  <c r="P405" i="1"/>
  <c r="P406" i="1"/>
  <c r="P407" i="1"/>
  <c r="P408" i="1"/>
  <c r="P409" i="1"/>
  <c r="P410" i="1"/>
  <c r="P411" i="1"/>
  <c r="P412" i="1" s="1"/>
  <c r="P413" i="1"/>
  <c r="P414" i="1"/>
  <c r="P415" i="1"/>
  <c r="P416" i="1" s="1"/>
  <c r="P417" i="1"/>
  <c r="P418" i="1"/>
  <c r="P419" i="1"/>
  <c r="P420" i="1"/>
  <c r="P422" i="1"/>
  <c r="P423" i="1"/>
  <c r="P424" i="1"/>
  <c r="P425" i="1"/>
  <c r="P426" i="1"/>
  <c r="P427" i="1"/>
  <c r="P429" i="1"/>
  <c r="P430" i="1"/>
  <c r="P431" i="1"/>
  <c r="P432" i="1"/>
  <c r="P433" i="1"/>
  <c r="P434" i="1"/>
  <c r="P435" i="1"/>
  <c r="P436" i="1"/>
  <c r="P437" i="1" s="1"/>
  <c r="P438" i="1"/>
  <c r="P439" i="1"/>
  <c r="P440" i="1"/>
  <c r="P441" i="1"/>
  <c r="P442" i="1"/>
  <c r="P444" i="1"/>
  <c r="P445" i="1"/>
  <c r="P446" i="1"/>
  <c r="P447" i="1"/>
  <c r="P448" i="1"/>
  <c r="P449" i="1"/>
  <c r="P450" i="1"/>
  <c r="P451" i="1"/>
  <c r="P452" i="1"/>
  <c r="P453" i="1"/>
  <c r="P454" i="1"/>
  <c r="P455" i="1" s="1"/>
  <c r="P456" i="1"/>
  <c r="P457" i="1"/>
  <c r="P458" i="1"/>
  <c r="P459" i="1"/>
  <c r="P460" i="1"/>
  <c r="P461" i="1"/>
  <c r="P462" i="1"/>
  <c r="P463" i="1" s="1"/>
  <c r="P464" i="1" s="1"/>
  <c r="P465" i="1"/>
  <c r="P466" i="1"/>
  <c r="P467" i="1"/>
  <c r="P468" i="1" s="1"/>
  <c r="P469" i="1"/>
  <c r="P470" i="1"/>
  <c r="P471" i="1"/>
  <c r="P472" i="1"/>
  <c r="P473" i="1"/>
  <c r="P474" i="1"/>
  <c r="P475" i="1"/>
  <c r="P476" i="1"/>
  <c r="P477" i="1"/>
  <c r="P478" i="1"/>
  <c r="P479" i="1"/>
  <c r="P480" i="1" s="1"/>
  <c r="P481" i="1"/>
  <c r="P482" i="1"/>
  <c r="P483" i="1"/>
  <c r="P484" i="1" s="1"/>
  <c r="P485" i="1" s="1"/>
  <c r="P486" i="1"/>
  <c r="P487" i="1"/>
  <c r="P488" i="1"/>
  <c r="P489" i="1"/>
  <c r="P490" i="1"/>
  <c r="P491" i="1" s="1"/>
  <c r="P492" i="1"/>
  <c r="P493" i="1"/>
  <c r="P494" i="1"/>
  <c r="P495" i="1"/>
  <c r="P496" i="1"/>
  <c r="P497" i="1"/>
  <c r="P498" i="1" s="1"/>
  <c r="P499" i="1"/>
  <c r="P500" i="1"/>
  <c r="P501" i="1" s="1"/>
  <c r="P502" i="1" s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9" i="1"/>
  <c r="P520" i="1"/>
  <c r="P521" i="1"/>
  <c r="P522" i="1"/>
  <c r="P524" i="1"/>
  <c r="P525" i="1"/>
  <c r="P526" i="1" s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3" i="1"/>
  <c r="P544" i="1" s="1"/>
  <c r="P545" i="1"/>
  <c r="P546" i="1"/>
  <c r="P547" i="1"/>
  <c r="P548" i="1" s="1"/>
  <c r="P549" i="1"/>
  <c r="P550" i="1"/>
  <c r="P551" i="1"/>
  <c r="P552" i="1"/>
  <c r="P553" i="1"/>
  <c r="P554" i="1"/>
  <c r="P555" i="1"/>
  <c r="P556" i="1"/>
  <c r="P557" i="1" s="1"/>
  <c r="P558" i="1" s="1"/>
  <c r="P559" i="1"/>
  <c r="P560" i="1" s="1"/>
  <c r="P561" i="1"/>
  <c r="P562" i="1"/>
  <c r="P563" i="1"/>
  <c r="P564" i="1"/>
  <c r="P565" i="1"/>
  <c r="P566" i="1" s="1"/>
  <c r="P567" i="1"/>
  <c r="P568" i="1" s="1"/>
  <c r="P569" i="1"/>
  <c r="P570" i="1" s="1"/>
  <c r="P571" i="1"/>
  <c r="P572" i="1"/>
  <c r="P573" i="1"/>
  <c r="P574" i="1"/>
  <c r="P575" i="1"/>
  <c r="P576" i="1"/>
  <c r="P577" i="1"/>
  <c r="P578" i="1"/>
  <c r="P579" i="1" s="1"/>
  <c r="P580" i="1"/>
  <c r="P581" i="1"/>
  <c r="P582" i="1"/>
  <c r="P583" i="1"/>
  <c r="P584" i="1"/>
  <c r="P585" i="1"/>
  <c r="P586" i="1"/>
  <c r="P588" i="1"/>
  <c r="P589" i="1"/>
  <c r="P590" i="1"/>
  <c r="P591" i="1"/>
  <c r="P592" i="1"/>
  <c r="P593" i="1"/>
  <c r="P594" i="1"/>
  <c r="P596" i="1"/>
  <c r="P597" i="1"/>
  <c r="P598" i="1" s="1"/>
  <c r="P599" i="1"/>
  <c r="P600" i="1"/>
  <c r="P601" i="1"/>
  <c r="P602" i="1"/>
  <c r="P603" i="1"/>
  <c r="P604" i="1"/>
  <c r="P606" i="1"/>
  <c r="P607" i="1"/>
  <c r="P608" i="1"/>
  <c r="P609" i="1"/>
  <c r="P610" i="1"/>
  <c r="P611" i="1" s="1"/>
  <c r="P612" i="1"/>
  <c r="P613" i="1"/>
  <c r="P614" i="1"/>
  <c r="P615" i="1"/>
  <c r="P616" i="1"/>
  <c r="P617" i="1" s="1"/>
  <c r="P618" i="1"/>
  <c r="P619" i="1"/>
  <c r="P620" i="1"/>
  <c r="P621" i="1" s="1"/>
  <c r="P622" i="1"/>
  <c r="P623" i="1"/>
  <c r="P624" i="1"/>
  <c r="P625" i="1"/>
  <c r="P626" i="1"/>
  <c r="P627" i="1"/>
  <c r="P628" i="1"/>
  <c r="P629" i="1"/>
  <c r="P630" i="1" s="1"/>
  <c r="P631" i="1"/>
  <c r="P632" i="1"/>
  <c r="P633" i="1"/>
  <c r="P634" i="1" s="1"/>
  <c r="P635" i="1"/>
  <c r="P636" i="1"/>
  <c r="P637" i="1"/>
  <c r="P638" i="1"/>
  <c r="P639" i="1"/>
  <c r="P640" i="1"/>
  <c r="P641" i="1"/>
  <c r="P642" i="1"/>
  <c r="P643" i="1"/>
  <c r="P644" i="1" s="1"/>
  <c r="P645" i="1"/>
  <c r="P646" i="1"/>
  <c r="P647" i="1"/>
  <c r="P648" i="1" s="1"/>
  <c r="P649" i="1"/>
  <c r="P650" i="1" s="1"/>
  <c r="P651" i="1" s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G655" i="1"/>
  <c r="G656" i="1" s="1"/>
  <c r="G652" i="1"/>
  <c r="G653" i="1" s="1"/>
  <c r="G648" i="1"/>
  <c r="G649" i="1" s="1"/>
  <c r="G643" i="1"/>
  <c r="G641" i="1"/>
  <c r="G630" i="1"/>
  <c r="G625" i="1"/>
  <c r="G626" i="1" s="1"/>
  <c r="G618" i="1"/>
  <c r="G615" i="1"/>
  <c r="G616" i="1" s="1"/>
  <c r="G609" i="1"/>
  <c r="G585" i="1"/>
  <c r="G586" i="1" s="1"/>
  <c r="G587" i="1" s="1"/>
  <c r="G588" i="1" s="1"/>
  <c r="G579" i="1"/>
  <c r="G566" i="1"/>
  <c r="G564" i="1"/>
  <c r="G560" i="1"/>
  <c r="G561" i="1" s="1"/>
  <c r="G557" i="1"/>
  <c r="G558" i="1" s="1"/>
  <c r="G555" i="1"/>
  <c r="G553" i="1"/>
  <c r="G549" i="1"/>
  <c r="G544" i="1"/>
  <c r="G545" i="1" s="1"/>
  <c r="G541" i="1"/>
  <c r="G527" i="1"/>
  <c r="G523" i="1"/>
  <c r="G520" i="1"/>
  <c r="G513" i="1"/>
  <c r="G511" i="1"/>
  <c r="G500" i="1"/>
  <c r="G501" i="1" s="1"/>
  <c r="G498" i="1"/>
  <c r="G495" i="1"/>
  <c r="G488" i="1"/>
  <c r="G484" i="1"/>
  <c r="G480" i="1"/>
  <c r="G477" i="1"/>
  <c r="G467" i="1"/>
  <c r="G468" i="1" s="1"/>
  <c r="G461" i="1"/>
  <c r="G459" i="1"/>
  <c r="G454" i="1"/>
  <c r="G450" i="1"/>
  <c r="G442" i="1"/>
  <c r="G440" i="1"/>
  <c r="G437" i="1"/>
  <c r="G438" i="1" s="1"/>
  <c r="G435" i="1"/>
  <c r="G430" i="1"/>
  <c r="G431" i="1" s="1"/>
  <c r="G425" i="1"/>
  <c r="G423" i="1"/>
  <c r="G418" i="1"/>
  <c r="G419" i="1" s="1"/>
  <c r="G416" i="1"/>
  <c r="G414" i="1"/>
  <c r="G412" i="1"/>
  <c r="G408" i="1"/>
  <c r="G409" i="1" s="1"/>
  <c r="G399" i="1"/>
  <c r="G394" i="1"/>
  <c r="G391" i="1"/>
  <c r="G392" i="1" s="1"/>
  <c r="G387" i="1"/>
  <c r="G382" i="1"/>
  <c r="G380" i="1"/>
  <c r="G371" i="1"/>
  <c r="G372" i="1" s="1"/>
  <c r="G373" i="1" s="1"/>
  <c r="G368" i="1"/>
  <c r="G365" i="1"/>
  <c r="G362" i="1"/>
  <c r="G358" i="1"/>
  <c r="G359" i="1" s="1"/>
  <c r="G351" i="1"/>
  <c r="G352" i="1" s="1"/>
  <c r="G348" i="1"/>
  <c r="G349" i="1" s="1"/>
  <c r="G339" i="1"/>
  <c r="G332" i="1"/>
  <c r="G333" i="1" s="1"/>
  <c r="G334" i="1" s="1"/>
  <c r="G330" i="1"/>
  <c r="G314" i="1"/>
  <c r="G308" i="1"/>
  <c r="G305" i="1"/>
  <c r="G300" i="1"/>
  <c r="G301" i="1" s="1"/>
  <c r="G298" i="1"/>
  <c r="G285" i="1"/>
  <c r="G286" i="1" s="1"/>
  <c r="G287" i="1" s="1"/>
  <c r="G273" i="1"/>
  <c r="G265" i="1"/>
  <c r="G266" i="1" s="1"/>
  <c r="G258" i="1"/>
  <c r="G251" i="1"/>
  <c r="G247" i="1"/>
  <c r="G243" i="1"/>
  <c r="G244" i="1" s="1"/>
  <c r="G235" i="1"/>
  <c r="G230" i="1"/>
  <c r="G228" i="1"/>
  <c r="G223" i="1"/>
  <c r="G221" i="1"/>
  <c r="G214" i="1"/>
  <c r="G212" i="1"/>
  <c r="G208" i="1"/>
  <c r="G209" i="1" s="1"/>
  <c r="G204" i="1"/>
  <c r="G205" i="1" s="1"/>
  <c r="G206" i="1" s="1"/>
  <c r="G200" i="1"/>
  <c r="G201" i="1" s="1"/>
  <c r="G202" i="1" s="1"/>
  <c r="G198" i="1"/>
  <c r="G191" i="1"/>
  <c r="G192" i="1" s="1"/>
  <c r="G193" i="1" s="1"/>
  <c r="G183" i="1"/>
  <c r="G184" i="1" s="1"/>
  <c r="G178" i="1"/>
  <c r="G179" i="1" s="1"/>
  <c r="G180" i="1" s="1"/>
  <c r="G175" i="1"/>
  <c r="G167" i="1"/>
  <c r="G159" i="1"/>
  <c r="G154" i="1"/>
  <c r="G155" i="1" s="1"/>
  <c r="G146" i="1"/>
  <c r="G142" i="1"/>
  <c r="G137" i="1"/>
  <c r="G135" i="1"/>
  <c r="G133" i="1"/>
  <c r="G124" i="1"/>
  <c r="G121" i="1"/>
  <c r="G116" i="1"/>
  <c r="G112" i="1"/>
  <c r="G99" i="1"/>
  <c r="G93" i="1"/>
  <c r="G94" i="1" s="1"/>
  <c r="G91" i="1"/>
  <c r="G88" i="1"/>
  <c r="G73" i="1"/>
  <c r="G71" i="1"/>
  <c r="G63" i="1"/>
  <c r="G64" i="1" s="1"/>
  <c r="G65" i="1" s="1"/>
  <c r="G50" i="1"/>
  <c r="G51" i="1" s="1"/>
  <c r="G52" i="1" s="1"/>
  <c r="G48" i="1"/>
  <c r="G39" i="1"/>
  <c r="G40" i="1" s="1"/>
  <c r="G34" i="1"/>
  <c r="G30" i="1"/>
  <c r="G16" i="1"/>
  <c r="F655" i="1"/>
  <c r="F656" i="1" s="1"/>
  <c r="F652" i="1"/>
  <c r="F653" i="1" s="1"/>
  <c r="F648" i="1"/>
  <c r="F649" i="1" s="1"/>
  <c r="F643" i="1"/>
  <c r="F641" i="1"/>
  <c r="F630" i="1"/>
  <c r="F625" i="1"/>
  <c r="F626" i="1" s="1"/>
  <c r="F618" i="1"/>
  <c r="F615" i="1"/>
  <c r="F616" i="1" s="1"/>
  <c r="F609" i="1"/>
  <c r="F585" i="1"/>
  <c r="F586" i="1" s="1"/>
  <c r="F587" i="1" s="1"/>
  <c r="F588" i="1" s="1"/>
  <c r="F579" i="1"/>
  <c r="F566" i="1"/>
  <c r="F564" i="1"/>
  <c r="F560" i="1"/>
  <c r="F561" i="1" s="1"/>
  <c r="F557" i="1"/>
  <c r="F558" i="1" s="1"/>
  <c r="F555" i="1"/>
  <c r="F553" i="1"/>
  <c r="F549" i="1"/>
  <c r="F544" i="1"/>
  <c r="F545" i="1" s="1"/>
  <c r="F541" i="1"/>
  <c r="F527" i="1"/>
  <c r="F523" i="1"/>
  <c r="F520" i="1"/>
  <c r="F513" i="1"/>
  <c r="F511" i="1"/>
  <c r="F500" i="1"/>
  <c r="F501" i="1" s="1"/>
  <c r="F498" i="1"/>
  <c r="F495" i="1"/>
  <c r="F488" i="1"/>
  <c r="F484" i="1"/>
  <c r="F480" i="1"/>
  <c r="F477" i="1"/>
  <c r="F467" i="1"/>
  <c r="F468" i="1" s="1"/>
  <c r="F461" i="1"/>
  <c r="F459" i="1"/>
  <c r="F454" i="1"/>
  <c r="F450" i="1"/>
  <c r="F442" i="1"/>
  <c r="F440" i="1"/>
  <c r="F437" i="1"/>
  <c r="F438" i="1" s="1"/>
  <c r="F435" i="1"/>
  <c r="F430" i="1"/>
  <c r="F431" i="1" s="1"/>
  <c r="F425" i="1"/>
  <c r="F423" i="1"/>
  <c r="F418" i="1"/>
  <c r="F419" i="1" s="1"/>
  <c r="F416" i="1"/>
  <c r="F414" i="1"/>
  <c r="F412" i="1"/>
  <c r="F408" i="1"/>
  <c r="F409" i="1" s="1"/>
  <c r="F399" i="1"/>
  <c r="F394" i="1"/>
  <c r="F391" i="1"/>
  <c r="F392" i="1" s="1"/>
  <c r="F387" i="1"/>
  <c r="F382" i="1"/>
  <c r="F380" i="1"/>
  <c r="F371" i="1"/>
  <c r="F372" i="1" s="1"/>
  <c r="F373" i="1" s="1"/>
  <c r="F368" i="1"/>
  <c r="F365" i="1"/>
  <c r="F362" i="1"/>
  <c r="F358" i="1"/>
  <c r="F359" i="1" s="1"/>
  <c r="F351" i="1"/>
  <c r="F352" i="1" s="1"/>
  <c r="F348" i="1"/>
  <c r="F349" i="1" s="1"/>
  <c r="F339" i="1"/>
  <c r="F332" i="1"/>
  <c r="F333" i="1" s="1"/>
  <c r="F334" i="1" s="1"/>
  <c r="F330" i="1"/>
  <c r="F314" i="1"/>
  <c r="F308" i="1"/>
  <c r="F305" i="1"/>
  <c r="F300" i="1"/>
  <c r="F301" i="1" s="1"/>
  <c r="F298" i="1"/>
  <c r="F285" i="1"/>
  <c r="F286" i="1" s="1"/>
  <c r="F287" i="1" s="1"/>
  <c r="F273" i="1"/>
  <c r="F265" i="1"/>
  <c r="F266" i="1" s="1"/>
  <c r="F258" i="1"/>
  <c r="F251" i="1"/>
  <c r="F247" i="1"/>
  <c r="F243" i="1"/>
  <c r="F244" i="1" s="1"/>
  <c r="F235" i="1"/>
  <c r="F230" i="1"/>
  <c r="F228" i="1"/>
  <c r="F223" i="1"/>
  <c r="F221" i="1"/>
  <c r="F214" i="1"/>
  <c r="F212" i="1"/>
  <c r="F208" i="1"/>
  <c r="F209" i="1" s="1"/>
  <c r="F204" i="1"/>
  <c r="F205" i="1" s="1"/>
  <c r="F206" i="1" s="1"/>
  <c r="F200" i="1"/>
  <c r="F201" i="1" s="1"/>
  <c r="F202" i="1" s="1"/>
  <c r="F198" i="1"/>
  <c r="F191" i="1"/>
  <c r="F192" i="1" s="1"/>
  <c r="F193" i="1" s="1"/>
  <c r="F183" i="1"/>
  <c r="F184" i="1" s="1"/>
  <c r="F178" i="1"/>
  <c r="F179" i="1" s="1"/>
  <c r="F180" i="1" s="1"/>
  <c r="F175" i="1"/>
  <c r="F167" i="1"/>
  <c r="F159" i="1"/>
  <c r="F154" i="1"/>
  <c r="F155" i="1" s="1"/>
  <c r="F146" i="1"/>
  <c r="F142" i="1"/>
  <c r="F137" i="1"/>
  <c r="F135" i="1"/>
  <c r="F133" i="1"/>
  <c r="F124" i="1"/>
  <c r="F121" i="1"/>
  <c r="F116" i="1"/>
  <c r="F112" i="1"/>
  <c r="F99" i="1"/>
  <c r="F93" i="1"/>
  <c r="F94" i="1" s="1"/>
  <c r="F91" i="1"/>
  <c r="F88" i="1"/>
  <c r="F73" i="1"/>
  <c r="F71" i="1"/>
  <c r="F63" i="1"/>
  <c r="F64" i="1" s="1"/>
  <c r="F65" i="1" s="1"/>
  <c r="F50" i="1"/>
  <c r="F51" i="1" s="1"/>
  <c r="F52" i="1" s="1"/>
  <c r="F48" i="1"/>
  <c r="F39" i="1"/>
  <c r="F40" i="1" s="1"/>
  <c r="F34" i="1"/>
  <c r="F30" i="1"/>
  <c r="F16" i="1"/>
  <c r="S60" i="11"/>
  <c r="S61" i="11" s="1"/>
  <c r="S62" i="11" s="1"/>
  <c r="S63" i="11" s="1"/>
  <c r="S64" i="11" s="1"/>
  <c r="S65" i="11" s="1"/>
  <c r="S66" i="11" s="1"/>
  <c r="S67" i="11" s="1"/>
  <c r="S68" i="11" s="1"/>
  <c r="S56" i="11"/>
  <c r="S49" i="11"/>
  <c r="S50" i="11" s="1"/>
  <c r="S37" i="11"/>
  <c r="S35" i="11"/>
  <c r="S25" i="11"/>
  <c r="Q60" i="11"/>
  <c r="Q61" i="11" s="1"/>
  <c r="Q62" i="11" s="1"/>
  <c r="Q63" i="11" s="1"/>
  <c r="Q64" i="11" s="1"/>
  <c r="Q65" i="11" s="1"/>
  <c r="Q66" i="11" s="1"/>
  <c r="Q67" i="11" s="1"/>
  <c r="Q68" i="11" s="1"/>
  <c r="Q56" i="11"/>
  <c r="Q49" i="11"/>
  <c r="Q50" i="11" s="1"/>
  <c r="R50" i="11" s="1"/>
  <c r="Q37" i="11"/>
  <c r="Q35" i="11"/>
  <c r="Q25" i="11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E4" i="12"/>
  <c r="E5" i="12"/>
  <c r="E6" i="12"/>
  <c r="E7" i="12"/>
  <c r="E8" i="12"/>
  <c r="E9" i="12"/>
  <c r="E10" i="12"/>
  <c r="E11" i="12"/>
  <c r="E12" i="12"/>
  <c r="E13" i="12"/>
  <c r="E14" i="12"/>
  <c r="E15" i="12"/>
  <c r="C15" i="12" s="1"/>
  <c r="E16" i="12"/>
  <c r="E17" i="12"/>
  <c r="E18" i="12"/>
  <c r="E19" i="12"/>
  <c r="E20" i="12"/>
  <c r="E21" i="12"/>
  <c r="E22" i="12"/>
  <c r="E23" i="12"/>
  <c r="E24" i="12"/>
  <c r="E25" i="12"/>
  <c r="E26" i="12"/>
  <c r="E27" i="12"/>
  <c r="C27" i="12" s="1"/>
  <c r="E28" i="12"/>
  <c r="E29" i="12"/>
  <c r="E30" i="12"/>
  <c r="E31" i="12"/>
  <c r="E32" i="12"/>
  <c r="E33" i="12"/>
  <c r="E34" i="12"/>
  <c r="E35" i="12"/>
  <c r="E36" i="12"/>
  <c r="E37" i="12"/>
  <c r="E38" i="12"/>
  <c r="E39" i="12"/>
  <c r="C39" i="12" s="1"/>
  <c r="E40" i="12"/>
  <c r="E41" i="12"/>
  <c r="E42" i="12"/>
  <c r="E43" i="12"/>
  <c r="E44" i="12"/>
  <c r="E45" i="12"/>
  <c r="E46" i="12"/>
  <c r="E47" i="12"/>
  <c r="E48" i="12"/>
  <c r="E49" i="12"/>
  <c r="E50" i="12"/>
  <c r="E51" i="12"/>
  <c r="C51" i="12" s="1"/>
  <c r="E52" i="12"/>
  <c r="E53" i="12"/>
  <c r="E54" i="12"/>
  <c r="E55" i="12"/>
  <c r="E56" i="12"/>
  <c r="E57" i="12"/>
  <c r="E58" i="12"/>
  <c r="E59" i="12"/>
  <c r="E60" i="12"/>
  <c r="E61" i="12"/>
  <c r="E62" i="12"/>
  <c r="E63" i="12"/>
  <c r="C63" i="12" s="1"/>
  <c r="E64" i="12"/>
  <c r="E65" i="12"/>
  <c r="E66" i="12"/>
  <c r="E67" i="12"/>
  <c r="E68" i="12"/>
  <c r="E69" i="12"/>
  <c r="E70" i="12"/>
  <c r="E71" i="12"/>
  <c r="E72" i="12"/>
  <c r="E73" i="12"/>
  <c r="E74" i="12"/>
  <c r="E75" i="12"/>
  <c r="C75" i="12" s="1"/>
  <c r="E76" i="12"/>
  <c r="E77" i="12"/>
  <c r="E78" i="12"/>
  <c r="E79" i="12"/>
  <c r="E80" i="12"/>
  <c r="E81" i="12"/>
  <c r="E82" i="12"/>
  <c r="E83" i="12"/>
  <c r="E84" i="12"/>
  <c r="E85" i="12"/>
  <c r="E86" i="12"/>
  <c r="E87" i="12"/>
  <c r="C87" i="12" s="1"/>
  <c r="E88" i="12"/>
  <c r="E89" i="12"/>
  <c r="E90" i="12"/>
  <c r="E91" i="12"/>
  <c r="E92" i="12"/>
  <c r="E93" i="12"/>
  <c r="E94" i="12"/>
  <c r="E95" i="12"/>
  <c r="E96" i="12"/>
  <c r="E97" i="12"/>
  <c r="E98" i="12"/>
  <c r="E99" i="12"/>
  <c r="C99" i="12" s="1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C111" i="12" s="1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C135" i="12" s="1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C147" i="12" s="1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C159" i="12" s="1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C171" i="12" s="1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C183" i="12" s="1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C195" i="12" s="1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C207" i="12" s="1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C219" i="12" s="1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C231" i="12" s="1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C243" i="12" s="1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C255" i="12" s="1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C267" i="12" s="1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C291" i="12" s="1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C303" i="12" s="1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C315" i="12" s="1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C327" i="12" s="1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C351" i="12" s="1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C363" i="12" s="1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C375" i="12" s="1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C387" i="12" s="1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C399" i="12" s="1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C411" i="12" s="1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C423" i="12" s="1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C447" i="12" s="1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37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19" i="12"/>
  <c r="L18" i="12"/>
  <c r="O5" i="12"/>
  <c r="O6" i="12"/>
  <c r="O7" i="12"/>
  <c r="O8" i="12"/>
  <c r="O9" i="12"/>
  <c r="O10" i="12"/>
  <c r="O11" i="12"/>
  <c r="O12" i="12"/>
  <c r="O13" i="12"/>
  <c r="O14" i="12"/>
  <c r="O15" i="12"/>
  <c r="M15" i="12" s="1"/>
  <c r="O16" i="12"/>
  <c r="O17" i="12"/>
  <c r="O18" i="12"/>
  <c r="O19" i="12"/>
  <c r="O20" i="12"/>
  <c r="O21" i="12"/>
  <c r="O22" i="12"/>
  <c r="O23" i="12"/>
  <c r="O24" i="12"/>
  <c r="O25" i="12"/>
  <c r="O26" i="12"/>
  <c r="O27" i="12"/>
  <c r="M27" i="12" s="1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M51" i="12" s="1"/>
  <c r="O52" i="12"/>
  <c r="O53" i="12"/>
  <c r="O54" i="12"/>
  <c r="O55" i="12"/>
  <c r="O56" i="12"/>
  <c r="O57" i="12"/>
  <c r="O58" i="12"/>
  <c r="O59" i="12"/>
  <c r="O60" i="12"/>
  <c r="O61" i="12"/>
  <c r="O62" i="12"/>
  <c r="O63" i="12"/>
  <c r="M63" i="12" s="1"/>
  <c r="O64" i="12"/>
  <c r="O65" i="12"/>
  <c r="O66" i="12"/>
  <c r="O67" i="12"/>
  <c r="O68" i="12"/>
  <c r="O69" i="12"/>
  <c r="O70" i="12"/>
  <c r="O71" i="12"/>
  <c r="O72" i="12"/>
  <c r="O73" i="12"/>
  <c r="O74" i="12"/>
  <c r="O75" i="12"/>
  <c r="M75" i="12" s="1"/>
  <c r="O76" i="12"/>
  <c r="O77" i="12"/>
  <c r="O78" i="12"/>
  <c r="O79" i="12"/>
  <c r="O80" i="12"/>
  <c r="O81" i="12"/>
  <c r="O82" i="12"/>
  <c r="O83" i="12"/>
  <c r="O84" i="12"/>
  <c r="O85" i="12"/>
  <c r="O86" i="12"/>
  <c r="O87" i="12"/>
  <c r="M87" i="12" s="1"/>
  <c r="O88" i="12"/>
  <c r="O89" i="12"/>
  <c r="O90" i="12"/>
  <c r="O91" i="12"/>
  <c r="O92" i="12"/>
  <c r="O93" i="12"/>
  <c r="O94" i="12"/>
  <c r="O95" i="12"/>
  <c r="O96" i="12"/>
  <c r="O97" i="12"/>
  <c r="O98" i="12"/>
  <c r="O99" i="12"/>
  <c r="M99" i="12" s="1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M111" i="12" s="1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M123" i="12" s="1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M135" i="12" s="1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M147" i="12" s="1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M159" i="12" s="1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M171" i="12" s="1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M183" i="12" s="1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M207" i="12" s="1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M219" i="12" s="1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M231" i="12" s="1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M243" i="12" s="1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M255" i="12" s="1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M267" i="12" s="1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M291" i="12" s="1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M303" i="12" s="1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M315" i="12" s="1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M327" i="12" s="1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M339" i="12" s="1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M351" i="12" s="1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M363" i="12" s="1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M375" i="12" s="1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M387" i="12" s="1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M399" i="12" s="1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M411" i="12" s="1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M423" i="12" s="1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M459" i="12" s="1"/>
  <c r="L459" i="12" s="1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M471" i="12" s="1"/>
  <c r="L471" i="12" s="1"/>
  <c r="O4" i="12"/>
  <c r="M4" i="12"/>
  <c r="M5" i="12"/>
  <c r="M6" i="12"/>
  <c r="M7" i="12"/>
  <c r="M8" i="12"/>
  <c r="M9" i="12"/>
  <c r="M10" i="12"/>
  <c r="M11" i="12"/>
  <c r="M12" i="12"/>
  <c r="M13" i="12"/>
  <c r="M14" i="12"/>
  <c r="M16" i="12"/>
  <c r="M17" i="12"/>
  <c r="M18" i="12"/>
  <c r="M19" i="12"/>
  <c r="M20" i="12"/>
  <c r="M21" i="12"/>
  <c r="M22" i="12"/>
  <c r="M23" i="12"/>
  <c r="M24" i="12"/>
  <c r="M39" i="12"/>
  <c r="M40" i="12"/>
  <c r="M52" i="12"/>
  <c r="M64" i="12"/>
  <c r="M76" i="12"/>
  <c r="M88" i="12"/>
  <c r="M100" i="12"/>
  <c r="M112" i="12"/>
  <c r="M124" i="12"/>
  <c r="M136" i="12"/>
  <c r="M148" i="12"/>
  <c r="M160" i="12"/>
  <c r="M172" i="12"/>
  <c r="M184" i="12"/>
  <c r="M195" i="12"/>
  <c r="M196" i="12"/>
  <c r="M208" i="12"/>
  <c r="M220" i="12"/>
  <c r="M232" i="12"/>
  <c r="M244" i="12"/>
  <c r="M268" i="12"/>
  <c r="M279" i="12"/>
  <c r="M280" i="12"/>
  <c r="M292" i="12"/>
  <c r="M304" i="12"/>
  <c r="M316" i="12"/>
  <c r="M328" i="12"/>
  <c r="M340" i="12"/>
  <c r="M352" i="12"/>
  <c r="M364" i="12"/>
  <c r="M376" i="12"/>
  <c r="M388" i="12"/>
  <c r="M400" i="12"/>
  <c r="M412" i="12"/>
  <c r="M424" i="12"/>
  <c r="M435" i="12"/>
  <c r="M436" i="12"/>
  <c r="M448" i="12"/>
  <c r="M460" i="12"/>
  <c r="L460" i="12" s="1"/>
  <c r="O472" i="12"/>
  <c r="O473" i="12"/>
  <c r="O474" i="12"/>
  <c r="O475" i="12"/>
  <c r="O476" i="12"/>
  <c r="S92" i="12"/>
  <c r="S419" i="12"/>
  <c r="S420" i="12" s="1"/>
  <c r="S421" i="12" s="1"/>
  <c r="S422" i="12" s="1"/>
  <c r="S423" i="12" s="1"/>
  <c r="S424" i="12" s="1"/>
  <c r="S425" i="12" s="1"/>
  <c r="S426" i="12" s="1"/>
  <c r="S427" i="12" s="1"/>
  <c r="S428" i="12" s="1"/>
  <c r="S429" i="12" s="1"/>
  <c r="S430" i="12" s="1"/>
  <c r="S431" i="12" s="1"/>
  <c r="S432" i="12" s="1"/>
  <c r="S433" i="12" s="1"/>
  <c r="S434" i="12" s="1"/>
  <c r="S435" i="12" s="1"/>
  <c r="S436" i="12" s="1"/>
  <c r="S437" i="12" s="1"/>
  <c r="S417" i="12"/>
  <c r="S412" i="12"/>
  <c r="S409" i="12"/>
  <c r="S402" i="12"/>
  <c r="S397" i="12"/>
  <c r="S384" i="12"/>
  <c r="S385" i="12" s="1"/>
  <c r="S379" i="12"/>
  <c r="S349" i="12"/>
  <c r="S343" i="12"/>
  <c r="S313" i="12"/>
  <c r="S307" i="12"/>
  <c r="S277" i="12"/>
  <c r="S238" i="12"/>
  <c r="S205" i="12"/>
  <c r="S169" i="12"/>
  <c r="S60" i="12"/>
  <c r="Q419" i="12"/>
  <c r="Q420" i="12" s="1"/>
  <c r="Q417" i="12"/>
  <c r="Q412" i="12"/>
  <c r="Q409" i="12"/>
  <c r="Q402" i="12"/>
  <c r="Q397" i="12"/>
  <c r="R397" i="12" s="1"/>
  <c r="Q384" i="12"/>
  <c r="Q385" i="12" s="1"/>
  <c r="R385" i="12" s="1"/>
  <c r="Q379" i="12"/>
  <c r="Q349" i="12"/>
  <c r="Q343" i="12"/>
  <c r="Q313" i="12"/>
  <c r="R313" i="12" s="1"/>
  <c r="Q307" i="12"/>
  <c r="Q277" i="12"/>
  <c r="Q238" i="12"/>
  <c r="Q205" i="12"/>
  <c r="Q169" i="12"/>
  <c r="Q60" i="12"/>
  <c r="Q92" i="12"/>
  <c r="R92" i="12" s="1"/>
  <c r="C8" i="12"/>
  <c r="C10" i="12"/>
  <c r="C12" i="12"/>
  <c r="C13" i="12"/>
  <c r="C20" i="12"/>
  <c r="C22" i="12"/>
  <c r="C24" i="12"/>
  <c r="C25" i="12"/>
  <c r="C32" i="12"/>
  <c r="C34" i="12"/>
  <c r="C36" i="12"/>
  <c r="C37" i="12"/>
  <c r="C46" i="12"/>
  <c r="C48" i="12"/>
  <c r="C49" i="12"/>
  <c r="C56" i="12"/>
  <c r="C58" i="12"/>
  <c r="C60" i="12"/>
  <c r="C61" i="12"/>
  <c r="C68" i="12"/>
  <c r="C70" i="12"/>
  <c r="C73" i="12"/>
  <c r="C82" i="12"/>
  <c r="C84" i="12"/>
  <c r="C85" i="12"/>
  <c r="C92" i="12"/>
  <c r="C94" i="12"/>
  <c r="C96" i="12"/>
  <c r="C97" i="12"/>
  <c r="C104" i="12"/>
  <c r="C106" i="12"/>
  <c r="C108" i="12"/>
  <c r="C109" i="12"/>
  <c r="C116" i="12"/>
  <c r="C118" i="12"/>
  <c r="C120" i="12"/>
  <c r="C121" i="12"/>
  <c r="C123" i="12"/>
  <c r="C128" i="12"/>
  <c r="C130" i="12"/>
  <c r="C132" i="12"/>
  <c r="C133" i="12"/>
  <c r="C140" i="12"/>
  <c r="C144" i="12"/>
  <c r="C145" i="12"/>
  <c r="C152" i="12"/>
  <c r="C154" i="12"/>
  <c r="C157" i="12"/>
  <c r="C164" i="12"/>
  <c r="C166" i="12"/>
  <c r="C168" i="12"/>
  <c r="C169" i="12"/>
  <c r="C176" i="12"/>
  <c r="C178" i="12"/>
  <c r="C180" i="12"/>
  <c r="C181" i="12"/>
  <c r="C188" i="12"/>
  <c r="C190" i="12"/>
  <c r="C192" i="12"/>
  <c r="C193" i="12"/>
  <c r="C200" i="12"/>
  <c r="C202" i="12"/>
  <c r="C204" i="12"/>
  <c r="C205" i="12"/>
  <c r="C212" i="12"/>
  <c r="C214" i="12"/>
  <c r="C217" i="12"/>
  <c r="C224" i="12"/>
  <c r="C226" i="12"/>
  <c r="C228" i="12"/>
  <c r="C229" i="12"/>
  <c r="C236" i="12"/>
  <c r="C238" i="12"/>
  <c r="C240" i="12"/>
  <c r="C248" i="12"/>
  <c r="C250" i="12"/>
  <c r="C252" i="12"/>
  <c r="C253" i="12"/>
  <c r="C260" i="12"/>
  <c r="C262" i="12"/>
  <c r="C264" i="12"/>
  <c r="C265" i="12"/>
  <c r="C272" i="12"/>
  <c r="C274" i="12"/>
  <c r="C277" i="12"/>
  <c r="C279" i="12"/>
  <c r="C284" i="12"/>
  <c r="C286" i="12"/>
  <c r="C288" i="12"/>
  <c r="C289" i="12"/>
  <c r="C296" i="12"/>
  <c r="C298" i="12"/>
  <c r="C300" i="12"/>
  <c r="C301" i="12"/>
  <c r="C308" i="12"/>
  <c r="C310" i="12"/>
  <c r="C312" i="12"/>
  <c r="C313" i="12"/>
  <c r="C320" i="12"/>
  <c r="C322" i="12"/>
  <c r="C324" i="12"/>
  <c r="C325" i="12"/>
  <c r="C332" i="12"/>
  <c r="C334" i="12"/>
  <c r="C337" i="12"/>
  <c r="C339" i="12"/>
  <c r="C344" i="12"/>
  <c r="C346" i="12"/>
  <c r="C348" i="12"/>
  <c r="C349" i="12"/>
  <c r="C356" i="12"/>
  <c r="C358" i="12"/>
  <c r="C360" i="12"/>
  <c r="C368" i="12"/>
  <c r="C372" i="12"/>
  <c r="C373" i="12"/>
  <c r="C380" i="12"/>
  <c r="C382" i="12"/>
  <c r="C384" i="12"/>
  <c r="C385" i="12"/>
  <c r="C392" i="12"/>
  <c r="C394" i="12"/>
  <c r="C396" i="12"/>
  <c r="C397" i="12"/>
  <c r="C404" i="12"/>
  <c r="C406" i="12"/>
  <c r="C409" i="12"/>
  <c r="C416" i="12"/>
  <c r="C418" i="12"/>
  <c r="C420" i="12"/>
  <c r="C421" i="12"/>
  <c r="C428" i="12"/>
  <c r="C430" i="12"/>
  <c r="C432" i="12"/>
  <c r="C435" i="12"/>
  <c r="C440" i="12"/>
  <c r="C442" i="12"/>
  <c r="C444" i="12"/>
  <c r="C445" i="12"/>
  <c r="C452" i="12"/>
  <c r="C454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I453" i="12"/>
  <c r="I454" i="12" s="1"/>
  <c r="I455" i="12" s="1"/>
  <c r="I456" i="12" s="1"/>
  <c r="I457" i="12" s="1"/>
  <c r="I458" i="12" s="1"/>
  <c r="I459" i="12" s="1"/>
  <c r="I460" i="12" s="1"/>
  <c r="I461" i="12" s="1"/>
  <c r="I462" i="12" s="1"/>
  <c r="I463" i="12" s="1"/>
  <c r="I464" i="12" s="1"/>
  <c r="I465" i="12" s="1"/>
  <c r="I466" i="12" s="1"/>
  <c r="I467" i="12" s="1"/>
  <c r="I468" i="12" s="1"/>
  <c r="I469" i="12" s="1"/>
  <c r="I470" i="12" s="1"/>
  <c r="I471" i="12" s="1"/>
  <c r="I472" i="12" s="1"/>
  <c r="I473" i="12" s="1"/>
  <c r="I474" i="12" s="1"/>
  <c r="I475" i="12" s="1"/>
  <c r="I476" i="12" s="1"/>
  <c r="I477" i="12" s="1"/>
  <c r="I478" i="12" s="1"/>
  <c r="I479" i="12" s="1"/>
  <c r="I480" i="12" s="1"/>
  <c r="I481" i="12" s="1"/>
  <c r="I482" i="12" s="1"/>
  <c r="I483" i="12" s="1"/>
  <c r="I484" i="12" s="1"/>
  <c r="I485" i="12" s="1"/>
  <c r="I486" i="12" s="1"/>
  <c r="I487" i="12" s="1"/>
  <c r="I488" i="12" s="1"/>
  <c r="I489" i="12" s="1"/>
  <c r="I490" i="12" s="1"/>
  <c r="I491" i="12" s="1"/>
  <c r="I492" i="12" s="1"/>
  <c r="I493" i="12" s="1"/>
  <c r="I494" i="12" s="1"/>
  <c r="I495" i="12" s="1"/>
  <c r="I496" i="12" s="1"/>
  <c r="I497" i="12" s="1"/>
  <c r="I498" i="12" s="1"/>
  <c r="I499" i="12" s="1"/>
  <c r="I500" i="12" s="1"/>
  <c r="I501" i="12" s="1"/>
  <c r="I502" i="12" s="1"/>
  <c r="I503" i="12" s="1"/>
  <c r="I504" i="12" s="1"/>
  <c r="I505" i="12" s="1"/>
  <c r="I506" i="12" s="1"/>
  <c r="I507" i="12" s="1"/>
  <c r="I508" i="12" s="1"/>
  <c r="I509" i="12" s="1"/>
  <c r="I510" i="12" s="1"/>
  <c r="I511" i="12" s="1"/>
  <c r="I512" i="12" s="1"/>
  <c r="I513" i="12" s="1"/>
  <c r="I448" i="12"/>
  <c r="I449" i="12" s="1"/>
  <c r="I450" i="12" s="1"/>
  <c r="I451" i="12" s="1"/>
  <c r="I432" i="12"/>
  <c r="I433" i="12" s="1"/>
  <c r="I434" i="12" s="1"/>
  <c r="I435" i="12" s="1"/>
  <c r="I436" i="12" s="1"/>
  <c r="I437" i="12" s="1"/>
  <c r="I438" i="12" s="1"/>
  <c r="I439" i="12" s="1"/>
  <c r="I440" i="12" s="1"/>
  <c r="I441" i="12" s="1"/>
  <c r="I442" i="12" s="1"/>
  <c r="I443" i="12" s="1"/>
  <c r="I444" i="12" s="1"/>
  <c r="I445" i="12" s="1"/>
  <c r="I446" i="12" s="1"/>
  <c r="I419" i="12"/>
  <c r="I399" i="12"/>
  <c r="I363" i="12"/>
  <c r="I327" i="12"/>
  <c r="I321" i="12"/>
  <c r="I322" i="12" s="1"/>
  <c r="I318" i="12"/>
  <c r="I291" i="12"/>
  <c r="I255" i="12"/>
  <c r="I253" i="12"/>
  <c r="I219" i="12"/>
  <c r="I183" i="12"/>
  <c r="I179" i="12"/>
  <c r="I180" i="12" s="1"/>
  <c r="I158" i="12"/>
  <c r="I142" i="12"/>
  <c r="I74" i="12"/>
  <c r="G453" i="12"/>
  <c r="G454" i="12" s="1"/>
  <c r="G448" i="12"/>
  <c r="G449" i="12" s="1"/>
  <c r="G432" i="12"/>
  <c r="G433" i="12" s="1"/>
  <c r="G419" i="12"/>
  <c r="G399" i="12"/>
  <c r="H399" i="12" s="1"/>
  <c r="G363" i="12"/>
  <c r="H363" i="12" s="1"/>
  <c r="G327" i="12"/>
  <c r="G321" i="12"/>
  <c r="G322" i="12" s="1"/>
  <c r="H322" i="12" s="1"/>
  <c r="G318" i="12"/>
  <c r="G291" i="12"/>
  <c r="H291" i="12" s="1"/>
  <c r="G255" i="12"/>
  <c r="H255" i="12" s="1"/>
  <c r="G253" i="12"/>
  <c r="H253" i="12" s="1"/>
  <c r="G219" i="12"/>
  <c r="H219" i="12" s="1"/>
  <c r="G183" i="12"/>
  <c r="G179" i="12"/>
  <c r="G180" i="12" s="1"/>
  <c r="H180" i="12" s="1"/>
  <c r="G158" i="12"/>
  <c r="G142" i="12"/>
  <c r="H142" i="12" s="1"/>
  <c r="G74" i="12"/>
  <c r="H74" i="12" s="1"/>
  <c r="C4" i="12"/>
  <c r="C5" i="12"/>
  <c r="C6" i="12"/>
  <c r="C7" i="12"/>
  <c r="C9" i="12"/>
  <c r="C11" i="12"/>
  <c r="C14" i="12"/>
  <c r="C16" i="12"/>
  <c r="C17" i="12"/>
  <c r="C18" i="12"/>
  <c r="C19" i="12"/>
  <c r="C21" i="12"/>
  <c r="O5" i="11"/>
  <c r="M5" i="11" s="1"/>
  <c r="O6" i="11"/>
  <c r="O7" i="11"/>
  <c r="M7" i="11" s="1"/>
  <c r="O8" i="11"/>
  <c r="M8" i="11" s="1"/>
  <c r="O9" i="11"/>
  <c r="O10" i="11"/>
  <c r="M10" i="11" s="1"/>
  <c r="O11" i="11"/>
  <c r="M11" i="11" s="1"/>
  <c r="L11" i="11" s="1"/>
  <c r="O12" i="11"/>
  <c r="M12" i="11" s="1"/>
  <c r="L12" i="11" s="1"/>
  <c r="O13" i="11"/>
  <c r="O14" i="11"/>
  <c r="M14" i="11" s="1"/>
  <c r="L14" i="11" s="1"/>
  <c r="O15" i="11"/>
  <c r="M15" i="11" s="1"/>
  <c r="L15" i="11" s="1"/>
  <c r="O16" i="11"/>
  <c r="M16" i="11" s="1"/>
  <c r="L16" i="11" s="1"/>
  <c r="O17" i="11"/>
  <c r="M17" i="11" s="1"/>
  <c r="L17" i="11" s="1"/>
  <c r="O18" i="11"/>
  <c r="O19" i="11"/>
  <c r="O20" i="11"/>
  <c r="M20" i="11" s="1"/>
  <c r="L20" i="11" s="1"/>
  <c r="O21" i="11"/>
  <c r="O22" i="11"/>
  <c r="M22" i="11" s="1"/>
  <c r="L22" i="11" s="1"/>
  <c r="O23" i="11"/>
  <c r="M23" i="11" s="1"/>
  <c r="L23" i="11" s="1"/>
  <c r="O24" i="11"/>
  <c r="M24" i="11" s="1"/>
  <c r="L24" i="11" s="1"/>
  <c r="O25" i="11"/>
  <c r="O26" i="11"/>
  <c r="M26" i="11" s="1"/>
  <c r="L26" i="11" s="1"/>
  <c r="O27" i="11"/>
  <c r="M27" i="11" s="1"/>
  <c r="L27" i="11" s="1"/>
  <c r="O28" i="11"/>
  <c r="M28" i="11" s="1"/>
  <c r="L28" i="11" s="1"/>
  <c r="O29" i="11"/>
  <c r="M29" i="11" s="1"/>
  <c r="L29" i="11" s="1"/>
  <c r="O30" i="11"/>
  <c r="O31" i="11"/>
  <c r="O32" i="11"/>
  <c r="O33" i="11"/>
  <c r="O34" i="11"/>
  <c r="M34" i="11" s="1"/>
  <c r="L34" i="11" s="1"/>
  <c r="O35" i="11"/>
  <c r="M35" i="11" s="1"/>
  <c r="L35" i="11" s="1"/>
  <c r="O36" i="11"/>
  <c r="M36" i="11" s="1"/>
  <c r="L36" i="11" s="1"/>
  <c r="O37" i="11"/>
  <c r="O38" i="11"/>
  <c r="M38" i="11" s="1"/>
  <c r="L38" i="11" s="1"/>
  <c r="O39" i="11"/>
  <c r="M39" i="11" s="1"/>
  <c r="L39" i="11" s="1"/>
  <c r="O40" i="11"/>
  <c r="M40" i="11" s="1"/>
  <c r="L40" i="11" s="1"/>
  <c r="O41" i="11"/>
  <c r="M41" i="11" s="1"/>
  <c r="L41" i="11" s="1"/>
  <c r="O42" i="11"/>
  <c r="O43" i="11"/>
  <c r="O44" i="11"/>
  <c r="O45" i="11"/>
  <c r="O46" i="11"/>
  <c r="M46" i="11" s="1"/>
  <c r="L46" i="11" s="1"/>
  <c r="O47" i="11"/>
  <c r="M47" i="11" s="1"/>
  <c r="L47" i="11" s="1"/>
  <c r="O48" i="11"/>
  <c r="M48" i="11" s="1"/>
  <c r="L48" i="11" s="1"/>
  <c r="O49" i="11"/>
  <c r="O50" i="11"/>
  <c r="O51" i="11"/>
  <c r="M51" i="11" s="1"/>
  <c r="L51" i="11" s="1"/>
  <c r="O52" i="11"/>
  <c r="O53" i="11"/>
  <c r="O54" i="11"/>
  <c r="O55" i="11"/>
  <c r="O56" i="11"/>
  <c r="O57" i="11"/>
  <c r="O58" i="11"/>
  <c r="M58" i="11" s="1"/>
  <c r="L58" i="11" s="1"/>
  <c r="O59" i="11"/>
  <c r="M59" i="11" s="1"/>
  <c r="L59" i="11" s="1"/>
  <c r="O60" i="11"/>
  <c r="M60" i="11" s="1"/>
  <c r="L60" i="11" s="1"/>
  <c r="O61" i="11"/>
  <c r="O62" i="11"/>
  <c r="M62" i="11" s="1"/>
  <c r="L62" i="11" s="1"/>
  <c r="O63" i="11"/>
  <c r="M63" i="11" s="1"/>
  <c r="L63" i="11" s="1"/>
  <c r="O64" i="11"/>
  <c r="M64" i="11" s="1"/>
  <c r="L64" i="11" s="1"/>
  <c r="O65" i="11"/>
  <c r="M65" i="11" s="1"/>
  <c r="L65" i="11" s="1"/>
  <c r="O66" i="11"/>
  <c r="O67" i="11"/>
  <c r="O68" i="11"/>
  <c r="O4" i="11"/>
  <c r="M13" i="11"/>
  <c r="L13" i="11" s="1"/>
  <c r="M4" i="11"/>
  <c r="M6" i="11"/>
  <c r="M9" i="11"/>
  <c r="M18" i="11"/>
  <c r="L18" i="11" s="1"/>
  <c r="M19" i="11"/>
  <c r="L19" i="11" s="1"/>
  <c r="M21" i="11"/>
  <c r="L21" i="11" s="1"/>
  <c r="E4" i="11"/>
  <c r="C4" i="11" s="1"/>
  <c r="E5" i="11"/>
  <c r="C5" i="11" s="1"/>
  <c r="E6" i="11"/>
  <c r="C6" i="11" s="1"/>
  <c r="E7" i="11"/>
  <c r="C7" i="11" s="1"/>
  <c r="E8" i="11"/>
  <c r="C8" i="11" s="1"/>
  <c r="E9" i="11"/>
  <c r="C9" i="11" s="1"/>
  <c r="E10" i="11"/>
  <c r="C10" i="11" s="1"/>
  <c r="E11" i="11"/>
  <c r="C11" i="11" s="1"/>
  <c r="E12" i="11"/>
  <c r="C12" i="11" s="1"/>
  <c r="E13" i="11"/>
  <c r="C13" i="11" s="1"/>
  <c r="E14" i="11"/>
  <c r="C14" i="11" s="1"/>
  <c r="E15" i="11"/>
  <c r="C15" i="11" s="1"/>
  <c r="E16" i="11"/>
  <c r="C16" i="11" s="1"/>
  <c r="E17" i="11"/>
  <c r="C17" i="11" s="1"/>
  <c r="E18" i="11"/>
  <c r="C18" i="11" s="1"/>
  <c r="E19" i="11"/>
  <c r="C19" i="11" s="1"/>
  <c r="E20" i="11"/>
  <c r="C20" i="11" s="1"/>
  <c r="E21" i="11"/>
  <c r="C21" i="11" s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I37" i="11"/>
  <c r="I39" i="11"/>
  <c r="I51" i="11"/>
  <c r="I63" i="11"/>
  <c r="I74" i="1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G74" i="11"/>
  <c r="G75" i="11" s="1"/>
  <c r="G63" i="11"/>
  <c r="G51" i="11"/>
  <c r="H51" i="11" s="1"/>
  <c r="G39" i="11"/>
  <c r="G37" i="1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C11" i="10"/>
  <c r="C12" i="10"/>
  <c r="C24" i="10"/>
  <c r="C35" i="10"/>
  <c r="B35" i="10" s="1"/>
  <c r="C36" i="10"/>
  <c r="B36" i="10" s="1"/>
  <c r="C47" i="10"/>
  <c r="B47" i="10" s="1"/>
  <c r="C48" i="10"/>
  <c r="B48" i="10" s="1"/>
  <c r="C59" i="10"/>
  <c r="B59" i="10" s="1"/>
  <c r="C60" i="10"/>
  <c r="B60" i="10" s="1"/>
  <c r="C71" i="10"/>
  <c r="B71" i="10" s="1"/>
  <c r="C72" i="10"/>
  <c r="B72" i="10" s="1"/>
  <c r="C83" i="10"/>
  <c r="B83" i="10" s="1"/>
  <c r="C84" i="10"/>
  <c r="B84" i="10" s="1"/>
  <c r="C95" i="10"/>
  <c r="B95" i="10" s="1"/>
  <c r="C96" i="10"/>
  <c r="B96" i="10" s="1"/>
  <c r="C107" i="10"/>
  <c r="B107" i="10" s="1"/>
  <c r="C108" i="10"/>
  <c r="B108" i="10" s="1"/>
  <c r="C119" i="10"/>
  <c r="B119" i="10" s="1"/>
  <c r="C120" i="10"/>
  <c r="B120" i="10" s="1"/>
  <c r="C131" i="10"/>
  <c r="B131" i="10" s="1"/>
  <c r="C132" i="10"/>
  <c r="B132" i="10" s="1"/>
  <c r="C143" i="10"/>
  <c r="B143" i="10" s="1"/>
  <c r="C144" i="10"/>
  <c r="B144" i="10" s="1"/>
  <c r="C155" i="10"/>
  <c r="B155" i="10" s="1"/>
  <c r="C156" i="10"/>
  <c r="B156" i="10" s="1"/>
  <c r="C167" i="10"/>
  <c r="B167" i="10" s="1"/>
  <c r="C168" i="10"/>
  <c r="B168" i="10" s="1"/>
  <c r="C179" i="10"/>
  <c r="B179" i="10" s="1"/>
  <c r="C180" i="10"/>
  <c r="B180" i="10" s="1"/>
  <c r="C191" i="10"/>
  <c r="B191" i="10" s="1"/>
  <c r="C192" i="10"/>
  <c r="B192" i="10" s="1"/>
  <c r="C203" i="10"/>
  <c r="B203" i="10" s="1"/>
  <c r="C204" i="10"/>
  <c r="B204" i="10" s="1"/>
  <c r="C215" i="10"/>
  <c r="B215" i="10" s="1"/>
  <c r="C216" i="10"/>
  <c r="B216" i="10" s="1"/>
  <c r="C227" i="10"/>
  <c r="B227" i="10" s="1"/>
  <c r="C228" i="10"/>
  <c r="B228" i="10" s="1"/>
  <c r="C239" i="10"/>
  <c r="B239" i="10" s="1"/>
  <c r="C240" i="10"/>
  <c r="B240" i="10" s="1"/>
  <c r="C251" i="10"/>
  <c r="B251" i="10" s="1"/>
  <c r="C252" i="10"/>
  <c r="B252" i="10" s="1"/>
  <c r="C263" i="10"/>
  <c r="B263" i="10" s="1"/>
  <c r="C264" i="10"/>
  <c r="B264" i="10" s="1"/>
  <c r="C275" i="10"/>
  <c r="B275" i="10" s="1"/>
  <c r="C276" i="10"/>
  <c r="B276" i="10" s="1"/>
  <c r="C287" i="10"/>
  <c r="B287" i="10" s="1"/>
  <c r="C288" i="10"/>
  <c r="B288" i="10" s="1"/>
  <c r="C299" i="10"/>
  <c r="B299" i="10" s="1"/>
  <c r="C300" i="10"/>
  <c r="B300" i="10" s="1"/>
  <c r="C311" i="10"/>
  <c r="B311" i="10" s="1"/>
  <c r="C312" i="10"/>
  <c r="B312" i="10" s="1"/>
  <c r="C323" i="10"/>
  <c r="B323" i="10" s="1"/>
  <c r="C324" i="10"/>
  <c r="B324" i="10" s="1"/>
  <c r="C335" i="10"/>
  <c r="B335" i="10" s="1"/>
  <c r="C336" i="10"/>
  <c r="B336" i="10" s="1"/>
  <c r="C347" i="10"/>
  <c r="B347" i="10" s="1"/>
  <c r="C348" i="10"/>
  <c r="B348" i="10" s="1"/>
  <c r="C359" i="10"/>
  <c r="B359" i="10" s="1"/>
  <c r="C360" i="10"/>
  <c r="B360" i="10" s="1"/>
  <c r="C371" i="10"/>
  <c r="B371" i="10" s="1"/>
  <c r="C372" i="10"/>
  <c r="B372" i="10" s="1"/>
  <c r="C383" i="10"/>
  <c r="B383" i="10" s="1"/>
  <c r="C384" i="10"/>
  <c r="B384" i="10" s="1"/>
  <c r="C395" i="10"/>
  <c r="B395" i="10" s="1"/>
  <c r="C396" i="10"/>
  <c r="B396" i="10" s="1"/>
  <c r="C407" i="10"/>
  <c r="B407" i="10" s="1"/>
  <c r="C408" i="10"/>
  <c r="B408" i="10" s="1"/>
  <c r="C419" i="10"/>
  <c r="B419" i="10" s="1"/>
  <c r="C420" i="10"/>
  <c r="B420" i="10" s="1"/>
  <c r="C431" i="10"/>
  <c r="B431" i="10" s="1"/>
  <c r="C432" i="10"/>
  <c r="B432" i="10" s="1"/>
  <c r="C443" i="10"/>
  <c r="B443" i="10" s="1"/>
  <c r="C444" i="10"/>
  <c r="B444" i="10" s="1"/>
  <c r="C455" i="10"/>
  <c r="B455" i="10" s="1"/>
  <c r="C456" i="10"/>
  <c r="B456" i="10" s="1"/>
  <c r="C467" i="10"/>
  <c r="B467" i="10" s="1"/>
  <c r="C468" i="10"/>
  <c r="B468" i="10" s="1"/>
  <c r="C479" i="10"/>
  <c r="B479" i="10" s="1"/>
  <c r="C480" i="10"/>
  <c r="B480" i="10" s="1"/>
  <c r="C491" i="10"/>
  <c r="B491" i="10" s="1"/>
  <c r="C492" i="10"/>
  <c r="B492" i="10" s="1"/>
  <c r="C503" i="10"/>
  <c r="B503" i="10" s="1"/>
  <c r="C504" i="10"/>
  <c r="B504" i="10" s="1"/>
  <c r="C515" i="10"/>
  <c r="B515" i="10" s="1"/>
  <c r="C516" i="10"/>
  <c r="B516" i="10" s="1"/>
  <c r="C527" i="10"/>
  <c r="B527" i="10" s="1"/>
  <c r="C528" i="10"/>
  <c r="B528" i="10" s="1"/>
  <c r="C539" i="10"/>
  <c r="B539" i="10" s="1"/>
  <c r="C540" i="10"/>
  <c r="B540" i="10" s="1"/>
  <c r="C551" i="10"/>
  <c r="B551" i="10" s="1"/>
  <c r="C552" i="10"/>
  <c r="B552" i="10" s="1"/>
  <c r="C563" i="10"/>
  <c r="B563" i="10" s="1"/>
  <c r="C564" i="10"/>
  <c r="B564" i="10" s="1"/>
  <c r="C575" i="10"/>
  <c r="B575" i="10" s="1"/>
  <c r="C576" i="10"/>
  <c r="B576" i="10" s="1"/>
  <c r="C587" i="10"/>
  <c r="B587" i="10" s="1"/>
  <c r="C588" i="10"/>
  <c r="B588" i="10" s="1"/>
  <c r="C599" i="10"/>
  <c r="B599" i="10" s="1"/>
  <c r="C600" i="10"/>
  <c r="B600" i="10" s="1"/>
  <c r="C611" i="10"/>
  <c r="B611" i="10" s="1"/>
  <c r="C612" i="10"/>
  <c r="B612" i="10" s="1"/>
  <c r="C623" i="10"/>
  <c r="B623" i="10" s="1"/>
  <c r="C624" i="10"/>
  <c r="B624" i="10" s="1"/>
  <c r="C635" i="10"/>
  <c r="B635" i="10" s="1"/>
  <c r="C636" i="10"/>
  <c r="B636" i="10" s="1"/>
  <c r="C647" i="10"/>
  <c r="B647" i="10" s="1"/>
  <c r="C648" i="10"/>
  <c r="B648" i="10" s="1"/>
  <c r="C659" i="10"/>
  <c r="B659" i="10" s="1"/>
  <c r="C660" i="10"/>
  <c r="B660" i="10" s="1"/>
  <c r="C671" i="10"/>
  <c r="B671" i="10" s="1"/>
  <c r="C672" i="10"/>
  <c r="B672" i="10" s="1"/>
  <c r="C683" i="10"/>
  <c r="B683" i="10" s="1"/>
  <c r="C684" i="10"/>
  <c r="B684" i="10" s="1"/>
  <c r="C695" i="10"/>
  <c r="B695" i="10" s="1"/>
  <c r="C696" i="10"/>
  <c r="B696" i="10" s="1"/>
  <c r="C707" i="10"/>
  <c r="B707" i="10" s="1"/>
  <c r="C708" i="10"/>
  <c r="B708" i="10" s="1"/>
  <c r="C719" i="10"/>
  <c r="B719" i="10" s="1"/>
  <c r="C720" i="10"/>
  <c r="B720" i="10" s="1"/>
  <c r="C731" i="10"/>
  <c r="B731" i="10" s="1"/>
  <c r="C732" i="10"/>
  <c r="B732" i="10" s="1"/>
  <c r="C743" i="10"/>
  <c r="B743" i="10" s="1"/>
  <c r="C744" i="10"/>
  <c r="B744" i="10" s="1"/>
  <c r="C755" i="10"/>
  <c r="B755" i="10" s="1"/>
  <c r="C756" i="10"/>
  <c r="B756" i="10" s="1"/>
  <c r="C767" i="10"/>
  <c r="B767" i="10" s="1"/>
  <c r="C768" i="10"/>
  <c r="B768" i="10" s="1"/>
  <c r="C779" i="10"/>
  <c r="B779" i="10" s="1"/>
  <c r="C780" i="10"/>
  <c r="B780" i="10" s="1"/>
  <c r="C791" i="10"/>
  <c r="B791" i="10" s="1"/>
  <c r="C792" i="10"/>
  <c r="B792" i="10" s="1"/>
  <c r="C803" i="10"/>
  <c r="B803" i="10" s="1"/>
  <c r="C804" i="10"/>
  <c r="B804" i="10" s="1"/>
  <c r="C815" i="10"/>
  <c r="B815" i="10" s="1"/>
  <c r="C816" i="10"/>
  <c r="B816" i="10" s="1"/>
  <c r="C827" i="10"/>
  <c r="B827" i="10" s="1"/>
  <c r="C828" i="10"/>
  <c r="B828" i="10" s="1"/>
  <c r="C839" i="10"/>
  <c r="B839" i="10" s="1"/>
  <c r="C840" i="10"/>
  <c r="B840" i="10" s="1"/>
  <c r="C851" i="10"/>
  <c r="B851" i="10" s="1"/>
  <c r="C852" i="10"/>
  <c r="B852" i="10" s="1"/>
  <c r="C863" i="10"/>
  <c r="B863" i="10" s="1"/>
  <c r="C864" i="10"/>
  <c r="B864" i="10" s="1"/>
  <c r="C875" i="10"/>
  <c r="B875" i="10" s="1"/>
  <c r="C876" i="10"/>
  <c r="B876" i="10" s="1"/>
  <c r="C887" i="10"/>
  <c r="B887" i="10" s="1"/>
  <c r="C888" i="10"/>
  <c r="B888" i="10" s="1"/>
  <c r="C899" i="10"/>
  <c r="B899" i="10" s="1"/>
  <c r="C900" i="10"/>
  <c r="B900" i="10" s="1"/>
  <c r="C911" i="10"/>
  <c r="B911" i="10" s="1"/>
  <c r="C912" i="10"/>
  <c r="B912" i="10" s="1"/>
  <c r="C923" i="10"/>
  <c r="B923" i="10" s="1"/>
  <c r="C924" i="10"/>
  <c r="B924" i="10" s="1"/>
  <c r="C935" i="10"/>
  <c r="B935" i="10" s="1"/>
  <c r="C936" i="10"/>
  <c r="B936" i="10" s="1"/>
  <c r="C947" i="10"/>
  <c r="B947" i="10" s="1"/>
  <c r="C948" i="10"/>
  <c r="B948" i="10" s="1"/>
  <c r="C959" i="10"/>
  <c r="B959" i="10" s="1"/>
  <c r="C960" i="10"/>
  <c r="B960" i="10" s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M14" i="10"/>
  <c r="M26" i="10"/>
  <c r="M38" i="10"/>
  <c r="M50" i="10"/>
  <c r="M62" i="10"/>
  <c r="M74" i="10"/>
  <c r="M86" i="10"/>
  <c r="M98" i="10"/>
  <c r="M110" i="10"/>
  <c r="M122" i="10"/>
  <c r="M134" i="10"/>
  <c r="M146" i="10"/>
  <c r="L146" i="10" s="1"/>
  <c r="M158" i="10"/>
  <c r="L158" i="10" s="1"/>
  <c r="M170" i="10"/>
  <c r="L170" i="10" s="1"/>
  <c r="M182" i="10"/>
  <c r="L182" i="10" s="1"/>
  <c r="M194" i="10"/>
  <c r="L194" i="10" s="1"/>
  <c r="M206" i="10"/>
  <c r="L206" i="10" s="1"/>
  <c r="M218" i="10"/>
  <c r="L218" i="10" s="1"/>
  <c r="M230" i="10"/>
  <c r="L230" i="10" s="1"/>
  <c r="M242" i="10"/>
  <c r="L242" i="10" s="1"/>
  <c r="M254" i="10"/>
  <c r="L254" i="10" s="1"/>
  <c r="M266" i="10"/>
  <c r="L266" i="10" s="1"/>
  <c r="M278" i="10"/>
  <c r="L278" i="10" s="1"/>
  <c r="M290" i="10"/>
  <c r="L290" i="10" s="1"/>
  <c r="M302" i="10"/>
  <c r="L302" i="10" s="1"/>
  <c r="M314" i="10"/>
  <c r="L314" i="10" s="1"/>
  <c r="M326" i="10"/>
  <c r="L326" i="10" s="1"/>
  <c r="M338" i="10"/>
  <c r="L338" i="10" s="1"/>
  <c r="M350" i="10"/>
  <c r="L350" i="10" s="1"/>
  <c r="M362" i="10"/>
  <c r="L362" i="10" s="1"/>
  <c r="M374" i="10"/>
  <c r="L374" i="10" s="1"/>
  <c r="M386" i="10"/>
  <c r="L386" i="10" s="1"/>
  <c r="M398" i="10"/>
  <c r="L398" i="10" s="1"/>
  <c r="M410" i="10"/>
  <c r="L410" i="10" s="1"/>
  <c r="M422" i="10"/>
  <c r="L422" i="10" s="1"/>
  <c r="M434" i="10"/>
  <c r="L434" i="10" s="1"/>
  <c r="M446" i="10"/>
  <c r="L446" i="10" s="1"/>
  <c r="M458" i="10"/>
  <c r="L458" i="10" s="1"/>
  <c r="M470" i="10"/>
  <c r="L470" i="10" s="1"/>
  <c r="M482" i="10"/>
  <c r="L482" i="10" s="1"/>
  <c r="M494" i="10"/>
  <c r="L494" i="10" s="1"/>
  <c r="M506" i="10"/>
  <c r="L506" i="10" s="1"/>
  <c r="M518" i="10"/>
  <c r="L518" i="10" s="1"/>
  <c r="M530" i="10"/>
  <c r="L530" i="10" s="1"/>
  <c r="M542" i="10"/>
  <c r="L542" i="10" s="1"/>
  <c r="M554" i="10"/>
  <c r="L554" i="10" s="1"/>
  <c r="M566" i="10"/>
  <c r="L566" i="10" s="1"/>
  <c r="M578" i="10"/>
  <c r="L578" i="10" s="1"/>
  <c r="M590" i="10"/>
  <c r="L590" i="10" s="1"/>
  <c r="M602" i="10"/>
  <c r="L602" i="10" s="1"/>
  <c r="M614" i="10"/>
  <c r="L614" i="10" s="1"/>
  <c r="M626" i="10"/>
  <c r="L626" i="10" s="1"/>
  <c r="M638" i="10"/>
  <c r="L638" i="10" s="1"/>
  <c r="M650" i="10"/>
  <c r="L650" i="10" s="1"/>
  <c r="M662" i="10"/>
  <c r="L662" i="10" s="1"/>
  <c r="M674" i="10"/>
  <c r="L674" i="10" s="1"/>
  <c r="M686" i="10"/>
  <c r="L686" i="10" s="1"/>
  <c r="M698" i="10"/>
  <c r="L698" i="10" s="1"/>
  <c r="M710" i="10"/>
  <c r="L710" i="10" s="1"/>
  <c r="M722" i="10"/>
  <c r="L722" i="10" s="1"/>
  <c r="M734" i="10"/>
  <c r="L734" i="10" s="1"/>
  <c r="M746" i="10"/>
  <c r="L746" i="10" s="1"/>
  <c r="M758" i="10"/>
  <c r="L758" i="10" s="1"/>
  <c r="M770" i="10"/>
  <c r="L770" i="10" s="1"/>
  <c r="M782" i="10"/>
  <c r="L782" i="10" s="1"/>
  <c r="M794" i="10"/>
  <c r="L794" i="10" s="1"/>
  <c r="M806" i="10"/>
  <c r="L806" i="10" s="1"/>
  <c r="M818" i="10"/>
  <c r="L818" i="10" s="1"/>
  <c r="M830" i="10"/>
  <c r="L830" i="10" s="1"/>
  <c r="M842" i="10"/>
  <c r="L842" i="10" s="1"/>
  <c r="M854" i="10"/>
  <c r="L854" i="10" s="1"/>
  <c r="M866" i="10"/>
  <c r="L866" i="10" s="1"/>
  <c r="M878" i="10"/>
  <c r="L878" i="10" s="1"/>
  <c r="M890" i="10"/>
  <c r="L890" i="10" s="1"/>
  <c r="M902" i="10"/>
  <c r="L902" i="10" s="1"/>
  <c r="M914" i="10"/>
  <c r="L914" i="10" s="1"/>
  <c r="M926" i="10"/>
  <c r="L926" i="10" s="1"/>
  <c r="M938" i="10"/>
  <c r="L938" i="10" s="1"/>
  <c r="M13" i="10"/>
  <c r="M25" i="10"/>
  <c r="M37" i="10"/>
  <c r="M49" i="10"/>
  <c r="M61" i="10"/>
  <c r="M73" i="10"/>
  <c r="M85" i="10"/>
  <c r="M97" i="10"/>
  <c r="M109" i="10"/>
  <c r="M121" i="10"/>
  <c r="M133" i="10"/>
  <c r="M145" i="10"/>
  <c r="L145" i="10" s="1"/>
  <c r="M157" i="10"/>
  <c r="L157" i="10" s="1"/>
  <c r="M169" i="10"/>
  <c r="L169" i="10" s="1"/>
  <c r="M181" i="10"/>
  <c r="L181" i="10" s="1"/>
  <c r="M193" i="10"/>
  <c r="L193" i="10" s="1"/>
  <c r="M205" i="10"/>
  <c r="L205" i="10" s="1"/>
  <c r="M217" i="10"/>
  <c r="L217" i="10" s="1"/>
  <c r="M229" i="10"/>
  <c r="L229" i="10" s="1"/>
  <c r="M241" i="10"/>
  <c r="L241" i="10" s="1"/>
  <c r="M253" i="10"/>
  <c r="L253" i="10" s="1"/>
  <c r="M265" i="10"/>
  <c r="L265" i="10" s="1"/>
  <c r="M277" i="10"/>
  <c r="L277" i="10" s="1"/>
  <c r="M289" i="10"/>
  <c r="L289" i="10" s="1"/>
  <c r="M301" i="10"/>
  <c r="L301" i="10" s="1"/>
  <c r="M313" i="10"/>
  <c r="L313" i="10" s="1"/>
  <c r="M325" i="10"/>
  <c r="L325" i="10" s="1"/>
  <c r="M337" i="10"/>
  <c r="L337" i="10" s="1"/>
  <c r="M349" i="10"/>
  <c r="L349" i="10" s="1"/>
  <c r="M361" i="10"/>
  <c r="L361" i="10" s="1"/>
  <c r="M373" i="10"/>
  <c r="L373" i="10" s="1"/>
  <c r="M385" i="10"/>
  <c r="L385" i="10" s="1"/>
  <c r="M397" i="10"/>
  <c r="L397" i="10" s="1"/>
  <c r="M409" i="10"/>
  <c r="L409" i="10" s="1"/>
  <c r="M421" i="10"/>
  <c r="L421" i="10" s="1"/>
  <c r="M433" i="10"/>
  <c r="L433" i="10" s="1"/>
  <c r="M445" i="10"/>
  <c r="L445" i="10" s="1"/>
  <c r="M457" i="10"/>
  <c r="L457" i="10" s="1"/>
  <c r="M469" i="10"/>
  <c r="L469" i="10" s="1"/>
  <c r="M481" i="10"/>
  <c r="L481" i="10" s="1"/>
  <c r="M493" i="10"/>
  <c r="L493" i="10" s="1"/>
  <c r="M505" i="10"/>
  <c r="L505" i="10" s="1"/>
  <c r="M517" i="10"/>
  <c r="L517" i="10" s="1"/>
  <c r="M529" i="10"/>
  <c r="L529" i="10" s="1"/>
  <c r="M541" i="10"/>
  <c r="L541" i="10" s="1"/>
  <c r="M553" i="10"/>
  <c r="L553" i="10" s="1"/>
  <c r="M565" i="10"/>
  <c r="L565" i="10" s="1"/>
  <c r="M577" i="10"/>
  <c r="L577" i="10" s="1"/>
  <c r="M589" i="10"/>
  <c r="L589" i="10" s="1"/>
  <c r="M601" i="10"/>
  <c r="L601" i="10" s="1"/>
  <c r="M613" i="10"/>
  <c r="L613" i="10" s="1"/>
  <c r="M625" i="10"/>
  <c r="L625" i="10" s="1"/>
  <c r="M637" i="10"/>
  <c r="L637" i="10" s="1"/>
  <c r="M649" i="10"/>
  <c r="L649" i="10" s="1"/>
  <c r="M661" i="10"/>
  <c r="L661" i="10" s="1"/>
  <c r="M673" i="10"/>
  <c r="L673" i="10" s="1"/>
  <c r="M685" i="10"/>
  <c r="L685" i="10" s="1"/>
  <c r="M697" i="10"/>
  <c r="L697" i="10" s="1"/>
  <c r="M709" i="10"/>
  <c r="L709" i="10" s="1"/>
  <c r="M721" i="10"/>
  <c r="L721" i="10" s="1"/>
  <c r="M733" i="10"/>
  <c r="L733" i="10" s="1"/>
  <c r="M745" i="10"/>
  <c r="L745" i="10" s="1"/>
  <c r="M757" i="10"/>
  <c r="L757" i="10" s="1"/>
  <c r="M769" i="10"/>
  <c r="L769" i="10" s="1"/>
  <c r="M781" i="10"/>
  <c r="L781" i="10" s="1"/>
  <c r="M793" i="10"/>
  <c r="L793" i="10" s="1"/>
  <c r="M805" i="10"/>
  <c r="L805" i="10" s="1"/>
  <c r="M817" i="10"/>
  <c r="L817" i="10" s="1"/>
  <c r="M829" i="10"/>
  <c r="L829" i="10" s="1"/>
  <c r="M841" i="10"/>
  <c r="L841" i="10" s="1"/>
  <c r="M853" i="10"/>
  <c r="L853" i="10" s="1"/>
  <c r="M865" i="10"/>
  <c r="L865" i="10" s="1"/>
  <c r="M877" i="10"/>
  <c r="L877" i="10" s="1"/>
  <c r="M889" i="10"/>
  <c r="L889" i="10" s="1"/>
  <c r="M901" i="10"/>
  <c r="L901" i="10" s="1"/>
  <c r="M913" i="10"/>
  <c r="L913" i="10" s="1"/>
  <c r="M925" i="10"/>
  <c r="L925" i="10" s="1"/>
  <c r="M937" i="10"/>
  <c r="L937" i="10" s="1"/>
  <c r="I962" i="10"/>
  <c r="I963" i="10" s="1"/>
  <c r="I953" i="10"/>
  <c r="I954" i="10" s="1"/>
  <c r="I955" i="10" s="1"/>
  <c r="I956" i="10" s="1"/>
  <c r="I957" i="10" s="1"/>
  <c r="I958" i="10" s="1"/>
  <c r="I959" i="10" s="1"/>
  <c r="I946" i="10"/>
  <c r="I947" i="10" s="1"/>
  <c r="I948" i="10" s="1"/>
  <c r="I949" i="10" s="1"/>
  <c r="I950" i="10" s="1"/>
  <c r="I951" i="10" s="1"/>
  <c r="I941" i="10"/>
  <c r="I942" i="10" s="1"/>
  <c r="I943" i="10" s="1"/>
  <c r="I939" i="10"/>
  <c r="I932" i="10"/>
  <c r="I933" i="10" s="1"/>
  <c r="I934" i="10" s="1"/>
  <c r="I935" i="10" s="1"/>
  <c r="I936" i="10" s="1"/>
  <c r="I937" i="10" s="1"/>
  <c r="I929" i="10"/>
  <c r="I930" i="10" s="1"/>
  <c r="I921" i="10"/>
  <c r="I922" i="10" s="1"/>
  <c r="I923" i="10" s="1"/>
  <c r="I924" i="10" s="1"/>
  <c r="I925" i="10" s="1"/>
  <c r="I926" i="10" s="1"/>
  <c r="I927" i="10" s="1"/>
  <c r="I918" i="10"/>
  <c r="I919" i="10" s="1"/>
  <c r="I913" i="10"/>
  <c r="I914" i="10" s="1"/>
  <c r="I915" i="10" s="1"/>
  <c r="I916" i="10" s="1"/>
  <c r="I906" i="10"/>
  <c r="I907" i="10" s="1"/>
  <c r="I908" i="10" s="1"/>
  <c r="I909" i="10" s="1"/>
  <c r="I910" i="10" s="1"/>
  <c r="I893" i="10"/>
  <c r="I894" i="10" s="1"/>
  <c r="I895" i="10" s="1"/>
  <c r="I896" i="10" s="1"/>
  <c r="I897" i="10" s="1"/>
  <c r="I898" i="10" s="1"/>
  <c r="I899" i="10" s="1"/>
  <c r="I900" i="10" s="1"/>
  <c r="I901" i="10" s="1"/>
  <c r="I902" i="10" s="1"/>
  <c r="I903" i="10" s="1"/>
  <c r="I891" i="10"/>
  <c r="I889" i="10"/>
  <c r="I879" i="10"/>
  <c r="I880" i="10" s="1"/>
  <c r="I881" i="10" s="1"/>
  <c r="I882" i="10" s="1"/>
  <c r="I883" i="10" s="1"/>
  <c r="I884" i="10" s="1"/>
  <c r="I885" i="10" s="1"/>
  <c r="I886" i="10" s="1"/>
  <c r="I887" i="10" s="1"/>
  <c r="I874" i="10"/>
  <c r="I875" i="10" s="1"/>
  <c r="I876" i="10" s="1"/>
  <c r="I877" i="10" s="1"/>
  <c r="I870" i="10"/>
  <c r="I871" i="10" s="1"/>
  <c r="I872" i="10" s="1"/>
  <c r="I863" i="10"/>
  <c r="I864" i="10" s="1"/>
  <c r="I865" i="10" s="1"/>
  <c r="I866" i="10" s="1"/>
  <c r="I867" i="10" s="1"/>
  <c r="I868" i="10" s="1"/>
  <c r="I861" i="10"/>
  <c r="I857" i="10"/>
  <c r="I858" i="10" s="1"/>
  <c r="I859" i="10" s="1"/>
  <c r="I856" i="10"/>
  <c r="I852" i="10"/>
  <c r="I853" i="10" s="1"/>
  <c r="I854" i="10" s="1"/>
  <c r="I844" i="10"/>
  <c r="I845" i="10" s="1"/>
  <c r="I846" i="10" s="1"/>
  <c r="I847" i="10" s="1"/>
  <c r="I848" i="10" s="1"/>
  <c r="I849" i="10" s="1"/>
  <c r="I850" i="10" s="1"/>
  <c r="I836" i="10"/>
  <c r="I837" i="10" s="1"/>
  <c r="I838" i="10" s="1"/>
  <c r="I839" i="10" s="1"/>
  <c r="I840" i="10" s="1"/>
  <c r="I841" i="10" s="1"/>
  <c r="I842" i="10" s="1"/>
  <c r="I830" i="10"/>
  <c r="I831" i="10" s="1"/>
  <c r="I828" i="10"/>
  <c r="I820" i="10"/>
  <c r="I821" i="10" s="1"/>
  <c r="I822" i="10" s="1"/>
  <c r="I823" i="10" s="1"/>
  <c r="I824" i="10" s="1"/>
  <c r="I825" i="10" s="1"/>
  <c r="I826" i="10" s="1"/>
  <c r="I812" i="10"/>
  <c r="I813" i="10" s="1"/>
  <c r="I814" i="10" s="1"/>
  <c r="I815" i="10" s="1"/>
  <c r="I816" i="10" s="1"/>
  <c r="I817" i="10" s="1"/>
  <c r="I818" i="10" s="1"/>
  <c r="I796" i="10"/>
  <c r="I797" i="10" s="1"/>
  <c r="I798" i="10" s="1"/>
  <c r="I799" i="10" s="1"/>
  <c r="I800" i="10" s="1"/>
  <c r="I801" i="10" s="1"/>
  <c r="I802" i="10" s="1"/>
  <c r="I803" i="10" s="1"/>
  <c r="I804" i="10" s="1"/>
  <c r="I805" i="10" s="1"/>
  <c r="I806" i="10" s="1"/>
  <c r="I807" i="10" s="1"/>
  <c r="I808" i="10" s="1"/>
  <c r="I809" i="10" s="1"/>
  <c r="I810" i="10" s="1"/>
  <c r="I791" i="10"/>
  <c r="I792" i="10" s="1"/>
  <c r="I787" i="10"/>
  <c r="I788" i="10" s="1"/>
  <c r="I789" i="10" s="1"/>
  <c r="I767" i="10"/>
  <c r="I768" i="10" s="1"/>
  <c r="I769" i="10" s="1"/>
  <c r="I770" i="10" s="1"/>
  <c r="I771" i="10" s="1"/>
  <c r="I772" i="10" s="1"/>
  <c r="I773" i="10" s="1"/>
  <c r="I774" i="10" s="1"/>
  <c r="I775" i="10" s="1"/>
  <c r="I776" i="10" s="1"/>
  <c r="I777" i="10" s="1"/>
  <c r="I778" i="10" s="1"/>
  <c r="I779" i="10" s="1"/>
  <c r="I780" i="10" s="1"/>
  <c r="I781" i="10" s="1"/>
  <c r="I782" i="10" s="1"/>
  <c r="I783" i="10" s="1"/>
  <c r="I784" i="10" s="1"/>
  <c r="I766" i="10"/>
  <c r="I753" i="10"/>
  <c r="I754" i="10" s="1"/>
  <c r="I755" i="10" s="1"/>
  <c r="I756" i="10" s="1"/>
  <c r="I757" i="10" s="1"/>
  <c r="I758" i="10" s="1"/>
  <c r="I759" i="10" s="1"/>
  <c r="I760" i="10" s="1"/>
  <c r="I761" i="10" s="1"/>
  <c r="I762" i="10" s="1"/>
  <c r="I763" i="10" s="1"/>
  <c r="I764" i="10" s="1"/>
  <c r="I741" i="10"/>
  <c r="I742" i="10" s="1"/>
  <c r="I743" i="10" s="1"/>
  <c r="I744" i="10" s="1"/>
  <c r="I745" i="10" s="1"/>
  <c r="I746" i="10" s="1"/>
  <c r="I747" i="10" s="1"/>
  <c r="I748" i="10" s="1"/>
  <c r="I749" i="10" s="1"/>
  <c r="I750" i="10" s="1"/>
  <c r="I751" i="10" s="1"/>
  <c r="I740" i="10"/>
  <c r="I729" i="10"/>
  <c r="I730" i="10" s="1"/>
  <c r="I731" i="10" s="1"/>
  <c r="I732" i="10" s="1"/>
  <c r="I733" i="10" s="1"/>
  <c r="I734" i="10" s="1"/>
  <c r="I735" i="10" s="1"/>
  <c r="I736" i="10" s="1"/>
  <c r="I737" i="10" s="1"/>
  <c r="I738" i="10" s="1"/>
  <c r="I727" i="10"/>
  <c r="I721" i="10"/>
  <c r="I722" i="10" s="1"/>
  <c r="I716" i="10"/>
  <c r="I710" i="10"/>
  <c r="I704" i="10"/>
  <c r="I690" i="10"/>
  <c r="I684" i="10"/>
  <c r="I677" i="10"/>
  <c r="I675" i="10"/>
  <c r="I673" i="10"/>
  <c r="I672" i="10"/>
  <c r="I669" i="10"/>
  <c r="I652" i="10"/>
  <c r="I645" i="10"/>
  <c r="I634" i="10"/>
  <c r="I635" i="10" s="1"/>
  <c r="I630" i="10"/>
  <c r="I627" i="10"/>
  <c r="I616" i="10"/>
  <c r="I617" i="10" s="1"/>
  <c r="I613" i="10"/>
  <c r="I611" i="10"/>
  <c r="I603" i="10"/>
  <c r="I599" i="10"/>
  <c r="I598" i="10"/>
  <c r="I594" i="10"/>
  <c r="I595" i="10" s="1"/>
  <c r="I590" i="10"/>
  <c r="I591" i="10" s="1"/>
  <c r="I592" i="10" s="1"/>
  <c r="I588" i="10"/>
  <c r="I585" i="10"/>
  <c r="I583" i="10"/>
  <c r="I579" i="10"/>
  <c r="I577" i="10"/>
  <c r="I575" i="10"/>
  <c r="I572" i="10"/>
  <c r="I564" i="10"/>
  <c r="I551" i="10"/>
  <c r="I548" i="10"/>
  <c r="I544" i="10"/>
  <c r="I545" i="10" s="1"/>
  <c r="I533" i="10"/>
  <c r="I514" i="10"/>
  <c r="I511" i="10"/>
  <c r="I506" i="10"/>
  <c r="I504" i="10"/>
  <c r="I499" i="10"/>
  <c r="I497" i="10"/>
  <c r="I495" i="10"/>
  <c r="I490" i="10"/>
  <c r="I485" i="10"/>
  <c r="I473" i="10"/>
  <c r="I468" i="10"/>
  <c r="I464" i="10"/>
  <c r="I462" i="10"/>
  <c r="I456" i="10"/>
  <c r="I457" i="10" s="1"/>
  <c r="I451" i="10"/>
  <c r="I447" i="10"/>
  <c r="I448" i="10" s="1"/>
  <c r="I445" i="10"/>
  <c r="I441" i="10"/>
  <c r="I439" i="10"/>
  <c r="I427" i="10"/>
  <c r="I422" i="10"/>
  <c r="I420" i="10"/>
  <c r="I418" i="10"/>
  <c r="I413" i="10"/>
  <c r="I409" i="10"/>
  <c r="I406" i="10"/>
  <c r="I400" i="10"/>
  <c r="I393" i="10"/>
  <c r="I394" i="10" s="1"/>
  <c r="I395" i="10" s="1"/>
  <c r="I391" i="10"/>
  <c r="I389" i="10"/>
  <c r="I384" i="10"/>
  <c r="I378" i="10"/>
  <c r="I379" i="10" s="1"/>
  <c r="I374" i="10"/>
  <c r="I371" i="10"/>
  <c r="I372" i="10" s="1"/>
  <c r="I366" i="10"/>
  <c r="I367" i="10" s="1"/>
  <c r="I368" i="10" s="1"/>
  <c r="I369" i="10" s="1"/>
  <c r="I363" i="10"/>
  <c r="I352" i="10"/>
  <c r="I344" i="10"/>
  <c r="I345" i="10" s="1"/>
  <c r="I332" i="10"/>
  <c r="I329" i="10"/>
  <c r="I327" i="10"/>
  <c r="I326" i="10"/>
  <c r="I324" i="10"/>
  <c r="I314" i="10"/>
  <c r="I315" i="10" s="1"/>
  <c r="I316" i="10" s="1"/>
  <c r="I304" i="10"/>
  <c r="I298" i="10"/>
  <c r="I289" i="10"/>
  <c r="I290" i="10" s="1"/>
  <c r="I286" i="10"/>
  <c r="I280" i="10"/>
  <c r="I281" i="10" s="1"/>
  <c r="I269" i="10"/>
  <c r="I270" i="10" s="1"/>
  <c r="I271" i="10" s="1"/>
  <c r="I272" i="10" s="1"/>
  <c r="I273" i="10" s="1"/>
  <c r="I274" i="10" s="1"/>
  <c r="I275" i="10" s="1"/>
  <c r="I265" i="10"/>
  <c r="I258" i="10"/>
  <c r="I256" i="10"/>
  <c r="I253" i="10"/>
  <c r="I249" i="10"/>
  <c r="I242" i="10"/>
  <c r="I241" i="10"/>
  <c r="I238" i="10"/>
  <c r="I233" i="10"/>
  <c r="I230" i="10"/>
  <c r="I221" i="10"/>
  <c r="I219" i="10"/>
  <c r="I213" i="10"/>
  <c r="I214" i="10" s="1"/>
  <c r="I209" i="10"/>
  <c r="I204" i="10"/>
  <c r="I200" i="10"/>
  <c r="I195" i="10"/>
  <c r="I187" i="10"/>
  <c r="I178" i="10"/>
  <c r="I176" i="10"/>
  <c r="I172" i="10"/>
  <c r="I169" i="10"/>
  <c r="I165" i="10"/>
  <c r="I166" i="10" s="1"/>
  <c r="I162" i="10"/>
  <c r="I157" i="10"/>
  <c r="I85" i="10"/>
  <c r="I57" i="10"/>
  <c r="I55" i="10"/>
  <c r="I2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6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8" i="10"/>
  <c r="H159" i="10"/>
  <c r="H160" i="10"/>
  <c r="H161" i="10"/>
  <c r="H163" i="10"/>
  <c r="H164" i="10"/>
  <c r="H167" i="10"/>
  <c r="H168" i="10"/>
  <c r="H170" i="10"/>
  <c r="H171" i="10"/>
  <c r="H173" i="10"/>
  <c r="H174" i="10"/>
  <c r="H175" i="10"/>
  <c r="H177" i="10"/>
  <c r="H179" i="10"/>
  <c r="H180" i="10"/>
  <c r="H181" i="10"/>
  <c r="H182" i="10"/>
  <c r="H183" i="10"/>
  <c r="H184" i="10"/>
  <c r="H185" i="10"/>
  <c r="H186" i="10"/>
  <c r="H188" i="10"/>
  <c r="H189" i="10"/>
  <c r="H190" i="10"/>
  <c r="H191" i="10"/>
  <c r="H192" i="10"/>
  <c r="H193" i="10"/>
  <c r="H194" i="10"/>
  <c r="H196" i="10"/>
  <c r="H197" i="10"/>
  <c r="H198" i="10"/>
  <c r="H199" i="10"/>
  <c r="H201" i="10"/>
  <c r="H202" i="10"/>
  <c r="H203" i="10"/>
  <c r="H205" i="10"/>
  <c r="H206" i="10"/>
  <c r="H207" i="10"/>
  <c r="H208" i="10"/>
  <c r="H210" i="10"/>
  <c r="H211" i="10"/>
  <c r="H212" i="10"/>
  <c r="H215" i="10"/>
  <c r="H216" i="10"/>
  <c r="H217" i="10"/>
  <c r="H218" i="10"/>
  <c r="H220" i="10"/>
  <c r="H222" i="10"/>
  <c r="H223" i="10"/>
  <c r="H224" i="10"/>
  <c r="H225" i="10"/>
  <c r="H226" i="10"/>
  <c r="H227" i="10"/>
  <c r="H228" i="10"/>
  <c r="H229" i="10"/>
  <c r="H231" i="10"/>
  <c r="H232" i="10"/>
  <c r="H234" i="10"/>
  <c r="H235" i="10"/>
  <c r="H236" i="10"/>
  <c r="H237" i="10"/>
  <c r="H239" i="10"/>
  <c r="H240" i="10"/>
  <c r="H243" i="10"/>
  <c r="H244" i="10"/>
  <c r="H245" i="10"/>
  <c r="H246" i="10"/>
  <c r="H247" i="10"/>
  <c r="H248" i="10"/>
  <c r="H250" i="10"/>
  <c r="H251" i="10"/>
  <c r="H252" i="10"/>
  <c r="H254" i="10"/>
  <c r="H255" i="10"/>
  <c r="H257" i="10"/>
  <c r="H259" i="10"/>
  <c r="H260" i="10"/>
  <c r="H261" i="10"/>
  <c r="H262" i="10"/>
  <c r="H263" i="10"/>
  <c r="H264" i="10"/>
  <c r="H266" i="10"/>
  <c r="H267" i="10"/>
  <c r="H268" i="10"/>
  <c r="H276" i="10"/>
  <c r="H277" i="10"/>
  <c r="H278" i="10"/>
  <c r="H279" i="10"/>
  <c r="H282" i="10"/>
  <c r="H283" i="10"/>
  <c r="H284" i="10"/>
  <c r="H285" i="10"/>
  <c r="H287" i="10"/>
  <c r="H288" i="10"/>
  <c r="H291" i="10"/>
  <c r="H292" i="10"/>
  <c r="H293" i="10"/>
  <c r="H294" i="10"/>
  <c r="H295" i="10"/>
  <c r="H296" i="10"/>
  <c r="H297" i="10"/>
  <c r="H299" i="10"/>
  <c r="H300" i="10"/>
  <c r="H301" i="10"/>
  <c r="H302" i="10"/>
  <c r="H303" i="10"/>
  <c r="H305" i="10"/>
  <c r="H306" i="10"/>
  <c r="H307" i="10"/>
  <c r="H308" i="10"/>
  <c r="H309" i="10"/>
  <c r="H310" i="10"/>
  <c r="H311" i="10"/>
  <c r="H312" i="10"/>
  <c r="H313" i="10"/>
  <c r="H317" i="10"/>
  <c r="H318" i="10"/>
  <c r="H319" i="10"/>
  <c r="H320" i="10"/>
  <c r="H321" i="10"/>
  <c r="H322" i="10"/>
  <c r="H323" i="10"/>
  <c r="H325" i="10"/>
  <c r="H328" i="10"/>
  <c r="H330" i="10"/>
  <c r="H331" i="10"/>
  <c r="H333" i="10"/>
  <c r="H334" i="10"/>
  <c r="H335" i="10"/>
  <c r="H336" i="10"/>
  <c r="H337" i="10"/>
  <c r="H338" i="10"/>
  <c r="H339" i="10"/>
  <c r="H340" i="10"/>
  <c r="H341" i="10"/>
  <c r="H342" i="10"/>
  <c r="H343" i="10"/>
  <c r="H346" i="10"/>
  <c r="H347" i="10"/>
  <c r="H348" i="10"/>
  <c r="H349" i="10"/>
  <c r="H350" i="10"/>
  <c r="H351" i="10"/>
  <c r="H353" i="10"/>
  <c r="H354" i="10"/>
  <c r="H355" i="10"/>
  <c r="H356" i="10"/>
  <c r="H357" i="10"/>
  <c r="H358" i="10"/>
  <c r="H359" i="10"/>
  <c r="H360" i="10"/>
  <c r="H361" i="10"/>
  <c r="H362" i="10"/>
  <c r="H364" i="10"/>
  <c r="H365" i="10"/>
  <c r="H370" i="10"/>
  <c r="H373" i="10"/>
  <c r="H375" i="10"/>
  <c r="H376" i="10"/>
  <c r="H377" i="10"/>
  <c r="H380" i="10"/>
  <c r="H381" i="10"/>
  <c r="H382" i="10"/>
  <c r="H383" i="10"/>
  <c r="H385" i="10"/>
  <c r="H386" i="10"/>
  <c r="H387" i="10"/>
  <c r="H388" i="10"/>
  <c r="H390" i="10"/>
  <c r="H392" i="10"/>
  <c r="H396" i="10"/>
  <c r="H397" i="10"/>
  <c r="H398" i="10"/>
  <c r="H399" i="10"/>
  <c r="H401" i="10"/>
  <c r="H402" i="10"/>
  <c r="H403" i="10"/>
  <c r="H404" i="10"/>
  <c r="H405" i="10"/>
  <c r="H407" i="10"/>
  <c r="H408" i="10"/>
  <c r="H410" i="10"/>
  <c r="H411" i="10"/>
  <c r="H412" i="10"/>
  <c r="H414" i="10"/>
  <c r="H415" i="10"/>
  <c r="H416" i="10"/>
  <c r="H417" i="10"/>
  <c r="H419" i="10"/>
  <c r="H421" i="10"/>
  <c r="H423" i="10"/>
  <c r="H424" i="10"/>
  <c r="H425" i="10"/>
  <c r="H426" i="10"/>
  <c r="H428" i="10"/>
  <c r="H429" i="10"/>
  <c r="H430" i="10"/>
  <c r="H431" i="10"/>
  <c r="H432" i="10"/>
  <c r="H433" i="10"/>
  <c r="H434" i="10"/>
  <c r="H435" i="10"/>
  <c r="H436" i="10"/>
  <c r="H437" i="10"/>
  <c r="H438" i="10"/>
  <c r="H440" i="10"/>
  <c r="H442" i="10"/>
  <c r="H443" i="10"/>
  <c r="H444" i="10"/>
  <c r="H446" i="10"/>
  <c r="H449" i="10"/>
  <c r="H450" i="10"/>
  <c r="H452" i="10"/>
  <c r="H453" i="10"/>
  <c r="H454" i="10"/>
  <c r="H455" i="10"/>
  <c r="H458" i="10"/>
  <c r="H459" i="10"/>
  <c r="H460" i="10"/>
  <c r="H461" i="10"/>
  <c r="H463" i="10"/>
  <c r="H465" i="10"/>
  <c r="H466" i="10"/>
  <c r="H467" i="10"/>
  <c r="H469" i="10"/>
  <c r="H470" i="10"/>
  <c r="H471" i="10"/>
  <c r="H472" i="10"/>
  <c r="H474" i="10"/>
  <c r="H475" i="10"/>
  <c r="H476" i="10"/>
  <c r="H477" i="10"/>
  <c r="H478" i="10"/>
  <c r="H479" i="10"/>
  <c r="H480" i="10"/>
  <c r="H481" i="10"/>
  <c r="H482" i="10"/>
  <c r="H483" i="10"/>
  <c r="H484" i="10"/>
  <c r="H486" i="10"/>
  <c r="H487" i="10"/>
  <c r="H488" i="10"/>
  <c r="H489" i="10"/>
  <c r="H491" i="10"/>
  <c r="H492" i="10"/>
  <c r="H493" i="10"/>
  <c r="H494" i="10"/>
  <c r="H496" i="10"/>
  <c r="H498" i="10"/>
  <c r="H500" i="10"/>
  <c r="H501" i="10"/>
  <c r="H502" i="10"/>
  <c r="H503" i="10"/>
  <c r="H505" i="10"/>
  <c r="H507" i="10"/>
  <c r="H508" i="10"/>
  <c r="H509" i="10"/>
  <c r="H510" i="10"/>
  <c r="H512" i="10"/>
  <c r="H513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4" i="10"/>
  <c r="H535" i="10"/>
  <c r="H536" i="10"/>
  <c r="H537" i="10"/>
  <c r="H538" i="10"/>
  <c r="H539" i="10"/>
  <c r="H540" i="10"/>
  <c r="H541" i="10"/>
  <c r="H542" i="10"/>
  <c r="H543" i="10"/>
  <c r="H546" i="10"/>
  <c r="H547" i="10"/>
  <c r="H549" i="10"/>
  <c r="H550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5" i="10"/>
  <c r="H566" i="10"/>
  <c r="H567" i="10"/>
  <c r="H568" i="10"/>
  <c r="H569" i="10"/>
  <c r="H570" i="10"/>
  <c r="H571" i="10"/>
  <c r="H573" i="10"/>
  <c r="H574" i="10"/>
  <c r="H576" i="10"/>
  <c r="H578" i="10"/>
  <c r="H580" i="10"/>
  <c r="H581" i="10"/>
  <c r="H582" i="10"/>
  <c r="H584" i="10"/>
  <c r="H586" i="10"/>
  <c r="H587" i="10"/>
  <c r="H589" i="10"/>
  <c r="H593" i="10"/>
  <c r="H596" i="10"/>
  <c r="H597" i="10"/>
  <c r="H600" i="10"/>
  <c r="H601" i="10"/>
  <c r="H602" i="10"/>
  <c r="H604" i="10"/>
  <c r="H605" i="10"/>
  <c r="H606" i="10"/>
  <c r="H607" i="10"/>
  <c r="H608" i="10"/>
  <c r="H609" i="10"/>
  <c r="H610" i="10"/>
  <c r="H612" i="10"/>
  <c r="H614" i="10"/>
  <c r="H615" i="10"/>
  <c r="H618" i="10"/>
  <c r="H619" i="10"/>
  <c r="H620" i="10"/>
  <c r="H621" i="10"/>
  <c r="H622" i="10"/>
  <c r="H623" i="10"/>
  <c r="H624" i="10"/>
  <c r="H625" i="10"/>
  <c r="H626" i="10"/>
  <c r="H628" i="10"/>
  <c r="H629" i="10"/>
  <c r="H631" i="10"/>
  <c r="H632" i="10"/>
  <c r="H633" i="10"/>
  <c r="H636" i="10"/>
  <c r="H637" i="10"/>
  <c r="H638" i="10"/>
  <c r="H639" i="10"/>
  <c r="H640" i="10"/>
  <c r="H641" i="10"/>
  <c r="H642" i="10"/>
  <c r="H643" i="10"/>
  <c r="H644" i="10"/>
  <c r="H646" i="10"/>
  <c r="H647" i="10"/>
  <c r="H648" i="10"/>
  <c r="H649" i="10"/>
  <c r="H650" i="10"/>
  <c r="H651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70" i="10"/>
  <c r="H671" i="10"/>
  <c r="H674" i="10"/>
  <c r="H676" i="10"/>
  <c r="H678" i="10"/>
  <c r="H679" i="10"/>
  <c r="H680" i="10"/>
  <c r="H681" i="10"/>
  <c r="H682" i="10"/>
  <c r="H683" i="10"/>
  <c r="H685" i="10"/>
  <c r="H686" i="10"/>
  <c r="H687" i="10"/>
  <c r="H688" i="10"/>
  <c r="H689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5" i="10"/>
  <c r="H706" i="10"/>
  <c r="H707" i="10"/>
  <c r="H708" i="10"/>
  <c r="H709" i="10"/>
  <c r="H711" i="10"/>
  <c r="H712" i="10"/>
  <c r="H713" i="10"/>
  <c r="H714" i="10"/>
  <c r="H715" i="10"/>
  <c r="H717" i="10"/>
  <c r="H718" i="10"/>
  <c r="H719" i="10"/>
  <c r="H720" i="10"/>
  <c r="H723" i="10"/>
  <c r="H724" i="10"/>
  <c r="H725" i="10"/>
  <c r="H726" i="10"/>
  <c r="H728" i="10"/>
  <c r="H739" i="10"/>
  <c r="H752" i="10"/>
  <c r="H765" i="10"/>
  <c r="H785" i="10"/>
  <c r="H786" i="10"/>
  <c r="H790" i="10"/>
  <c r="H793" i="10"/>
  <c r="H794" i="10"/>
  <c r="H795" i="10"/>
  <c r="H811" i="10"/>
  <c r="H819" i="10"/>
  <c r="H827" i="10"/>
  <c r="H829" i="10"/>
  <c r="H832" i="10"/>
  <c r="H833" i="10"/>
  <c r="H834" i="10"/>
  <c r="H835" i="10"/>
  <c r="H843" i="10"/>
  <c r="H851" i="10"/>
  <c r="H855" i="10"/>
  <c r="H860" i="10"/>
  <c r="H861" i="10"/>
  <c r="H862" i="10"/>
  <c r="H869" i="10"/>
  <c r="H873" i="10"/>
  <c r="H878" i="10"/>
  <c r="H888" i="10"/>
  <c r="H890" i="10"/>
  <c r="H892" i="10"/>
  <c r="H904" i="10"/>
  <c r="H905" i="10"/>
  <c r="H911" i="10"/>
  <c r="H912" i="10"/>
  <c r="H917" i="10"/>
  <c r="H920" i="10"/>
  <c r="H928" i="10"/>
  <c r="H931" i="10"/>
  <c r="H938" i="10"/>
  <c r="H940" i="10"/>
  <c r="H944" i="10"/>
  <c r="H945" i="10"/>
  <c r="H952" i="10"/>
  <c r="H960" i="10"/>
  <c r="H961" i="10"/>
  <c r="G962" i="10"/>
  <c r="G963" i="10" s="1"/>
  <c r="H963" i="10" s="1"/>
  <c r="G953" i="10"/>
  <c r="G954" i="10" s="1"/>
  <c r="H954" i="10" s="1"/>
  <c r="G946" i="10"/>
  <c r="G947" i="10" s="1"/>
  <c r="H947" i="10" s="1"/>
  <c r="G941" i="10"/>
  <c r="G942" i="10" s="1"/>
  <c r="H942" i="10" s="1"/>
  <c r="G939" i="10"/>
  <c r="H939" i="10" s="1"/>
  <c r="G932" i="10"/>
  <c r="G933" i="10" s="1"/>
  <c r="H933" i="10" s="1"/>
  <c r="G929" i="10"/>
  <c r="G930" i="10" s="1"/>
  <c r="H930" i="10" s="1"/>
  <c r="G921" i="10"/>
  <c r="G922" i="10" s="1"/>
  <c r="H922" i="10" s="1"/>
  <c r="G918" i="10"/>
  <c r="G919" i="10" s="1"/>
  <c r="H919" i="10" s="1"/>
  <c r="G913" i="10"/>
  <c r="G914" i="10" s="1"/>
  <c r="H914" i="10" s="1"/>
  <c r="G906" i="10"/>
  <c r="G907" i="10" s="1"/>
  <c r="H907" i="10" s="1"/>
  <c r="G893" i="10"/>
  <c r="H893" i="10" s="1"/>
  <c r="G891" i="10"/>
  <c r="H891" i="10" s="1"/>
  <c r="G889" i="10"/>
  <c r="H889" i="10" s="1"/>
  <c r="G879" i="10"/>
  <c r="G880" i="10" s="1"/>
  <c r="H880" i="10" s="1"/>
  <c r="G874" i="10"/>
  <c r="G875" i="10" s="1"/>
  <c r="H875" i="10" s="1"/>
  <c r="G870" i="10"/>
  <c r="G871" i="10" s="1"/>
  <c r="H871" i="10" s="1"/>
  <c r="G863" i="10"/>
  <c r="G864" i="10" s="1"/>
  <c r="H864" i="10" s="1"/>
  <c r="G861" i="10"/>
  <c r="G856" i="10"/>
  <c r="G857" i="10" s="1"/>
  <c r="H857" i="10" s="1"/>
  <c r="G852" i="10"/>
  <c r="G853" i="10" s="1"/>
  <c r="H853" i="10" s="1"/>
  <c r="G844" i="10"/>
  <c r="G845" i="10" s="1"/>
  <c r="H845" i="10" s="1"/>
  <c r="G836" i="10"/>
  <c r="G837" i="10" s="1"/>
  <c r="H837" i="10" s="1"/>
  <c r="G830" i="10"/>
  <c r="G831" i="10" s="1"/>
  <c r="H831" i="10" s="1"/>
  <c r="G828" i="10"/>
  <c r="H828" i="10" s="1"/>
  <c r="G820" i="10"/>
  <c r="G821" i="10" s="1"/>
  <c r="H821" i="10" s="1"/>
  <c r="G812" i="10"/>
  <c r="G813" i="10" s="1"/>
  <c r="H813" i="10" s="1"/>
  <c r="G796" i="10"/>
  <c r="G797" i="10" s="1"/>
  <c r="H797" i="10" s="1"/>
  <c r="G791" i="10"/>
  <c r="G792" i="10" s="1"/>
  <c r="H792" i="10" s="1"/>
  <c r="G787" i="10"/>
  <c r="G788" i="10" s="1"/>
  <c r="H788" i="10" s="1"/>
  <c r="G766" i="10"/>
  <c r="H766" i="10" s="1"/>
  <c r="G753" i="10"/>
  <c r="H753" i="10" s="1"/>
  <c r="G740" i="10"/>
  <c r="H740" i="10" s="1"/>
  <c r="G729" i="10"/>
  <c r="H729" i="10" s="1"/>
  <c r="G727" i="10"/>
  <c r="H727" i="10" s="1"/>
  <c r="G721" i="10"/>
  <c r="G722" i="10" s="1"/>
  <c r="H722" i="10" s="1"/>
  <c r="G716" i="10"/>
  <c r="H716" i="10" s="1"/>
  <c r="G710" i="10"/>
  <c r="H710" i="10" s="1"/>
  <c r="G704" i="10"/>
  <c r="H704" i="10" s="1"/>
  <c r="G690" i="10"/>
  <c r="H690" i="10" s="1"/>
  <c r="G684" i="10"/>
  <c r="H684" i="10" s="1"/>
  <c r="G677" i="10"/>
  <c r="H677" i="10" s="1"/>
  <c r="G675" i="10"/>
  <c r="H675" i="10" s="1"/>
  <c r="G672" i="10"/>
  <c r="G673" i="10" s="1"/>
  <c r="H673" i="10" s="1"/>
  <c r="G669" i="10"/>
  <c r="H669" i="10" s="1"/>
  <c r="G652" i="10"/>
  <c r="H652" i="10" s="1"/>
  <c r="G645" i="10"/>
  <c r="H645" i="10" s="1"/>
  <c r="G634" i="10"/>
  <c r="G635" i="10" s="1"/>
  <c r="H635" i="10" s="1"/>
  <c r="G630" i="10"/>
  <c r="H630" i="10" s="1"/>
  <c r="G627" i="10"/>
  <c r="H627" i="10" s="1"/>
  <c r="G616" i="10"/>
  <c r="G617" i="10" s="1"/>
  <c r="H617" i="10" s="1"/>
  <c r="G613" i="10"/>
  <c r="H613" i="10" s="1"/>
  <c r="G611" i="10"/>
  <c r="H611" i="10" s="1"/>
  <c r="G603" i="10"/>
  <c r="H603" i="10" s="1"/>
  <c r="G598" i="10"/>
  <c r="G599" i="10" s="1"/>
  <c r="H599" i="10" s="1"/>
  <c r="G594" i="10"/>
  <c r="G595" i="10" s="1"/>
  <c r="H595" i="10" s="1"/>
  <c r="G590" i="10"/>
  <c r="G591" i="10" s="1"/>
  <c r="H591" i="10" s="1"/>
  <c r="G588" i="10"/>
  <c r="H588" i="10" s="1"/>
  <c r="G585" i="10"/>
  <c r="H585" i="10" s="1"/>
  <c r="G583" i="10"/>
  <c r="H583" i="10" s="1"/>
  <c r="G579" i="10"/>
  <c r="H579" i="10" s="1"/>
  <c r="G577" i="10"/>
  <c r="H577" i="10" s="1"/>
  <c r="G575" i="10"/>
  <c r="H575" i="10" s="1"/>
  <c r="G572" i="10"/>
  <c r="H572" i="10" s="1"/>
  <c r="G564" i="10"/>
  <c r="H564" i="10" s="1"/>
  <c r="G551" i="10"/>
  <c r="H551" i="10" s="1"/>
  <c r="G548" i="10"/>
  <c r="H548" i="10" s="1"/>
  <c r="G544" i="10"/>
  <c r="G545" i="10" s="1"/>
  <c r="H545" i="10" s="1"/>
  <c r="G533" i="10"/>
  <c r="H533" i="10" s="1"/>
  <c r="G514" i="10"/>
  <c r="H514" i="10" s="1"/>
  <c r="G511" i="10"/>
  <c r="H511" i="10" s="1"/>
  <c r="G506" i="10"/>
  <c r="H506" i="10" s="1"/>
  <c r="G504" i="10"/>
  <c r="H504" i="10" s="1"/>
  <c r="G499" i="10"/>
  <c r="H499" i="10" s="1"/>
  <c r="G497" i="10"/>
  <c r="H497" i="10" s="1"/>
  <c r="G495" i="10"/>
  <c r="H495" i="10" s="1"/>
  <c r="G490" i="10"/>
  <c r="H490" i="10" s="1"/>
  <c r="G485" i="10"/>
  <c r="H485" i="10" s="1"/>
  <c r="G473" i="10"/>
  <c r="H473" i="10" s="1"/>
  <c r="G468" i="10"/>
  <c r="H468" i="10" s="1"/>
  <c r="G464" i="10"/>
  <c r="H464" i="10" s="1"/>
  <c r="G462" i="10"/>
  <c r="H462" i="10" s="1"/>
  <c r="G456" i="10"/>
  <c r="G457" i="10" s="1"/>
  <c r="H457" i="10" s="1"/>
  <c r="G451" i="10"/>
  <c r="H451" i="10" s="1"/>
  <c r="G447" i="10"/>
  <c r="G448" i="10" s="1"/>
  <c r="H448" i="10" s="1"/>
  <c r="G445" i="10"/>
  <c r="H445" i="10" s="1"/>
  <c r="G441" i="10"/>
  <c r="H441" i="10" s="1"/>
  <c r="G439" i="10"/>
  <c r="H439" i="10" s="1"/>
  <c r="G427" i="10"/>
  <c r="H427" i="10" s="1"/>
  <c r="G422" i="10"/>
  <c r="H422" i="10" s="1"/>
  <c r="G420" i="10"/>
  <c r="H420" i="10" s="1"/>
  <c r="G418" i="10"/>
  <c r="H418" i="10" s="1"/>
  <c r="G413" i="10"/>
  <c r="H413" i="10" s="1"/>
  <c r="G409" i="10"/>
  <c r="H409" i="10" s="1"/>
  <c r="G406" i="10"/>
  <c r="H406" i="10" s="1"/>
  <c r="G400" i="10"/>
  <c r="H400" i="10" s="1"/>
  <c r="G393" i="10"/>
  <c r="G394" i="10" s="1"/>
  <c r="H394" i="10" s="1"/>
  <c r="G391" i="10"/>
  <c r="H391" i="10" s="1"/>
  <c r="G389" i="10"/>
  <c r="H389" i="10" s="1"/>
  <c r="G384" i="10"/>
  <c r="H384" i="10" s="1"/>
  <c r="G378" i="10"/>
  <c r="G379" i="10" s="1"/>
  <c r="H379" i="10" s="1"/>
  <c r="G374" i="10"/>
  <c r="H374" i="10" s="1"/>
  <c r="G371" i="10"/>
  <c r="G372" i="10" s="1"/>
  <c r="H372" i="10" s="1"/>
  <c r="G366" i="10"/>
  <c r="G367" i="10" s="1"/>
  <c r="H367" i="10" s="1"/>
  <c r="G363" i="10"/>
  <c r="H363" i="10" s="1"/>
  <c r="G352" i="10"/>
  <c r="H352" i="10" s="1"/>
  <c r="G344" i="10"/>
  <c r="G345" i="10" s="1"/>
  <c r="H345" i="10" s="1"/>
  <c r="G332" i="10"/>
  <c r="H332" i="10" s="1"/>
  <c r="G329" i="10"/>
  <c r="H329" i="10" s="1"/>
  <c r="G326" i="10"/>
  <c r="G327" i="10" s="1"/>
  <c r="H327" i="10" s="1"/>
  <c r="G324" i="10"/>
  <c r="H324" i="10" s="1"/>
  <c r="G314" i="10"/>
  <c r="G315" i="10" s="1"/>
  <c r="H315" i="10" s="1"/>
  <c r="G304" i="10"/>
  <c r="H304" i="10" s="1"/>
  <c r="G298" i="10"/>
  <c r="H298" i="10" s="1"/>
  <c r="G289" i="10"/>
  <c r="G290" i="10" s="1"/>
  <c r="H290" i="10" s="1"/>
  <c r="G286" i="10"/>
  <c r="H286" i="10" s="1"/>
  <c r="G280" i="10"/>
  <c r="G281" i="10" s="1"/>
  <c r="H281" i="10" s="1"/>
  <c r="G269" i="10"/>
  <c r="G270" i="10" s="1"/>
  <c r="H270" i="10" s="1"/>
  <c r="G265" i="10"/>
  <c r="H265" i="10" s="1"/>
  <c r="G258" i="10"/>
  <c r="H258" i="10" s="1"/>
  <c r="G256" i="10"/>
  <c r="H256" i="10" s="1"/>
  <c r="G253" i="10"/>
  <c r="H253" i="10" s="1"/>
  <c r="G249" i="10"/>
  <c r="H249" i="10" s="1"/>
  <c r="G241" i="10"/>
  <c r="G242" i="10" s="1"/>
  <c r="H242" i="10" s="1"/>
  <c r="G238" i="10"/>
  <c r="H238" i="10" s="1"/>
  <c r="G233" i="10"/>
  <c r="H233" i="10" s="1"/>
  <c r="G230" i="10"/>
  <c r="H230" i="10" s="1"/>
  <c r="G221" i="10"/>
  <c r="H221" i="10" s="1"/>
  <c r="G219" i="10"/>
  <c r="H219" i="10" s="1"/>
  <c r="G213" i="10"/>
  <c r="G214" i="10" s="1"/>
  <c r="H214" i="10" s="1"/>
  <c r="G209" i="10"/>
  <c r="H209" i="10" s="1"/>
  <c r="G204" i="10"/>
  <c r="H204" i="10" s="1"/>
  <c r="G200" i="10"/>
  <c r="H200" i="10" s="1"/>
  <c r="G195" i="10"/>
  <c r="H195" i="10" s="1"/>
  <c r="G187" i="10"/>
  <c r="H187" i="10" s="1"/>
  <c r="G178" i="10"/>
  <c r="H178" i="10" s="1"/>
  <c r="G176" i="10"/>
  <c r="H176" i="10" s="1"/>
  <c r="G172" i="10"/>
  <c r="H172" i="10" s="1"/>
  <c r="G169" i="10"/>
  <c r="H169" i="10" s="1"/>
  <c r="G165" i="10"/>
  <c r="G166" i="10" s="1"/>
  <c r="H166" i="10" s="1"/>
  <c r="G162" i="10"/>
  <c r="H162" i="10" s="1"/>
  <c r="G157" i="10"/>
  <c r="H157" i="10" s="1"/>
  <c r="G85" i="10"/>
  <c r="H85" i="10" s="1"/>
  <c r="G57" i="10"/>
  <c r="H57" i="10" s="1"/>
  <c r="G55" i="10"/>
  <c r="H55" i="10" s="1"/>
  <c r="G22" i="10"/>
  <c r="H22" i="10" s="1"/>
  <c r="C25" i="10"/>
  <c r="C26" i="10"/>
  <c r="C27" i="10"/>
  <c r="C28" i="10"/>
  <c r="C29" i="10"/>
  <c r="C30" i="10"/>
  <c r="C31" i="10"/>
  <c r="C32" i="10"/>
  <c r="C33" i="10"/>
  <c r="C34" i="10"/>
  <c r="C37" i="10"/>
  <c r="B37" i="10" s="1"/>
  <c r="C38" i="10"/>
  <c r="B38" i="10" s="1"/>
  <c r="C39" i="10"/>
  <c r="B39" i="10" s="1"/>
  <c r="C40" i="10"/>
  <c r="B40" i="10" s="1"/>
  <c r="C41" i="10"/>
  <c r="B41" i="10" s="1"/>
  <c r="C42" i="10"/>
  <c r="B42" i="10" s="1"/>
  <c r="C43" i="10"/>
  <c r="B43" i="10" s="1"/>
  <c r="C44" i="10"/>
  <c r="B44" i="10" s="1"/>
  <c r="C45" i="10"/>
  <c r="B45" i="10" s="1"/>
  <c r="C46" i="10"/>
  <c r="B46" i="10" s="1"/>
  <c r="C49" i="10"/>
  <c r="B49" i="10" s="1"/>
  <c r="C50" i="10"/>
  <c r="B50" i="10" s="1"/>
  <c r="C51" i="10"/>
  <c r="B51" i="10" s="1"/>
  <c r="C52" i="10"/>
  <c r="B52" i="10" s="1"/>
  <c r="C53" i="10"/>
  <c r="B53" i="10" s="1"/>
  <c r="C54" i="10"/>
  <c r="B54" i="10" s="1"/>
  <c r="C55" i="10"/>
  <c r="B55" i="10" s="1"/>
  <c r="C56" i="10"/>
  <c r="B56" i="10" s="1"/>
  <c r="C57" i="10"/>
  <c r="B57" i="10" s="1"/>
  <c r="C58" i="10"/>
  <c r="B58" i="10" s="1"/>
  <c r="C61" i="10"/>
  <c r="B61" i="10" s="1"/>
  <c r="C62" i="10"/>
  <c r="B62" i="10" s="1"/>
  <c r="C63" i="10"/>
  <c r="B63" i="10" s="1"/>
  <c r="C64" i="10"/>
  <c r="B64" i="10" s="1"/>
  <c r="C65" i="10"/>
  <c r="B65" i="10" s="1"/>
  <c r="C66" i="10"/>
  <c r="B66" i="10" s="1"/>
  <c r="C67" i="10"/>
  <c r="B67" i="10" s="1"/>
  <c r="C68" i="10"/>
  <c r="B68" i="10" s="1"/>
  <c r="C69" i="10"/>
  <c r="B69" i="10" s="1"/>
  <c r="C70" i="10"/>
  <c r="B70" i="10" s="1"/>
  <c r="C73" i="10"/>
  <c r="B73" i="10" s="1"/>
  <c r="C74" i="10"/>
  <c r="B74" i="10" s="1"/>
  <c r="C75" i="10"/>
  <c r="B75" i="10" s="1"/>
  <c r="C76" i="10"/>
  <c r="B76" i="10" s="1"/>
  <c r="C77" i="10"/>
  <c r="B77" i="10" s="1"/>
  <c r="C78" i="10"/>
  <c r="B78" i="10" s="1"/>
  <c r="C79" i="10"/>
  <c r="B79" i="10" s="1"/>
  <c r="C80" i="10"/>
  <c r="B80" i="10" s="1"/>
  <c r="C81" i="10"/>
  <c r="B81" i="10" s="1"/>
  <c r="C82" i="10"/>
  <c r="B82" i="10" s="1"/>
  <c r="C85" i="10"/>
  <c r="B85" i="10" s="1"/>
  <c r="C86" i="10"/>
  <c r="B86" i="10" s="1"/>
  <c r="C87" i="10"/>
  <c r="B87" i="10" s="1"/>
  <c r="C88" i="10"/>
  <c r="B88" i="10" s="1"/>
  <c r="C89" i="10"/>
  <c r="B89" i="10" s="1"/>
  <c r="C90" i="10"/>
  <c r="B90" i="10" s="1"/>
  <c r="C91" i="10"/>
  <c r="B91" i="10" s="1"/>
  <c r="C92" i="10"/>
  <c r="B92" i="10" s="1"/>
  <c r="C93" i="10"/>
  <c r="B93" i="10" s="1"/>
  <c r="C94" i="10"/>
  <c r="B94" i="10" s="1"/>
  <c r="C97" i="10"/>
  <c r="B97" i="10" s="1"/>
  <c r="C98" i="10"/>
  <c r="B98" i="10" s="1"/>
  <c r="C99" i="10"/>
  <c r="B99" i="10" s="1"/>
  <c r="C100" i="10"/>
  <c r="B100" i="10" s="1"/>
  <c r="C101" i="10"/>
  <c r="B101" i="10" s="1"/>
  <c r="C102" i="10"/>
  <c r="B102" i="10" s="1"/>
  <c r="C103" i="10"/>
  <c r="B103" i="10" s="1"/>
  <c r="C104" i="10"/>
  <c r="B104" i="10" s="1"/>
  <c r="C105" i="10"/>
  <c r="B105" i="10" s="1"/>
  <c r="C106" i="10"/>
  <c r="B106" i="10" s="1"/>
  <c r="C109" i="10"/>
  <c r="B109" i="10" s="1"/>
  <c r="C110" i="10"/>
  <c r="B110" i="10" s="1"/>
  <c r="C111" i="10"/>
  <c r="B111" i="10" s="1"/>
  <c r="C112" i="10"/>
  <c r="B112" i="10" s="1"/>
  <c r="C113" i="10"/>
  <c r="B113" i="10" s="1"/>
  <c r="C114" i="10"/>
  <c r="B114" i="10" s="1"/>
  <c r="C115" i="10"/>
  <c r="B115" i="10" s="1"/>
  <c r="C116" i="10"/>
  <c r="B116" i="10" s="1"/>
  <c r="C117" i="10"/>
  <c r="B117" i="10" s="1"/>
  <c r="C118" i="10"/>
  <c r="B118" i="10" s="1"/>
  <c r="C121" i="10"/>
  <c r="B121" i="10" s="1"/>
  <c r="C122" i="10"/>
  <c r="B122" i="10" s="1"/>
  <c r="C123" i="10"/>
  <c r="B123" i="10" s="1"/>
  <c r="C124" i="10"/>
  <c r="B124" i="10" s="1"/>
  <c r="C125" i="10"/>
  <c r="B125" i="10" s="1"/>
  <c r="C126" i="10"/>
  <c r="B126" i="10" s="1"/>
  <c r="C127" i="10"/>
  <c r="B127" i="10" s="1"/>
  <c r="C128" i="10"/>
  <c r="B128" i="10" s="1"/>
  <c r="C129" i="10"/>
  <c r="B129" i="10" s="1"/>
  <c r="C130" i="10"/>
  <c r="B130" i="10" s="1"/>
  <c r="C133" i="10"/>
  <c r="B133" i="10" s="1"/>
  <c r="C134" i="10"/>
  <c r="B134" i="10" s="1"/>
  <c r="C135" i="10"/>
  <c r="B135" i="10" s="1"/>
  <c r="C136" i="10"/>
  <c r="B136" i="10" s="1"/>
  <c r="C137" i="10"/>
  <c r="B137" i="10" s="1"/>
  <c r="C138" i="10"/>
  <c r="B138" i="10" s="1"/>
  <c r="C139" i="10"/>
  <c r="B139" i="10" s="1"/>
  <c r="C140" i="10"/>
  <c r="B140" i="10" s="1"/>
  <c r="C141" i="10"/>
  <c r="B141" i="10" s="1"/>
  <c r="C142" i="10"/>
  <c r="B142" i="10" s="1"/>
  <c r="C145" i="10"/>
  <c r="B145" i="10" s="1"/>
  <c r="C146" i="10"/>
  <c r="B146" i="10" s="1"/>
  <c r="C147" i="10"/>
  <c r="B147" i="10" s="1"/>
  <c r="C148" i="10"/>
  <c r="B148" i="10" s="1"/>
  <c r="C149" i="10"/>
  <c r="B149" i="10" s="1"/>
  <c r="C150" i="10"/>
  <c r="B150" i="10" s="1"/>
  <c r="C151" i="10"/>
  <c r="B151" i="10" s="1"/>
  <c r="C152" i="10"/>
  <c r="B152" i="10" s="1"/>
  <c r="C153" i="10"/>
  <c r="B153" i="10" s="1"/>
  <c r="C154" i="10"/>
  <c r="B154" i="10" s="1"/>
  <c r="C157" i="10"/>
  <c r="B157" i="10" s="1"/>
  <c r="C158" i="10"/>
  <c r="B158" i="10" s="1"/>
  <c r="C159" i="10"/>
  <c r="B159" i="10" s="1"/>
  <c r="C160" i="10"/>
  <c r="B160" i="10" s="1"/>
  <c r="C161" i="10"/>
  <c r="B161" i="10" s="1"/>
  <c r="C162" i="10"/>
  <c r="B162" i="10" s="1"/>
  <c r="C163" i="10"/>
  <c r="B163" i="10" s="1"/>
  <c r="C164" i="10"/>
  <c r="B164" i="10" s="1"/>
  <c r="C165" i="10"/>
  <c r="B165" i="10" s="1"/>
  <c r="C166" i="10"/>
  <c r="B166" i="10" s="1"/>
  <c r="C169" i="10"/>
  <c r="B169" i="10" s="1"/>
  <c r="C170" i="10"/>
  <c r="B170" i="10" s="1"/>
  <c r="C171" i="10"/>
  <c r="B171" i="10" s="1"/>
  <c r="C172" i="10"/>
  <c r="B172" i="10" s="1"/>
  <c r="C173" i="10"/>
  <c r="B173" i="10" s="1"/>
  <c r="C174" i="10"/>
  <c r="B174" i="10" s="1"/>
  <c r="C175" i="10"/>
  <c r="B175" i="10" s="1"/>
  <c r="C176" i="10"/>
  <c r="B176" i="10" s="1"/>
  <c r="C177" i="10"/>
  <c r="B177" i="10" s="1"/>
  <c r="C178" i="10"/>
  <c r="B178" i="10" s="1"/>
  <c r="C181" i="10"/>
  <c r="B181" i="10" s="1"/>
  <c r="C182" i="10"/>
  <c r="B182" i="10" s="1"/>
  <c r="C183" i="10"/>
  <c r="B183" i="10" s="1"/>
  <c r="C184" i="10"/>
  <c r="B184" i="10" s="1"/>
  <c r="C185" i="10"/>
  <c r="B185" i="10" s="1"/>
  <c r="C186" i="10"/>
  <c r="B186" i="10" s="1"/>
  <c r="C187" i="10"/>
  <c r="B187" i="10" s="1"/>
  <c r="C188" i="10"/>
  <c r="B188" i="10" s="1"/>
  <c r="C189" i="10"/>
  <c r="B189" i="10" s="1"/>
  <c r="C190" i="10"/>
  <c r="B190" i="10" s="1"/>
  <c r="C193" i="10"/>
  <c r="B193" i="10" s="1"/>
  <c r="C194" i="10"/>
  <c r="B194" i="10" s="1"/>
  <c r="C195" i="10"/>
  <c r="B195" i="10" s="1"/>
  <c r="C196" i="10"/>
  <c r="B196" i="10" s="1"/>
  <c r="C197" i="10"/>
  <c r="B197" i="10" s="1"/>
  <c r="C198" i="10"/>
  <c r="B198" i="10" s="1"/>
  <c r="C199" i="10"/>
  <c r="B199" i="10" s="1"/>
  <c r="C200" i="10"/>
  <c r="B200" i="10" s="1"/>
  <c r="C201" i="10"/>
  <c r="B201" i="10" s="1"/>
  <c r="C202" i="10"/>
  <c r="B202" i="10" s="1"/>
  <c r="C205" i="10"/>
  <c r="B205" i="10" s="1"/>
  <c r="C206" i="10"/>
  <c r="B206" i="10" s="1"/>
  <c r="C207" i="10"/>
  <c r="B207" i="10" s="1"/>
  <c r="C208" i="10"/>
  <c r="B208" i="10" s="1"/>
  <c r="C209" i="10"/>
  <c r="B209" i="10" s="1"/>
  <c r="C210" i="10"/>
  <c r="B210" i="10" s="1"/>
  <c r="C211" i="10"/>
  <c r="B211" i="10" s="1"/>
  <c r="C212" i="10"/>
  <c r="B212" i="10" s="1"/>
  <c r="C213" i="10"/>
  <c r="B213" i="10" s="1"/>
  <c r="C214" i="10"/>
  <c r="B214" i="10" s="1"/>
  <c r="C217" i="10"/>
  <c r="B217" i="10" s="1"/>
  <c r="C218" i="10"/>
  <c r="B218" i="10" s="1"/>
  <c r="C219" i="10"/>
  <c r="B219" i="10" s="1"/>
  <c r="C220" i="10"/>
  <c r="B220" i="10" s="1"/>
  <c r="C221" i="10"/>
  <c r="B221" i="10" s="1"/>
  <c r="C222" i="10"/>
  <c r="B222" i="10" s="1"/>
  <c r="C223" i="10"/>
  <c r="B223" i="10" s="1"/>
  <c r="C224" i="10"/>
  <c r="B224" i="10" s="1"/>
  <c r="C225" i="10"/>
  <c r="B225" i="10" s="1"/>
  <c r="C226" i="10"/>
  <c r="B226" i="10" s="1"/>
  <c r="C229" i="10"/>
  <c r="B229" i="10" s="1"/>
  <c r="C230" i="10"/>
  <c r="B230" i="10" s="1"/>
  <c r="C231" i="10"/>
  <c r="B231" i="10" s="1"/>
  <c r="C232" i="10"/>
  <c r="B232" i="10" s="1"/>
  <c r="C233" i="10"/>
  <c r="B233" i="10" s="1"/>
  <c r="C234" i="10"/>
  <c r="B234" i="10" s="1"/>
  <c r="C235" i="10"/>
  <c r="B235" i="10" s="1"/>
  <c r="C236" i="10"/>
  <c r="B236" i="10" s="1"/>
  <c r="C237" i="10"/>
  <c r="B237" i="10" s="1"/>
  <c r="C238" i="10"/>
  <c r="B238" i="10" s="1"/>
  <c r="C241" i="10"/>
  <c r="B241" i="10" s="1"/>
  <c r="C242" i="10"/>
  <c r="B242" i="10" s="1"/>
  <c r="C243" i="10"/>
  <c r="B243" i="10" s="1"/>
  <c r="C244" i="10"/>
  <c r="B244" i="10" s="1"/>
  <c r="C245" i="10"/>
  <c r="B245" i="10" s="1"/>
  <c r="C246" i="10"/>
  <c r="B246" i="10" s="1"/>
  <c r="C247" i="10"/>
  <c r="B247" i="10" s="1"/>
  <c r="C248" i="10"/>
  <c r="B248" i="10" s="1"/>
  <c r="C249" i="10"/>
  <c r="B249" i="10" s="1"/>
  <c r="C250" i="10"/>
  <c r="B250" i="10" s="1"/>
  <c r="C253" i="10"/>
  <c r="B253" i="10" s="1"/>
  <c r="C254" i="10"/>
  <c r="B254" i="10" s="1"/>
  <c r="C255" i="10"/>
  <c r="B255" i="10" s="1"/>
  <c r="C256" i="10"/>
  <c r="B256" i="10" s="1"/>
  <c r="C257" i="10"/>
  <c r="B257" i="10" s="1"/>
  <c r="C258" i="10"/>
  <c r="B258" i="10" s="1"/>
  <c r="C259" i="10"/>
  <c r="B259" i="10" s="1"/>
  <c r="C260" i="10"/>
  <c r="B260" i="10" s="1"/>
  <c r="C261" i="10"/>
  <c r="B261" i="10" s="1"/>
  <c r="C262" i="10"/>
  <c r="B262" i="10" s="1"/>
  <c r="C265" i="10"/>
  <c r="B265" i="10" s="1"/>
  <c r="C266" i="10"/>
  <c r="B266" i="10" s="1"/>
  <c r="C267" i="10"/>
  <c r="B267" i="10" s="1"/>
  <c r="C268" i="10"/>
  <c r="B268" i="10" s="1"/>
  <c r="C269" i="10"/>
  <c r="B269" i="10" s="1"/>
  <c r="C270" i="10"/>
  <c r="B270" i="10" s="1"/>
  <c r="C271" i="10"/>
  <c r="B271" i="10" s="1"/>
  <c r="C272" i="10"/>
  <c r="B272" i="10" s="1"/>
  <c r="C273" i="10"/>
  <c r="B273" i="10" s="1"/>
  <c r="C274" i="10"/>
  <c r="B274" i="10" s="1"/>
  <c r="C277" i="10"/>
  <c r="B277" i="10" s="1"/>
  <c r="C278" i="10"/>
  <c r="B278" i="10" s="1"/>
  <c r="C279" i="10"/>
  <c r="B279" i="10" s="1"/>
  <c r="C280" i="10"/>
  <c r="B280" i="10" s="1"/>
  <c r="C281" i="10"/>
  <c r="B281" i="10" s="1"/>
  <c r="C282" i="10"/>
  <c r="B282" i="10" s="1"/>
  <c r="C283" i="10"/>
  <c r="B283" i="10" s="1"/>
  <c r="C284" i="10"/>
  <c r="B284" i="10" s="1"/>
  <c r="C285" i="10"/>
  <c r="B285" i="10" s="1"/>
  <c r="C286" i="10"/>
  <c r="B286" i="10" s="1"/>
  <c r="C289" i="10"/>
  <c r="B289" i="10" s="1"/>
  <c r="C290" i="10"/>
  <c r="B290" i="10" s="1"/>
  <c r="C291" i="10"/>
  <c r="B291" i="10" s="1"/>
  <c r="C292" i="10"/>
  <c r="B292" i="10" s="1"/>
  <c r="C293" i="10"/>
  <c r="B293" i="10" s="1"/>
  <c r="C294" i="10"/>
  <c r="B294" i="10" s="1"/>
  <c r="C295" i="10"/>
  <c r="B295" i="10" s="1"/>
  <c r="C296" i="10"/>
  <c r="B296" i="10" s="1"/>
  <c r="C297" i="10"/>
  <c r="B297" i="10" s="1"/>
  <c r="C298" i="10"/>
  <c r="B298" i="10" s="1"/>
  <c r="C301" i="10"/>
  <c r="B301" i="10" s="1"/>
  <c r="C302" i="10"/>
  <c r="B302" i="10" s="1"/>
  <c r="C303" i="10"/>
  <c r="B303" i="10" s="1"/>
  <c r="C304" i="10"/>
  <c r="B304" i="10" s="1"/>
  <c r="C305" i="10"/>
  <c r="B305" i="10" s="1"/>
  <c r="C306" i="10"/>
  <c r="B306" i="10" s="1"/>
  <c r="C307" i="10"/>
  <c r="B307" i="10" s="1"/>
  <c r="C308" i="10"/>
  <c r="B308" i="10" s="1"/>
  <c r="C309" i="10"/>
  <c r="B309" i="10" s="1"/>
  <c r="C310" i="10"/>
  <c r="B310" i="10" s="1"/>
  <c r="C313" i="10"/>
  <c r="B313" i="10" s="1"/>
  <c r="C314" i="10"/>
  <c r="B314" i="10" s="1"/>
  <c r="C315" i="10"/>
  <c r="B315" i="10" s="1"/>
  <c r="C316" i="10"/>
  <c r="B316" i="10" s="1"/>
  <c r="C317" i="10"/>
  <c r="B317" i="10" s="1"/>
  <c r="C318" i="10"/>
  <c r="B318" i="10" s="1"/>
  <c r="C319" i="10"/>
  <c r="B319" i="10" s="1"/>
  <c r="C320" i="10"/>
  <c r="B320" i="10" s="1"/>
  <c r="C321" i="10"/>
  <c r="B321" i="10" s="1"/>
  <c r="C322" i="10"/>
  <c r="B322" i="10" s="1"/>
  <c r="C325" i="10"/>
  <c r="B325" i="10" s="1"/>
  <c r="C326" i="10"/>
  <c r="B326" i="10" s="1"/>
  <c r="C327" i="10"/>
  <c r="B327" i="10" s="1"/>
  <c r="C328" i="10"/>
  <c r="B328" i="10" s="1"/>
  <c r="C329" i="10"/>
  <c r="B329" i="10" s="1"/>
  <c r="C330" i="10"/>
  <c r="B330" i="10" s="1"/>
  <c r="C331" i="10"/>
  <c r="B331" i="10" s="1"/>
  <c r="C332" i="10"/>
  <c r="B332" i="10" s="1"/>
  <c r="C333" i="10"/>
  <c r="B333" i="10" s="1"/>
  <c r="C334" i="10"/>
  <c r="B334" i="10" s="1"/>
  <c r="C337" i="10"/>
  <c r="B337" i="10" s="1"/>
  <c r="C338" i="10"/>
  <c r="B338" i="10" s="1"/>
  <c r="C339" i="10"/>
  <c r="B339" i="10" s="1"/>
  <c r="C340" i="10"/>
  <c r="B340" i="10" s="1"/>
  <c r="C341" i="10"/>
  <c r="B341" i="10" s="1"/>
  <c r="C342" i="10"/>
  <c r="B342" i="10" s="1"/>
  <c r="C343" i="10"/>
  <c r="B343" i="10" s="1"/>
  <c r="C344" i="10"/>
  <c r="B344" i="10" s="1"/>
  <c r="C345" i="10"/>
  <c r="B345" i="10" s="1"/>
  <c r="C346" i="10"/>
  <c r="B346" i="10" s="1"/>
  <c r="C349" i="10"/>
  <c r="B349" i="10" s="1"/>
  <c r="C350" i="10"/>
  <c r="B350" i="10" s="1"/>
  <c r="C351" i="10"/>
  <c r="B351" i="10" s="1"/>
  <c r="C352" i="10"/>
  <c r="B352" i="10" s="1"/>
  <c r="C353" i="10"/>
  <c r="B353" i="10" s="1"/>
  <c r="C354" i="10"/>
  <c r="B354" i="10" s="1"/>
  <c r="C355" i="10"/>
  <c r="B355" i="10" s="1"/>
  <c r="C356" i="10"/>
  <c r="B356" i="10" s="1"/>
  <c r="C357" i="10"/>
  <c r="B357" i="10" s="1"/>
  <c r="C358" i="10"/>
  <c r="B358" i="10" s="1"/>
  <c r="C361" i="10"/>
  <c r="B361" i="10" s="1"/>
  <c r="C362" i="10"/>
  <c r="B362" i="10" s="1"/>
  <c r="C363" i="10"/>
  <c r="B363" i="10" s="1"/>
  <c r="C364" i="10"/>
  <c r="B364" i="10" s="1"/>
  <c r="C365" i="10"/>
  <c r="B365" i="10" s="1"/>
  <c r="C366" i="10"/>
  <c r="B366" i="10" s="1"/>
  <c r="C367" i="10"/>
  <c r="B367" i="10" s="1"/>
  <c r="C368" i="10"/>
  <c r="B368" i="10" s="1"/>
  <c r="C369" i="10"/>
  <c r="B369" i="10" s="1"/>
  <c r="C370" i="10"/>
  <c r="B370" i="10" s="1"/>
  <c r="C373" i="10"/>
  <c r="B373" i="10" s="1"/>
  <c r="C374" i="10"/>
  <c r="B374" i="10" s="1"/>
  <c r="C375" i="10"/>
  <c r="B375" i="10" s="1"/>
  <c r="C376" i="10"/>
  <c r="B376" i="10" s="1"/>
  <c r="C377" i="10"/>
  <c r="B377" i="10" s="1"/>
  <c r="C378" i="10"/>
  <c r="B378" i="10" s="1"/>
  <c r="C379" i="10"/>
  <c r="B379" i="10" s="1"/>
  <c r="C380" i="10"/>
  <c r="B380" i="10" s="1"/>
  <c r="C381" i="10"/>
  <c r="B381" i="10" s="1"/>
  <c r="C382" i="10"/>
  <c r="B382" i="10" s="1"/>
  <c r="C385" i="10"/>
  <c r="B385" i="10" s="1"/>
  <c r="C386" i="10"/>
  <c r="B386" i="10" s="1"/>
  <c r="C387" i="10"/>
  <c r="B387" i="10" s="1"/>
  <c r="C388" i="10"/>
  <c r="B388" i="10" s="1"/>
  <c r="C389" i="10"/>
  <c r="B389" i="10" s="1"/>
  <c r="C390" i="10"/>
  <c r="B390" i="10" s="1"/>
  <c r="C391" i="10"/>
  <c r="B391" i="10" s="1"/>
  <c r="C392" i="10"/>
  <c r="B392" i="10" s="1"/>
  <c r="C393" i="10"/>
  <c r="B393" i="10" s="1"/>
  <c r="C394" i="10"/>
  <c r="B394" i="10" s="1"/>
  <c r="C397" i="10"/>
  <c r="B397" i="10" s="1"/>
  <c r="C398" i="10"/>
  <c r="B398" i="10" s="1"/>
  <c r="C399" i="10"/>
  <c r="B399" i="10" s="1"/>
  <c r="C400" i="10"/>
  <c r="B400" i="10" s="1"/>
  <c r="C401" i="10"/>
  <c r="B401" i="10" s="1"/>
  <c r="C402" i="10"/>
  <c r="B402" i="10" s="1"/>
  <c r="C403" i="10"/>
  <c r="B403" i="10" s="1"/>
  <c r="C404" i="10"/>
  <c r="B404" i="10" s="1"/>
  <c r="C405" i="10"/>
  <c r="B405" i="10" s="1"/>
  <c r="C406" i="10"/>
  <c r="B406" i="10" s="1"/>
  <c r="C409" i="10"/>
  <c r="B409" i="10" s="1"/>
  <c r="C410" i="10"/>
  <c r="B410" i="10" s="1"/>
  <c r="C411" i="10"/>
  <c r="B411" i="10" s="1"/>
  <c r="C412" i="10"/>
  <c r="B412" i="10" s="1"/>
  <c r="C413" i="10"/>
  <c r="B413" i="10" s="1"/>
  <c r="C414" i="10"/>
  <c r="B414" i="10" s="1"/>
  <c r="C415" i="10"/>
  <c r="B415" i="10" s="1"/>
  <c r="C416" i="10"/>
  <c r="B416" i="10" s="1"/>
  <c r="C417" i="10"/>
  <c r="B417" i="10" s="1"/>
  <c r="C418" i="10"/>
  <c r="B418" i="10" s="1"/>
  <c r="C421" i="10"/>
  <c r="B421" i="10" s="1"/>
  <c r="C422" i="10"/>
  <c r="B422" i="10" s="1"/>
  <c r="C423" i="10"/>
  <c r="B423" i="10" s="1"/>
  <c r="C424" i="10"/>
  <c r="B424" i="10" s="1"/>
  <c r="C425" i="10"/>
  <c r="B425" i="10" s="1"/>
  <c r="C426" i="10"/>
  <c r="B426" i="10" s="1"/>
  <c r="C427" i="10"/>
  <c r="B427" i="10" s="1"/>
  <c r="C428" i="10"/>
  <c r="B428" i="10" s="1"/>
  <c r="C429" i="10"/>
  <c r="B429" i="10" s="1"/>
  <c r="C430" i="10"/>
  <c r="B430" i="10" s="1"/>
  <c r="C433" i="10"/>
  <c r="B433" i="10" s="1"/>
  <c r="C434" i="10"/>
  <c r="B434" i="10" s="1"/>
  <c r="C435" i="10"/>
  <c r="B435" i="10" s="1"/>
  <c r="C436" i="10"/>
  <c r="B436" i="10" s="1"/>
  <c r="C437" i="10"/>
  <c r="B437" i="10" s="1"/>
  <c r="C438" i="10"/>
  <c r="B438" i="10" s="1"/>
  <c r="C439" i="10"/>
  <c r="B439" i="10" s="1"/>
  <c r="C440" i="10"/>
  <c r="B440" i="10" s="1"/>
  <c r="C441" i="10"/>
  <c r="B441" i="10" s="1"/>
  <c r="C442" i="10"/>
  <c r="B442" i="10" s="1"/>
  <c r="C445" i="10"/>
  <c r="B445" i="10" s="1"/>
  <c r="C446" i="10"/>
  <c r="B446" i="10" s="1"/>
  <c r="C447" i="10"/>
  <c r="B447" i="10" s="1"/>
  <c r="C448" i="10"/>
  <c r="B448" i="10" s="1"/>
  <c r="C449" i="10"/>
  <c r="B449" i="10" s="1"/>
  <c r="C450" i="10"/>
  <c r="B450" i="10" s="1"/>
  <c r="C451" i="10"/>
  <c r="B451" i="10" s="1"/>
  <c r="C452" i="10"/>
  <c r="B452" i="10" s="1"/>
  <c r="C453" i="10"/>
  <c r="B453" i="10" s="1"/>
  <c r="C454" i="10"/>
  <c r="B454" i="10" s="1"/>
  <c r="C457" i="10"/>
  <c r="B457" i="10" s="1"/>
  <c r="C458" i="10"/>
  <c r="B458" i="10" s="1"/>
  <c r="C459" i="10"/>
  <c r="B459" i="10" s="1"/>
  <c r="C460" i="10"/>
  <c r="B460" i="10" s="1"/>
  <c r="C461" i="10"/>
  <c r="B461" i="10" s="1"/>
  <c r="C462" i="10"/>
  <c r="B462" i="10" s="1"/>
  <c r="C463" i="10"/>
  <c r="B463" i="10" s="1"/>
  <c r="C464" i="10"/>
  <c r="B464" i="10" s="1"/>
  <c r="C465" i="10"/>
  <c r="B465" i="10" s="1"/>
  <c r="C466" i="10"/>
  <c r="B466" i="10" s="1"/>
  <c r="C469" i="10"/>
  <c r="B469" i="10" s="1"/>
  <c r="C470" i="10"/>
  <c r="B470" i="10" s="1"/>
  <c r="C471" i="10"/>
  <c r="B471" i="10" s="1"/>
  <c r="C472" i="10"/>
  <c r="B472" i="10" s="1"/>
  <c r="C473" i="10"/>
  <c r="B473" i="10" s="1"/>
  <c r="C474" i="10"/>
  <c r="B474" i="10" s="1"/>
  <c r="C475" i="10"/>
  <c r="B475" i="10" s="1"/>
  <c r="C476" i="10"/>
  <c r="B476" i="10" s="1"/>
  <c r="C477" i="10"/>
  <c r="B477" i="10" s="1"/>
  <c r="C478" i="10"/>
  <c r="B478" i="10" s="1"/>
  <c r="C481" i="10"/>
  <c r="B481" i="10" s="1"/>
  <c r="C482" i="10"/>
  <c r="B482" i="10" s="1"/>
  <c r="C483" i="10"/>
  <c r="B483" i="10" s="1"/>
  <c r="C484" i="10"/>
  <c r="B484" i="10" s="1"/>
  <c r="C485" i="10"/>
  <c r="B485" i="10" s="1"/>
  <c r="C486" i="10"/>
  <c r="B486" i="10" s="1"/>
  <c r="C487" i="10"/>
  <c r="B487" i="10" s="1"/>
  <c r="C488" i="10"/>
  <c r="B488" i="10" s="1"/>
  <c r="C489" i="10"/>
  <c r="B489" i="10" s="1"/>
  <c r="C490" i="10"/>
  <c r="B490" i="10" s="1"/>
  <c r="C493" i="10"/>
  <c r="B493" i="10" s="1"/>
  <c r="C494" i="10"/>
  <c r="B494" i="10" s="1"/>
  <c r="C495" i="10"/>
  <c r="B495" i="10" s="1"/>
  <c r="C496" i="10"/>
  <c r="B496" i="10" s="1"/>
  <c r="C497" i="10"/>
  <c r="B497" i="10" s="1"/>
  <c r="C498" i="10"/>
  <c r="B498" i="10" s="1"/>
  <c r="C499" i="10"/>
  <c r="B499" i="10" s="1"/>
  <c r="C500" i="10"/>
  <c r="B500" i="10" s="1"/>
  <c r="C501" i="10"/>
  <c r="B501" i="10" s="1"/>
  <c r="C502" i="10"/>
  <c r="B502" i="10" s="1"/>
  <c r="C505" i="10"/>
  <c r="B505" i="10" s="1"/>
  <c r="C506" i="10"/>
  <c r="B506" i="10" s="1"/>
  <c r="C507" i="10"/>
  <c r="B507" i="10" s="1"/>
  <c r="C508" i="10"/>
  <c r="B508" i="10" s="1"/>
  <c r="C509" i="10"/>
  <c r="B509" i="10" s="1"/>
  <c r="C510" i="10"/>
  <c r="B510" i="10" s="1"/>
  <c r="C511" i="10"/>
  <c r="B511" i="10" s="1"/>
  <c r="C512" i="10"/>
  <c r="B512" i="10" s="1"/>
  <c r="C513" i="10"/>
  <c r="B513" i="10" s="1"/>
  <c r="C514" i="10"/>
  <c r="B514" i="10" s="1"/>
  <c r="C517" i="10"/>
  <c r="B517" i="10" s="1"/>
  <c r="C518" i="10"/>
  <c r="B518" i="10" s="1"/>
  <c r="C519" i="10"/>
  <c r="B519" i="10" s="1"/>
  <c r="C520" i="10"/>
  <c r="B520" i="10" s="1"/>
  <c r="C521" i="10"/>
  <c r="B521" i="10" s="1"/>
  <c r="C522" i="10"/>
  <c r="B522" i="10" s="1"/>
  <c r="C523" i="10"/>
  <c r="B523" i="10" s="1"/>
  <c r="C524" i="10"/>
  <c r="B524" i="10" s="1"/>
  <c r="C525" i="10"/>
  <c r="B525" i="10" s="1"/>
  <c r="C526" i="10"/>
  <c r="B526" i="10" s="1"/>
  <c r="C529" i="10"/>
  <c r="B529" i="10" s="1"/>
  <c r="C530" i="10"/>
  <c r="B530" i="10" s="1"/>
  <c r="C531" i="10"/>
  <c r="B531" i="10" s="1"/>
  <c r="C532" i="10"/>
  <c r="B532" i="10" s="1"/>
  <c r="C533" i="10"/>
  <c r="B533" i="10" s="1"/>
  <c r="C534" i="10"/>
  <c r="B534" i="10" s="1"/>
  <c r="C535" i="10"/>
  <c r="B535" i="10" s="1"/>
  <c r="C536" i="10"/>
  <c r="B536" i="10" s="1"/>
  <c r="C537" i="10"/>
  <c r="B537" i="10" s="1"/>
  <c r="C538" i="10"/>
  <c r="B538" i="10" s="1"/>
  <c r="C541" i="10"/>
  <c r="B541" i="10" s="1"/>
  <c r="C542" i="10"/>
  <c r="B542" i="10" s="1"/>
  <c r="C543" i="10"/>
  <c r="B543" i="10" s="1"/>
  <c r="C544" i="10"/>
  <c r="B544" i="10" s="1"/>
  <c r="C545" i="10"/>
  <c r="B545" i="10" s="1"/>
  <c r="C546" i="10"/>
  <c r="B546" i="10" s="1"/>
  <c r="C547" i="10"/>
  <c r="B547" i="10" s="1"/>
  <c r="C548" i="10"/>
  <c r="B548" i="10" s="1"/>
  <c r="C549" i="10"/>
  <c r="B549" i="10" s="1"/>
  <c r="C550" i="10"/>
  <c r="B550" i="10" s="1"/>
  <c r="C553" i="10"/>
  <c r="B553" i="10" s="1"/>
  <c r="C554" i="10"/>
  <c r="B554" i="10" s="1"/>
  <c r="C555" i="10"/>
  <c r="B555" i="10" s="1"/>
  <c r="C556" i="10"/>
  <c r="B556" i="10" s="1"/>
  <c r="C557" i="10"/>
  <c r="B557" i="10" s="1"/>
  <c r="C558" i="10"/>
  <c r="B558" i="10" s="1"/>
  <c r="C559" i="10"/>
  <c r="B559" i="10" s="1"/>
  <c r="C560" i="10"/>
  <c r="B560" i="10" s="1"/>
  <c r="C561" i="10"/>
  <c r="B561" i="10" s="1"/>
  <c r="C562" i="10"/>
  <c r="B562" i="10" s="1"/>
  <c r="C565" i="10"/>
  <c r="B565" i="10" s="1"/>
  <c r="C566" i="10"/>
  <c r="B566" i="10" s="1"/>
  <c r="C567" i="10"/>
  <c r="B567" i="10" s="1"/>
  <c r="C568" i="10"/>
  <c r="B568" i="10" s="1"/>
  <c r="C569" i="10"/>
  <c r="B569" i="10" s="1"/>
  <c r="C570" i="10"/>
  <c r="B570" i="10" s="1"/>
  <c r="C571" i="10"/>
  <c r="B571" i="10" s="1"/>
  <c r="C572" i="10"/>
  <c r="B572" i="10" s="1"/>
  <c r="C573" i="10"/>
  <c r="B573" i="10" s="1"/>
  <c r="C574" i="10"/>
  <c r="B574" i="10" s="1"/>
  <c r="C577" i="10"/>
  <c r="B577" i="10" s="1"/>
  <c r="C578" i="10"/>
  <c r="B578" i="10" s="1"/>
  <c r="C579" i="10"/>
  <c r="B579" i="10" s="1"/>
  <c r="C580" i="10"/>
  <c r="B580" i="10" s="1"/>
  <c r="C581" i="10"/>
  <c r="B581" i="10" s="1"/>
  <c r="C582" i="10"/>
  <c r="B582" i="10" s="1"/>
  <c r="C583" i="10"/>
  <c r="B583" i="10" s="1"/>
  <c r="C584" i="10"/>
  <c r="B584" i="10" s="1"/>
  <c r="C585" i="10"/>
  <c r="B585" i="10" s="1"/>
  <c r="C586" i="10"/>
  <c r="B586" i="10" s="1"/>
  <c r="C589" i="10"/>
  <c r="B589" i="10" s="1"/>
  <c r="C590" i="10"/>
  <c r="B590" i="10" s="1"/>
  <c r="C591" i="10"/>
  <c r="B591" i="10" s="1"/>
  <c r="C592" i="10"/>
  <c r="B592" i="10" s="1"/>
  <c r="C593" i="10"/>
  <c r="B593" i="10" s="1"/>
  <c r="C594" i="10"/>
  <c r="B594" i="10" s="1"/>
  <c r="C595" i="10"/>
  <c r="B595" i="10" s="1"/>
  <c r="C596" i="10"/>
  <c r="B596" i="10" s="1"/>
  <c r="C597" i="10"/>
  <c r="B597" i="10" s="1"/>
  <c r="C598" i="10"/>
  <c r="B598" i="10" s="1"/>
  <c r="C601" i="10"/>
  <c r="B601" i="10" s="1"/>
  <c r="C602" i="10"/>
  <c r="B602" i="10" s="1"/>
  <c r="C603" i="10"/>
  <c r="B603" i="10" s="1"/>
  <c r="C604" i="10"/>
  <c r="B604" i="10" s="1"/>
  <c r="C605" i="10"/>
  <c r="B605" i="10" s="1"/>
  <c r="C606" i="10"/>
  <c r="B606" i="10" s="1"/>
  <c r="C607" i="10"/>
  <c r="B607" i="10" s="1"/>
  <c r="C608" i="10"/>
  <c r="B608" i="10" s="1"/>
  <c r="C609" i="10"/>
  <c r="B609" i="10" s="1"/>
  <c r="C610" i="10"/>
  <c r="B610" i="10" s="1"/>
  <c r="C613" i="10"/>
  <c r="B613" i="10" s="1"/>
  <c r="C614" i="10"/>
  <c r="B614" i="10" s="1"/>
  <c r="C615" i="10"/>
  <c r="B615" i="10" s="1"/>
  <c r="C616" i="10"/>
  <c r="B616" i="10" s="1"/>
  <c r="C617" i="10"/>
  <c r="B617" i="10" s="1"/>
  <c r="C618" i="10"/>
  <c r="B618" i="10" s="1"/>
  <c r="C619" i="10"/>
  <c r="B619" i="10" s="1"/>
  <c r="C620" i="10"/>
  <c r="B620" i="10" s="1"/>
  <c r="C621" i="10"/>
  <c r="B621" i="10" s="1"/>
  <c r="C622" i="10"/>
  <c r="B622" i="10" s="1"/>
  <c r="C625" i="10"/>
  <c r="B625" i="10" s="1"/>
  <c r="C626" i="10"/>
  <c r="B626" i="10" s="1"/>
  <c r="C627" i="10"/>
  <c r="B627" i="10" s="1"/>
  <c r="C628" i="10"/>
  <c r="B628" i="10" s="1"/>
  <c r="C629" i="10"/>
  <c r="B629" i="10" s="1"/>
  <c r="C630" i="10"/>
  <c r="B630" i="10" s="1"/>
  <c r="C631" i="10"/>
  <c r="B631" i="10" s="1"/>
  <c r="C632" i="10"/>
  <c r="B632" i="10" s="1"/>
  <c r="C633" i="10"/>
  <c r="B633" i="10" s="1"/>
  <c r="C634" i="10"/>
  <c r="B634" i="10" s="1"/>
  <c r="C637" i="10"/>
  <c r="B637" i="10" s="1"/>
  <c r="C638" i="10"/>
  <c r="B638" i="10" s="1"/>
  <c r="C639" i="10"/>
  <c r="B639" i="10" s="1"/>
  <c r="C640" i="10"/>
  <c r="B640" i="10" s="1"/>
  <c r="C641" i="10"/>
  <c r="B641" i="10" s="1"/>
  <c r="C642" i="10"/>
  <c r="B642" i="10" s="1"/>
  <c r="C643" i="10"/>
  <c r="B643" i="10" s="1"/>
  <c r="C644" i="10"/>
  <c r="B644" i="10" s="1"/>
  <c r="C645" i="10"/>
  <c r="B645" i="10" s="1"/>
  <c r="C646" i="10"/>
  <c r="B646" i="10" s="1"/>
  <c r="C649" i="10"/>
  <c r="B649" i="10" s="1"/>
  <c r="C650" i="10"/>
  <c r="B650" i="10" s="1"/>
  <c r="C651" i="10"/>
  <c r="B651" i="10" s="1"/>
  <c r="C652" i="10"/>
  <c r="B652" i="10" s="1"/>
  <c r="C653" i="10"/>
  <c r="B653" i="10" s="1"/>
  <c r="C654" i="10"/>
  <c r="B654" i="10" s="1"/>
  <c r="C655" i="10"/>
  <c r="B655" i="10" s="1"/>
  <c r="C656" i="10"/>
  <c r="B656" i="10" s="1"/>
  <c r="C657" i="10"/>
  <c r="B657" i="10" s="1"/>
  <c r="C658" i="10"/>
  <c r="B658" i="10" s="1"/>
  <c r="C661" i="10"/>
  <c r="B661" i="10" s="1"/>
  <c r="C662" i="10"/>
  <c r="B662" i="10" s="1"/>
  <c r="C663" i="10"/>
  <c r="B663" i="10" s="1"/>
  <c r="C664" i="10"/>
  <c r="B664" i="10" s="1"/>
  <c r="C665" i="10"/>
  <c r="B665" i="10" s="1"/>
  <c r="C666" i="10"/>
  <c r="B666" i="10" s="1"/>
  <c r="C667" i="10"/>
  <c r="B667" i="10" s="1"/>
  <c r="C668" i="10"/>
  <c r="B668" i="10" s="1"/>
  <c r="C669" i="10"/>
  <c r="B669" i="10" s="1"/>
  <c r="C670" i="10"/>
  <c r="B670" i="10" s="1"/>
  <c r="C673" i="10"/>
  <c r="B673" i="10" s="1"/>
  <c r="C674" i="10"/>
  <c r="B674" i="10" s="1"/>
  <c r="C675" i="10"/>
  <c r="B675" i="10" s="1"/>
  <c r="C676" i="10"/>
  <c r="B676" i="10" s="1"/>
  <c r="C677" i="10"/>
  <c r="B677" i="10" s="1"/>
  <c r="C678" i="10"/>
  <c r="B678" i="10" s="1"/>
  <c r="C679" i="10"/>
  <c r="B679" i="10" s="1"/>
  <c r="C680" i="10"/>
  <c r="B680" i="10" s="1"/>
  <c r="C681" i="10"/>
  <c r="B681" i="10" s="1"/>
  <c r="C682" i="10"/>
  <c r="B682" i="10" s="1"/>
  <c r="C685" i="10"/>
  <c r="B685" i="10" s="1"/>
  <c r="C686" i="10"/>
  <c r="B686" i="10" s="1"/>
  <c r="C687" i="10"/>
  <c r="B687" i="10" s="1"/>
  <c r="C688" i="10"/>
  <c r="B688" i="10" s="1"/>
  <c r="C689" i="10"/>
  <c r="B689" i="10" s="1"/>
  <c r="C690" i="10"/>
  <c r="B690" i="10" s="1"/>
  <c r="C691" i="10"/>
  <c r="B691" i="10" s="1"/>
  <c r="C692" i="10"/>
  <c r="B692" i="10" s="1"/>
  <c r="C693" i="10"/>
  <c r="B693" i="10" s="1"/>
  <c r="C694" i="10"/>
  <c r="B694" i="10" s="1"/>
  <c r="C697" i="10"/>
  <c r="B697" i="10" s="1"/>
  <c r="C698" i="10"/>
  <c r="B698" i="10" s="1"/>
  <c r="C699" i="10"/>
  <c r="B699" i="10" s="1"/>
  <c r="C700" i="10"/>
  <c r="B700" i="10" s="1"/>
  <c r="C701" i="10"/>
  <c r="B701" i="10" s="1"/>
  <c r="C702" i="10"/>
  <c r="B702" i="10" s="1"/>
  <c r="C703" i="10"/>
  <c r="B703" i="10" s="1"/>
  <c r="C704" i="10"/>
  <c r="B704" i="10" s="1"/>
  <c r="C705" i="10"/>
  <c r="B705" i="10" s="1"/>
  <c r="C706" i="10"/>
  <c r="B706" i="10" s="1"/>
  <c r="C709" i="10"/>
  <c r="B709" i="10" s="1"/>
  <c r="C710" i="10"/>
  <c r="B710" i="10" s="1"/>
  <c r="C711" i="10"/>
  <c r="B711" i="10" s="1"/>
  <c r="C712" i="10"/>
  <c r="B712" i="10" s="1"/>
  <c r="C713" i="10"/>
  <c r="B713" i="10" s="1"/>
  <c r="C714" i="10"/>
  <c r="B714" i="10" s="1"/>
  <c r="C715" i="10"/>
  <c r="B715" i="10" s="1"/>
  <c r="C716" i="10"/>
  <c r="B716" i="10" s="1"/>
  <c r="C717" i="10"/>
  <c r="B717" i="10" s="1"/>
  <c r="C718" i="10"/>
  <c r="B718" i="10" s="1"/>
  <c r="C721" i="10"/>
  <c r="B721" i="10" s="1"/>
  <c r="C722" i="10"/>
  <c r="B722" i="10" s="1"/>
  <c r="C723" i="10"/>
  <c r="B723" i="10" s="1"/>
  <c r="C724" i="10"/>
  <c r="B724" i="10" s="1"/>
  <c r="C725" i="10"/>
  <c r="B725" i="10" s="1"/>
  <c r="C726" i="10"/>
  <c r="B726" i="10" s="1"/>
  <c r="C727" i="10"/>
  <c r="B727" i="10" s="1"/>
  <c r="C728" i="10"/>
  <c r="B728" i="10" s="1"/>
  <c r="C729" i="10"/>
  <c r="B729" i="10" s="1"/>
  <c r="C730" i="10"/>
  <c r="B730" i="10" s="1"/>
  <c r="C733" i="10"/>
  <c r="B733" i="10" s="1"/>
  <c r="C734" i="10"/>
  <c r="B734" i="10" s="1"/>
  <c r="C735" i="10"/>
  <c r="B735" i="10" s="1"/>
  <c r="C736" i="10"/>
  <c r="B736" i="10" s="1"/>
  <c r="C737" i="10"/>
  <c r="B737" i="10" s="1"/>
  <c r="C738" i="10"/>
  <c r="B738" i="10" s="1"/>
  <c r="C739" i="10"/>
  <c r="B739" i="10" s="1"/>
  <c r="C740" i="10"/>
  <c r="B740" i="10" s="1"/>
  <c r="C741" i="10"/>
  <c r="B741" i="10" s="1"/>
  <c r="C742" i="10"/>
  <c r="B742" i="10" s="1"/>
  <c r="C745" i="10"/>
  <c r="B745" i="10" s="1"/>
  <c r="C746" i="10"/>
  <c r="B746" i="10" s="1"/>
  <c r="C747" i="10"/>
  <c r="B747" i="10" s="1"/>
  <c r="C748" i="10"/>
  <c r="B748" i="10" s="1"/>
  <c r="C749" i="10"/>
  <c r="B749" i="10" s="1"/>
  <c r="C750" i="10"/>
  <c r="B750" i="10" s="1"/>
  <c r="C751" i="10"/>
  <c r="B751" i="10" s="1"/>
  <c r="C752" i="10"/>
  <c r="B752" i="10" s="1"/>
  <c r="C753" i="10"/>
  <c r="B753" i="10" s="1"/>
  <c r="C754" i="10"/>
  <c r="B754" i="10" s="1"/>
  <c r="C757" i="10"/>
  <c r="B757" i="10" s="1"/>
  <c r="C758" i="10"/>
  <c r="B758" i="10" s="1"/>
  <c r="C759" i="10"/>
  <c r="B759" i="10" s="1"/>
  <c r="C760" i="10"/>
  <c r="B760" i="10" s="1"/>
  <c r="C761" i="10"/>
  <c r="B761" i="10" s="1"/>
  <c r="C762" i="10"/>
  <c r="B762" i="10" s="1"/>
  <c r="C763" i="10"/>
  <c r="B763" i="10" s="1"/>
  <c r="C764" i="10"/>
  <c r="B764" i="10" s="1"/>
  <c r="C765" i="10"/>
  <c r="B765" i="10" s="1"/>
  <c r="C766" i="10"/>
  <c r="B766" i="10" s="1"/>
  <c r="C769" i="10"/>
  <c r="B769" i="10" s="1"/>
  <c r="C770" i="10"/>
  <c r="B770" i="10" s="1"/>
  <c r="C771" i="10"/>
  <c r="B771" i="10" s="1"/>
  <c r="C772" i="10"/>
  <c r="B772" i="10" s="1"/>
  <c r="C773" i="10"/>
  <c r="B773" i="10" s="1"/>
  <c r="C774" i="10"/>
  <c r="B774" i="10" s="1"/>
  <c r="C775" i="10"/>
  <c r="B775" i="10" s="1"/>
  <c r="C776" i="10"/>
  <c r="B776" i="10" s="1"/>
  <c r="C777" i="10"/>
  <c r="B777" i="10" s="1"/>
  <c r="C778" i="10"/>
  <c r="B778" i="10" s="1"/>
  <c r="C781" i="10"/>
  <c r="B781" i="10" s="1"/>
  <c r="C782" i="10"/>
  <c r="B782" i="10" s="1"/>
  <c r="C783" i="10"/>
  <c r="B783" i="10" s="1"/>
  <c r="C784" i="10"/>
  <c r="B784" i="10" s="1"/>
  <c r="C785" i="10"/>
  <c r="B785" i="10" s="1"/>
  <c r="C786" i="10"/>
  <c r="B786" i="10" s="1"/>
  <c r="C787" i="10"/>
  <c r="B787" i="10" s="1"/>
  <c r="C788" i="10"/>
  <c r="B788" i="10" s="1"/>
  <c r="C789" i="10"/>
  <c r="B789" i="10" s="1"/>
  <c r="C790" i="10"/>
  <c r="B790" i="10" s="1"/>
  <c r="C793" i="10"/>
  <c r="B793" i="10" s="1"/>
  <c r="C794" i="10"/>
  <c r="B794" i="10" s="1"/>
  <c r="C795" i="10"/>
  <c r="B795" i="10" s="1"/>
  <c r="C796" i="10"/>
  <c r="B796" i="10" s="1"/>
  <c r="C797" i="10"/>
  <c r="B797" i="10" s="1"/>
  <c r="C798" i="10"/>
  <c r="B798" i="10" s="1"/>
  <c r="C799" i="10"/>
  <c r="B799" i="10" s="1"/>
  <c r="C800" i="10"/>
  <c r="B800" i="10" s="1"/>
  <c r="C801" i="10"/>
  <c r="B801" i="10" s="1"/>
  <c r="C802" i="10"/>
  <c r="B802" i="10" s="1"/>
  <c r="C805" i="10"/>
  <c r="B805" i="10" s="1"/>
  <c r="C806" i="10"/>
  <c r="B806" i="10" s="1"/>
  <c r="C807" i="10"/>
  <c r="B807" i="10" s="1"/>
  <c r="C808" i="10"/>
  <c r="B808" i="10" s="1"/>
  <c r="C809" i="10"/>
  <c r="B809" i="10" s="1"/>
  <c r="C810" i="10"/>
  <c r="B810" i="10" s="1"/>
  <c r="C811" i="10"/>
  <c r="B811" i="10" s="1"/>
  <c r="C812" i="10"/>
  <c r="B812" i="10" s="1"/>
  <c r="C813" i="10"/>
  <c r="B813" i="10" s="1"/>
  <c r="C814" i="10"/>
  <c r="B814" i="10" s="1"/>
  <c r="C817" i="10"/>
  <c r="B817" i="10" s="1"/>
  <c r="C818" i="10"/>
  <c r="B818" i="10" s="1"/>
  <c r="C819" i="10"/>
  <c r="B819" i="10" s="1"/>
  <c r="C820" i="10"/>
  <c r="B820" i="10" s="1"/>
  <c r="C821" i="10"/>
  <c r="B821" i="10" s="1"/>
  <c r="C822" i="10"/>
  <c r="B822" i="10" s="1"/>
  <c r="C823" i="10"/>
  <c r="B823" i="10" s="1"/>
  <c r="C824" i="10"/>
  <c r="B824" i="10" s="1"/>
  <c r="C825" i="10"/>
  <c r="B825" i="10" s="1"/>
  <c r="C826" i="10"/>
  <c r="B826" i="10" s="1"/>
  <c r="C829" i="10"/>
  <c r="B829" i="10" s="1"/>
  <c r="C830" i="10"/>
  <c r="B830" i="10" s="1"/>
  <c r="C831" i="10"/>
  <c r="B831" i="10" s="1"/>
  <c r="C832" i="10"/>
  <c r="B832" i="10" s="1"/>
  <c r="C833" i="10"/>
  <c r="B833" i="10" s="1"/>
  <c r="C834" i="10"/>
  <c r="B834" i="10" s="1"/>
  <c r="C835" i="10"/>
  <c r="B835" i="10" s="1"/>
  <c r="C836" i="10"/>
  <c r="B836" i="10" s="1"/>
  <c r="C837" i="10"/>
  <c r="B837" i="10" s="1"/>
  <c r="C838" i="10"/>
  <c r="B838" i="10" s="1"/>
  <c r="C841" i="10"/>
  <c r="B841" i="10" s="1"/>
  <c r="C842" i="10"/>
  <c r="B842" i="10" s="1"/>
  <c r="C843" i="10"/>
  <c r="B843" i="10" s="1"/>
  <c r="C844" i="10"/>
  <c r="B844" i="10" s="1"/>
  <c r="C845" i="10"/>
  <c r="B845" i="10" s="1"/>
  <c r="C846" i="10"/>
  <c r="B846" i="10" s="1"/>
  <c r="C847" i="10"/>
  <c r="B847" i="10" s="1"/>
  <c r="C848" i="10"/>
  <c r="B848" i="10" s="1"/>
  <c r="C849" i="10"/>
  <c r="B849" i="10" s="1"/>
  <c r="C850" i="10"/>
  <c r="B850" i="10" s="1"/>
  <c r="C853" i="10"/>
  <c r="B853" i="10" s="1"/>
  <c r="C854" i="10"/>
  <c r="B854" i="10" s="1"/>
  <c r="C855" i="10"/>
  <c r="B855" i="10" s="1"/>
  <c r="C856" i="10"/>
  <c r="B856" i="10" s="1"/>
  <c r="C857" i="10"/>
  <c r="B857" i="10" s="1"/>
  <c r="C858" i="10"/>
  <c r="B858" i="10" s="1"/>
  <c r="C859" i="10"/>
  <c r="B859" i="10" s="1"/>
  <c r="C860" i="10"/>
  <c r="B860" i="10" s="1"/>
  <c r="C861" i="10"/>
  <c r="B861" i="10" s="1"/>
  <c r="C862" i="10"/>
  <c r="B862" i="10" s="1"/>
  <c r="C865" i="10"/>
  <c r="B865" i="10" s="1"/>
  <c r="C866" i="10"/>
  <c r="B866" i="10" s="1"/>
  <c r="C867" i="10"/>
  <c r="B867" i="10" s="1"/>
  <c r="C868" i="10"/>
  <c r="B868" i="10" s="1"/>
  <c r="C869" i="10"/>
  <c r="B869" i="10" s="1"/>
  <c r="C870" i="10"/>
  <c r="B870" i="10" s="1"/>
  <c r="C871" i="10"/>
  <c r="B871" i="10" s="1"/>
  <c r="C872" i="10"/>
  <c r="B872" i="10" s="1"/>
  <c r="C873" i="10"/>
  <c r="B873" i="10" s="1"/>
  <c r="C874" i="10"/>
  <c r="B874" i="10" s="1"/>
  <c r="C877" i="10"/>
  <c r="B877" i="10" s="1"/>
  <c r="C878" i="10"/>
  <c r="B878" i="10" s="1"/>
  <c r="C879" i="10"/>
  <c r="B879" i="10" s="1"/>
  <c r="C880" i="10"/>
  <c r="B880" i="10" s="1"/>
  <c r="C881" i="10"/>
  <c r="B881" i="10" s="1"/>
  <c r="C882" i="10"/>
  <c r="B882" i="10" s="1"/>
  <c r="C883" i="10"/>
  <c r="B883" i="10" s="1"/>
  <c r="C884" i="10"/>
  <c r="B884" i="10" s="1"/>
  <c r="C885" i="10"/>
  <c r="B885" i="10" s="1"/>
  <c r="C886" i="10"/>
  <c r="B886" i="10" s="1"/>
  <c r="C889" i="10"/>
  <c r="B889" i="10" s="1"/>
  <c r="C890" i="10"/>
  <c r="B890" i="10" s="1"/>
  <c r="C891" i="10"/>
  <c r="B891" i="10" s="1"/>
  <c r="C892" i="10"/>
  <c r="B892" i="10" s="1"/>
  <c r="C893" i="10"/>
  <c r="B893" i="10" s="1"/>
  <c r="C894" i="10"/>
  <c r="B894" i="10" s="1"/>
  <c r="C895" i="10"/>
  <c r="B895" i="10" s="1"/>
  <c r="C896" i="10"/>
  <c r="B896" i="10" s="1"/>
  <c r="C897" i="10"/>
  <c r="B897" i="10" s="1"/>
  <c r="C898" i="10"/>
  <c r="B898" i="10" s="1"/>
  <c r="C901" i="10"/>
  <c r="B901" i="10" s="1"/>
  <c r="C902" i="10"/>
  <c r="B902" i="10" s="1"/>
  <c r="C903" i="10"/>
  <c r="B903" i="10" s="1"/>
  <c r="C904" i="10"/>
  <c r="B904" i="10" s="1"/>
  <c r="C905" i="10"/>
  <c r="B905" i="10" s="1"/>
  <c r="C906" i="10"/>
  <c r="B906" i="10" s="1"/>
  <c r="C907" i="10"/>
  <c r="B907" i="10" s="1"/>
  <c r="C908" i="10"/>
  <c r="B908" i="10" s="1"/>
  <c r="C909" i="10"/>
  <c r="B909" i="10" s="1"/>
  <c r="C910" i="10"/>
  <c r="B910" i="10" s="1"/>
  <c r="C913" i="10"/>
  <c r="B913" i="10" s="1"/>
  <c r="C914" i="10"/>
  <c r="B914" i="10" s="1"/>
  <c r="C915" i="10"/>
  <c r="B915" i="10" s="1"/>
  <c r="C916" i="10"/>
  <c r="B916" i="10" s="1"/>
  <c r="C917" i="10"/>
  <c r="B917" i="10" s="1"/>
  <c r="C918" i="10"/>
  <c r="B918" i="10" s="1"/>
  <c r="C919" i="10"/>
  <c r="B919" i="10" s="1"/>
  <c r="C920" i="10"/>
  <c r="B920" i="10" s="1"/>
  <c r="C921" i="10"/>
  <c r="B921" i="10" s="1"/>
  <c r="C922" i="10"/>
  <c r="B922" i="10" s="1"/>
  <c r="C925" i="10"/>
  <c r="B925" i="10" s="1"/>
  <c r="C926" i="10"/>
  <c r="B926" i="10" s="1"/>
  <c r="C927" i="10"/>
  <c r="B927" i="10" s="1"/>
  <c r="C928" i="10"/>
  <c r="B928" i="10" s="1"/>
  <c r="C929" i="10"/>
  <c r="B929" i="10" s="1"/>
  <c r="C930" i="10"/>
  <c r="B930" i="10" s="1"/>
  <c r="C931" i="10"/>
  <c r="B931" i="10" s="1"/>
  <c r="C932" i="10"/>
  <c r="B932" i="10" s="1"/>
  <c r="C933" i="10"/>
  <c r="B933" i="10" s="1"/>
  <c r="C934" i="10"/>
  <c r="B934" i="10" s="1"/>
  <c r="C937" i="10"/>
  <c r="B937" i="10" s="1"/>
  <c r="C938" i="10"/>
  <c r="B938" i="10" s="1"/>
  <c r="C939" i="10"/>
  <c r="B939" i="10" s="1"/>
  <c r="C940" i="10"/>
  <c r="B940" i="10" s="1"/>
  <c r="C941" i="10"/>
  <c r="B941" i="10" s="1"/>
  <c r="C942" i="10"/>
  <c r="B942" i="10" s="1"/>
  <c r="C943" i="10"/>
  <c r="B943" i="10" s="1"/>
  <c r="C944" i="10"/>
  <c r="B944" i="10" s="1"/>
  <c r="C945" i="10"/>
  <c r="B945" i="10" s="1"/>
  <c r="C946" i="10"/>
  <c r="B946" i="10" s="1"/>
  <c r="C949" i="10"/>
  <c r="B949" i="10" s="1"/>
  <c r="C950" i="10"/>
  <c r="B950" i="10" s="1"/>
  <c r="C951" i="10"/>
  <c r="B951" i="10" s="1"/>
  <c r="C952" i="10"/>
  <c r="B952" i="10" s="1"/>
  <c r="C953" i="10"/>
  <c r="B953" i="10" s="1"/>
  <c r="C954" i="10"/>
  <c r="B954" i="10" s="1"/>
  <c r="C955" i="10"/>
  <c r="B955" i="10" s="1"/>
  <c r="C956" i="10"/>
  <c r="B956" i="10" s="1"/>
  <c r="C957" i="10"/>
  <c r="B957" i="10" s="1"/>
  <c r="C958" i="10"/>
  <c r="B958" i="10" s="1"/>
  <c r="C961" i="10"/>
  <c r="B961" i="10" s="1"/>
  <c r="C962" i="10"/>
  <c r="B962" i="10" s="1"/>
  <c r="C963" i="10"/>
  <c r="B963" i="10" s="1"/>
  <c r="C4" i="10"/>
  <c r="C5" i="10"/>
  <c r="C6" i="10"/>
  <c r="C7" i="10"/>
  <c r="C8" i="10"/>
  <c r="C9" i="10"/>
  <c r="C10" i="10"/>
  <c r="C13" i="10"/>
  <c r="C14" i="10"/>
  <c r="C15" i="10"/>
  <c r="C16" i="10"/>
  <c r="C17" i="10"/>
  <c r="C18" i="10"/>
  <c r="C19" i="10"/>
  <c r="C20" i="10"/>
  <c r="C21" i="10"/>
  <c r="C22" i="10"/>
  <c r="B1252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B675" i="9" s="1"/>
  <c r="C676" i="9"/>
  <c r="C677" i="9"/>
  <c r="C678" i="9"/>
  <c r="C679" i="9"/>
  <c r="C680" i="9"/>
  <c r="C681" i="9"/>
  <c r="C682" i="9"/>
  <c r="C683" i="9"/>
  <c r="C684" i="9"/>
  <c r="C685" i="9"/>
  <c r="C686" i="9"/>
  <c r="C687" i="9"/>
  <c r="B687" i="9" s="1"/>
  <c r="C688" i="9"/>
  <c r="C689" i="9"/>
  <c r="C690" i="9"/>
  <c r="C691" i="9"/>
  <c r="C692" i="9"/>
  <c r="C693" i="9"/>
  <c r="C694" i="9"/>
  <c r="C695" i="9"/>
  <c r="C696" i="9"/>
  <c r="C697" i="9"/>
  <c r="C698" i="9"/>
  <c r="C699" i="9"/>
  <c r="B699" i="9" s="1"/>
  <c r="C700" i="9"/>
  <c r="C701" i="9"/>
  <c r="C702" i="9"/>
  <c r="C703" i="9"/>
  <c r="C704" i="9"/>
  <c r="C705" i="9"/>
  <c r="C706" i="9"/>
  <c r="C707" i="9"/>
  <c r="C708" i="9"/>
  <c r="C709" i="9"/>
  <c r="C710" i="9"/>
  <c r="C711" i="9"/>
  <c r="B711" i="9" s="1"/>
  <c r="C712" i="9"/>
  <c r="C713" i="9"/>
  <c r="C714" i="9"/>
  <c r="C715" i="9"/>
  <c r="C716" i="9"/>
  <c r="C717" i="9"/>
  <c r="C718" i="9"/>
  <c r="C719" i="9"/>
  <c r="C720" i="9"/>
  <c r="C721" i="9"/>
  <c r="C722" i="9"/>
  <c r="C723" i="9"/>
  <c r="B723" i="9" s="1"/>
  <c r="C724" i="9"/>
  <c r="C725" i="9"/>
  <c r="C726" i="9"/>
  <c r="C727" i="9"/>
  <c r="C728" i="9"/>
  <c r="C729" i="9"/>
  <c r="C730" i="9"/>
  <c r="C731" i="9"/>
  <c r="C732" i="9"/>
  <c r="C733" i="9"/>
  <c r="C734" i="9"/>
  <c r="C735" i="9"/>
  <c r="B735" i="9" s="1"/>
  <c r="C736" i="9"/>
  <c r="C737" i="9"/>
  <c r="C738" i="9"/>
  <c r="C739" i="9"/>
  <c r="C740" i="9"/>
  <c r="C741" i="9"/>
  <c r="C742" i="9"/>
  <c r="C743" i="9"/>
  <c r="C744" i="9"/>
  <c r="C745" i="9"/>
  <c r="C746" i="9"/>
  <c r="C747" i="9"/>
  <c r="B747" i="9" s="1"/>
  <c r="C748" i="9"/>
  <c r="C749" i="9"/>
  <c r="C750" i="9"/>
  <c r="C751" i="9"/>
  <c r="C752" i="9"/>
  <c r="C753" i="9"/>
  <c r="C754" i="9"/>
  <c r="C755" i="9"/>
  <c r="C756" i="9"/>
  <c r="C757" i="9"/>
  <c r="C758" i="9"/>
  <c r="C759" i="9"/>
  <c r="B759" i="9" s="1"/>
  <c r="C760" i="9"/>
  <c r="C761" i="9"/>
  <c r="C762" i="9"/>
  <c r="C763" i="9"/>
  <c r="C764" i="9"/>
  <c r="C765" i="9"/>
  <c r="C766" i="9"/>
  <c r="C767" i="9"/>
  <c r="C768" i="9"/>
  <c r="C769" i="9"/>
  <c r="C770" i="9"/>
  <c r="C771" i="9"/>
  <c r="B771" i="9" s="1"/>
  <c r="C772" i="9"/>
  <c r="C773" i="9"/>
  <c r="C774" i="9"/>
  <c r="C775" i="9"/>
  <c r="C776" i="9"/>
  <c r="C777" i="9"/>
  <c r="C778" i="9"/>
  <c r="C779" i="9"/>
  <c r="C780" i="9"/>
  <c r="C781" i="9"/>
  <c r="C782" i="9"/>
  <c r="C783" i="9"/>
  <c r="B783" i="9" s="1"/>
  <c r="C784" i="9"/>
  <c r="C785" i="9"/>
  <c r="C786" i="9"/>
  <c r="C787" i="9"/>
  <c r="C788" i="9"/>
  <c r="C789" i="9"/>
  <c r="C790" i="9"/>
  <c r="C791" i="9"/>
  <c r="C792" i="9"/>
  <c r="C793" i="9"/>
  <c r="C794" i="9"/>
  <c r="C795" i="9"/>
  <c r="B795" i="9" s="1"/>
  <c r="C796" i="9"/>
  <c r="C797" i="9"/>
  <c r="C798" i="9"/>
  <c r="C799" i="9"/>
  <c r="C800" i="9"/>
  <c r="C801" i="9"/>
  <c r="C802" i="9"/>
  <c r="C803" i="9"/>
  <c r="C804" i="9"/>
  <c r="C805" i="9"/>
  <c r="C806" i="9"/>
  <c r="C807" i="9"/>
  <c r="B807" i="9" s="1"/>
  <c r="C808" i="9"/>
  <c r="C809" i="9"/>
  <c r="C810" i="9"/>
  <c r="C811" i="9"/>
  <c r="C812" i="9"/>
  <c r="C813" i="9"/>
  <c r="C814" i="9"/>
  <c r="C815" i="9"/>
  <c r="C816" i="9"/>
  <c r="C817" i="9"/>
  <c r="C818" i="9"/>
  <c r="C819" i="9"/>
  <c r="B819" i="9" s="1"/>
  <c r="C820" i="9"/>
  <c r="C821" i="9"/>
  <c r="C822" i="9"/>
  <c r="C823" i="9"/>
  <c r="C824" i="9"/>
  <c r="C825" i="9"/>
  <c r="C826" i="9"/>
  <c r="C827" i="9"/>
  <c r="C828" i="9"/>
  <c r="C829" i="9"/>
  <c r="C830" i="9"/>
  <c r="C831" i="9"/>
  <c r="B831" i="9" s="1"/>
  <c r="C832" i="9"/>
  <c r="C833" i="9"/>
  <c r="C834" i="9"/>
  <c r="C835" i="9"/>
  <c r="C836" i="9"/>
  <c r="C837" i="9"/>
  <c r="C838" i="9"/>
  <c r="C839" i="9"/>
  <c r="C840" i="9"/>
  <c r="C841" i="9"/>
  <c r="C842" i="9"/>
  <c r="C843" i="9"/>
  <c r="B843" i="9" s="1"/>
  <c r="C844" i="9"/>
  <c r="C845" i="9"/>
  <c r="C846" i="9"/>
  <c r="C847" i="9"/>
  <c r="C848" i="9"/>
  <c r="C849" i="9"/>
  <c r="C850" i="9"/>
  <c r="C851" i="9"/>
  <c r="C852" i="9"/>
  <c r="C853" i="9"/>
  <c r="C854" i="9"/>
  <c r="C855" i="9"/>
  <c r="B855" i="9" s="1"/>
  <c r="C856" i="9"/>
  <c r="C857" i="9"/>
  <c r="C858" i="9"/>
  <c r="C859" i="9"/>
  <c r="C860" i="9"/>
  <c r="C861" i="9"/>
  <c r="C862" i="9"/>
  <c r="C863" i="9"/>
  <c r="C864" i="9"/>
  <c r="C865" i="9"/>
  <c r="C866" i="9"/>
  <c r="C867" i="9"/>
  <c r="B867" i="9" s="1"/>
  <c r="C868" i="9"/>
  <c r="C869" i="9"/>
  <c r="C870" i="9"/>
  <c r="C871" i="9"/>
  <c r="C872" i="9"/>
  <c r="C873" i="9"/>
  <c r="C874" i="9"/>
  <c r="C875" i="9"/>
  <c r="C876" i="9"/>
  <c r="C877" i="9"/>
  <c r="C878" i="9"/>
  <c r="C879" i="9"/>
  <c r="B879" i="9" s="1"/>
  <c r="C880" i="9"/>
  <c r="C881" i="9"/>
  <c r="C882" i="9"/>
  <c r="C883" i="9"/>
  <c r="C884" i="9"/>
  <c r="C885" i="9"/>
  <c r="C886" i="9"/>
  <c r="C887" i="9"/>
  <c r="C888" i="9"/>
  <c r="C889" i="9"/>
  <c r="C890" i="9"/>
  <c r="C891" i="9"/>
  <c r="B891" i="9" s="1"/>
  <c r="C892" i="9"/>
  <c r="C893" i="9"/>
  <c r="C894" i="9"/>
  <c r="C895" i="9"/>
  <c r="C896" i="9"/>
  <c r="C897" i="9"/>
  <c r="C898" i="9"/>
  <c r="C899" i="9"/>
  <c r="C900" i="9"/>
  <c r="C901" i="9"/>
  <c r="C902" i="9"/>
  <c r="C903" i="9"/>
  <c r="B903" i="9" s="1"/>
  <c r="C904" i="9"/>
  <c r="C905" i="9"/>
  <c r="C906" i="9"/>
  <c r="C907" i="9"/>
  <c r="C908" i="9"/>
  <c r="C909" i="9"/>
  <c r="C910" i="9"/>
  <c r="C911" i="9"/>
  <c r="C912" i="9"/>
  <c r="C913" i="9"/>
  <c r="C914" i="9"/>
  <c r="C915" i="9"/>
  <c r="B915" i="9" s="1"/>
  <c r="C916" i="9"/>
  <c r="C917" i="9"/>
  <c r="C918" i="9"/>
  <c r="C919" i="9"/>
  <c r="C920" i="9"/>
  <c r="C921" i="9"/>
  <c r="C922" i="9"/>
  <c r="C923" i="9"/>
  <c r="C924" i="9"/>
  <c r="C925" i="9"/>
  <c r="C926" i="9"/>
  <c r="C927" i="9"/>
  <c r="B927" i="9" s="1"/>
  <c r="C928" i="9"/>
  <c r="C929" i="9"/>
  <c r="C930" i="9"/>
  <c r="C931" i="9"/>
  <c r="C932" i="9"/>
  <c r="C933" i="9"/>
  <c r="C934" i="9"/>
  <c r="C935" i="9"/>
  <c r="C936" i="9"/>
  <c r="C937" i="9"/>
  <c r="C938" i="9"/>
  <c r="C939" i="9"/>
  <c r="B939" i="9" s="1"/>
  <c r="C940" i="9"/>
  <c r="C941" i="9"/>
  <c r="C942" i="9"/>
  <c r="C943" i="9"/>
  <c r="C944" i="9"/>
  <c r="C945" i="9"/>
  <c r="C946" i="9"/>
  <c r="C947" i="9"/>
  <c r="C948" i="9"/>
  <c r="C949" i="9"/>
  <c r="C950" i="9"/>
  <c r="C951" i="9"/>
  <c r="B951" i="9" s="1"/>
  <c r="C952" i="9"/>
  <c r="C953" i="9"/>
  <c r="C954" i="9"/>
  <c r="C955" i="9"/>
  <c r="C956" i="9"/>
  <c r="C957" i="9"/>
  <c r="C958" i="9"/>
  <c r="C959" i="9"/>
  <c r="C960" i="9"/>
  <c r="C961" i="9"/>
  <c r="C962" i="9"/>
  <c r="C963" i="9"/>
  <c r="B963" i="9" s="1"/>
  <c r="C964" i="9"/>
  <c r="C965" i="9"/>
  <c r="C966" i="9"/>
  <c r="C967" i="9"/>
  <c r="C968" i="9"/>
  <c r="C969" i="9"/>
  <c r="C970" i="9"/>
  <c r="C971" i="9"/>
  <c r="C972" i="9"/>
  <c r="C973" i="9"/>
  <c r="C974" i="9"/>
  <c r="C975" i="9"/>
  <c r="B975" i="9" s="1"/>
  <c r="C976" i="9"/>
  <c r="C977" i="9"/>
  <c r="C978" i="9"/>
  <c r="C979" i="9"/>
  <c r="C980" i="9"/>
  <c r="C981" i="9"/>
  <c r="C982" i="9"/>
  <c r="C983" i="9"/>
  <c r="C984" i="9"/>
  <c r="C985" i="9"/>
  <c r="C986" i="9"/>
  <c r="C987" i="9"/>
  <c r="B987" i="9" s="1"/>
  <c r="C988" i="9"/>
  <c r="C989" i="9"/>
  <c r="C990" i="9"/>
  <c r="C991" i="9"/>
  <c r="C992" i="9"/>
  <c r="C993" i="9"/>
  <c r="C994" i="9"/>
  <c r="C995" i="9"/>
  <c r="C996" i="9"/>
  <c r="C997" i="9"/>
  <c r="C998" i="9"/>
  <c r="C999" i="9"/>
  <c r="B999" i="9" s="1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B1011" i="9" s="1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B1023" i="9" s="1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B1035" i="9" s="1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B1047" i="9" s="1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B1059" i="9" s="1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B1071" i="9" s="1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B1083" i="9" s="1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B1095" i="9" s="1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B1107" i="9" s="1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B1119" i="9" s="1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B1131" i="9" s="1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B1143" i="9" s="1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B1155" i="9" s="1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B1167" i="9" s="1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B1179" i="9" s="1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B1191" i="9" s="1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B1203" i="9" s="1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B1215" i="9" s="1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B1227" i="9" s="1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B1239" i="9" s="1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B1251" i="9" s="1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B1263" i="9" s="1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B1275" i="9" s="1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B1287" i="9" s="1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B1299" i="9" s="1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B1311" i="9" s="1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B1323" i="9" s="1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B1335" i="9" s="1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B1347" i="9" s="1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B1359" i="9" s="1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B1371" i="9" s="1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B1383" i="9" s="1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B1395" i="9" s="1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B1407" i="9" s="1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B1419" i="9" s="1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B1431" i="9" s="1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B1443" i="9" s="1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B1455" i="9" s="1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B1467" i="9" s="1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B1479" i="9" s="1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B1491" i="9" s="1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B1503" i="9" s="1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B1515" i="9" s="1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B1527" i="9" s="1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B1539" i="9" s="1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B1551" i="9" s="1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B1563" i="9" s="1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B1575" i="9" s="1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B1587" i="9" s="1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B1599" i="9" s="1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B1611" i="9" s="1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B1623" i="9" s="1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B1635" i="9" s="1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B1647" i="9" s="1"/>
  <c r="C1648" i="9"/>
  <c r="M38" i="9"/>
  <c r="M39" i="9"/>
  <c r="M40" i="9"/>
  <c r="M41" i="9"/>
  <c r="M42" i="9"/>
  <c r="M43" i="9"/>
  <c r="M44" i="9"/>
  <c r="M45" i="9"/>
  <c r="M46" i="9"/>
  <c r="M47" i="9"/>
  <c r="M48" i="9"/>
  <c r="L48" i="9" s="1"/>
  <c r="M49" i="9"/>
  <c r="M50" i="9"/>
  <c r="M51" i="9"/>
  <c r="M52" i="9"/>
  <c r="M53" i="9"/>
  <c r="M54" i="9"/>
  <c r="M55" i="9"/>
  <c r="M56" i="9"/>
  <c r="M57" i="9"/>
  <c r="M58" i="9"/>
  <c r="M59" i="9"/>
  <c r="M60" i="9"/>
  <c r="L60" i="9" s="1"/>
  <c r="M61" i="9"/>
  <c r="M62" i="9"/>
  <c r="M63" i="9"/>
  <c r="M64" i="9"/>
  <c r="M65" i="9"/>
  <c r="M66" i="9"/>
  <c r="M67" i="9"/>
  <c r="M68" i="9"/>
  <c r="M69" i="9"/>
  <c r="M70" i="9"/>
  <c r="M71" i="9"/>
  <c r="M72" i="9"/>
  <c r="L72" i="9" s="1"/>
  <c r="M73" i="9"/>
  <c r="M74" i="9"/>
  <c r="M75" i="9"/>
  <c r="M76" i="9"/>
  <c r="M77" i="9"/>
  <c r="M78" i="9"/>
  <c r="M79" i="9"/>
  <c r="M80" i="9"/>
  <c r="M81" i="9"/>
  <c r="M82" i="9"/>
  <c r="M83" i="9"/>
  <c r="M84" i="9"/>
  <c r="L84" i="9" s="1"/>
  <c r="M85" i="9"/>
  <c r="M86" i="9"/>
  <c r="M87" i="9"/>
  <c r="M88" i="9"/>
  <c r="M89" i="9"/>
  <c r="M90" i="9"/>
  <c r="M91" i="9"/>
  <c r="M92" i="9"/>
  <c r="M93" i="9"/>
  <c r="M94" i="9"/>
  <c r="M95" i="9"/>
  <c r="M96" i="9"/>
  <c r="L96" i="9" s="1"/>
  <c r="M97" i="9"/>
  <c r="M98" i="9"/>
  <c r="M99" i="9"/>
  <c r="M100" i="9"/>
  <c r="M101" i="9"/>
  <c r="M102" i="9"/>
  <c r="M103" i="9"/>
  <c r="M104" i="9"/>
  <c r="M105" i="9"/>
  <c r="M106" i="9"/>
  <c r="M107" i="9"/>
  <c r="M108" i="9"/>
  <c r="L108" i="9" s="1"/>
  <c r="M109" i="9"/>
  <c r="M110" i="9"/>
  <c r="M111" i="9"/>
  <c r="M112" i="9"/>
  <c r="M113" i="9"/>
  <c r="M114" i="9"/>
  <c r="M115" i="9"/>
  <c r="M116" i="9"/>
  <c r="M117" i="9"/>
  <c r="M118" i="9"/>
  <c r="M119" i="9"/>
  <c r="M120" i="9"/>
  <c r="L120" i="9" s="1"/>
  <c r="M121" i="9"/>
  <c r="M122" i="9"/>
  <c r="M123" i="9"/>
  <c r="M124" i="9"/>
  <c r="M125" i="9"/>
  <c r="M126" i="9"/>
  <c r="M127" i="9"/>
  <c r="M128" i="9"/>
  <c r="M129" i="9"/>
  <c r="M130" i="9"/>
  <c r="M131" i="9"/>
  <c r="M132" i="9"/>
  <c r="L132" i="9" s="1"/>
  <c r="M133" i="9"/>
  <c r="M134" i="9"/>
  <c r="M135" i="9"/>
  <c r="M136" i="9"/>
  <c r="M137" i="9"/>
  <c r="M138" i="9"/>
  <c r="M139" i="9"/>
  <c r="M140" i="9"/>
  <c r="M141" i="9"/>
  <c r="M142" i="9"/>
  <c r="M143" i="9"/>
  <c r="M144" i="9"/>
  <c r="L144" i="9" s="1"/>
  <c r="M145" i="9"/>
  <c r="M146" i="9"/>
  <c r="M147" i="9"/>
  <c r="M148" i="9"/>
  <c r="M149" i="9"/>
  <c r="M150" i="9"/>
  <c r="M151" i="9"/>
  <c r="M152" i="9"/>
  <c r="M153" i="9"/>
  <c r="M154" i="9"/>
  <c r="M155" i="9"/>
  <c r="M156" i="9"/>
  <c r="L156" i="9" s="1"/>
  <c r="M157" i="9"/>
  <c r="M158" i="9"/>
  <c r="M159" i="9"/>
  <c r="M160" i="9"/>
  <c r="M161" i="9"/>
  <c r="M162" i="9"/>
  <c r="M163" i="9"/>
  <c r="M164" i="9"/>
  <c r="M165" i="9"/>
  <c r="M166" i="9"/>
  <c r="M167" i="9"/>
  <c r="M168" i="9"/>
  <c r="L168" i="9" s="1"/>
  <c r="M169" i="9"/>
  <c r="M170" i="9"/>
  <c r="M171" i="9"/>
  <c r="M172" i="9"/>
  <c r="M173" i="9"/>
  <c r="M174" i="9"/>
  <c r="M175" i="9"/>
  <c r="M176" i="9"/>
  <c r="M177" i="9"/>
  <c r="M178" i="9"/>
  <c r="M179" i="9"/>
  <c r="M180" i="9"/>
  <c r="L180" i="9" s="1"/>
  <c r="M181" i="9"/>
  <c r="M182" i="9"/>
  <c r="M183" i="9"/>
  <c r="M184" i="9"/>
  <c r="M185" i="9"/>
  <c r="M186" i="9"/>
  <c r="M187" i="9"/>
  <c r="M188" i="9"/>
  <c r="M189" i="9"/>
  <c r="M190" i="9"/>
  <c r="M191" i="9"/>
  <c r="M192" i="9"/>
  <c r="L192" i="9" s="1"/>
  <c r="M193" i="9"/>
  <c r="M194" i="9"/>
  <c r="M195" i="9"/>
  <c r="M196" i="9"/>
  <c r="M197" i="9"/>
  <c r="M198" i="9"/>
  <c r="M199" i="9"/>
  <c r="M200" i="9"/>
  <c r="M201" i="9"/>
  <c r="M202" i="9"/>
  <c r="M203" i="9"/>
  <c r="M204" i="9"/>
  <c r="L204" i="9" s="1"/>
  <c r="M205" i="9"/>
  <c r="M206" i="9"/>
  <c r="M207" i="9"/>
  <c r="M208" i="9"/>
  <c r="M209" i="9"/>
  <c r="M210" i="9"/>
  <c r="M211" i="9"/>
  <c r="M212" i="9"/>
  <c r="M213" i="9"/>
  <c r="M214" i="9"/>
  <c r="M215" i="9"/>
  <c r="M216" i="9"/>
  <c r="L216" i="9" s="1"/>
  <c r="M217" i="9"/>
  <c r="M218" i="9"/>
  <c r="M219" i="9"/>
  <c r="M220" i="9"/>
  <c r="M221" i="9"/>
  <c r="M222" i="9"/>
  <c r="M223" i="9"/>
  <c r="M224" i="9"/>
  <c r="M225" i="9"/>
  <c r="M226" i="9"/>
  <c r="M227" i="9"/>
  <c r="M228" i="9"/>
  <c r="L228" i="9" s="1"/>
  <c r="M229" i="9"/>
  <c r="M230" i="9"/>
  <c r="M231" i="9"/>
  <c r="M232" i="9"/>
  <c r="M233" i="9"/>
  <c r="M234" i="9"/>
  <c r="M235" i="9"/>
  <c r="M236" i="9"/>
  <c r="M237" i="9"/>
  <c r="M238" i="9"/>
  <c r="M239" i="9"/>
  <c r="M240" i="9"/>
  <c r="L240" i="9" s="1"/>
  <c r="M241" i="9"/>
  <c r="M242" i="9"/>
  <c r="M243" i="9"/>
  <c r="M244" i="9"/>
  <c r="M245" i="9"/>
  <c r="M246" i="9"/>
  <c r="M247" i="9"/>
  <c r="M248" i="9"/>
  <c r="M249" i="9"/>
  <c r="M250" i="9"/>
  <c r="M251" i="9"/>
  <c r="M252" i="9"/>
  <c r="L252" i="9" s="1"/>
  <c r="M253" i="9"/>
  <c r="M254" i="9"/>
  <c r="M255" i="9"/>
  <c r="M256" i="9"/>
  <c r="M257" i="9"/>
  <c r="M258" i="9"/>
  <c r="M259" i="9"/>
  <c r="M260" i="9"/>
  <c r="M261" i="9"/>
  <c r="M262" i="9"/>
  <c r="M263" i="9"/>
  <c r="M264" i="9"/>
  <c r="L264" i="9" s="1"/>
  <c r="M265" i="9"/>
  <c r="M266" i="9"/>
  <c r="M267" i="9"/>
  <c r="M268" i="9"/>
  <c r="M269" i="9"/>
  <c r="M270" i="9"/>
  <c r="M271" i="9"/>
  <c r="M272" i="9"/>
  <c r="M273" i="9"/>
  <c r="M274" i="9"/>
  <c r="M275" i="9"/>
  <c r="M276" i="9"/>
  <c r="L276" i="9" s="1"/>
  <c r="M277" i="9"/>
  <c r="M278" i="9"/>
  <c r="M279" i="9"/>
  <c r="M280" i="9"/>
  <c r="M281" i="9"/>
  <c r="M282" i="9"/>
  <c r="M283" i="9"/>
  <c r="M284" i="9"/>
  <c r="M285" i="9"/>
  <c r="M286" i="9"/>
  <c r="M287" i="9"/>
  <c r="M288" i="9"/>
  <c r="L288" i="9" s="1"/>
  <c r="M289" i="9"/>
  <c r="M290" i="9"/>
  <c r="M291" i="9"/>
  <c r="M292" i="9"/>
  <c r="M293" i="9"/>
  <c r="M294" i="9"/>
  <c r="M295" i="9"/>
  <c r="M296" i="9"/>
  <c r="M297" i="9"/>
  <c r="M298" i="9"/>
  <c r="M299" i="9"/>
  <c r="M300" i="9"/>
  <c r="L300" i="9" s="1"/>
  <c r="M301" i="9"/>
  <c r="M302" i="9"/>
  <c r="M303" i="9"/>
  <c r="M304" i="9"/>
  <c r="M305" i="9"/>
  <c r="M306" i="9"/>
  <c r="M307" i="9"/>
  <c r="M308" i="9"/>
  <c r="M309" i="9"/>
  <c r="M310" i="9"/>
  <c r="M311" i="9"/>
  <c r="M312" i="9"/>
  <c r="L312" i="9" s="1"/>
  <c r="M313" i="9"/>
  <c r="M314" i="9"/>
  <c r="M315" i="9"/>
  <c r="M316" i="9"/>
  <c r="M317" i="9"/>
  <c r="M318" i="9"/>
  <c r="M319" i="9"/>
  <c r="M320" i="9"/>
  <c r="M321" i="9"/>
  <c r="M322" i="9"/>
  <c r="M323" i="9"/>
  <c r="M324" i="9"/>
  <c r="L324" i="9" s="1"/>
  <c r="M325" i="9"/>
  <c r="M326" i="9"/>
  <c r="M327" i="9"/>
  <c r="M328" i="9"/>
  <c r="M329" i="9"/>
  <c r="M330" i="9"/>
  <c r="M331" i="9"/>
  <c r="M332" i="9"/>
  <c r="M333" i="9"/>
  <c r="M334" i="9"/>
  <c r="M335" i="9"/>
  <c r="M336" i="9"/>
  <c r="L336" i="9" s="1"/>
  <c r="M337" i="9"/>
  <c r="M338" i="9"/>
  <c r="M339" i="9"/>
  <c r="M340" i="9"/>
  <c r="M341" i="9"/>
  <c r="M342" i="9"/>
  <c r="M343" i="9"/>
  <c r="M344" i="9"/>
  <c r="M345" i="9"/>
  <c r="M346" i="9"/>
  <c r="M347" i="9"/>
  <c r="M348" i="9"/>
  <c r="L348" i="9" s="1"/>
  <c r="M349" i="9"/>
  <c r="M350" i="9"/>
  <c r="M351" i="9"/>
  <c r="M352" i="9"/>
  <c r="M353" i="9"/>
  <c r="M354" i="9"/>
  <c r="M355" i="9"/>
  <c r="M356" i="9"/>
  <c r="M357" i="9"/>
  <c r="M358" i="9"/>
  <c r="M359" i="9"/>
  <c r="M360" i="9"/>
  <c r="L360" i="9" s="1"/>
  <c r="M361" i="9"/>
  <c r="M362" i="9"/>
  <c r="M363" i="9"/>
  <c r="M364" i="9"/>
  <c r="M365" i="9"/>
  <c r="M366" i="9"/>
  <c r="M367" i="9"/>
  <c r="M368" i="9"/>
  <c r="M369" i="9"/>
  <c r="M370" i="9"/>
  <c r="M371" i="9"/>
  <c r="M372" i="9"/>
  <c r="L372" i="9" s="1"/>
  <c r="M373" i="9"/>
  <c r="M374" i="9"/>
  <c r="M375" i="9"/>
  <c r="M376" i="9"/>
  <c r="M377" i="9"/>
  <c r="M378" i="9"/>
  <c r="M379" i="9"/>
  <c r="M380" i="9"/>
  <c r="M381" i="9"/>
  <c r="M382" i="9"/>
  <c r="M383" i="9"/>
  <c r="M384" i="9"/>
  <c r="L384" i="9" s="1"/>
  <c r="M385" i="9"/>
  <c r="M386" i="9"/>
  <c r="M387" i="9"/>
  <c r="M388" i="9"/>
  <c r="M389" i="9"/>
  <c r="M390" i="9"/>
  <c r="M391" i="9"/>
  <c r="M392" i="9"/>
  <c r="M393" i="9"/>
  <c r="M394" i="9"/>
  <c r="M395" i="9"/>
  <c r="M396" i="9"/>
  <c r="L396" i="9" s="1"/>
  <c r="M397" i="9"/>
  <c r="M398" i="9"/>
  <c r="M399" i="9"/>
  <c r="M400" i="9"/>
  <c r="M401" i="9"/>
  <c r="M402" i="9"/>
  <c r="M403" i="9"/>
  <c r="M404" i="9"/>
  <c r="M405" i="9"/>
  <c r="M406" i="9"/>
  <c r="M407" i="9"/>
  <c r="M408" i="9"/>
  <c r="L408" i="9" s="1"/>
  <c r="M409" i="9"/>
  <c r="M410" i="9"/>
  <c r="M411" i="9"/>
  <c r="M412" i="9"/>
  <c r="M413" i="9"/>
  <c r="M414" i="9"/>
  <c r="M415" i="9"/>
  <c r="M416" i="9"/>
  <c r="M417" i="9"/>
  <c r="M418" i="9"/>
  <c r="M419" i="9"/>
  <c r="M420" i="9"/>
  <c r="L420" i="9" s="1"/>
  <c r="M421" i="9"/>
  <c r="M422" i="9"/>
  <c r="M423" i="9"/>
  <c r="M424" i="9"/>
  <c r="M425" i="9"/>
  <c r="M426" i="9"/>
  <c r="M427" i="9"/>
  <c r="M428" i="9"/>
  <c r="M429" i="9"/>
  <c r="M430" i="9"/>
  <c r="M431" i="9"/>
  <c r="M432" i="9"/>
  <c r="L432" i="9" s="1"/>
  <c r="M433" i="9"/>
  <c r="M434" i="9"/>
  <c r="M435" i="9"/>
  <c r="M436" i="9"/>
  <c r="M437" i="9"/>
  <c r="M438" i="9"/>
  <c r="M439" i="9"/>
  <c r="M440" i="9"/>
  <c r="M441" i="9"/>
  <c r="M442" i="9"/>
  <c r="M443" i="9"/>
  <c r="M444" i="9"/>
  <c r="L444" i="9" s="1"/>
  <c r="M445" i="9"/>
  <c r="M446" i="9"/>
  <c r="M447" i="9"/>
  <c r="M448" i="9"/>
  <c r="M449" i="9"/>
  <c r="M450" i="9"/>
  <c r="M451" i="9"/>
  <c r="M452" i="9"/>
  <c r="M453" i="9"/>
  <c r="M454" i="9"/>
  <c r="M455" i="9"/>
  <c r="M456" i="9"/>
  <c r="L456" i="9" s="1"/>
  <c r="M457" i="9"/>
  <c r="M458" i="9"/>
  <c r="M459" i="9"/>
  <c r="M460" i="9"/>
  <c r="M461" i="9"/>
  <c r="M462" i="9"/>
  <c r="M463" i="9"/>
  <c r="M464" i="9"/>
  <c r="M465" i="9"/>
  <c r="M466" i="9"/>
  <c r="M467" i="9"/>
  <c r="M468" i="9"/>
  <c r="L468" i="9" s="1"/>
  <c r="M469" i="9"/>
  <c r="M470" i="9"/>
  <c r="M471" i="9"/>
  <c r="M472" i="9"/>
  <c r="M473" i="9"/>
  <c r="M474" i="9"/>
  <c r="M475" i="9"/>
  <c r="M476" i="9"/>
  <c r="M477" i="9"/>
  <c r="M478" i="9"/>
  <c r="M479" i="9"/>
  <c r="M480" i="9"/>
  <c r="L480" i="9" s="1"/>
  <c r="M481" i="9"/>
  <c r="M482" i="9"/>
  <c r="M483" i="9"/>
  <c r="M484" i="9"/>
  <c r="M485" i="9"/>
  <c r="M486" i="9"/>
  <c r="M487" i="9"/>
  <c r="M488" i="9"/>
  <c r="M489" i="9"/>
  <c r="M490" i="9"/>
  <c r="M491" i="9"/>
  <c r="M492" i="9"/>
  <c r="L492" i="9" s="1"/>
  <c r="M493" i="9"/>
  <c r="M494" i="9"/>
  <c r="M495" i="9"/>
  <c r="M496" i="9"/>
  <c r="M497" i="9"/>
  <c r="M498" i="9"/>
  <c r="M499" i="9"/>
  <c r="M500" i="9"/>
  <c r="M501" i="9"/>
  <c r="M502" i="9"/>
  <c r="M503" i="9"/>
  <c r="M504" i="9"/>
  <c r="L504" i="9" s="1"/>
  <c r="M505" i="9"/>
  <c r="M506" i="9"/>
  <c r="M507" i="9"/>
  <c r="M508" i="9"/>
  <c r="M509" i="9"/>
  <c r="M510" i="9"/>
  <c r="M511" i="9"/>
  <c r="M512" i="9"/>
  <c r="M513" i="9"/>
  <c r="M514" i="9"/>
  <c r="M515" i="9"/>
  <c r="M516" i="9"/>
  <c r="L516" i="9" s="1"/>
  <c r="M517" i="9"/>
  <c r="M518" i="9"/>
  <c r="M519" i="9"/>
  <c r="M520" i="9"/>
  <c r="M521" i="9"/>
  <c r="M522" i="9"/>
  <c r="M523" i="9"/>
  <c r="M524" i="9"/>
  <c r="M525" i="9"/>
  <c r="M526" i="9"/>
  <c r="M527" i="9"/>
  <c r="M528" i="9"/>
  <c r="L528" i="9" s="1"/>
  <c r="M529" i="9"/>
  <c r="M530" i="9"/>
  <c r="M531" i="9"/>
  <c r="M532" i="9"/>
  <c r="M533" i="9"/>
  <c r="M534" i="9"/>
  <c r="M535" i="9"/>
  <c r="M536" i="9"/>
  <c r="M537" i="9"/>
  <c r="M538" i="9"/>
  <c r="M539" i="9"/>
  <c r="M540" i="9"/>
  <c r="L540" i="9" s="1"/>
  <c r="M541" i="9"/>
  <c r="M542" i="9"/>
  <c r="M543" i="9"/>
  <c r="M544" i="9"/>
  <c r="M545" i="9"/>
  <c r="M546" i="9"/>
  <c r="M547" i="9"/>
  <c r="M548" i="9"/>
  <c r="M549" i="9"/>
  <c r="M550" i="9"/>
  <c r="M551" i="9"/>
  <c r="M552" i="9"/>
  <c r="L552" i="9" s="1"/>
  <c r="M553" i="9"/>
  <c r="M554" i="9"/>
  <c r="M555" i="9"/>
  <c r="M556" i="9"/>
  <c r="M557" i="9"/>
  <c r="M558" i="9"/>
  <c r="M559" i="9"/>
  <c r="M560" i="9"/>
  <c r="M561" i="9"/>
  <c r="M562" i="9"/>
  <c r="M563" i="9"/>
  <c r="M564" i="9"/>
  <c r="L564" i="9" s="1"/>
  <c r="M565" i="9"/>
  <c r="M566" i="9"/>
  <c r="M567" i="9"/>
  <c r="M568" i="9"/>
  <c r="M569" i="9"/>
  <c r="M570" i="9"/>
  <c r="M571" i="9"/>
  <c r="M572" i="9"/>
  <c r="M573" i="9"/>
  <c r="M574" i="9"/>
  <c r="M575" i="9"/>
  <c r="M576" i="9"/>
  <c r="L576" i="9" s="1"/>
  <c r="M577" i="9"/>
  <c r="M578" i="9"/>
  <c r="M579" i="9"/>
  <c r="M580" i="9"/>
  <c r="M581" i="9"/>
  <c r="M582" i="9"/>
  <c r="M583" i="9"/>
  <c r="M584" i="9"/>
  <c r="M585" i="9"/>
  <c r="M586" i="9"/>
  <c r="M587" i="9"/>
  <c r="M588" i="9"/>
  <c r="L588" i="9" s="1"/>
  <c r="M589" i="9"/>
  <c r="M590" i="9"/>
  <c r="M591" i="9"/>
  <c r="M592" i="9"/>
  <c r="M593" i="9"/>
  <c r="M594" i="9"/>
  <c r="M595" i="9"/>
  <c r="M596" i="9"/>
  <c r="M597" i="9"/>
  <c r="M598" i="9"/>
  <c r="M599" i="9"/>
  <c r="M600" i="9"/>
  <c r="L600" i="9" s="1"/>
  <c r="M601" i="9"/>
  <c r="M602" i="9"/>
  <c r="M603" i="9"/>
  <c r="M604" i="9"/>
  <c r="M605" i="9"/>
  <c r="M606" i="9"/>
  <c r="M607" i="9"/>
  <c r="M608" i="9"/>
  <c r="M609" i="9"/>
  <c r="M610" i="9"/>
  <c r="M611" i="9"/>
  <c r="M612" i="9"/>
  <c r="L612" i="9" s="1"/>
  <c r="M613" i="9"/>
  <c r="M614" i="9"/>
  <c r="M615" i="9"/>
  <c r="M616" i="9"/>
  <c r="M617" i="9"/>
  <c r="M618" i="9"/>
  <c r="M619" i="9"/>
  <c r="M620" i="9"/>
  <c r="M621" i="9"/>
  <c r="M622" i="9"/>
  <c r="M623" i="9"/>
  <c r="M624" i="9"/>
  <c r="L624" i="9" s="1"/>
  <c r="M625" i="9"/>
  <c r="M626" i="9"/>
  <c r="M627" i="9"/>
  <c r="M628" i="9"/>
  <c r="M629" i="9"/>
  <c r="M630" i="9"/>
  <c r="M631" i="9"/>
  <c r="M632" i="9"/>
  <c r="M633" i="9"/>
  <c r="M634" i="9"/>
  <c r="M635" i="9"/>
  <c r="M636" i="9"/>
  <c r="L636" i="9" s="1"/>
  <c r="M637" i="9"/>
  <c r="M638" i="9"/>
  <c r="M639" i="9"/>
  <c r="M640" i="9"/>
  <c r="M641" i="9"/>
  <c r="M642" i="9"/>
  <c r="M643" i="9"/>
  <c r="M644" i="9"/>
  <c r="M645" i="9"/>
  <c r="M646" i="9"/>
  <c r="M647" i="9"/>
  <c r="M648" i="9"/>
  <c r="L648" i="9" s="1"/>
  <c r="M649" i="9"/>
  <c r="M650" i="9"/>
  <c r="M651" i="9"/>
  <c r="M652" i="9"/>
  <c r="M653" i="9"/>
  <c r="M654" i="9"/>
  <c r="M655" i="9"/>
  <c r="M656" i="9"/>
  <c r="M657" i="9"/>
  <c r="M658" i="9"/>
  <c r="M659" i="9"/>
  <c r="M660" i="9"/>
  <c r="L660" i="9" s="1"/>
  <c r="M661" i="9"/>
  <c r="M662" i="9"/>
  <c r="M663" i="9"/>
  <c r="M664" i="9"/>
  <c r="M665" i="9"/>
  <c r="M666" i="9"/>
  <c r="M667" i="9"/>
  <c r="M668" i="9"/>
  <c r="M669" i="9"/>
  <c r="M670" i="9"/>
  <c r="M671" i="9"/>
  <c r="M672" i="9"/>
  <c r="L672" i="9" s="1"/>
  <c r="M673" i="9"/>
  <c r="M674" i="9"/>
  <c r="M675" i="9"/>
  <c r="M676" i="9"/>
  <c r="M677" i="9"/>
  <c r="M678" i="9"/>
  <c r="M679" i="9"/>
  <c r="M680" i="9"/>
  <c r="M681" i="9"/>
  <c r="M682" i="9"/>
  <c r="M683" i="9"/>
  <c r="M684" i="9"/>
  <c r="L684" i="9" s="1"/>
  <c r="M685" i="9"/>
  <c r="M686" i="9"/>
  <c r="M687" i="9"/>
  <c r="M688" i="9"/>
  <c r="M689" i="9"/>
  <c r="M690" i="9"/>
  <c r="M691" i="9"/>
  <c r="M692" i="9"/>
  <c r="M693" i="9"/>
  <c r="M694" i="9"/>
  <c r="M695" i="9"/>
  <c r="M696" i="9"/>
  <c r="L696" i="9" s="1"/>
  <c r="M697" i="9"/>
  <c r="M698" i="9"/>
  <c r="M699" i="9"/>
  <c r="M700" i="9"/>
  <c r="M701" i="9"/>
  <c r="M702" i="9"/>
  <c r="M703" i="9"/>
  <c r="M704" i="9"/>
  <c r="M705" i="9"/>
  <c r="M706" i="9"/>
  <c r="M707" i="9"/>
  <c r="M708" i="9"/>
  <c r="L708" i="9" s="1"/>
  <c r="M709" i="9"/>
  <c r="M710" i="9"/>
  <c r="M711" i="9"/>
  <c r="M712" i="9"/>
  <c r="M713" i="9"/>
  <c r="M714" i="9"/>
  <c r="M715" i="9"/>
  <c r="M716" i="9"/>
  <c r="M717" i="9"/>
  <c r="M718" i="9"/>
  <c r="M719" i="9"/>
  <c r="M720" i="9"/>
  <c r="L720" i="9" s="1"/>
  <c r="M721" i="9"/>
  <c r="M722" i="9"/>
  <c r="M723" i="9"/>
  <c r="M724" i="9"/>
  <c r="M725" i="9"/>
  <c r="M726" i="9"/>
  <c r="M727" i="9"/>
  <c r="M728" i="9"/>
  <c r="M729" i="9"/>
  <c r="M730" i="9"/>
  <c r="M731" i="9"/>
  <c r="M732" i="9"/>
  <c r="L732" i="9" s="1"/>
  <c r="M733" i="9"/>
  <c r="M734" i="9"/>
  <c r="M735" i="9"/>
  <c r="M736" i="9"/>
  <c r="M737" i="9"/>
  <c r="M738" i="9"/>
  <c r="M739" i="9"/>
  <c r="M740" i="9"/>
  <c r="M741" i="9"/>
  <c r="M742" i="9"/>
  <c r="M743" i="9"/>
  <c r="M744" i="9"/>
  <c r="L744" i="9" s="1"/>
  <c r="M745" i="9"/>
  <c r="M746" i="9"/>
  <c r="M747" i="9"/>
  <c r="M748" i="9"/>
  <c r="M749" i="9"/>
  <c r="M750" i="9"/>
  <c r="M751" i="9"/>
  <c r="M752" i="9"/>
  <c r="M753" i="9"/>
  <c r="M754" i="9"/>
  <c r="M755" i="9"/>
  <c r="M756" i="9"/>
  <c r="L756" i="9" s="1"/>
  <c r="M757" i="9"/>
  <c r="M758" i="9"/>
  <c r="M759" i="9"/>
  <c r="M760" i="9"/>
  <c r="M761" i="9"/>
  <c r="M762" i="9"/>
  <c r="M763" i="9"/>
  <c r="M764" i="9"/>
  <c r="M765" i="9"/>
  <c r="M766" i="9"/>
  <c r="M767" i="9"/>
  <c r="M768" i="9"/>
  <c r="L768" i="9" s="1"/>
  <c r="M769" i="9"/>
  <c r="M770" i="9"/>
  <c r="M771" i="9"/>
  <c r="M772" i="9"/>
  <c r="M773" i="9"/>
  <c r="M774" i="9"/>
  <c r="M775" i="9"/>
  <c r="M776" i="9"/>
  <c r="M777" i="9"/>
  <c r="M778" i="9"/>
  <c r="M779" i="9"/>
  <c r="M780" i="9"/>
  <c r="L780" i="9" s="1"/>
  <c r="M781" i="9"/>
  <c r="M782" i="9"/>
  <c r="M783" i="9"/>
  <c r="M784" i="9"/>
  <c r="M785" i="9"/>
  <c r="M786" i="9"/>
  <c r="M787" i="9"/>
  <c r="M788" i="9"/>
  <c r="M789" i="9"/>
  <c r="M790" i="9"/>
  <c r="M791" i="9"/>
  <c r="M792" i="9"/>
  <c r="L792" i="9" s="1"/>
  <c r="M793" i="9"/>
  <c r="M794" i="9"/>
  <c r="M795" i="9"/>
  <c r="M796" i="9"/>
  <c r="M797" i="9"/>
  <c r="M798" i="9"/>
  <c r="M799" i="9"/>
  <c r="M800" i="9"/>
  <c r="M801" i="9"/>
  <c r="M802" i="9"/>
  <c r="M803" i="9"/>
  <c r="M804" i="9"/>
  <c r="L804" i="9" s="1"/>
  <c r="M805" i="9"/>
  <c r="M806" i="9"/>
  <c r="M807" i="9"/>
  <c r="M808" i="9"/>
  <c r="M809" i="9"/>
  <c r="M810" i="9"/>
  <c r="M811" i="9"/>
  <c r="M812" i="9"/>
  <c r="M813" i="9"/>
  <c r="M814" i="9"/>
  <c r="M815" i="9"/>
  <c r="M816" i="9"/>
  <c r="L816" i="9" s="1"/>
  <c r="M817" i="9"/>
  <c r="M818" i="9"/>
  <c r="M819" i="9"/>
  <c r="M820" i="9"/>
  <c r="M821" i="9"/>
  <c r="M822" i="9"/>
  <c r="M823" i="9"/>
  <c r="M824" i="9"/>
  <c r="M825" i="9"/>
  <c r="M826" i="9"/>
  <c r="M827" i="9"/>
  <c r="M828" i="9"/>
  <c r="L828" i="9" s="1"/>
  <c r="M829" i="9"/>
  <c r="M830" i="9"/>
  <c r="M831" i="9"/>
  <c r="M832" i="9"/>
  <c r="M833" i="9"/>
  <c r="M834" i="9"/>
  <c r="M835" i="9"/>
  <c r="M836" i="9"/>
  <c r="M837" i="9"/>
  <c r="M838" i="9"/>
  <c r="M839" i="9"/>
  <c r="M840" i="9"/>
  <c r="L840" i="9" s="1"/>
  <c r="M841" i="9"/>
  <c r="M842" i="9"/>
  <c r="M843" i="9"/>
  <c r="M844" i="9"/>
  <c r="M845" i="9"/>
  <c r="M846" i="9"/>
  <c r="M847" i="9"/>
  <c r="M848" i="9"/>
  <c r="M849" i="9"/>
  <c r="M850" i="9"/>
  <c r="M851" i="9"/>
  <c r="M852" i="9"/>
  <c r="L852" i="9" s="1"/>
  <c r="M853" i="9"/>
  <c r="M854" i="9"/>
  <c r="M855" i="9"/>
  <c r="M856" i="9"/>
  <c r="M857" i="9"/>
  <c r="M858" i="9"/>
  <c r="M859" i="9"/>
  <c r="M860" i="9"/>
  <c r="M861" i="9"/>
  <c r="M862" i="9"/>
  <c r="M863" i="9"/>
  <c r="M864" i="9"/>
  <c r="L864" i="9" s="1"/>
  <c r="M865" i="9"/>
  <c r="M866" i="9"/>
  <c r="M867" i="9"/>
  <c r="M868" i="9"/>
  <c r="M869" i="9"/>
  <c r="M870" i="9"/>
  <c r="M871" i="9"/>
  <c r="M872" i="9"/>
  <c r="M873" i="9"/>
  <c r="M874" i="9"/>
  <c r="M875" i="9"/>
  <c r="M876" i="9"/>
  <c r="L876" i="9" s="1"/>
  <c r="M877" i="9"/>
  <c r="M878" i="9"/>
  <c r="M879" i="9"/>
  <c r="M880" i="9"/>
  <c r="M881" i="9"/>
  <c r="M882" i="9"/>
  <c r="M883" i="9"/>
  <c r="M884" i="9"/>
  <c r="M885" i="9"/>
  <c r="M886" i="9"/>
  <c r="M887" i="9"/>
  <c r="M888" i="9"/>
  <c r="L888" i="9" s="1"/>
  <c r="M889" i="9"/>
  <c r="M890" i="9"/>
  <c r="M891" i="9"/>
  <c r="M892" i="9"/>
  <c r="M893" i="9"/>
  <c r="M894" i="9"/>
  <c r="M895" i="9"/>
  <c r="M896" i="9"/>
  <c r="M897" i="9"/>
  <c r="M898" i="9"/>
  <c r="M899" i="9"/>
  <c r="M900" i="9"/>
  <c r="L900" i="9" s="1"/>
  <c r="M901" i="9"/>
  <c r="M902" i="9"/>
  <c r="M903" i="9"/>
  <c r="M904" i="9"/>
  <c r="M905" i="9"/>
  <c r="M906" i="9"/>
  <c r="M907" i="9"/>
  <c r="M908" i="9"/>
  <c r="M909" i="9"/>
  <c r="M910" i="9"/>
  <c r="M911" i="9"/>
  <c r="M912" i="9"/>
  <c r="L912" i="9" s="1"/>
  <c r="M913" i="9"/>
  <c r="M914" i="9"/>
  <c r="M915" i="9"/>
  <c r="M916" i="9"/>
  <c r="M917" i="9"/>
  <c r="M918" i="9"/>
  <c r="M919" i="9"/>
  <c r="M920" i="9"/>
  <c r="M921" i="9"/>
  <c r="M922" i="9"/>
  <c r="M923" i="9"/>
  <c r="M924" i="9"/>
  <c r="L924" i="9" s="1"/>
  <c r="M925" i="9"/>
  <c r="M926" i="9"/>
  <c r="M927" i="9"/>
  <c r="M928" i="9"/>
  <c r="M929" i="9"/>
  <c r="M930" i="9"/>
  <c r="M931" i="9"/>
  <c r="M932" i="9"/>
  <c r="M933" i="9"/>
  <c r="M934" i="9"/>
  <c r="M935" i="9"/>
  <c r="M936" i="9"/>
  <c r="L936" i="9" s="1"/>
  <c r="M937" i="9"/>
  <c r="M938" i="9"/>
  <c r="M939" i="9"/>
  <c r="M940" i="9"/>
  <c r="M941" i="9"/>
  <c r="M942" i="9"/>
  <c r="M943" i="9"/>
  <c r="M944" i="9"/>
  <c r="M945" i="9"/>
  <c r="M946" i="9"/>
  <c r="M947" i="9"/>
  <c r="M948" i="9"/>
  <c r="L948" i="9" s="1"/>
  <c r="M949" i="9"/>
  <c r="M950" i="9"/>
  <c r="M951" i="9"/>
  <c r="M952" i="9"/>
  <c r="M953" i="9"/>
  <c r="M954" i="9"/>
  <c r="M955" i="9"/>
  <c r="M956" i="9"/>
  <c r="M957" i="9"/>
  <c r="M958" i="9"/>
  <c r="M959" i="9"/>
  <c r="M960" i="9"/>
  <c r="L960" i="9" s="1"/>
  <c r="M961" i="9"/>
  <c r="M962" i="9"/>
  <c r="M963" i="9"/>
  <c r="M964" i="9"/>
  <c r="M965" i="9"/>
  <c r="M966" i="9"/>
  <c r="M967" i="9"/>
  <c r="M968" i="9"/>
  <c r="M969" i="9"/>
  <c r="M970" i="9"/>
  <c r="M971" i="9"/>
  <c r="M972" i="9"/>
  <c r="L972" i="9" s="1"/>
  <c r="M973" i="9"/>
  <c r="M974" i="9"/>
  <c r="M975" i="9"/>
  <c r="M976" i="9"/>
  <c r="M977" i="9"/>
  <c r="M978" i="9"/>
  <c r="M979" i="9"/>
  <c r="M980" i="9"/>
  <c r="M981" i="9"/>
  <c r="M982" i="9"/>
  <c r="M983" i="9"/>
  <c r="M984" i="9"/>
  <c r="L984" i="9" s="1"/>
  <c r="M985" i="9"/>
  <c r="M986" i="9"/>
  <c r="M987" i="9"/>
  <c r="M988" i="9"/>
  <c r="M989" i="9"/>
  <c r="M990" i="9"/>
  <c r="M991" i="9"/>
  <c r="M992" i="9"/>
  <c r="M993" i="9"/>
  <c r="M994" i="9"/>
  <c r="M995" i="9"/>
  <c r="M996" i="9"/>
  <c r="L996" i="9" s="1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L1008" i="9" s="1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L1020" i="9" s="1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L1032" i="9" s="1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L1044" i="9" s="1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L1056" i="9" s="1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L1068" i="9" s="1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L1080" i="9" s="1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L1092" i="9" s="1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L1104" i="9" s="1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L1116" i="9" s="1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L1128" i="9" s="1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L1140" i="9" s="1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L1152" i="9" s="1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L1164" i="9" s="1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L1176" i="9" s="1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L1188" i="9" s="1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L1200" i="9" s="1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L1212" i="9" s="1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L1224" i="9" s="1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L1236" i="9" s="1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L1248" i="9" s="1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L1260" i="9" s="1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L1272" i="9" s="1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L1284" i="9" s="1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L1296" i="9" s="1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L1308" i="9" s="1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L1320" i="9" s="1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L1332" i="9" s="1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L1344" i="9" s="1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L1356" i="9" s="1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L1368" i="9" s="1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L1380" i="9" s="1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L1392" i="9" s="1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L1404" i="9" s="1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L1416" i="9" s="1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L1428" i="9" s="1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L1440" i="9" s="1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L1452" i="9" s="1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L1464" i="9" s="1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L1476" i="9" s="1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L1488" i="9" s="1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L1500" i="9" s="1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L1512" i="9" s="1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L1524" i="9" s="1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L1536" i="9" s="1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L1548" i="9" s="1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L1560" i="9" s="1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L1572" i="9" s="1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L1584" i="9" s="1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L1596" i="9" s="1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L1608" i="9" s="1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L1620" i="9" s="1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L1632" i="9" s="1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L1644" i="9" s="1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L1656" i="9" s="1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L1668" i="9" s="1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L1680" i="9" s="1"/>
  <c r="M1681" i="9"/>
  <c r="M1682" i="9"/>
  <c r="M1683" i="9"/>
  <c r="M1684" i="9"/>
  <c r="M1685" i="9"/>
  <c r="M1686" i="9"/>
  <c r="M1687" i="9"/>
  <c r="M1688" i="9"/>
  <c r="M1689" i="9"/>
  <c r="M1690" i="9"/>
  <c r="M5" i="10"/>
  <c r="M6" i="10"/>
  <c r="M7" i="10"/>
  <c r="M8" i="10"/>
  <c r="M9" i="10"/>
  <c r="M10" i="10"/>
  <c r="M11" i="10"/>
  <c r="M12" i="10"/>
  <c r="M15" i="10"/>
  <c r="M16" i="10"/>
  <c r="M17" i="10"/>
  <c r="M18" i="10"/>
  <c r="M19" i="10"/>
  <c r="M20" i="10"/>
  <c r="M21" i="10"/>
  <c r="M22" i="10"/>
  <c r="M23" i="10"/>
  <c r="M24" i="10"/>
  <c r="M27" i="10"/>
  <c r="M28" i="10"/>
  <c r="M29" i="10"/>
  <c r="M30" i="10"/>
  <c r="M31" i="10"/>
  <c r="M32" i="10"/>
  <c r="M33" i="10"/>
  <c r="M34" i="10"/>
  <c r="M35" i="10"/>
  <c r="M36" i="10"/>
  <c r="M39" i="10"/>
  <c r="M40" i="10"/>
  <c r="M41" i="10"/>
  <c r="M42" i="10"/>
  <c r="M43" i="10"/>
  <c r="M44" i="10"/>
  <c r="M45" i="10"/>
  <c r="M46" i="10"/>
  <c r="M47" i="10"/>
  <c r="M48" i="10"/>
  <c r="M51" i="10"/>
  <c r="M52" i="10"/>
  <c r="M53" i="10"/>
  <c r="M54" i="10"/>
  <c r="M55" i="10"/>
  <c r="M56" i="10"/>
  <c r="M57" i="10"/>
  <c r="M58" i="10"/>
  <c r="M59" i="10"/>
  <c r="M60" i="10"/>
  <c r="M63" i="10"/>
  <c r="M64" i="10"/>
  <c r="M65" i="10"/>
  <c r="M66" i="10"/>
  <c r="M67" i="10"/>
  <c r="M68" i="10"/>
  <c r="M69" i="10"/>
  <c r="M70" i="10"/>
  <c r="M71" i="10"/>
  <c r="M72" i="10"/>
  <c r="M75" i="10"/>
  <c r="M76" i="10"/>
  <c r="M77" i="10"/>
  <c r="M78" i="10"/>
  <c r="M79" i="10"/>
  <c r="M80" i="10"/>
  <c r="M81" i="10"/>
  <c r="M82" i="10"/>
  <c r="M83" i="10"/>
  <c r="M84" i="10"/>
  <c r="M87" i="10"/>
  <c r="M88" i="10"/>
  <c r="M89" i="10"/>
  <c r="M90" i="10"/>
  <c r="M91" i="10"/>
  <c r="M92" i="10"/>
  <c r="M93" i="10"/>
  <c r="M94" i="10"/>
  <c r="M95" i="10"/>
  <c r="M96" i="10"/>
  <c r="M99" i="10"/>
  <c r="M100" i="10"/>
  <c r="M101" i="10"/>
  <c r="M102" i="10"/>
  <c r="M103" i="10"/>
  <c r="M104" i="10"/>
  <c r="M105" i="10"/>
  <c r="M106" i="10"/>
  <c r="M107" i="10"/>
  <c r="M108" i="10"/>
  <c r="M111" i="10"/>
  <c r="M112" i="10"/>
  <c r="M113" i="10"/>
  <c r="M114" i="10"/>
  <c r="M115" i="10"/>
  <c r="M116" i="10"/>
  <c r="M117" i="10"/>
  <c r="M118" i="10"/>
  <c r="M119" i="10"/>
  <c r="M120" i="10"/>
  <c r="M123" i="10"/>
  <c r="M124" i="10"/>
  <c r="M125" i="10"/>
  <c r="M126" i="10"/>
  <c r="M127" i="10"/>
  <c r="M128" i="10"/>
  <c r="M129" i="10"/>
  <c r="M130" i="10"/>
  <c r="M131" i="10"/>
  <c r="M132" i="10"/>
  <c r="M135" i="10"/>
  <c r="M136" i="10"/>
  <c r="M137" i="10"/>
  <c r="M138" i="10"/>
  <c r="M139" i="10"/>
  <c r="M140" i="10"/>
  <c r="M141" i="10"/>
  <c r="M142" i="10"/>
  <c r="L142" i="10" s="1"/>
  <c r="M143" i="10"/>
  <c r="L143" i="10" s="1"/>
  <c r="M144" i="10"/>
  <c r="L144" i="10" s="1"/>
  <c r="M147" i="10"/>
  <c r="L147" i="10" s="1"/>
  <c r="M148" i="10"/>
  <c r="L148" i="10" s="1"/>
  <c r="M149" i="10"/>
  <c r="L149" i="10" s="1"/>
  <c r="M150" i="10"/>
  <c r="L150" i="10" s="1"/>
  <c r="M151" i="10"/>
  <c r="L151" i="10" s="1"/>
  <c r="M152" i="10"/>
  <c r="L152" i="10" s="1"/>
  <c r="M153" i="10"/>
  <c r="L153" i="10" s="1"/>
  <c r="M154" i="10"/>
  <c r="L154" i="10" s="1"/>
  <c r="M155" i="10"/>
  <c r="L155" i="10" s="1"/>
  <c r="M156" i="10"/>
  <c r="L156" i="10" s="1"/>
  <c r="M159" i="10"/>
  <c r="L159" i="10" s="1"/>
  <c r="M160" i="10"/>
  <c r="L160" i="10" s="1"/>
  <c r="M161" i="10"/>
  <c r="L161" i="10" s="1"/>
  <c r="M162" i="10"/>
  <c r="L162" i="10" s="1"/>
  <c r="M163" i="10"/>
  <c r="L163" i="10" s="1"/>
  <c r="M164" i="10"/>
  <c r="L164" i="10" s="1"/>
  <c r="M165" i="10"/>
  <c r="L165" i="10" s="1"/>
  <c r="M166" i="10"/>
  <c r="L166" i="10" s="1"/>
  <c r="M167" i="10"/>
  <c r="L167" i="10" s="1"/>
  <c r="M168" i="10"/>
  <c r="L168" i="10" s="1"/>
  <c r="M171" i="10"/>
  <c r="L171" i="10" s="1"/>
  <c r="M172" i="10"/>
  <c r="L172" i="10" s="1"/>
  <c r="M173" i="10"/>
  <c r="L173" i="10" s="1"/>
  <c r="M174" i="10"/>
  <c r="L174" i="10" s="1"/>
  <c r="M175" i="10"/>
  <c r="L175" i="10" s="1"/>
  <c r="M176" i="10"/>
  <c r="L176" i="10" s="1"/>
  <c r="M177" i="10"/>
  <c r="L177" i="10" s="1"/>
  <c r="M178" i="10"/>
  <c r="L178" i="10" s="1"/>
  <c r="M179" i="10"/>
  <c r="L179" i="10" s="1"/>
  <c r="M180" i="10"/>
  <c r="L180" i="10" s="1"/>
  <c r="M183" i="10"/>
  <c r="L183" i="10" s="1"/>
  <c r="M184" i="10"/>
  <c r="L184" i="10" s="1"/>
  <c r="M185" i="10"/>
  <c r="L185" i="10" s="1"/>
  <c r="M186" i="10"/>
  <c r="L186" i="10" s="1"/>
  <c r="M187" i="10"/>
  <c r="L187" i="10" s="1"/>
  <c r="M188" i="10"/>
  <c r="L188" i="10" s="1"/>
  <c r="M189" i="10"/>
  <c r="L189" i="10" s="1"/>
  <c r="M190" i="10"/>
  <c r="L190" i="10" s="1"/>
  <c r="M191" i="10"/>
  <c r="L191" i="10" s="1"/>
  <c r="M192" i="10"/>
  <c r="L192" i="10" s="1"/>
  <c r="M195" i="10"/>
  <c r="L195" i="10" s="1"/>
  <c r="M196" i="10"/>
  <c r="L196" i="10" s="1"/>
  <c r="M197" i="10"/>
  <c r="L197" i="10" s="1"/>
  <c r="M198" i="10"/>
  <c r="L198" i="10" s="1"/>
  <c r="M199" i="10"/>
  <c r="L199" i="10" s="1"/>
  <c r="M200" i="10"/>
  <c r="L200" i="10" s="1"/>
  <c r="M201" i="10"/>
  <c r="L201" i="10" s="1"/>
  <c r="M202" i="10"/>
  <c r="L202" i="10" s="1"/>
  <c r="M203" i="10"/>
  <c r="L203" i="10" s="1"/>
  <c r="M204" i="10"/>
  <c r="L204" i="10" s="1"/>
  <c r="M207" i="10"/>
  <c r="L207" i="10" s="1"/>
  <c r="M208" i="10"/>
  <c r="L208" i="10" s="1"/>
  <c r="M209" i="10"/>
  <c r="L209" i="10" s="1"/>
  <c r="M210" i="10"/>
  <c r="L210" i="10" s="1"/>
  <c r="M211" i="10"/>
  <c r="L211" i="10" s="1"/>
  <c r="M212" i="10"/>
  <c r="L212" i="10" s="1"/>
  <c r="M213" i="10"/>
  <c r="L213" i="10" s="1"/>
  <c r="M214" i="10"/>
  <c r="L214" i="10" s="1"/>
  <c r="M215" i="10"/>
  <c r="L215" i="10" s="1"/>
  <c r="M216" i="10"/>
  <c r="L216" i="10" s="1"/>
  <c r="M219" i="10"/>
  <c r="L219" i="10" s="1"/>
  <c r="M220" i="10"/>
  <c r="L220" i="10" s="1"/>
  <c r="M221" i="10"/>
  <c r="L221" i="10" s="1"/>
  <c r="M222" i="10"/>
  <c r="L222" i="10" s="1"/>
  <c r="M223" i="10"/>
  <c r="L223" i="10" s="1"/>
  <c r="M224" i="10"/>
  <c r="L224" i="10" s="1"/>
  <c r="M225" i="10"/>
  <c r="L225" i="10" s="1"/>
  <c r="M226" i="10"/>
  <c r="L226" i="10" s="1"/>
  <c r="M227" i="10"/>
  <c r="L227" i="10" s="1"/>
  <c r="M228" i="10"/>
  <c r="L228" i="10" s="1"/>
  <c r="M231" i="10"/>
  <c r="L231" i="10" s="1"/>
  <c r="M232" i="10"/>
  <c r="L232" i="10" s="1"/>
  <c r="M233" i="10"/>
  <c r="L233" i="10" s="1"/>
  <c r="M234" i="10"/>
  <c r="L234" i="10" s="1"/>
  <c r="M235" i="10"/>
  <c r="L235" i="10" s="1"/>
  <c r="M236" i="10"/>
  <c r="L236" i="10" s="1"/>
  <c r="M237" i="10"/>
  <c r="L237" i="10" s="1"/>
  <c r="M238" i="10"/>
  <c r="L238" i="10" s="1"/>
  <c r="M239" i="10"/>
  <c r="L239" i="10" s="1"/>
  <c r="M240" i="10"/>
  <c r="L240" i="10" s="1"/>
  <c r="M243" i="10"/>
  <c r="L243" i="10" s="1"/>
  <c r="M244" i="10"/>
  <c r="L244" i="10" s="1"/>
  <c r="M245" i="10"/>
  <c r="L245" i="10" s="1"/>
  <c r="M246" i="10"/>
  <c r="L246" i="10" s="1"/>
  <c r="M247" i="10"/>
  <c r="L247" i="10" s="1"/>
  <c r="M248" i="10"/>
  <c r="L248" i="10" s="1"/>
  <c r="M249" i="10"/>
  <c r="L249" i="10" s="1"/>
  <c r="M250" i="10"/>
  <c r="L250" i="10" s="1"/>
  <c r="M251" i="10"/>
  <c r="L251" i="10" s="1"/>
  <c r="M252" i="10"/>
  <c r="L252" i="10" s="1"/>
  <c r="M255" i="10"/>
  <c r="L255" i="10" s="1"/>
  <c r="M256" i="10"/>
  <c r="L256" i="10" s="1"/>
  <c r="M257" i="10"/>
  <c r="L257" i="10" s="1"/>
  <c r="M258" i="10"/>
  <c r="L258" i="10" s="1"/>
  <c r="M259" i="10"/>
  <c r="L259" i="10" s="1"/>
  <c r="M260" i="10"/>
  <c r="L260" i="10" s="1"/>
  <c r="M261" i="10"/>
  <c r="L261" i="10" s="1"/>
  <c r="M262" i="10"/>
  <c r="L262" i="10" s="1"/>
  <c r="M263" i="10"/>
  <c r="L263" i="10" s="1"/>
  <c r="M264" i="10"/>
  <c r="L264" i="10" s="1"/>
  <c r="M267" i="10"/>
  <c r="L267" i="10" s="1"/>
  <c r="M268" i="10"/>
  <c r="L268" i="10" s="1"/>
  <c r="M269" i="10"/>
  <c r="L269" i="10" s="1"/>
  <c r="M270" i="10"/>
  <c r="L270" i="10" s="1"/>
  <c r="M271" i="10"/>
  <c r="L271" i="10" s="1"/>
  <c r="M272" i="10"/>
  <c r="L272" i="10" s="1"/>
  <c r="M273" i="10"/>
  <c r="L273" i="10" s="1"/>
  <c r="M274" i="10"/>
  <c r="L274" i="10" s="1"/>
  <c r="M275" i="10"/>
  <c r="L275" i="10" s="1"/>
  <c r="M276" i="10"/>
  <c r="L276" i="10" s="1"/>
  <c r="M279" i="10"/>
  <c r="L279" i="10" s="1"/>
  <c r="M280" i="10"/>
  <c r="L280" i="10" s="1"/>
  <c r="M281" i="10"/>
  <c r="L281" i="10" s="1"/>
  <c r="M282" i="10"/>
  <c r="L282" i="10" s="1"/>
  <c r="M283" i="10"/>
  <c r="L283" i="10" s="1"/>
  <c r="M284" i="10"/>
  <c r="L284" i="10" s="1"/>
  <c r="M285" i="10"/>
  <c r="L285" i="10" s="1"/>
  <c r="M286" i="10"/>
  <c r="L286" i="10" s="1"/>
  <c r="M287" i="10"/>
  <c r="L287" i="10" s="1"/>
  <c r="M288" i="10"/>
  <c r="L288" i="10" s="1"/>
  <c r="M291" i="10"/>
  <c r="L291" i="10" s="1"/>
  <c r="M292" i="10"/>
  <c r="L292" i="10" s="1"/>
  <c r="M293" i="10"/>
  <c r="L293" i="10" s="1"/>
  <c r="M294" i="10"/>
  <c r="L294" i="10" s="1"/>
  <c r="M295" i="10"/>
  <c r="L295" i="10" s="1"/>
  <c r="M296" i="10"/>
  <c r="L296" i="10" s="1"/>
  <c r="M297" i="10"/>
  <c r="L297" i="10" s="1"/>
  <c r="M298" i="10"/>
  <c r="L298" i="10" s="1"/>
  <c r="M299" i="10"/>
  <c r="L299" i="10" s="1"/>
  <c r="M300" i="10"/>
  <c r="L300" i="10" s="1"/>
  <c r="M303" i="10"/>
  <c r="L303" i="10" s="1"/>
  <c r="M304" i="10"/>
  <c r="L304" i="10" s="1"/>
  <c r="M305" i="10"/>
  <c r="L305" i="10" s="1"/>
  <c r="M306" i="10"/>
  <c r="L306" i="10" s="1"/>
  <c r="M307" i="10"/>
  <c r="L307" i="10" s="1"/>
  <c r="M308" i="10"/>
  <c r="L308" i="10" s="1"/>
  <c r="M309" i="10"/>
  <c r="L309" i="10" s="1"/>
  <c r="M310" i="10"/>
  <c r="L310" i="10" s="1"/>
  <c r="M311" i="10"/>
  <c r="L311" i="10" s="1"/>
  <c r="M312" i="10"/>
  <c r="L312" i="10" s="1"/>
  <c r="M315" i="10"/>
  <c r="L315" i="10" s="1"/>
  <c r="M316" i="10"/>
  <c r="L316" i="10" s="1"/>
  <c r="M317" i="10"/>
  <c r="L317" i="10" s="1"/>
  <c r="M318" i="10"/>
  <c r="L318" i="10" s="1"/>
  <c r="M319" i="10"/>
  <c r="L319" i="10" s="1"/>
  <c r="M320" i="10"/>
  <c r="L320" i="10" s="1"/>
  <c r="M321" i="10"/>
  <c r="L321" i="10" s="1"/>
  <c r="M322" i="10"/>
  <c r="L322" i="10" s="1"/>
  <c r="M323" i="10"/>
  <c r="L323" i="10" s="1"/>
  <c r="M324" i="10"/>
  <c r="L324" i="10" s="1"/>
  <c r="M327" i="10"/>
  <c r="L327" i="10" s="1"/>
  <c r="M328" i="10"/>
  <c r="L328" i="10" s="1"/>
  <c r="M329" i="10"/>
  <c r="L329" i="10" s="1"/>
  <c r="M330" i="10"/>
  <c r="L330" i="10" s="1"/>
  <c r="M331" i="10"/>
  <c r="L331" i="10" s="1"/>
  <c r="M332" i="10"/>
  <c r="L332" i="10" s="1"/>
  <c r="M333" i="10"/>
  <c r="L333" i="10" s="1"/>
  <c r="M334" i="10"/>
  <c r="L334" i="10" s="1"/>
  <c r="M335" i="10"/>
  <c r="L335" i="10" s="1"/>
  <c r="M336" i="10"/>
  <c r="L336" i="10" s="1"/>
  <c r="M339" i="10"/>
  <c r="L339" i="10" s="1"/>
  <c r="M340" i="10"/>
  <c r="L340" i="10" s="1"/>
  <c r="M341" i="10"/>
  <c r="L341" i="10" s="1"/>
  <c r="M342" i="10"/>
  <c r="L342" i="10" s="1"/>
  <c r="M343" i="10"/>
  <c r="L343" i="10" s="1"/>
  <c r="M344" i="10"/>
  <c r="L344" i="10" s="1"/>
  <c r="M345" i="10"/>
  <c r="L345" i="10" s="1"/>
  <c r="M346" i="10"/>
  <c r="L346" i="10" s="1"/>
  <c r="M347" i="10"/>
  <c r="L347" i="10" s="1"/>
  <c r="M348" i="10"/>
  <c r="L348" i="10" s="1"/>
  <c r="M351" i="10"/>
  <c r="L351" i="10" s="1"/>
  <c r="M352" i="10"/>
  <c r="L352" i="10" s="1"/>
  <c r="M353" i="10"/>
  <c r="L353" i="10" s="1"/>
  <c r="M354" i="10"/>
  <c r="L354" i="10" s="1"/>
  <c r="M355" i="10"/>
  <c r="L355" i="10" s="1"/>
  <c r="M356" i="10"/>
  <c r="L356" i="10" s="1"/>
  <c r="M357" i="10"/>
  <c r="L357" i="10" s="1"/>
  <c r="M358" i="10"/>
  <c r="L358" i="10" s="1"/>
  <c r="M359" i="10"/>
  <c r="L359" i="10" s="1"/>
  <c r="M360" i="10"/>
  <c r="L360" i="10" s="1"/>
  <c r="M363" i="10"/>
  <c r="L363" i="10" s="1"/>
  <c r="M364" i="10"/>
  <c r="L364" i="10" s="1"/>
  <c r="M365" i="10"/>
  <c r="L365" i="10" s="1"/>
  <c r="M366" i="10"/>
  <c r="L366" i="10" s="1"/>
  <c r="M367" i="10"/>
  <c r="L367" i="10" s="1"/>
  <c r="M368" i="10"/>
  <c r="L368" i="10" s="1"/>
  <c r="M369" i="10"/>
  <c r="L369" i="10" s="1"/>
  <c r="M370" i="10"/>
  <c r="L370" i="10" s="1"/>
  <c r="M371" i="10"/>
  <c r="L371" i="10" s="1"/>
  <c r="M372" i="10"/>
  <c r="L372" i="10" s="1"/>
  <c r="M375" i="10"/>
  <c r="L375" i="10" s="1"/>
  <c r="M376" i="10"/>
  <c r="L376" i="10" s="1"/>
  <c r="M377" i="10"/>
  <c r="L377" i="10" s="1"/>
  <c r="M378" i="10"/>
  <c r="L378" i="10" s="1"/>
  <c r="M379" i="10"/>
  <c r="L379" i="10" s="1"/>
  <c r="M380" i="10"/>
  <c r="L380" i="10" s="1"/>
  <c r="M381" i="10"/>
  <c r="L381" i="10" s="1"/>
  <c r="M382" i="10"/>
  <c r="L382" i="10" s="1"/>
  <c r="M383" i="10"/>
  <c r="L383" i="10" s="1"/>
  <c r="M384" i="10"/>
  <c r="L384" i="10" s="1"/>
  <c r="M387" i="10"/>
  <c r="L387" i="10" s="1"/>
  <c r="M388" i="10"/>
  <c r="L388" i="10" s="1"/>
  <c r="M389" i="10"/>
  <c r="L389" i="10" s="1"/>
  <c r="M390" i="10"/>
  <c r="L390" i="10" s="1"/>
  <c r="M391" i="10"/>
  <c r="L391" i="10" s="1"/>
  <c r="M392" i="10"/>
  <c r="L392" i="10" s="1"/>
  <c r="M393" i="10"/>
  <c r="L393" i="10" s="1"/>
  <c r="M394" i="10"/>
  <c r="L394" i="10" s="1"/>
  <c r="M395" i="10"/>
  <c r="L395" i="10" s="1"/>
  <c r="M396" i="10"/>
  <c r="L396" i="10" s="1"/>
  <c r="M399" i="10"/>
  <c r="L399" i="10" s="1"/>
  <c r="M400" i="10"/>
  <c r="L400" i="10" s="1"/>
  <c r="M401" i="10"/>
  <c r="L401" i="10" s="1"/>
  <c r="M402" i="10"/>
  <c r="L402" i="10" s="1"/>
  <c r="M403" i="10"/>
  <c r="L403" i="10" s="1"/>
  <c r="M404" i="10"/>
  <c r="L404" i="10" s="1"/>
  <c r="M405" i="10"/>
  <c r="L405" i="10" s="1"/>
  <c r="M406" i="10"/>
  <c r="L406" i="10" s="1"/>
  <c r="M407" i="10"/>
  <c r="L407" i="10" s="1"/>
  <c r="M408" i="10"/>
  <c r="L408" i="10" s="1"/>
  <c r="M411" i="10"/>
  <c r="L411" i="10" s="1"/>
  <c r="M412" i="10"/>
  <c r="L412" i="10" s="1"/>
  <c r="M413" i="10"/>
  <c r="L413" i="10" s="1"/>
  <c r="M414" i="10"/>
  <c r="L414" i="10" s="1"/>
  <c r="M415" i="10"/>
  <c r="L415" i="10" s="1"/>
  <c r="M416" i="10"/>
  <c r="L416" i="10" s="1"/>
  <c r="M417" i="10"/>
  <c r="L417" i="10" s="1"/>
  <c r="M418" i="10"/>
  <c r="L418" i="10" s="1"/>
  <c r="M419" i="10"/>
  <c r="L419" i="10" s="1"/>
  <c r="M420" i="10"/>
  <c r="L420" i="10" s="1"/>
  <c r="M423" i="10"/>
  <c r="L423" i="10" s="1"/>
  <c r="M424" i="10"/>
  <c r="L424" i="10" s="1"/>
  <c r="M425" i="10"/>
  <c r="L425" i="10" s="1"/>
  <c r="M426" i="10"/>
  <c r="L426" i="10" s="1"/>
  <c r="M427" i="10"/>
  <c r="L427" i="10" s="1"/>
  <c r="M428" i="10"/>
  <c r="L428" i="10" s="1"/>
  <c r="M429" i="10"/>
  <c r="L429" i="10" s="1"/>
  <c r="M430" i="10"/>
  <c r="L430" i="10" s="1"/>
  <c r="M431" i="10"/>
  <c r="L431" i="10" s="1"/>
  <c r="M432" i="10"/>
  <c r="L432" i="10" s="1"/>
  <c r="M435" i="10"/>
  <c r="L435" i="10" s="1"/>
  <c r="M436" i="10"/>
  <c r="L436" i="10" s="1"/>
  <c r="M437" i="10"/>
  <c r="L437" i="10" s="1"/>
  <c r="M438" i="10"/>
  <c r="L438" i="10" s="1"/>
  <c r="M439" i="10"/>
  <c r="L439" i="10" s="1"/>
  <c r="M440" i="10"/>
  <c r="L440" i="10" s="1"/>
  <c r="M441" i="10"/>
  <c r="L441" i="10" s="1"/>
  <c r="M442" i="10"/>
  <c r="L442" i="10" s="1"/>
  <c r="M443" i="10"/>
  <c r="L443" i="10" s="1"/>
  <c r="M444" i="10"/>
  <c r="L444" i="10" s="1"/>
  <c r="M447" i="10"/>
  <c r="L447" i="10" s="1"/>
  <c r="M448" i="10"/>
  <c r="L448" i="10" s="1"/>
  <c r="M449" i="10"/>
  <c r="L449" i="10" s="1"/>
  <c r="M450" i="10"/>
  <c r="L450" i="10" s="1"/>
  <c r="M451" i="10"/>
  <c r="L451" i="10" s="1"/>
  <c r="M452" i="10"/>
  <c r="L452" i="10" s="1"/>
  <c r="M453" i="10"/>
  <c r="L453" i="10" s="1"/>
  <c r="M454" i="10"/>
  <c r="L454" i="10" s="1"/>
  <c r="M455" i="10"/>
  <c r="L455" i="10" s="1"/>
  <c r="M456" i="10"/>
  <c r="L456" i="10" s="1"/>
  <c r="M459" i="10"/>
  <c r="L459" i="10" s="1"/>
  <c r="M460" i="10"/>
  <c r="L460" i="10" s="1"/>
  <c r="M461" i="10"/>
  <c r="L461" i="10" s="1"/>
  <c r="M462" i="10"/>
  <c r="L462" i="10" s="1"/>
  <c r="M463" i="10"/>
  <c r="L463" i="10" s="1"/>
  <c r="M464" i="10"/>
  <c r="L464" i="10" s="1"/>
  <c r="M465" i="10"/>
  <c r="L465" i="10" s="1"/>
  <c r="M466" i="10"/>
  <c r="L466" i="10" s="1"/>
  <c r="M467" i="10"/>
  <c r="L467" i="10" s="1"/>
  <c r="M468" i="10"/>
  <c r="L468" i="10" s="1"/>
  <c r="M471" i="10"/>
  <c r="L471" i="10" s="1"/>
  <c r="M472" i="10"/>
  <c r="L472" i="10" s="1"/>
  <c r="M473" i="10"/>
  <c r="L473" i="10" s="1"/>
  <c r="M474" i="10"/>
  <c r="L474" i="10" s="1"/>
  <c r="M475" i="10"/>
  <c r="L475" i="10" s="1"/>
  <c r="M476" i="10"/>
  <c r="L476" i="10" s="1"/>
  <c r="M477" i="10"/>
  <c r="L477" i="10" s="1"/>
  <c r="M478" i="10"/>
  <c r="L478" i="10" s="1"/>
  <c r="M479" i="10"/>
  <c r="L479" i="10" s="1"/>
  <c r="M480" i="10"/>
  <c r="L480" i="10" s="1"/>
  <c r="M483" i="10"/>
  <c r="L483" i="10" s="1"/>
  <c r="M484" i="10"/>
  <c r="L484" i="10" s="1"/>
  <c r="M485" i="10"/>
  <c r="L485" i="10" s="1"/>
  <c r="M486" i="10"/>
  <c r="L486" i="10" s="1"/>
  <c r="M487" i="10"/>
  <c r="L487" i="10" s="1"/>
  <c r="M488" i="10"/>
  <c r="L488" i="10" s="1"/>
  <c r="M489" i="10"/>
  <c r="L489" i="10" s="1"/>
  <c r="M490" i="10"/>
  <c r="L490" i="10" s="1"/>
  <c r="M491" i="10"/>
  <c r="L491" i="10" s="1"/>
  <c r="M492" i="10"/>
  <c r="L492" i="10" s="1"/>
  <c r="M495" i="10"/>
  <c r="L495" i="10" s="1"/>
  <c r="M496" i="10"/>
  <c r="L496" i="10" s="1"/>
  <c r="M497" i="10"/>
  <c r="L497" i="10" s="1"/>
  <c r="M498" i="10"/>
  <c r="L498" i="10" s="1"/>
  <c r="M499" i="10"/>
  <c r="L499" i="10" s="1"/>
  <c r="M500" i="10"/>
  <c r="L500" i="10" s="1"/>
  <c r="M501" i="10"/>
  <c r="L501" i="10" s="1"/>
  <c r="M502" i="10"/>
  <c r="L502" i="10" s="1"/>
  <c r="M503" i="10"/>
  <c r="L503" i="10" s="1"/>
  <c r="M504" i="10"/>
  <c r="L504" i="10" s="1"/>
  <c r="M507" i="10"/>
  <c r="L507" i="10" s="1"/>
  <c r="M508" i="10"/>
  <c r="L508" i="10" s="1"/>
  <c r="M509" i="10"/>
  <c r="L509" i="10" s="1"/>
  <c r="M510" i="10"/>
  <c r="L510" i="10" s="1"/>
  <c r="M511" i="10"/>
  <c r="L511" i="10" s="1"/>
  <c r="M512" i="10"/>
  <c r="L512" i="10" s="1"/>
  <c r="M513" i="10"/>
  <c r="L513" i="10" s="1"/>
  <c r="M514" i="10"/>
  <c r="L514" i="10" s="1"/>
  <c r="M515" i="10"/>
  <c r="L515" i="10" s="1"/>
  <c r="M516" i="10"/>
  <c r="L516" i="10" s="1"/>
  <c r="M519" i="10"/>
  <c r="L519" i="10" s="1"/>
  <c r="M520" i="10"/>
  <c r="L520" i="10" s="1"/>
  <c r="M521" i="10"/>
  <c r="L521" i="10" s="1"/>
  <c r="M522" i="10"/>
  <c r="L522" i="10" s="1"/>
  <c r="M523" i="10"/>
  <c r="L523" i="10" s="1"/>
  <c r="M524" i="10"/>
  <c r="L524" i="10" s="1"/>
  <c r="M525" i="10"/>
  <c r="L525" i="10" s="1"/>
  <c r="M526" i="10"/>
  <c r="L526" i="10" s="1"/>
  <c r="M527" i="10"/>
  <c r="L527" i="10" s="1"/>
  <c r="M528" i="10"/>
  <c r="L528" i="10" s="1"/>
  <c r="M531" i="10"/>
  <c r="L531" i="10" s="1"/>
  <c r="M532" i="10"/>
  <c r="L532" i="10" s="1"/>
  <c r="M533" i="10"/>
  <c r="L533" i="10" s="1"/>
  <c r="M534" i="10"/>
  <c r="L534" i="10" s="1"/>
  <c r="M535" i="10"/>
  <c r="L535" i="10" s="1"/>
  <c r="M536" i="10"/>
  <c r="L536" i="10" s="1"/>
  <c r="M537" i="10"/>
  <c r="L537" i="10" s="1"/>
  <c r="M538" i="10"/>
  <c r="L538" i="10" s="1"/>
  <c r="M539" i="10"/>
  <c r="L539" i="10" s="1"/>
  <c r="M540" i="10"/>
  <c r="L540" i="10" s="1"/>
  <c r="M543" i="10"/>
  <c r="L543" i="10" s="1"/>
  <c r="M544" i="10"/>
  <c r="L544" i="10" s="1"/>
  <c r="M545" i="10"/>
  <c r="L545" i="10" s="1"/>
  <c r="M546" i="10"/>
  <c r="L546" i="10" s="1"/>
  <c r="M547" i="10"/>
  <c r="L547" i="10" s="1"/>
  <c r="M548" i="10"/>
  <c r="L548" i="10" s="1"/>
  <c r="M549" i="10"/>
  <c r="L549" i="10" s="1"/>
  <c r="M550" i="10"/>
  <c r="L550" i="10" s="1"/>
  <c r="M551" i="10"/>
  <c r="L551" i="10" s="1"/>
  <c r="M552" i="10"/>
  <c r="L552" i="10" s="1"/>
  <c r="M555" i="10"/>
  <c r="L555" i="10" s="1"/>
  <c r="M556" i="10"/>
  <c r="L556" i="10" s="1"/>
  <c r="M557" i="10"/>
  <c r="L557" i="10" s="1"/>
  <c r="M558" i="10"/>
  <c r="L558" i="10" s="1"/>
  <c r="M559" i="10"/>
  <c r="L559" i="10" s="1"/>
  <c r="M560" i="10"/>
  <c r="L560" i="10" s="1"/>
  <c r="M561" i="10"/>
  <c r="L561" i="10" s="1"/>
  <c r="M562" i="10"/>
  <c r="L562" i="10" s="1"/>
  <c r="M563" i="10"/>
  <c r="L563" i="10" s="1"/>
  <c r="M564" i="10"/>
  <c r="L564" i="10" s="1"/>
  <c r="M567" i="10"/>
  <c r="L567" i="10" s="1"/>
  <c r="M568" i="10"/>
  <c r="L568" i="10" s="1"/>
  <c r="M569" i="10"/>
  <c r="L569" i="10" s="1"/>
  <c r="M570" i="10"/>
  <c r="L570" i="10" s="1"/>
  <c r="M571" i="10"/>
  <c r="L571" i="10" s="1"/>
  <c r="M572" i="10"/>
  <c r="L572" i="10" s="1"/>
  <c r="M573" i="10"/>
  <c r="L573" i="10" s="1"/>
  <c r="M574" i="10"/>
  <c r="L574" i="10" s="1"/>
  <c r="M575" i="10"/>
  <c r="L575" i="10" s="1"/>
  <c r="M576" i="10"/>
  <c r="L576" i="10" s="1"/>
  <c r="M579" i="10"/>
  <c r="L579" i="10" s="1"/>
  <c r="M580" i="10"/>
  <c r="L580" i="10" s="1"/>
  <c r="M581" i="10"/>
  <c r="L581" i="10" s="1"/>
  <c r="M582" i="10"/>
  <c r="L582" i="10" s="1"/>
  <c r="M583" i="10"/>
  <c r="L583" i="10" s="1"/>
  <c r="M584" i="10"/>
  <c r="L584" i="10" s="1"/>
  <c r="M585" i="10"/>
  <c r="L585" i="10" s="1"/>
  <c r="M586" i="10"/>
  <c r="L586" i="10" s="1"/>
  <c r="M587" i="10"/>
  <c r="L587" i="10" s="1"/>
  <c r="M588" i="10"/>
  <c r="L588" i="10" s="1"/>
  <c r="M591" i="10"/>
  <c r="L591" i="10" s="1"/>
  <c r="M592" i="10"/>
  <c r="L592" i="10" s="1"/>
  <c r="M593" i="10"/>
  <c r="L593" i="10" s="1"/>
  <c r="M594" i="10"/>
  <c r="L594" i="10" s="1"/>
  <c r="M595" i="10"/>
  <c r="L595" i="10" s="1"/>
  <c r="M596" i="10"/>
  <c r="L596" i="10" s="1"/>
  <c r="M597" i="10"/>
  <c r="L597" i="10" s="1"/>
  <c r="M598" i="10"/>
  <c r="L598" i="10" s="1"/>
  <c r="M599" i="10"/>
  <c r="L599" i="10" s="1"/>
  <c r="M600" i="10"/>
  <c r="L600" i="10" s="1"/>
  <c r="M603" i="10"/>
  <c r="L603" i="10" s="1"/>
  <c r="M604" i="10"/>
  <c r="L604" i="10" s="1"/>
  <c r="M605" i="10"/>
  <c r="L605" i="10" s="1"/>
  <c r="M606" i="10"/>
  <c r="L606" i="10" s="1"/>
  <c r="M607" i="10"/>
  <c r="L607" i="10" s="1"/>
  <c r="M608" i="10"/>
  <c r="L608" i="10" s="1"/>
  <c r="M609" i="10"/>
  <c r="L609" i="10" s="1"/>
  <c r="M610" i="10"/>
  <c r="L610" i="10" s="1"/>
  <c r="M611" i="10"/>
  <c r="L611" i="10" s="1"/>
  <c r="M612" i="10"/>
  <c r="L612" i="10" s="1"/>
  <c r="M615" i="10"/>
  <c r="L615" i="10" s="1"/>
  <c r="M616" i="10"/>
  <c r="L616" i="10" s="1"/>
  <c r="M617" i="10"/>
  <c r="L617" i="10" s="1"/>
  <c r="M618" i="10"/>
  <c r="L618" i="10" s="1"/>
  <c r="M619" i="10"/>
  <c r="L619" i="10" s="1"/>
  <c r="M620" i="10"/>
  <c r="L620" i="10" s="1"/>
  <c r="M621" i="10"/>
  <c r="L621" i="10" s="1"/>
  <c r="M622" i="10"/>
  <c r="L622" i="10" s="1"/>
  <c r="M623" i="10"/>
  <c r="L623" i="10" s="1"/>
  <c r="M624" i="10"/>
  <c r="L624" i="10" s="1"/>
  <c r="M627" i="10"/>
  <c r="L627" i="10" s="1"/>
  <c r="M628" i="10"/>
  <c r="L628" i="10" s="1"/>
  <c r="M629" i="10"/>
  <c r="L629" i="10" s="1"/>
  <c r="M630" i="10"/>
  <c r="L630" i="10" s="1"/>
  <c r="M631" i="10"/>
  <c r="L631" i="10" s="1"/>
  <c r="M632" i="10"/>
  <c r="L632" i="10" s="1"/>
  <c r="M633" i="10"/>
  <c r="L633" i="10" s="1"/>
  <c r="M634" i="10"/>
  <c r="L634" i="10" s="1"/>
  <c r="M635" i="10"/>
  <c r="L635" i="10" s="1"/>
  <c r="M636" i="10"/>
  <c r="L636" i="10" s="1"/>
  <c r="M639" i="10"/>
  <c r="L639" i="10" s="1"/>
  <c r="M640" i="10"/>
  <c r="L640" i="10" s="1"/>
  <c r="M641" i="10"/>
  <c r="L641" i="10" s="1"/>
  <c r="M642" i="10"/>
  <c r="L642" i="10" s="1"/>
  <c r="M643" i="10"/>
  <c r="L643" i="10" s="1"/>
  <c r="M644" i="10"/>
  <c r="L644" i="10" s="1"/>
  <c r="M645" i="10"/>
  <c r="L645" i="10" s="1"/>
  <c r="M646" i="10"/>
  <c r="L646" i="10" s="1"/>
  <c r="M647" i="10"/>
  <c r="L647" i="10" s="1"/>
  <c r="M648" i="10"/>
  <c r="L648" i="10" s="1"/>
  <c r="M651" i="10"/>
  <c r="L651" i="10" s="1"/>
  <c r="M652" i="10"/>
  <c r="L652" i="10" s="1"/>
  <c r="M653" i="10"/>
  <c r="L653" i="10" s="1"/>
  <c r="M654" i="10"/>
  <c r="L654" i="10" s="1"/>
  <c r="M655" i="10"/>
  <c r="L655" i="10" s="1"/>
  <c r="M656" i="10"/>
  <c r="L656" i="10" s="1"/>
  <c r="M657" i="10"/>
  <c r="L657" i="10" s="1"/>
  <c r="M658" i="10"/>
  <c r="L658" i="10" s="1"/>
  <c r="M659" i="10"/>
  <c r="L659" i="10" s="1"/>
  <c r="M660" i="10"/>
  <c r="L660" i="10" s="1"/>
  <c r="M663" i="10"/>
  <c r="L663" i="10" s="1"/>
  <c r="M664" i="10"/>
  <c r="L664" i="10" s="1"/>
  <c r="M665" i="10"/>
  <c r="L665" i="10" s="1"/>
  <c r="M666" i="10"/>
  <c r="L666" i="10" s="1"/>
  <c r="M667" i="10"/>
  <c r="L667" i="10" s="1"/>
  <c r="M668" i="10"/>
  <c r="L668" i="10" s="1"/>
  <c r="M669" i="10"/>
  <c r="L669" i="10" s="1"/>
  <c r="M670" i="10"/>
  <c r="L670" i="10" s="1"/>
  <c r="M671" i="10"/>
  <c r="L671" i="10" s="1"/>
  <c r="M672" i="10"/>
  <c r="L672" i="10" s="1"/>
  <c r="M675" i="10"/>
  <c r="L675" i="10" s="1"/>
  <c r="M676" i="10"/>
  <c r="L676" i="10" s="1"/>
  <c r="M677" i="10"/>
  <c r="L677" i="10" s="1"/>
  <c r="M678" i="10"/>
  <c r="L678" i="10" s="1"/>
  <c r="M679" i="10"/>
  <c r="L679" i="10" s="1"/>
  <c r="M680" i="10"/>
  <c r="L680" i="10" s="1"/>
  <c r="M681" i="10"/>
  <c r="L681" i="10" s="1"/>
  <c r="M682" i="10"/>
  <c r="L682" i="10" s="1"/>
  <c r="M683" i="10"/>
  <c r="L683" i="10" s="1"/>
  <c r="M684" i="10"/>
  <c r="L684" i="10" s="1"/>
  <c r="M687" i="10"/>
  <c r="L687" i="10" s="1"/>
  <c r="M688" i="10"/>
  <c r="L688" i="10" s="1"/>
  <c r="M689" i="10"/>
  <c r="L689" i="10" s="1"/>
  <c r="M690" i="10"/>
  <c r="L690" i="10" s="1"/>
  <c r="M691" i="10"/>
  <c r="L691" i="10" s="1"/>
  <c r="M692" i="10"/>
  <c r="L692" i="10" s="1"/>
  <c r="M693" i="10"/>
  <c r="L693" i="10" s="1"/>
  <c r="M694" i="10"/>
  <c r="L694" i="10" s="1"/>
  <c r="M695" i="10"/>
  <c r="L695" i="10" s="1"/>
  <c r="M696" i="10"/>
  <c r="L696" i="10" s="1"/>
  <c r="M699" i="10"/>
  <c r="L699" i="10" s="1"/>
  <c r="M700" i="10"/>
  <c r="L700" i="10" s="1"/>
  <c r="M701" i="10"/>
  <c r="L701" i="10" s="1"/>
  <c r="M702" i="10"/>
  <c r="L702" i="10" s="1"/>
  <c r="M703" i="10"/>
  <c r="L703" i="10" s="1"/>
  <c r="M704" i="10"/>
  <c r="L704" i="10" s="1"/>
  <c r="M705" i="10"/>
  <c r="L705" i="10" s="1"/>
  <c r="M706" i="10"/>
  <c r="L706" i="10" s="1"/>
  <c r="M707" i="10"/>
  <c r="L707" i="10" s="1"/>
  <c r="M708" i="10"/>
  <c r="L708" i="10" s="1"/>
  <c r="M711" i="10"/>
  <c r="L711" i="10" s="1"/>
  <c r="M712" i="10"/>
  <c r="L712" i="10" s="1"/>
  <c r="M713" i="10"/>
  <c r="L713" i="10" s="1"/>
  <c r="M714" i="10"/>
  <c r="L714" i="10" s="1"/>
  <c r="M715" i="10"/>
  <c r="L715" i="10" s="1"/>
  <c r="M716" i="10"/>
  <c r="L716" i="10" s="1"/>
  <c r="M717" i="10"/>
  <c r="L717" i="10" s="1"/>
  <c r="M718" i="10"/>
  <c r="L718" i="10" s="1"/>
  <c r="M719" i="10"/>
  <c r="L719" i="10" s="1"/>
  <c r="M720" i="10"/>
  <c r="L720" i="10" s="1"/>
  <c r="M723" i="10"/>
  <c r="L723" i="10" s="1"/>
  <c r="M724" i="10"/>
  <c r="L724" i="10" s="1"/>
  <c r="M725" i="10"/>
  <c r="L725" i="10" s="1"/>
  <c r="M726" i="10"/>
  <c r="L726" i="10" s="1"/>
  <c r="M727" i="10"/>
  <c r="L727" i="10" s="1"/>
  <c r="M728" i="10"/>
  <c r="L728" i="10" s="1"/>
  <c r="M729" i="10"/>
  <c r="L729" i="10" s="1"/>
  <c r="M730" i="10"/>
  <c r="L730" i="10" s="1"/>
  <c r="M731" i="10"/>
  <c r="L731" i="10" s="1"/>
  <c r="M732" i="10"/>
  <c r="L732" i="10" s="1"/>
  <c r="M735" i="10"/>
  <c r="L735" i="10" s="1"/>
  <c r="M736" i="10"/>
  <c r="L736" i="10" s="1"/>
  <c r="M737" i="10"/>
  <c r="L737" i="10" s="1"/>
  <c r="M738" i="10"/>
  <c r="L738" i="10" s="1"/>
  <c r="M739" i="10"/>
  <c r="L739" i="10" s="1"/>
  <c r="M740" i="10"/>
  <c r="L740" i="10" s="1"/>
  <c r="M741" i="10"/>
  <c r="L741" i="10" s="1"/>
  <c r="M742" i="10"/>
  <c r="L742" i="10" s="1"/>
  <c r="M743" i="10"/>
  <c r="L743" i="10" s="1"/>
  <c r="M744" i="10"/>
  <c r="L744" i="10" s="1"/>
  <c r="M747" i="10"/>
  <c r="L747" i="10" s="1"/>
  <c r="M748" i="10"/>
  <c r="L748" i="10" s="1"/>
  <c r="M749" i="10"/>
  <c r="L749" i="10" s="1"/>
  <c r="M750" i="10"/>
  <c r="L750" i="10" s="1"/>
  <c r="M751" i="10"/>
  <c r="L751" i="10" s="1"/>
  <c r="M752" i="10"/>
  <c r="L752" i="10" s="1"/>
  <c r="M753" i="10"/>
  <c r="L753" i="10" s="1"/>
  <c r="M754" i="10"/>
  <c r="L754" i="10" s="1"/>
  <c r="M755" i="10"/>
  <c r="L755" i="10" s="1"/>
  <c r="M756" i="10"/>
  <c r="L756" i="10" s="1"/>
  <c r="M759" i="10"/>
  <c r="L759" i="10" s="1"/>
  <c r="M760" i="10"/>
  <c r="L760" i="10" s="1"/>
  <c r="M761" i="10"/>
  <c r="L761" i="10" s="1"/>
  <c r="M762" i="10"/>
  <c r="L762" i="10" s="1"/>
  <c r="M763" i="10"/>
  <c r="L763" i="10" s="1"/>
  <c r="M764" i="10"/>
  <c r="L764" i="10" s="1"/>
  <c r="M765" i="10"/>
  <c r="L765" i="10" s="1"/>
  <c r="M766" i="10"/>
  <c r="L766" i="10" s="1"/>
  <c r="M767" i="10"/>
  <c r="L767" i="10" s="1"/>
  <c r="M768" i="10"/>
  <c r="L768" i="10" s="1"/>
  <c r="M771" i="10"/>
  <c r="L771" i="10" s="1"/>
  <c r="M772" i="10"/>
  <c r="L772" i="10" s="1"/>
  <c r="M773" i="10"/>
  <c r="L773" i="10" s="1"/>
  <c r="M774" i="10"/>
  <c r="L774" i="10" s="1"/>
  <c r="M775" i="10"/>
  <c r="L775" i="10" s="1"/>
  <c r="M776" i="10"/>
  <c r="L776" i="10" s="1"/>
  <c r="M777" i="10"/>
  <c r="L777" i="10" s="1"/>
  <c r="M778" i="10"/>
  <c r="L778" i="10" s="1"/>
  <c r="M779" i="10"/>
  <c r="L779" i="10" s="1"/>
  <c r="M780" i="10"/>
  <c r="L780" i="10" s="1"/>
  <c r="M783" i="10"/>
  <c r="L783" i="10" s="1"/>
  <c r="M784" i="10"/>
  <c r="L784" i="10" s="1"/>
  <c r="M785" i="10"/>
  <c r="L785" i="10" s="1"/>
  <c r="M786" i="10"/>
  <c r="L786" i="10" s="1"/>
  <c r="M787" i="10"/>
  <c r="L787" i="10" s="1"/>
  <c r="M788" i="10"/>
  <c r="L788" i="10" s="1"/>
  <c r="M789" i="10"/>
  <c r="L789" i="10" s="1"/>
  <c r="M790" i="10"/>
  <c r="L790" i="10" s="1"/>
  <c r="M791" i="10"/>
  <c r="L791" i="10" s="1"/>
  <c r="M792" i="10"/>
  <c r="L792" i="10" s="1"/>
  <c r="M795" i="10"/>
  <c r="L795" i="10" s="1"/>
  <c r="M796" i="10"/>
  <c r="L796" i="10" s="1"/>
  <c r="M797" i="10"/>
  <c r="L797" i="10" s="1"/>
  <c r="M798" i="10"/>
  <c r="L798" i="10" s="1"/>
  <c r="M799" i="10"/>
  <c r="L799" i="10" s="1"/>
  <c r="M800" i="10"/>
  <c r="L800" i="10" s="1"/>
  <c r="M801" i="10"/>
  <c r="L801" i="10" s="1"/>
  <c r="M802" i="10"/>
  <c r="L802" i="10" s="1"/>
  <c r="M803" i="10"/>
  <c r="L803" i="10" s="1"/>
  <c r="M804" i="10"/>
  <c r="L804" i="10" s="1"/>
  <c r="M807" i="10"/>
  <c r="L807" i="10" s="1"/>
  <c r="M808" i="10"/>
  <c r="L808" i="10" s="1"/>
  <c r="M809" i="10"/>
  <c r="L809" i="10" s="1"/>
  <c r="M810" i="10"/>
  <c r="L810" i="10" s="1"/>
  <c r="M811" i="10"/>
  <c r="L811" i="10" s="1"/>
  <c r="M812" i="10"/>
  <c r="L812" i="10" s="1"/>
  <c r="M813" i="10"/>
  <c r="L813" i="10" s="1"/>
  <c r="M814" i="10"/>
  <c r="L814" i="10" s="1"/>
  <c r="M815" i="10"/>
  <c r="L815" i="10" s="1"/>
  <c r="M816" i="10"/>
  <c r="L816" i="10" s="1"/>
  <c r="M819" i="10"/>
  <c r="L819" i="10" s="1"/>
  <c r="M820" i="10"/>
  <c r="L820" i="10" s="1"/>
  <c r="M821" i="10"/>
  <c r="L821" i="10" s="1"/>
  <c r="M822" i="10"/>
  <c r="L822" i="10" s="1"/>
  <c r="M823" i="10"/>
  <c r="L823" i="10" s="1"/>
  <c r="M824" i="10"/>
  <c r="L824" i="10" s="1"/>
  <c r="M825" i="10"/>
  <c r="L825" i="10" s="1"/>
  <c r="M826" i="10"/>
  <c r="L826" i="10" s="1"/>
  <c r="M827" i="10"/>
  <c r="L827" i="10" s="1"/>
  <c r="M828" i="10"/>
  <c r="L828" i="10" s="1"/>
  <c r="M831" i="10"/>
  <c r="L831" i="10" s="1"/>
  <c r="M832" i="10"/>
  <c r="L832" i="10" s="1"/>
  <c r="M833" i="10"/>
  <c r="L833" i="10" s="1"/>
  <c r="M834" i="10"/>
  <c r="L834" i="10" s="1"/>
  <c r="M835" i="10"/>
  <c r="L835" i="10" s="1"/>
  <c r="M836" i="10"/>
  <c r="L836" i="10" s="1"/>
  <c r="M837" i="10"/>
  <c r="L837" i="10" s="1"/>
  <c r="M838" i="10"/>
  <c r="L838" i="10" s="1"/>
  <c r="M839" i="10"/>
  <c r="L839" i="10" s="1"/>
  <c r="M840" i="10"/>
  <c r="L840" i="10" s="1"/>
  <c r="M843" i="10"/>
  <c r="L843" i="10" s="1"/>
  <c r="M844" i="10"/>
  <c r="L844" i="10" s="1"/>
  <c r="M845" i="10"/>
  <c r="L845" i="10" s="1"/>
  <c r="M846" i="10"/>
  <c r="L846" i="10" s="1"/>
  <c r="M847" i="10"/>
  <c r="L847" i="10" s="1"/>
  <c r="M848" i="10"/>
  <c r="L848" i="10" s="1"/>
  <c r="M849" i="10"/>
  <c r="L849" i="10" s="1"/>
  <c r="M850" i="10"/>
  <c r="L850" i="10" s="1"/>
  <c r="M851" i="10"/>
  <c r="L851" i="10" s="1"/>
  <c r="M852" i="10"/>
  <c r="L852" i="10" s="1"/>
  <c r="M855" i="10"/>
  <c r="L855" i="10" s="1"/>
  <c r="M856" i="10"/>
  <c r="L856" i="10" s="1"/>
  <c r="M857" i="10"/>
  <c r="L857" i="10" s="1"/>
  <c r="M858" i="10"/>
  <c r="L858" i="10" s="1"/>
  <c r="M859" i="10"/>
  <c r="L859" i="10" s="1"/>
  <c r="M860" i="10"/>
  <c r="L860" i="10" s="1"/>
  <c r="M861" i="10"/>
  <c r="L861" i="10" s="1"/>
  <c r="M862" i="10"/>
  <c r="L862" i="10" s="1"/>
  <c r="M863" i="10"/>
  <c r="L863" i="10" s="1"/>
  <c r="M864" i="10"/>
  <c r="L864" i="10" s="1"/>
  <c r="M867" i="10"/>
  <c r="L867" i="10" s="1"/>
  <c r="M868" i="10"/>
  <c r="L868" i="10" s="1"/>
  <c r="M869" i="10"/>
  <c r="L869" i="10" s="1"/>
  <c r="M870" i="10"/>
  <c r="L870" i="10" s="1"/>
  <c r="M871" i="10"/>
  <c r="L871" i="10" s="1"/>
  <c r="M872" i="10"/>
  <c r="L872" i="10" s="1"/>
  <c r="M873" i="10"/>
  <c r="L873" i="10" s="1"/>
  <c r="M874" i="10"/>
  <c r="L874" i="10" s="1"/>
  <c r="M875" i="10"/>
  <c r="L875" i="10" s="1"/>
  <c r="M876" i="10"/>
  <c r="L876" i="10" s="1"/>
  <c r="M879" i="10"/>
  <c r="L879" i="10" s="1"/>
  <c r="M880" i="10"/>
  <c r="L880" i="10" s="1"/>
  <c r="M881" i="10"/>
  <c r="L881" i="10" s="1"/>
  <c r="M882" i="10"/>
  <c r="L882" i="10" s="1"/>
  <c r="M883" i="10"/>
  <c r="L883" i="10" s="1"/>
  <c r="M884" i="10"/>
  <c r="L884" i="10" s="1"/>
  <c r="M885" i="10"/>
  <c r="L885" i="10" s="1"/>
  <c r="M886" i="10"/>
  <c r="L886" i="10" s="1"/>
  <c r="M887" i="10"/>
  <c r="L887" i="10" s="1"/>
  <c r="M888" i="10"/>
  <c r="L888" i="10" s="1"/>
  <c r="M891" i="10"/>
  <c r="L891" i="10" s="1"/>
  <c r="M892" i="10"/>
  <c r="L892" i="10" s="1"/>
  <c r="M893" i="10"/>
  <c r="L893" i="10" s="1"/>
  <c r="M894" i="10"/>
  <c r="L894" i="10" s="1"/>
  <c r="M895" i="10"/>
  <c r="L895" i="10" s="1"/>
  <c r="M896" i="10"/>
  <c r="L896" i="10" s="1"/>
  <c r="M897" i="10"/>
  <c r="L897" i="10" s="1"/>
  <c r="M898" i="10"/>
  <c r="L898" i="10" s="1"/>
  <c r="M899" i="10"/>
  <c r="L899" i="10" s="1"/>
  <c r="M900" i="10"/>
  <c r="L900" i="10" s="1"/>
  <c r="M903" i="10"/>
  <c r="L903" i="10" s="1"/>
  <c r="M904" i="10"/>
  <c r="L904" i="10" s="1"/>
  <c r="M905" i="10"/>
  <c r="L905" i="10" s="1"/>
  <c r="M906" i="10"/>
  <c r="L906" i="10" s="1"/>
  <c r="M907" i="10"/>
  <c r="L907" i="10" s="1"/>
  <c r="M908" i="10"/>
  <c r="L908" i="10" s="1"/>
  <c r="M909" i="10"/>
  <c r="L909" i="10" s="1"/>
  <c r="M910" i="10"/>
  <c r="L910" i="10" s="1"/>
  <c r="M911" i="10"/>
  <c r="L911" i="10" s="1"/>
  <c r="M912" i="10"/>
  <c r="L912" i="10" s="1"/>
  <c r="M915" i="10"/>
  <c r="L915" i="10" s="1"/>
  <c r="M916" i="10"/>
  <c r="L916" i="10" s="1"/>
  <c r="M917" i="10"/>
  <c r="L917" i="10" s="1"/>
  <c r="M918" i="10"/>
  <c r="L918" i="10" s="1"/>
  <c r="M919" i="10"/>
  <c r="L919" i="10" s="1"/>
  <c r="M920" i="10"/>
  <c r="L920" i="10" s="1"/>
  <c r="M921" i="10"/>
  <c r="L921" i="10" s="1"/>
  <c r="M922" i="10"/>
  <c r="L922" i="10" s="1"/>
  <c r="M923" i="10"/>
  <c r="L923" i="10" s="1"/>
  <c r="M924" i="10"/>
  <c r="L924" i="10" s="1"/>
  <c r="M927" i="10"/>
  <c r="L927" i="10" s="1"/>
  <c r="M928" i="10"/>
  <c r="L928" i="10" s="1"/>
  <c r="M929" i="10"/>
  <c r="L929" i="10" s="1"/>
  <c r="M930" i="10"/>
  <c r="L930" i="10" s="1"/>
  <c r="M931" i="10"/>
  <c r="L931" i="10" s="1"/>
  <c r="M932" i="10"/>
  <c r="L932" i="10" s="1"/>
  <c r="M933" i="10"/>
  <c r="L933" i="10" s="1"/>
  <c r="M934" i="10"/>
  <c r="L934" i="10" s="1"/>
  <c r="M935" i="10"/>
  <c r="L935" i="10" s="1"/>
  <c r="M936" i="10"/>
  <c r="L936" i="10" s="1"/>
  <c r="M939" i="10"/>
  <c r="L939" i="10" s="1"/>
  <c r="M4" i="10"/>
  <c r="S939" i="10"/>
  <c r="S937" i="10"/>
  <c r="S926" i="10"/>
  <c r="S927" i="10" s="1"/>
  <c r="S928" i="10" s="1"/>
  <c r="S929" i="10" s="1"/>
  <c r="S930" i="10" s="1"/>
  <c r="S931" i="10" s="1"/>
  <c r="S932" i="10" s="1"/>
  <c r="S933" i="10" s="1"/>
  <c r="S934" i="10" s="1"/>
  <c r="S935" i="10" s="1"/>
  <c r="S903" i="10"/>
  <c r="S904" i="10" s="1"/>
  <c r="S905" i="10" s="1"/>
  <c r="S906" i="10" s="1"/>
  <c r="S907" i="10" s="1"/>
  <c r="S908" i="10" s="1"/>
  <c r="S909" i="10" s="1"/>
  <c r="S910" i="10" s="1"/>
  <c r="S911" i="10" s="1"/>
  <c r="S912" i="10" s="1"/>
  <c r="S913" i="10" s="1"/>
  <c r="S914" i="10" s="1"/>
  <c r="S915" i="10" s="1"/>
  <c r="S916" i="10" s="1"/>
  <c r="S917" i="10" s="1"/>
  <c r="S918" i="10" s="1"/>
  <c r="S919" i="10" s="1"/>
  <c r="S920" i="10" s="1"/>
  <c r="S921" i="10" s="1"/>
  <c r="S922" i="10" s="1"/>
  <c r="S923" i="10" s="1"/>
  <c r="S924" i="10" s="1"/>
  <c r="S896" i="10"/>
  <c r="S897" i="10" s="1"/>
  <c r="S898" i="10" s="1"/>
  <c r="S899" i="10" s="1"/>
  <c r="S900" i="10" s="1"/>
  <c r="S901" i="10" s="1"/>
  <c r="S890" i="10"/>
  <c r="S891" i="10" s="1"/>
  <c r="S892" i="10" s="1"/>
  <c r="S893" i="10" s="1"/>
  <c r="S894" i="10" s="1"/>
  <c r="S887" i="10"/>
  <c r="S888" i="10" s="1"/>
  <c r="S882" i="10"/>
  <c r="S883" i="10" s="1"/>
  <c r="S884" i="10" s="1"/>
  <c r="S885" i="10" s="1"/>
  <c r="S871" i="10"/>
  <c r="S872" i="10" s="1"/>
  <c r="S873" i="10" s="1"/>
  <c r="S874" i="10" s="1"/>
  <c r="S875" i="10" s="1"/>
  <c r="S876" i="10" s="1"/>
  <c r="S877" i="10" s="1"/>
  <c r="S878" i="10" s="1"/>
  <c r="S879" i="10" s="1"/>
  <c r="S880" i="10" s="1"/>
  <c r="S860" i="10"/>
  <c r="S861" i="10" s="1"/>
  <c r="S862" i="10" s="1"/>
  <c r="S863" i="10" s="1"/>
  <c r="S864" i="10" s="1"/>
  <c r="S865" i="10" s="1"/>
  <c r="S866" i="10" s="1"/>
  <c r="S867" i="10" s="1"/>
  <c r="S868" i="10" s="1"/>
  <c r="S869" i="10" s="1"/>
  <c r="S857" i="10"/>
  <c r="S858" i="10" s="1"/>
  <c r="S851" i="10"/>
  <c r="S852" i="10" s="1"/>
  <c r="S853" i="10" s="1"/>
  <c r="S854" i="10" s="1"/>
  <c r="S855" i="10" s="1"/>
  <c r="S849" i="10"/>
  <c r="S846" i="10"/>
  <c r="S833" i="10"/>
  <c r="S834" i="10" s="1"/>
  <c r="S835" i="10" s="1"/>
  <c r="S836" i="10" s="1"/>
  <c r="S837" i="10" s="1"/>
  <c r="S838" i="10" s="1"/>
  <c r="S839" i="10" s="1"/>
  <c r="S840" i="10" s="1"/>
  <c r="S841" i="10" s="1"/>
  <c r="S830" i="10"/>
  <c r="S831" i="10" s="1"/>
  <c r="S826" i="10"/>
  <c r="S827" i="10" s="1"/>
  <c r="S828" i="10" s="1"/>
  <c r="S823" i="10"/>
  <c r="S815" i="10"/>
  <c r="S816" i="10" s="1"/>
  <c r="S792" i="10"/>
  <c r="S787" i="10"/>
  <c r="S788" i="10" s="1"/>
  <c r="S789" i="10" s="1"/>
  <c r="S779" i="10"/>
  <c r="S780" i="10" s="1"/>
  <c r="S781" i="10" s="1"/>
  <c r="S776" i="10"/>
  <c r="S777" i="10" s="1"/>
  <c r="S767" i="10"/>
  <c r="S768" i="10" s="1"/>
  <c r="S769" i="10" s="1"/>
  <c r="S763" i="10"/>
  <c r="S764" i="10" s="1"/>
  <c r="S765" i="10" s="1"/>
  <c r="S761" i="10"/>
  <c r="S749" i="10"/>
  <c r="S745" i="10"/>
  <c r="S730" i="10"/>
  <c r="S725" i="10"/>
  <c r="S719" i="10"/>
  <c r="S720" i="10" s="1"/>
  <c r="S721" i="10" s="1"/>
  <c r="S717" i="10"/>
  <c r="S715" i="10"/>
  <c r="S703" i="10"/>
  <c r="S704" i="10" s="1"/>
  <c r="S688" i="10"/>
  <c r="S685" i="10"/>
  <c r="S686" i="10" s="1"/>
  <c r="S681" i="10"/>
  <c r="S676" i="10"/>
  <c r="S672" i="10"/>
  <c r="S673" i="10" s="1"/>
  <c r="S670" i="10"/>
  <c r="S662" i="10"/>
  <c r="S663" i="10" s="1"/>
  <c r="S659" i="10"/>
  <c r="S660" i="10" s="1"/>
  <c r="S656" i="10"/>
  <c r="S654" i="10"/>
  <c r="S649" i="10"/>
  <c r="S650" i="10" s="1"/>
  <c r="S645" i="10"/>
  <c r="S646" i="10" s="1"/>
  <c r="S642" i="10"/>
  <c r="S636" i="10"/>
  <c r="S628" i="10"/>
  <c r="S625" i="10"/>
  <c r="S618" i="10"/>
  <c r="S613" i="10"/>
  <c r="S614" i="10" s="1"/>
  <c r="S611" i="10"/>
  <c r="S609" i="10"/>
  <c r="S602" i="10"/>
  <c r="S603" i="10" s="1"/>
  <c r="S604" i="10" s="1"/>
  <c r="S605" i="10" s="1"/>
  <c r="S599" i="10"/>
  <c r="S595" i="10"/>
  <c r="S587" i="10"/>
  <c r="S584" i="10"/>
  <c r="S581" i="10"/>
  <c r="S582" i="10" s="1"/>
  <c r="S579" i="10"/>
  <c r="S576" i="10"/>
  <c r="S569" i="10"/>
  <c r="S561" i="10"/>
  <c r="S555" i="10"/>
  <c r="S556" i="10" s="1"/>
  <c r="S548" i="10"/>
  <c r="S549" i="10" s="1"/>
  <c r="S545" i="10"/>
  <c r="S543" i="10"/>
  <c r="S540" i="10"/>
  <c r="S541" i="10" s="1"/>
  <c r="S538" i="10"/>
  <c r="S529" i="10"/>
  <c r="S530" i="10" s="1"/>
  <c r="S524" i="10"/>
  <c r="S525" i="10" s="1"/>
  <c r="S526" i="10" s="1"/>
  <c r="S521" i="10"/>
  <c r="S517" i="10"/>
  <c r="S513" i="10"/>
  <c r="S509" i="10"/>
  <c r="S510" i="10" s="1"/>
  <c r="S506" i="10"/>
  <c r="S507" i="10" s="1"/>
  <c r="S503" i="10"/>
  <c r="S504" i="10" s="1"/>
  <c r="S500" i="10"/>
  <c r="S496" i="10"/>
  <c r="S497" i="10" s="1"/>
  <c r="S488" i="10"/>
  <c r="S485" i="10"/>
  <c r="S483" i="10"/>
  <c r="S480" i="10"/>
  <c r="S476" i="10"/>
  <c r="S472" i="10"/>
  <c r="S469" i="10"/>
  <c r="S457" i="10"/>
  <c r="S453" i="10"/>
  <c r="S451" i="10"/>
  <c r="S447" i="10"/>
  <c r="S448" i="10" s="1"/>
  <c r="S444" i="10"/>
  <c r="S442" i="10"/>
  <c r="S439" i="10"/>
  <c r="S437" i="10"/>
  <c r="S434" i="10"/>
  <c r="S435" i="10" s="1"/>
  <c r="S429" i="10"/>
  <c r="S427" i="10"/>
  <c r="S424" i="10"/>
  <c r="S421" i="10"/>
  <c r="S413" i="10"/>
  <c r="S411" i="10"/>
  <c r="S409" i="10"/>
  <c r="S407" i="10"/>
  <c r="S395" i="10"/>
  <c r="S396" i="10" s="1"/>
  <c r="S392" i="10"/>
  <c r="S393" i="10" s="1"/>
  <c r="S387" i="10"/>
  <c r="S388" i="10" s="1"/>
  <c r="S389" i="10" s="1"/>
  <c r="S385" i="10"/>
  <c r="S382" i="10"/>
  <c r="S377" i="10"/>
  <c r="S374" i="10"/>
  <c r="S370" i="10"/>
  <c r="S371" i="10" s="1"/>
  <c r="S367" i="10"/>
  <c r="S365" i="10"/>
  <c r="S361" i="10"/>
  <c r="S359" i="10"/>
  <c r="S355" i="10"/>
  <c r="S349" i="10"/>
  <c r="S345" i="10"/>
  <c r="S341" i="10"/>
  <c r="S338" i="10"/>
  <c r="S333" i="10"/>
  <c r="S329" i="10"/>
  <c r="S319" i="10"/>
  <c r="S320" i="10" s="1"/>
  <c r="S321" i="10" s="1"/>
  <c r="S322" i="10" s="1"/>
  <c r="S314" i="10"/>
  <c r="S315" i="10" s="1"/>
  <c r="S311" i="10"/>
  <c r="S308" i="10"/>
  <c r="S309" i="10" s="1"/>
  <c r="S305" i="10"/>
  <c r="S302" i="10"/>
  <c r="S297" i="10"/>
  <c r="S295" i="10"/>
  <c r="S291" i="10"/>
  <c r="S292" i="10" s="1"/>
  <c r="S293" i="10" s="1"/>
  <c r="S289" i="10"/>
  <c r="S287" i="10"/>
  <c r="S284" i="10"/>
  <c r="S277" i="10"/>
  <c r="S278" i="10" s="1"/>
  <c r="S272" i="10"/>
  <c r="S273" i="10" s="1"/>
  <c r="S274" i="10" s="1"/>
  <c r="S275" i="10" s="1"/>
  <c r="S270" i="10"/>
  <c r="S268" i="10"/>
  <c r="S264" i="10"/>
  <c r="S262" i="10"/>
  <c r="S260" i="10"/>
  <c r="S249" i="10"/>
  <c r="S242" i="10"/>
  <c r="S208" i="10"/>
  <c r="S206" i="10"/>
  <c r="S197" i="10"/>
  <c r="S132" i="10"/>
  <c r="S124" i="10"/>
  <c r="S115" i="10"/>
  <c r="S82" i="10"/>
  <c r="S73" i="10"/>
  <c r="S70" i="10"/>
  <c r="S62" i="10"/>
  <c r="S51" i="10"/>
  <c r="S48" i="10"/>
  <c r="S28" i="10"/>
  <c r="S22" i="10"/>
  <c r="Q939" i="10"/>
  <c r="R939" i="10" s="1"/>
  <c r="Q937" i="10"/>
  <c r="R937" i="10" s="1"/>
  <c r="Q926" i="10"/>
  <c r="R926" i="10" s="1"/>
  <c r="Q903" i="10"/>
  <c r="Q904" i="10" s="1"/>
  <c r="Q896" i="10"/>
  <c r="Q897" i="10" s="1"/>
  <c r="Q890" i="10"/>
  <c r="Q891" i="10" s="1"/>
  <c r="Q887" i="10"/>
  <c r="Q888" i="10" s="1"/>
  <c r="R888" i="10" s="1"/>
  <c r="Q882" i="10"/>
  <c r="Q883" i="10" s="1"/>
  <c r="Q871" i="10"/>
  <c r="Q872" i="10" s="1"/>
  <c r="Q860" i="10"/>
  <c r="Q861" i="10" s="1"/>
  <c r="Q857" i="10"/>
  <c r="Q858" i="10" s="1"/>
  <c r="R858" i="10" s="1"/>
  <c r="Q851" i="10"/>
  <c r="Q852" i="10" s="1"/>
  <c r="Q849" i="10"/>
  <c r="R849" i="10" s="1"/>
  <c r="Q846" i="10"/>
  <c r="R846" i="10" s="1"/>
  <c r="Q833" i="10"/>
  <c r="R833" i="10" s="1"/>
  <c r="Q830" i="10"/>
  <c r="Q831" i="10" s="1"/>
  <c r="R831" i="10" s="1"/>
  <c r="Q826" i="10"/>
  <c r="Q827" i="10" s="1"/>
  <c r="Q823" i="10"/>
  <c r="R823" i="10" s="1"/>
  <c r="Q815" i="10"/>
  <c r="Q816" i="10" s="1"/>
  <c r="R816" i="10" s="1"/>
  <c r="Q792" i="10"/>
  <c r="R792" i="10" s="1"/>
  <c r="Q787" i="10"/>
  <c r="Q788" i="10" s="1"/>
  <c r="Q779" i="10"/>
  <c r="Q780" i="10" s="1"/>
  <c r="Q776" i="10"/>
  <c r="Q777" i="10" s="1"/>
  <c r="R777" i="10" s="1"/>
  <c r="Q767" i="10"/>
  <c r="Q768" i="10" s="1"/>
  <c r="Q763" i="10"/>
  <c r="Q764" i="10" s="1"/>
  <c r="Q761" i="10"/>
  <c r="R761" i="10" s="1"/>
  <c r="Q749" i="10"/>
  <c r="R749" i="10" s="1"/>
  <c r="Q745" i="10"/>
  <c r="R745" i="10" s="1"/>
  <c r="Q730" i="10"/>
  <c r="R730" i="10" s="1"/>
  <c r="Q725" i="10"/>
  <c r="R725" i="10" s="1"/>
  <c r="Q719" i="10"/>
  <c r="Q720" i="10" s="1"/>
  <c r="Q717" i="10"/>
  <c r="R717" i="10" s="1"/>
  <c r="Q715" i="10"/>
  <c r="R715" i="10" s="1"/>
  <c r="Q703" i="10"/>
  <c r="Q704" i="10" s="1"/>
  <c r="R704" i="10" s="1"/>
  <c r="Q688" i="10"/>
  <c r="R688" i="10" s="1"/>
  <c r="Q685" i="10"/>
  <c r="Q686" i="10" s="1"/>
  <c r="R686" i="10" s="1"/>
  <c r="Q681" i="10"/>
  <c r="R681" i="10" s="1"/>
  <c r="Q676" i="10"/>
  <c r="R676" i="10" s="1"/>
  <c r="Q672" i="10"/>
  <c r="Q673" i="10" s="1"/>
  <c r="R673" i="10" s="1"/>
  <c r="Q670" i="10"/>
  <c r="R670" i="10" s="1"/>
  <c r="Q662" i="10"/>
  <c r="Q663" i="10" s="1"/>
  <c r="R663" i="10" s="1"/>
  <c r="Q659" i="10"/>
  <c r="Q660" i="10" s="1"/>
  <c r="R660" i="10" s="1"/>
  <c r="Q656" i="10"/>
  <c r="R656" i="10" s="1"/>
  <c r="Q654" i="10"/>
  <c r="R654" i="10" s="1"/>
  <c r="Q649" i="10"/>
  <c r="Q650" i="10" s="1"/>
  <c r="R650" i="10" s="1"/>
  <c r="Q645" i="10"/>
  <c r="Q646" i="10" s="1"/>
  <c r="R646" i="10" s="1"/>
  <c r="Q642" i="10"/>
  <c r="R642" i="10" s="1"/>
  <c r="Q636" i="10"/>
  <c r="R636" i="10" s="1"/>
  <c r="Q628" i="10"/>
  <c r="R628" i="10" s="1"/>
  <c r="Q625" i="10"/>
  <c r="Q618" i="10"/>
  <c r="R618" i="10" s="1"/>
  <c r="Q613" i="10"/>
  <c r="Q614" i="10" s="1"/>
  <c r="R614" i="10" s="1"/>
  <c r="Q611" i="10"/>
  <c r="R611" i="10" s="1"/>
  <c r="Q609" i="10"/>
  <c r="R609" i="10" s="1"/>
  <c r="Q602" i="10"/>
  <c r="Q603" i="10" s="1"/>
  <c r="R603" i="10" s="1"/>
  <c r="Q599" i="10"/>
  <c r="R599" i="10" s="1"/>
  <c r="Q595" i="10"/>
  <c r="R595" i="10" s="1"/>
  <c r="Q587" i="10"/>
  <c r="R587" i="10" s="1"/>
  <c r="Q584" i="10"/>
  <c r="R584" i="10" s="1"/>
  <c r="Q581" i="10"/>
  <c r="Q582" i="10" s="1"/>
  <c r="R582" i="10" s="1"/>
  <c r="Q579" i="10"/>
  <c r="R579" i="10" s="1"/>
  <c r="Q576" i="10"/>
  <c r="Q569" i="10"/>
  <c r="R569" i="10" s="1"/>
  <c r="Q561" i="10"/>
  <c r="R561" i="10" s="1"/>
  <c r="Q555" i="10"/>
  <c r="Q556" i="10" s="1"/>
  <c r="R556" i="10" s="1"/>
  <c r="Q548" i="10"/>
  <c r="Q549" i="10" s="1"/>
  <c r="R549" i="10" s="1"/>
  <c r="Q545" i="10"/>
  <c r="R545" i="10" s="1"/>
  <c r="Q543" i="10"/>
  <c r="Q540" i="10"/>
  <c r="Q541" i="10" s="1"/>
  <c r="R541" i="10" s="1"/>
  <c r="Q538" i="10"/>
  <c r="R538" i="10" s="1"/>
  <c r="Q529" i="10"/>
  <c r="Q530" i="10" s="1"/>
  <c r="R530" i="10" s="1"/>
  <c r="Q524" i="10"/>
  <c r="Q525" i="10" s="1"/>
  <c r="Q521" i="10"/>
  <c r="R521" i="10" s="1"/>
  <c r="Q517" i="10"/>
  <c r="Q513" i="10"/>
  <c r="R513" i="10" s="1"/>
  <c r="Q509" i="10"/>
  <c r="Q510" i="10" s="1"/>
  <c r="R510" i="10" s="1"/>
  <c r="Q506" i="10"/>
  <c r="Q507" i="10" s="1"/>
  <c r="R507" i="10" s="1"/>
  <c r="Q503" i="10"/>
  <c r="Q504" i="10" s="1"/>
  <c r="R504" i="10" s="1"/>
  <c r="Q500" i="10"/>
  <c r="R500" i="10" s="1"/>
  <c r="Q496" i="10"/>
  <c r="Q497" i="10" s="1"/>
  <c r="R497" i="10" s="1"/>
  <c r="Q488" i="10"/>
  <c r="R488" i="10" s="1"/>
  <c r="Q485" i="10"/>
  <c r="Q483" i="10"/>
  <c r="Q480" i="10"/>
  <c r="R480" i="10" s="1"/>
  <c r="Q476" i="10"/>
  <c r="R476" i="10" s="1"/>
  <c r="Q472" i="10"/>
  <c r="Q469" i="10"/>
  <c r="R469" i="10" s="1"/>
  <c r="Q457" i="10"/>
  <c r="R457" i="10" s="1"/>
  <c r="Q453" i="10"/>
  <c r="R453" i="10" s="1"/>
  <c r="Q451" i="10"/>
  <c r="R451" i="10" s="1"/>
  <c r="Q447" i="10"/>
  <c r="Q448" i="10" s="1"/>
  <c r="R448" i="10" s="1"/>
  <c r="Q444" i="10"/>
  <c r="R444" i="10" s="1"/>
  <c r="Q442" i="10"/>
  <c r="R442" i="10" s="1"/>
  <c r="Q439" i="10"/>
  <c r="R439" i="10" s="1"/>
  <c r="Q437" i="10"/>
  <c r="R437" i="10" s="1"/>
  <c r="Q434" i="10"/>
  <c r="Q435" i="10" s="1"/>
  <c r="R435" i="10" s="1"/>
  <c r="Q429" i="10"/>
  <c r="R429" i="10" s="1"/>
  <c r="Q427" i="10"/>
  <c r="Q424" i="10"/>
  <c r="R424" i="10" s="1"/>
  <c r="Q421" i="10"/>
  <c r="R421" i="10" s="1"/>
  <c r="Q413" i="10"/>
  <c r="R413" i="10" s="1"/>
  <c r="Q411" i="10"/>
  <c r="R411" i="10" s="1"/>
  <c r="Q409" i="10"/>
  <c r="R409" i="10" s="1"/>
  <c r="Q407" i="10"/>
  <c r="R407" i="10" s="1"/>
  <c r="Q395" i="10"/>
  <c r="Q396" i="10" s="1"/>
  <c r="R396" i="10" s="1"/>
  <c r="Q392" i="10"/>
  <c r="Q393" i="10" s="1"/>
  <c r="R393" i="10" s="1"/>
  <c r="Q387" i="10"/>
  <c r="Q388" i="10" s="1"/>
  <c r="Q385" i="10"/>
  <c r="R385" i="10" s="1"/>
  <c r="Q382" i="10"/>
  <c r="R382" i="10" s="1"/>
  <c r="Q377" i="10"/>
  <c r="Q374" i="10"/>
  <c r="R374" i="10" s="1"/>
  <c r="Q370" i="10"/>
  <c r="Q371" i="10" s="1"/>
  <c r="R371" i="10" s="1"/>
  <c r="Q367" i="10"/>
  <c r="Q365" i="10"/>
  <c r="R365" i="10" s="1"/>
  <c r="Q361" i="10"/>
  <c r="R361" i="10" s="1"/>
  <c r="Q359" i="10"/>
  <c r="R359" i="10" s="1"/>
  <c r="Q355" i="10"/>
  <c r="R355" i="10" s="1"/>
  <c r="Q349" i="10"/>
  <c r="R349" i="10" s="1"/>
  <c r="Q345" i="10"/>
  <c r="Q341" i="10"/>
  <c r="R341" i="10" s="1"/>
  <c r="Q338" i="10"/>
  <c r="R338" i="10" s="1"/>
  <c r="Q333" i="10"/>
  <c r="Q329" i="10"/>
  <c r="R329" i="10" s="1"/>
  <c r="Q319" i="10"/>
  <c r="Q320" i="10" s="1"/>
  <c r="Q314" i="10"/>
  <c r="Q315" i="10" s="1"/>
  <c r="R315" i="10" s="1"/>
  <c r="Q311" i="10"/>
  <c r="R311" i="10" s="1"/>
  <c r="Q308" i="10"/>
  <c r="Q309" i="10" s="1"/>
  <c r="R309" i="10" s="1"/>
  <c r="Q305" i="10"/>
  <c r="R305" i="10" s="1"/>
  <c r="Q302" i="10"/>
  <c r="R302" i="10" s="1"/>
  <c r="Q297" i="10"/>
  <c r="R297" i="10" s="1"/>
  <c r="Q295" i="10"/>
  <c r="R295" i="10" s="1"/>
  <c r="Q291" i="10"/>
  <c r="Q292" i="10" s="1"/>
  <c r="Q289" i="10"/>
  <c r="R289" i="10" s="1"/>
  <c r="Q287" i="10"/>
  <c r="Q284" i="10"/>
  <c r="R284" i="10" s="1"/>
  <c r="Q277" i="10"/>
  <c r="Q278" i="10" s="1"/>
  <c r="R278" i="10" s="1"/>
  <c r="Q272" i="10"/>
  <c r="Q273" i="10" s="1"/>
  <c r="Q270" i="10"/>
  <c r="R270" i="10" s="1"/>
  <c r="Q268" i="10"/>
  <c r="R268" i="10" s="1"/>
  <c r="Q264" i="10"/>
  <c r="R264" i="10" s="1"/>
  <c r="Q262" i="10"/>
  <c r="R262" i="10" s="1"/>
  <c r="Q260" i="10"/>
  <c r="R260" i="10" s="1"/>
  <c r="Q249" i="10"/>
  <c r="R249" i="10" s="1"/>
  <c r="Q242" i="10"/>
  <c r="R242" i="10" s="1"/>
  <c r="Q208" i="10"/>
  <c r="R208" i="10" s="1"/>
  <c r="Q206" i="10"/>
  <c r="Q197" i="10"/>
  <c r="R197" i="10" s="1"/>
  <c r="Q132" i="10"/>
  <c r="R132" i="10" s="1"/>
  <c r="Q124" i="10"/>
  <c r="R124" i="10" s="1"/>
  <c r="Q115" i="10"/>
  <c r="R115" i="10" s="1"/>
  <c r="Q82" i="10"/>
  <c r="Q73" i="10"/>
  <c r="Q70" i="10"/>
  <c r="R70" i="10" s="1"/>
  <c r="Q62" i="10"/>
  <c r="R62" i="10" s="1"/>
  <c r="Q51" i="10"/>
  <c r="R51" i="10" s="1"/>
  <c r="Q48" i="10"/>
  <c r="R48" i="10" s="1"/>
  <c r="Q28" i="10"/>
  <c r="R28" i="10" s="1"/>
  <c r="Q22" i="10"/>
  <c r="R668" i="10"/>
  <c r="R669" i="10"/>
  <c r="R671" i="10"/>
  <c r="R674" i="10"/>
  <c r="R675" i="10"/>
  <c r="R677" i="10"/>
  <c r="R678" i="10"/>
  <c r="R679" i="10"/>
  <c r="R680" i="10"/>
  <c r="R682" i="10"/>
  <c r="R683" i="10"/>
  <c r="R684" i="10"/>
  <c r="R687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5" i="10"/>
  <c r="R706" i="10"/>
  <c r="R707" i="10"/>
  <c r="R708" i="10"/>
  <c r="R709" i="10"/>
  <c r="R710" i="10"/>
  <c r="R711" i="10"/>
  <c r="R712" i="10"/>
  <c r="R713" i="10"/>
  <c r="R714" i="10"/>
  <c r="R716" i="10"/>
  <c r="R718" i="10"/>
  <c r="R722" i="10"/>
  <c r="R723" i="10"/>
  <c r="R724" i="10"/>
  <c r="R726" i="10"/>
  <c r="R727" i="10"/>
  <c r="R728" i="10"/>
  <c r="R729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6" i="10"/>
  <c r="R747" i="10"/>
  <c r="R748" i="10"/>
  <c r="R750" i="10"/>
  <c r="R751" i="10"/>
  <c r="R752" i="10"/>
  <c r="R753" i="10"/>
  <c r="R754" i="10"/>
  <c r="R755" i="10"/>
  <c r="R756" i="10"/>
  <c r="R757" i="10"/>
  <c r="R758" i="10"/>
  <c r="R759" i="10"/>
  <c r="R760" i="10"/>
  <c r="R762" i="10"/>
  <c r="R766" i="10"/>
  <c r="R770" i="10"/>
  <c r="R771" i="10"/>
  <c r="R772" i="10"/>
  <c r="R773" i="10"/>
  <c r="R774" i="10"/>
  <c r="R775" i="10"/>
  <c r="R778" i="10"/>
  <c r="R782" i="10"/>
  <c r="R783" i="10"/>
  <c r="R784" i="10"/>
  <c r="R785" i="10"/>
  <c r="R786" i="10"/>
  <c r="R790" i="10"/>
  <c r="R791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7" i="10"/>
  <c r="R818" i="10"/>
  <c r="R819" i="10"/>
  <c r="R820" i="10"/>
  <c r="R821" i="10"/>
  <c r="R822" i="10"/>
  <c r="R824" i="10"/>
  <c r="R825" i="10"/>
  <c r="R829" i="10"/>
  <c r="R832" i="10"/>
  <c r="R842" i="10"/>
  <c r="R843" i="10"/>
  <c r="R844" i="10"/>
  <c r="R845" i="10"/>
  <c r="R847" i="10"/>
  <c r="R848" i="10"/>
  <c r="R850" i="10"/>
  <c r="R856" i="10"/>
  <c r="R859" i="10"/>
  <c r="R870" i="10"/>
  <c r="R881" i="10"/>
  <c r="R886" i="10"/>
  <c r="R889" i="10"/>
  <c r="R895" i="10"/>
  <c r="R902" i="10"/>
  <c r="R925" i="10"/>
  <c r="R936" i="10"/>
  <c r="R938" i="10"/>
  <c r="L38" i="9"/>
  <c r="L39" i="9"/>
  <c r="L40" i="9"/>
  <c r="L41" i="9"/>
  <c r="L42" i="9"/>
  <c r="L43" i="9"/>
  <c r="L44" i="9"/>
  <c r="L45" i="9"/>
  <c r="L46" i="9"/>
  <c r="L47" i="9"/>
  <c r="L49" i="9"/>
  <c r="L50" i="9"/>
  <c r="L51" i="9"/>
  <c r="L52" i="9"/>
  <c r="L53" i="9"/>
  <c r="L54" i="9"/>
  <c r="L55" i="9"/>
  <c r="L56" i="9"/>
  <c r="L57" i="9"/>
  <c r="L58" i="9"/>
  <c r="L59" i="9"/>
  <c r="L61" i="9"/>
  <c r="L62" i="9"/>
  <c r="L63" i="9"/>
  <c r="L64" i="9"/>
  <c r="L65" i="9"/>
  <c r="L66" i="9"/>
  <c r="L67" i="9"/>
  <c r="L68" i="9"/>
  <c r="L69" i="9"/>
  <c r="L70" i="9"/>
  <c r="L71" i="9"/>
  <c r="L73" i="9"/>
  <c r="L74" i="9"/>
  <c r="L75" i="9"/>
  <c r="L76" i="9"/>
  <c r="L77" i="9"/>
  <c r="L78" i="9"/>
  <c r="L79" i="9"/>
  <c r="L80" i="9"/>
  <c r="L81" i="9"/>
  <c r="L82" i="9"/>
  <c r="L83" i="9"/>
  <c r="L85" i="9"/>
  <c r="L86" i="9"/>
  <c r="L87" i="9"/>
  <c r="L88" i="9"/>
  <c r="L89" i="9"/>
  <c r="L90" i="9"/>
  <c r="L91" i="9"/>
  <c r="L92" i="9"/>
  <c r="L93" i="9"/>
  <c r="L94" i="9"/>
  <c r="L95" i="9"/>
  <c r="L97" i="9"/>
  <c r="L98" i="9"/>
  <c r="L99" i="9"/>
  <c r="L100" i="9"/>
  <c r="L101" i="9"/>
  <c r="L102" i="9"/>
  <c r="L103" i="9"/>
  <c r="L104" i="9"/>
  <c r="L105" i="9"/>
  <c r="L106" i="9"/>
  <c r="L107" i="9"/>
  <c r="L109" i="9"/>
  <c r="L110" i="9"/>
  <c r="L111" i="9"/>
  <c r="L112" i="9"/>
  <c r="L113" i="9"/>
  <c r="L114" i="9"/>
  <c r="L115" i="9"/>
  <c r="L116" i="9"/>
  <c r="L117" i="9"/>
  <c r="L118" i="9"/>
  <c r="L119" i="9"/>
  <c r="L121" i="9"/>
  <c r="L122" i="9"/>
  <c r="L123" i="9"/>
  <c r="L124" i="9"/>
  <c r="L125" i="9"/>
  <c r="L126" i="9"/>
  <c r="L127" i="9"/>
  <c r="L128" i="9"/>
  <c r="L129" i="9"/>
  <c r="L130" i="9"/>
  <c r="L131" i="9"/>
  <c r="L133" i="9"/>
  <c r="L134" i="9"/>
  <c r="L135" i="9"/>
  <c r="L136" i="9"/>
  <c r="L137" i="9"/>
  <c r="L138" i="9"/>
  <c r="L139" i="9"/>
  <c r="L140" i="9"/>
  <c r="L141" i="9"/>
  <c r="L142" i="9"/>
  <c r="L143" i="9"/>
  <c r="L145" i="9"/>
  <c r="L146" i="9"/>
  <c r="L147" i="9"/>
  <c r="L148" i="9"/>
  <c r="L149" i="9"/>
  <c r="L150" i="9"/>
  <c r="L151" i="9"/>
  <c r="L152" i="9"/>
  <c r="L153" i="9"/>
  <c r="L154" i="9"/>
  <c r="L155" i="9"/>
  <c r="L157" i="9"/>
  <c r="L158" i="9"/>
  <c r="L159" i="9"/>
  <c r="L160" i="9"/>
  <c r="L161" i="9"/>
  <c r="L162" i="9"/>
  <c r="L163" i="9"/>
  <c r="L164" i="9"/>
  <c r="L165" i="9"/>
  <c r="L166" i="9"/>
  <c r="L167" i="9"/>
  <c r="L169" i="9"/>
  <c r="L170" i="9"/>
  <c r="L171" i="9"/>
  <c r="L172" i="9"/>
  <c r="L173" i="9"/>
  <c r="L174" i="9"/>
  <c r="L175" i="9"/>
  <c r="L176" i="9"/>
  <c r="L177" i="9"/>
  <c r="L178" i="9"/>
  <c r="L179" i="9"/>
  <c r="L181" i="9"/>
  <c r="L182" i="9"/>
  <c r="L183" i="9"/>
  <c r="L184" i="9"/>
  <c r="L185" i="9"/>
  <c r="L186" i="9"/>
  <c r="L187" i="9"/>
  <c r="L188" i="9"/>
  <c r="L189" i="9"/>
  <c r="L190" i="9"/>
  <c r="L191" i="9"/>
  <c r="L193" i="9"/>
  <c r="L194" i="9"/>
  <c r="L195" i="9"/>
  <c r="L196" i="9"/>
  <c r="L197" i="9"/>
  <c r="L198" i="9"/>
  <c r="L199" i="9"/>
  <c r="L200" i="9"/>
  <c r="L201" i="9"/>
  <c r="L202" i="9"/>
  <c r="L203" i="9"/>
  <c r="L205" i="9"/>
  <c r="L206" i="9"/>
  <c r="L207" i="9"/>
  <c r="L208" i="9"/>
  <c r="L209" i="9"/>
  <c r="L210" i="9"/>
  <c r="L211" i="9"/>
  <c r="L212" i="9"/>
  <c r="L213" i="9"/>
  <c r="L214" i="9"/>
  <c r="L215" i="9"/>
  <c r="L217" i="9"/>
  <c r="L218" i="9"/>
  <c r="L219" i="9"/>
  <c r="L220" i="9"/>
  <c r="L221" i="9"/>
  <c r="L222" i="9"/>
  <c r="L223" i="9"/>
  <c r="L224" i="9"/>
  <c r="L225" i="9"/>
  <c r="L226" i="9"/>
  <c r="L227" i="9"/>
  <c r="L229" i="9"/>
  <c r="L230" i="9"/>
  <c r="L231" i="9"/>
  <c r="L232" i="9"/>
  <c r="L233" i="9"/>
  <c r="L234" i="9"/>
  <c r="L235" i="9"/>
  <c r="L236" i="9"/>
  <c r="L237" i="9"/>
  <c r="L238" i="9"/>
  <c r="L239" i="9"/>
  <c r="L241" i="9"/>
  <c r="L242" i="9"/>
  <c r="L243" i="9"/>
  <c r="L244" i="9"/>
  <c r="L245" i="9"/>
  <c r="L246" i="9"/>
  <c r="L247" i="9"/>
  <c r="L248" i="9"/>
  <c r="L249" i="9"/>
  <c r="L250" i="9"/>
  <c r="L251" i="9"/>
  <c r="L253" i="9"/>
  <c r="L254" i="9"/>
  <c r="L255" i="9"/>
  <c r="L256" i="9"/>
  <c r="L257" i="9"/>
  <c r="L258" i="9"/>
  <c r="L259" i="9"/>
  <c r="L260" i="9"/>
  <c r="L261" i="9"/>
  <c r="L262" i="9"/>
  <c r="L263" i="9"/>
  <c r="L265" i="9"/>
  <c r="L266" i="9"/>
  <c r="L267" i="9"/>
  <c r="L268" i="9"/>
  <c r="L269" i="9"/>
  <c r="L270" i="9"/>
  <c r="L271" i="9"/>
  <c r="L272" i="9"/>
  <c r="L273" i="9"/>
  <c r="L274" i="9"/>
  <c r="L275" i="9"/>
  <c r="L277" i="9"/>
  <c r="L278" i="9"/>
  <c r="L279" i="9"/>
  <c r="L280" i="9"/>
  <c r="L281" i="9"/>
  <c r="L282" i="9"/>
  <c r="L283" i="9"/>
  <c r="L284" i="9"/>
  <c r="L285" i="9"/>
  <c r="L286" i="9"/>
  <c r="L287" i="9"/>
  <c r="L289" i="9"/>
  <c r="L290" i="9"/>
  <c r="L291" i="9"/>
  <c r="L292" i="9"/>
  <c r="L293" i="9"/>
  <c r="L294" i="9"/>
  <c r="L295" i="9"/>
  <c r="L296" i="9"/>
  <c r="L297" i="9"/>
  <c r="L298" i="9"/>
  <c r="L299" i="9"/>
  <c r="L301" i="9"/>
  <c r="L302" i="9"/>
  <c r="L303" i="9"/>
  <c r="L304" i="9"/>
  <c r="L305" i="9"/>
  <c r="L306" i="9"/>
  <c r="L307" i="9"/>
  <c r="L308" i="9"/>
  <c r="L309" i="9"/>
  <c r="L310" i="9"/>
  <c r="L311" i="9"/>
  <c r="L313" i="9"/>
  <c r="L314" i="9"/>
  <c r="L315" i="9"/>
  <c r="L316" i="9"/>
  <c r="L317" i="9"/>
  <c r="L318" i="9"/>
  <c r="L319" i="9"/>
  <c r="L320" i="9"/>
  <c r="L321" i="9"/>
  <c r="L322" i="9"/>
  <c r="L323" i="9"/>
  <c r="L325" i="9"/>
  <c r="L326" i="9"/>
  <c r="L327" i="9"/>
  <c r="L328" i="9"/>
  <c r="L329" i="9"/>
  <c r="L330" i="9"/>
  <c r="L331" i="9"/>
  <c r="L332" i="9"/>
  <c r="L333" i="9"/>
  <c r="L334" i="9"/>
  <c r="L335" i="9"/>
  <c r="L337" i="9"/>
  <c r="L338" i="9"/>
  <c r="L339" i="9"/>
  <c r="L340" i="9"/>
  <c r="L341" i="9"/>
  <c r="L342" i="9"/>
  <c r="L343" i="9"/>
  <c r="L344" i="9"/>
  <c r="L345" i="9"/>
  <c r="L346" i="9"/>
  <c r="L347" i="9"/>
  <c r="L349" i="9"/>
  <c r="L350" i="9"/>
  <c r="L351" i="9"/>
  <c r="L352" i="9"/>
  <c r="L353" i="9"/>
  <c r="L354" i="9"/>
  <c r="L355" i="9"/>
  <c r="L356" i="9"/>
  <c r="L357" i="9"/>
  <c r="L358" i="9"/>
  <c r="L359" i="9"/>
  <c r="L361" i="9"/>
  <c r="L362" i="9"/>
  <c r="L363" i="9"/>
  <c r="L364" i="9"/>
  <c r="L365" i="9"/>
  <c r="L366" i="9"/>
  <c r="L367" i="9"/>
  <c r="L368" i="9"/>
  <c r="L369" i="9"/>
  <c r="L370" i="9"/>
  <c r="L371" i="9"/>
  <c r="L373" i="9"/>
  <c r="L374" i="9"/>
  <c r="L375" i="9"/>
  <c r="L376" i="9"/>
  <c r="L377" i="9"/>
  <c r="L378" i="9"/>
  <c r="L379" i="9"/>
  <c r="L380" i="9"/>
  <c r="L381" i="9"/>
  <c r="L382" i="9"/>
  <c r="L383" i="9"/>
  <c r="L385" i="9"/>
  <c r="L386" i="9"/>
  <c r="L387" i="9"/>
  <c r="L388" i="9"/>
  <c r="L389" i="9"/>
  <c r="L390" i="9"/>
  <c r="L391" i="9"/>
  <c r="L392" i="9"/>
  <c r="L393" i="9"/>
  <c r="L394" i="9"/>
  <c r="L395" i="9"/>
  <c r="L397" i="9"/>
  <c r="L398" i="9"/>
  <c r="L399" i="9"/>
  <c r="L400" i="9"/>
  <c r="L401" i="9"/>
  <c r="L402" i="9"/>
  <c r="L403" i="9"/>
  <c r="L404" i="9"/>
  <c r="L405" i="9"/>
  <c r="L406" i="9"/>
  <c r="L407" i="9"/>
  <c r="L409" i="9"/>
  <c r="L410" i="9"/>
  <c r="L411" i="9"/>
  <c r="L412" i="9"/>
  <c r="L413" i="9"/>
  <c r="L414" i="9"/>
  <c r="L415" i="9"/>
  <c r="L416" i="9"/>
  <c r="L417" i="9"/>
  <c r="L418" i="9"/>
  <c r="L419" i="9"/>
  <c r="L421" i="9"/>
  <c r="L422" i="9"/>
  <c r="L423" i="9"/>
  <c r="L424" i="9"/>
  <c r="L425" i="9"/>
  <c r="L426" i="9"/>
  <c r="L427" i="9"/>
  <c r="L428" i="9"/>
  <c r="L429" i="9"/>
  <c r="L430" i="9"/>
  <c r="L431" i="9"/>
  <c r="L433" i="9"/>
  <c r="L434" i="9"/>
  <c r="L435" i="9"/>
  <c r="L436" i="9"/>
  <c r="L437" i="9"/>
  <c r="L438" i="9"/>
  <c r="L439" i="9"/>
  <c r="L440" i="9"/>
  <c r="L441" i="9"/>
  <c r="L442" i="9"/>
  <c r="L443" i="9"/>
  <c r="L445" i="9"/>
  <c r="L446" i="9"/>
  <c r="L447" i="9"/>
  <c r="L448" i="9"/>
  <c r="L449" i="9"/>
  <c r="L450" i="9"/>
  <c r="L451" i="9"/>
  <c r="L452" i="9"/>
  <c r="L453" i="9"/>
  <c r="L454" i="9"/>
  <c r="L455" i="9"/>
  <c r="L457" i="9"/>
  <c r="L458" i="9"/>
  <c r="L459" i="9"/>
  <c r="L460" i="9"/>
  <c r="L461" i="9"/>
  <c r="L462" i="9"/>
  <c r="L463" i="9"/>
  <c r="L464" i="9"/>
  <c r="L465" i="9"/>
  <c r="L466" i="9"/>
  <c r="L467" i="9"/>
  <c r="L469" i="9"/>
  <c r="L470" i="9"/>
  <c r="L471" i="9"/>
  <c r="L472" i="9"/>
  <c r="L473" i="9"/>
  <c r="L474" i="9"/>
  <c r="L475" i="9"/>
  <c r="L476" i="9"/>
  <c r="L477" i="9"/>
  <c r="L478" i="9"/>
  <c r="L479" i="9"/>
  <c r="L481" i="9"/>
  <c r="L482" i="9"/>
  <c r="L483" i="9"/>
  <c r="L484" i="9"/>
  <c r="L485" i="9"/>
  <c r="L486" i="9"/>
  <c r="L487" i="9"/>
  <c r="L488" i="9"/>
  <c r="L489" i="9"/>
  <c r="L490" i="9"/>
  <c r="L491" i="9"/>
  <c r="L493" i="9"/>
  <c r="L494" i="9"/>
  <c r="L495" i="9"/>
  <c r="L496" i="9"/>
  <c r="L497" i="9"/>
  <c r="L498" i="9"/>
  <c r="L499" i="9"/>
  <c r="L500" i="9"/>
  <c r="L501" i="9"/>
  <c r="L502" i="9"/>
  <c r="L503" i="9"/>
  <c r="L505" i="9"/>
  <c r="L506" i="9"/>
  <c r="L507" i="9"/>
  <c r="L508" i="9"/>
  <c r="L509" i="9"/>
  <c r="L510" i="9"/>
  <c r="L511" i="9"/>
  <c r="L512" i="9"/>
  <c r="L513" i="9"/>
  <c r="L514" i="9"/>
  <c r="L515" i="9"/>
  <c r="L517" i="9"/>
  <c r="L518" i="9"/>
  <c r="L519" i="9"/>
  <c r="L520" i="9"/>
  <c r="L521" i="9"/>
  <c r="L522" i="9"/>
  <c r="L523" i="9"/>
  <c r="L524" i="9"/>
  <c r="L525" i="9"/>
  <c r="L526" i="9"/>
  <c r="L527" i="9"/>
  <c r="L529" i="9"/>
  <c r="L530" i="9"/>
  <c r="L531" i="9"/>
  <c r="L532" i="9"/>
  <c r="L533" i="9"/>
  <c r="L534" i="9"/>
  <c r="L535" i="9"/>
  <c r="L536" i="9"/>
  <c r="L537" i="9"/>
  <c r="L538" i="9"/>
  <c r="L539" i="9"/>
  <c r="L541" i="9"/>
  <c r="L542" i="9"/>
  <c r="L543" i="9"/>
  <c r="L544" i="9"/>
  <c r="L545" i="9"/>
  <c r="L546" i="9"/>
  <c r="L547" i="9"/>
  <c r="L548" i="9"/>
  <c r="L549" i="9"/>
  <c r="L550" i="9"/>
  <c r="L551" i="9"/>
  <c r="L553" i="9"/>
  <c r="L554" i="9"/>
  <c r="L555" i="9"/>
  <c r="L556" i="9"/>
  <c r="L557" i="9"/>
  <c r="L558" i="9"/>
  <c r="L559" i="9"/>
  <c r="L560" i="9"/>
  <c r="L561" i="9"/>
  <c r="L562" i="9"/>
  <c r="L563" i="9"/>
  <c r="L565" i="9"/>
  <c r="L566" i="9"/>
  <c r="L567" i="9"/>
  <c r="L568" i="9"/>
  <c r="L569" i="9"/>
  <c r="L570" i="9"/>
  <c r="L571" i="9"/>
  <c r="L572" i="9"/>
  <c r="L573" i="9"/>
  <c r="L574" i="9"/>
  <c r="L575" i="9"/>
  <c r="L577" i="9"/>
  <c r="L578" i="9"/>
  <c r="L579" i="9"/>
  <c r="L580" i="9"/>
  <c r="L581" i="9"/>
  <c r="L582" i="9"/>
  <c r="L583" i="9"/>
  <c r="L584" i="9"/>
  <c r="L585" i="9"/>
  <c r="L586" i="9"/>
  <c r="L587" i="9"/>
  <c r="L589" i="9"/>
  <c r="L590" i="9"/>
  <c r="L591" i="9"/>
  <c r="L592" i="9"/>
  <c r="L593" i="9"/>
  <c r="L594" i="9"/>
  <c r="L595" i="9"/>
  <c r="L596" i="9"/>
  <c r="L597" i="9"/>
  <c r="L598" i="9"/>
  <c r="L599" i="9"/>
  <c r="L601" i="9"/>
  <c r="L602" i="9"/>
  <c r="L603" i="9"/>
  <c r="L604" i="9"/>
  <c r="L605" i="9"/>
  <c r="L606" i="9"/>
  <c r="L607" i="9"/>
  <c r="L608" i="9"/>
  <c r="L609" i="9"/>
  <c r="L610" i="9"/>
  <c r="L611" i="9"/>
  <c r="L613" i="9"/>
  <c r="L614" i="9"/>
  <c r="L615" i="9"/>
  <c r="L616" i="9"/>
  <c r="L617" i="9"/>
  <c r="L618" i="9"/>
  <c r="L619" i="9"/>
  <c r="L620" i="9"/>
  <c r="L621" i="9"/>
  <c r="L622" i="9"/>
  <c r="L623" i="9"/>
  <c r="L625" i="9"/>
  <c r="L626" i="9"/>
  <c r="L627" i="9"/>
  <c r="L628" i="9"/>
  <c r="L629" i="9"/>
  <c r="L630" i="9"/>
  <c r="L631" i="9"/>
  <c r="L632" i="9"/>
  <c r="L633" i="9"/>
  <c r="L634" i="9"/>
  <c r="L635" i="9"/>
  <c r="L637" i="9"/>
  <c r="L638" i="9"/>
  <c r="L639" i="9"/>
  <c r="L640" i="9"/>
  <c r="L641" i="9"/>
  <c r="L642" i="9"/>
  <c r="L643" i="9"/>
  <c r="L644" i="9"/>
  <c r="L645" i="9"/>
  <c r="L646" i="9"/>
  <c r="L647" i="9"/>
  <c r="L649" i="9"/>
  <c r="L650" i="9"/>
  <c r="L651" i="9"/>
  <c r="L652" i="9"/>
  <c r="L653" i="9"/>
  <c r="L654" i="9"/>
  <c r="L655" i="9"/>
  <c r="L656" i="9"/>
  <c r="L657" i="9"/>
  <c r="L658" i="9"/>
  <c r="L659" i="9"/>
  <c r="L661" i="9"/>
  <c r="L662" i="9"/>
  <c r="L663" i="9"/>
  <c r="L664" i="9"/>
  <c r="L665" i="9"/>
  <c r="L666" i="9"/>
  <c r="L667" i="9"/>
  <c r="L668" i="9"/>
  <c r="L669" i="9"/>
  <c r="L670" i="9"/>
  <c r="L671" i="9"/>
  <c r="L673" i="9"/>
  <c r="L674" i="9"/>
  <c r="L675" i="9"/>
  <c r="L676" i="9"/>
  <c r="L677" i="9"/>
  <c r="L678" i="9"/>
  <c r="L679" i="9"/>
  <c r="L680" i="9"/>
  <c r="L681" i="9"/>
  <c r="L682" i="9"/>
  <c r="L683" i="9"/>
  <c r="L685" i="9"/>
  <c r="L686" i="9"/>
  <c r="L687" i="9"/>
  <c r="L688" i="9"/>
  <c r="L689" i="9"/>
  <c r="L690" i="9"/>
  <c r="L691" i="9"/>
  <c r="L692" i="9"/>
  <c r="L693" i="9"/>
  <c r="L694" i="9"/>
  <c r="L695" i="9"/>
  <c r="L697" i="9"/>
  <c r="L698" i="9"/>
  <c r="L699" i="9"/>
  <c r="L700" i="9"/>
  <c r="L701" i="9"/>
  <c r="L702" i="9"/>
  <c r="L703" i="9"/>
  <c r="L704" i="9"/>
  <c r="L705" i="9"/>
  <c r="L706" i="9"/>
  <c r="L707" i="9"/>
  <c r="L709" i="9"/>
  <c r="L710" i="9"/>
  <c r="L711" i="9"/>
  <c r="L712" i="9"/>
  <c r="L713" i="9"/>
  <c r="L714" i="9"/>
  <c r="L715" i="9"/>
  <c r="L716" i="9"/>
  <c r="L717" i="9"/>
  <c r="L718" i="9"/>
  <c r="L719" i="9"/>
  <c r="L721" i="9"/>
  <c r="L722" i="9"/>
  <c r="L723" i="9"/>
  <c r="L724" i="9"/>
  <c r="L725" i="9"/>
  <c r="L726" i="9"/>
  <c r="L727" i="9"/>
  <c r="L728" i="9"/>
  <c r="L729" i="9"/>
  <c r="L730" i="9"/>
  <c r="L731" i="9"/>
  <c r="L733" i="9"/>
  <c r="L734" i="9"/>
  <c r="L735" i="9"/>
  <c r="L736" i="9"/>
  <c r="L737" i="9"/>
  <c r="L738" i="9"/>
  <c r="L739" i="9"/>
  <c r="L740" i="9"/>
  <c r="L741" i="9"/>
  <c r="L742" i="9"/>
  <c r="L743" i="9"/>
  <c r="L745" i="9"/>
  <c r="L746" i="9"/>
  <c r="L747" i="9"/>
  <c r="L748" i="9"/>
  <c r="L749" i="9"/>
  <c r="L750" i="9"/>
  <c r="L751" i="9"/>
  <c r="L752" i="9"/>
  <c r="L753" i="9"/>
  <c r="L754" i="9"/>
  <c r="L755" i="9"/>
  <c r="L757" i="9"/>
  <c r="L758" i="9"/>
  <c r="L759" i="9"/>
  <c r="L760" i="9"/>
  <c r="L761" i="9"/>
  <c r="L762" i="9"/>
  <c r="L763" i="9"/>
  <c r="L764" i="9"/>
  <c r="L765" i="9"/>
  <c r="L766" i="9"/>
  <c r="L767" i="9"/>
  <c r="L769" i="9"/>
  <c r="L770" i="9"/>
  <c r="L771" i="9"/>
  <c r="L772" i="9"/>
  <c r="L773" i="9"/>
  <c r="L774" i="9"/>
  <c r="L775" i="9"/>
  <c r="L776" i="9"/>
  <c r="L777" i="9"/>
  <c r="L778" i="9"/>
  <c r="L779" i="9"/>
  <c r="L781" i="9"/>
  <c r="L782" i="9"/>
  <c r="L783" i="9"/>
  <c r="L784" i="9"/>
  <c r="L785" i="9"/>
  <c r="L786" i="9"/>
  <c r="L787" i="9"/>
  <c r="L788" i="9"/>
  <c r="L789" i="9"/>
  <c r="L790" i="9"/>
  <c r="L791" i="9"/>
  <c r="L793" i="9"/>
  <c r="L794" i="9"/>
  <c r="L795" i="9"/>
  <c r="L796" i="9"/>
  <c r="L797" i="9"/>
  <c r="L798" i="9"/>
  <c r="L799" i="9"/>
  <c r="L800" i="9"/>
  <c r="L801" i="9"/>
  <c r="L802" i="9"/>
  <c r="L803" i="9"/>
  <c r="L805" i="9"/>
  <c r="L806" i="9"/>
  <c r="L807" i="9"/>
  <c r="L808" i="9"/>
  <c r="L809" i="9"/>
  <c r="L810" i="9"/>
  <c r="L811" i="9"/>
  <c r="L812" i="9"/>
  <c r="L813" i="9"/>
  <c r="L814" i="9"/>
  <c r="L815" i="9"/>
  <c r="L817" i="9"/>
  <c r="L818" i="9"/>
  <c r="L819" i="9"/>
  <c r="L820" i="9"/>
  <c r="L821" i="9"/>
  <c r="L822" i="9"/>
  <c r="L823" i="9"/>
  <c r="L824" i="9"/>
  <c r="L825" i="9"/>
  <c r="L826" i="9"/>
  <c r="L827" i="9"/>
  <c r="L829" i="9"/>
  <c r="L830" i="9"/>
  <c r="L831" i="9"/>
  <c r="L832" i="9"/>
  <c r="L833" i="9"/>
  <c r="L834" i="9"/>
  <c r="L835" i="9"/>
  <c r="L836" i="9"/>
  <c r="L837" i="9"/>
  <c r="L838" i="9"/>
  <c r="L839" i="9"/>
  <c r="L841" i="9"/>
  <c r="L842" i="9"/>
  <c r="L843" i="9"/>
  <c r="L844" i="9"/>
  <c r="L845" i="9"/>
  <c r="L846" i="9"/>
  <c r="L847" i="9"/>
  <c r="L848" i="9"/>
  <c r="L849" i="9"/>
  <c r="L850" i="9"/>
  <c r="L851" i="9"/>
  <c r="L853" i="9"/>
  <c r="L854" i="9"/>
  <c r="L855" i="9"/>
  <c r="L856" i="9"/>
  <c r="L857" i="9"/>
  <c r="L858" i="9"/>
  <c r="L859" i="9"/>
  <c r="L860" i="9"/>
  <c r="L861" i="9"/>
  <c r="L862" i="9"/>
  <c r="L863" i="9"/>
  <c r="L865" i="9"/>
  <c r="L866" i="9"/>
  <c r="L867" i="9"/>
  <c r="L868" i="9"/>
  <c r="L869" i="9"/>
  <c r="L870" i="9"/>
  <c r="L871" i="9"/>
  <c r="L872" i="9"/>
  <c r="L873" i="9"/>
  <c r="L874" i="9"/>
  <c r="L875" i="9"/>
  <c r="L877" i="9"/>
  <c r="L878" i="9"/>
  <c r="L879" i="9"/>
  <c r="L880" i="9"/>
  <c r="L881" i="9"/>
  <c r="L882" i="9"/>
  <c r="L883" i="9"/>
  <c r="L884" i="9"/>
  <c r="L885" i="9"/>
  <c r="L886" i="9"/>
  <c r="L887" i="9"/>
  <c r="L889" i="9"/>
  <c r="L890" i="9"/>
  <c r="L891" i="9"/>
  <c r="L892" i="9"/>
  <c r="L893" i="9"/>
  <c r="L894" i="9"/>
  <c r="L895" i="9"/>
  <c r="L896" i="9"/>
  <c r="L897" i="9"/>
  <c r="L898" i="9"/>
  <c r="L899" i="9"/>
  <c r="L901" i="9"/>
  <c r="L902" i="9"/>
  <c r="L903" i="9"/>
  <c r="L904" i="9"/>
  <c r="L905" i="9"/>
  <c r="L906" i="9"/>
  <c r="L907" i="9"/>
  <c r="L908" i="9"/>
  <c r="L909" i="9"/>
  <c r="L910" i="9"/>
  <c r="L911" i="9"/>
  <c r="L913" i="9"/>
  <c r="L914" i="9"/>
  <c r="L915" i="9"/>
  <c r="L916" i="9"/>
  <c r="L917" i="9"/>
  <c r="L918" i="9"/>
  <c r="L919" i="9"/>
  <c r="L920" i="9"/>
  <c r="L921" i="9"/>
  <c r="L922" i="9"/>
  <c r="L923" i="9"/>
  <c r="L925" i="9"/>
  <c r="L926" i="9"/>
  <c r="L927" i="9"/>
  <c r="L928" i="9"/>
  <c r="L929" i="9"/>
  <c r="L930" i="9"/>
  <c r="L931" i="9"/>
  <c r="L932" i="9"/>
  <c r="L933" i="9"/>
  <c r="L934" i="9"/>
  <c r="L935" i="9"/>
  <c r="L937" i="9"/>
  <c r="L938" i="9"/>
  <c r="L939" i="9"/>
  <c r="L940" i="9"/>
  <c r="L941" i="9"/>
  <c r="L942" i="9"/>
  <c r="L943" i="9"/>
  <c r="L944" i="9"/>
  <c r="L945" i="9"/>
  <c r="L946" i="9"/>
  <c r="L947" i="9"/>
  <c r="L949" i="9"/>
  <c r="L950" i="9"/>
  <c r="L951" i="9"/>
  <c r="L952" i="9"/>
  <c r="L953" i="9"/>
  <c r="L954" i="9"/>
  <c r="L955" i="9"/>
  <c r="L956" i="9"/>
  <c r="L957" i="9"/>
  <c r="L958" i="9"/>
  <c r="L959" i="9"/>
  <c r="L961" i="9"/>
  <c r="L962" i="9"/>
  <c r="L963" i="9"/>
  <c r="L964" i="9"/>
  <c r="L965" i="9"/>
  <c r="L966" i="9"/>
  <c r="L967" i="9"/>
  <c r="L968" i="9"/>
  <c r="L969" i="9"/>
  <c r="L970" i="9"/>
  <c r="L971" i="9"/>
  <c r="L973" i="9"/>
  <c r="L974" i="9"/>
  <c r="L975" i="9"/>
  <c r="L976" i="9"/>
  <c r="L977" i="9"/>
  <c r="L978" i="9"/>
  <c r="L979" i="9"/>
  <c r="L980" i="9"/>
  <c r="L981" i="9"/>
  <c r="L982" i="9"/>
  <c r="L983" i="9"/>
  <c r="L985" i="9"/>
  <c r="L986" i="9"/>
  <c r="L987" i="9"/>
  <c r="L988" i="9"/>
  <c r="L989" i="9"/>
  <c r="L990" i="9"/>
  <c r="L991" i="9"/>
  <c r="L992" i="9"/>
  <c r="L993" i="9"/>
  <c r="L994" i="9"/>
  <c r="L995" i="9"/>
  <c r="L997" i="9"/>
  <c r="L998" i="9"/>
  <c r="L999" i="9"/>
  <c r="L1000" i="9"/>
  <c r="L1001" i="9"/>
  <c r="L1002" i="9"/>
  <c r="L1003" i="9"/>
  <c r="L1004" i="9"/>
  <c r="L1005" i="9"/>
  <c r="L1006" i="9"/>
  <c r="L1007" i="9"/>
  <c r="L1009" i="9"/>
  <c r="L1010" i="9"/>
  <c r="L1011" i="9"/>
  <c r="L1012" i="9"/>
  <c r="L1013" i="9"/>
  <c r="L1014" i="9"/>
  <c r="L1015" i="9"/>
  <c r="L1016" i="9"/>
  <c r="L1017" i="9"/>
  <c r="L1018" i="9"/>
  <c r="L1019" i="9"/>
  <c r="L1021" i="9"/>
  <c r="L1022" i="9"/>
  <c r="L1023" i="9"/>
  <c r="L1024" i="9"/>
  <c r="L1025" i="9"/>
  <c r="L1026" i="9"/>
  <c r="L1027" i="9"/>
  <c r="L1028" i="9"/>
  <c r="L1029" i="9"/>
  <c r="L1030" i="9"/>
  <c r="L1031" i="9"/>
  <c r="L1033" i="9"/>
  <c r="L1034" i="9"/>
  <c r="L1035" i="9"/>
  <c r="L1036" i="9"/>
  <c r="L1037" i="9"/>
  <c r="L1038" i="9"/>
  <c r="L1039" i="9"/>
  <c r="L1040" i="9"/>
  <c r="L1041" i="9"/>
  <c r="L1042" i="9"/>
  <c r="L1043" i="9"/>
  <c r="L1045" i="9"/>
  <c r="L1046" i="9"/>
  <c r="L1047" i="9"/>
  <c r="L1048" i="9"/>
  <c r="L1049" i="9"/>
  <c r="L1050" i="9"/>
  <c r="L1051" i="9"/>
  <c r="L1052" i="9"/>
  <c r="L1053" i="9"/>
  <c r="L1054" i="9"/>
  <c r="L1055" i="9"/>
  <c r="L1057" i="9"/>
  <c r="L1058" i="9"/>
  <c r="L1059" i="9"/>
  <c r="L1060" i="9"/>
  <c r="L1061" i="9"/>
  <c r="L1062" i="9"/>
  <c r="L1063" i="9"/>
  <c r="L1064" i="9"/>
  <c r="L1065" i="9"/>
  <c r="L1066" i="9"/>
  <c r="L1067" i="9"/>
  <c r="L1069" i="9"/>
  <c r="L1070" i="9"/>
  <c r="L1071" i="9"/>
  <c r="L1072" i="9"/>
  <c r="L1073" i="9"/>
  <c r="L1074" i="9"/>
  <c r="L1075" i="9"/>
  <c r="L1076" i="9"/>
  <c r="L1077" i="9"/>
  <c r="L1078" i="9"/>
  <c r="L1079" i="9"/>
  <c r="L1081" i="9"/>
  <c r="L1082" i="9"/>
  <c r="L1083" i="9"/>
  <c r="L1084" i="9"/>
  <c r="L1085" i="9"/>
  <c r="L1086" i="9"/>
  <c r="L1087" i="9"/>
  <c r="L1088" i="9"/>
  <c r="L1089" i="9"/>
  <c r="L1090" i="9"/>
  <c r="L1091" i="9"/>
  <c r="L1093" i="9"/>
  <c r="L1094" i="9"/>
  <c r="L1095" i="9"/>
  <c r="L1096" i="9"/>
  <c r="L1097" i="9"/>
  <c r="L1098" i="9"/>
  <c r="L1099" i="9"/>
  <c r="L1100" i="9"/>
  <c r="L1101" i="9"/>
  <c r="L1102" i="9"/>
  <c r="L1103" i="9"/>
  <c r="L1105" i="9"/>
  <c r="L1106" i="9"/>
  <c r="L1107" i="9"/>
  <c r="L1108" i="9"/>
  <c r="L1109" i="9"/>
  <c r="L1110" i="9"/>
  <c r="L1111" i="9"/>
  <c r="L1112" i="9"/>
  <c r="L1113" i="9"/>
  <c r="L1114" i="9"/>
  <c r="L1115" i="9"/>
  <c r="L1117" i="9"/>
  <c r="L1118" i="9"/>
  <c r="L1119" i="9"/>
  <c r="L1120" i="9"/>
  <c r="L1121" i="9"/>
  <c r="L1122" i="9"/>
  <c r="L1123" i="9"/>
  <c r="L1124" i="9"/>
  <c r="L1125" i="9"/>
  <c r="L1126" i="9"/>
  <c r="L1127" i="9"/>
  <c r="L1129" i="9"/>
  <c r="L1130" i="9"/>
  <c r="L1131" i="9"/>
  <c r="L1132" i="9"/>
  <c r="L1133" i="9"/>
  <c r="L1134" i="9"/>
  <c r="L1135" i="9"/>
  <c r="L1136" i="9"/>
  <c r="L1137" i="9"/>
  <c r="L1138" i="9"/>
  <c r="L1139" i="9"/>
  <c r="L1141" i="9"/>
  <c r="L1142" i="9"/>
  <c r="L1143" i="9"/>
  <c r="L1144" i="9"/>
  <c r="L1145" i="9"/>
  <c r="L1146" i="9"/>
  <c r="L1147" i="9"/>
  <c r="L1148" i="9"/>
  <c r="L1149" i="9"/>
  <c r="L1150" i="9"/>
  <c r="L1151" i="9"/>
  <c r="L1153" i="9"/>
  <c r="L1154" i="9"/>
  <c r="L1155" i="9"/>
  <c r="L1156" i="9"/>
  <c r="L1157" i="9"/>
  <c r="L1158" i="9"/>
  <c r="L1159" i="9"/>
  <c r="L1160" i="9"/>
  <c r="L1161" i="9"/>
  <c r="L1162" i="9"/>
  <c r="L1163" i="9"/>
  <c r="L1165" i="9"/>
  <c r="L1166" i="9"/>
  <c r="L1167" i="9"/>
  <c r="L1168" i="9"/>
  <c r="L1169" i="9"/>
  <c r="L1170" i="9"/>
  <c r="L1171" i="9"/>
  <c r="L1172" i="9"/>
  <c r="L1173" i="9"/>
  <c r="L1174" i="9"/>
  <c r="L1175" i="9"/>
  <c r="L1177" i="9"/>
  <c r="L1178" i="9"/>
  <c r="L1179" i="9"/>
  <c r="L1180" i="9"/>
  <c r="L1181" i="9"/>
  <c r="L1182" i="9"/>
  <c r="L1183" i="9"/>
  <c r="L1184" i="9"/>
  <c r="L1185" i="9"/>
  <c r="L1186" i="9"/>
  <c r="L1187" i="9"/>
  <c r="L1189" i="9"/>
  <c r="L1190" i="9"/>
  <c r="L1191" i="9"/>
  <c r="L1192" i="9"/>
  <c r="L1193" i="9"/>
  <c r="L1194" i="9"/>
  <c r="L1195" i="9"/>
  <c r="L1196" i="9"/>
  <c r="L1197" i="9"/>
  <c r="L1198" i="9"/>
  <c r="L1199" i="9"/>
  <c r="L1201" i="9"/>
  <c r="L1202" i="9"/>
  <c r="L1203" i="9"/>
  <c r="L1204" i="9"/>
  <c r="L1205" i="9"/>
  <c r="L1206" i="9"/>
  <c r="L1207" i="9"/>
  <c r="L1208" i="9"/>
  <c r="L1209" i="9"/>
  <c r="L1210" i="9"/>
  <c r="L1211" i="9"/>
  <c r="L1213" i="9"/>
  <c r="L1214" i="9"/>
  <c r="L1215" i="9"/>
  <c r="L1216" i="9"/>
  <c r="L1217" i="9"/>
  <c r="L1218" i="9"/>
  <c r="L1219" i="9"/>
  <c r="L1220" i="9"/>
  <c r="L1221" i="9"/>
  <c r="L1222" i="9"/>
  <c r="L1223" i="9"/>
  <c r="L1225" i="9"/>
  <c r="L1226" i="9"/>
  <c r="L1227" i="9"/>
  <c r="L1228" i="9"/>
  <c r="L1229" i="9"/>
  <c r="L1230" i="9"/>
  <c r="L1231" i="9"/>
  <c r="L1232" i="9"/>
  <c r="L1233" i="9"/>
  <c r="L1234" i="9"/>
  <c r="L1235" i="9"/>
  <c r="L1237" i="9"/>
  <c r="L1238" i="9"/>
  <c r="L1239" i="9"/>
  <c r="L1240" i="9"/>
  <c r="L1241" i="9"/>
  <c r="L1242" i="9"/>
  <c r="L1243" i="9"/>
  <c r="L1244" i="9"/>
  <c r="L1245" i="9"/>
  <c r="L1246" i="9"/>
  <c r="L1247" i="9"/>
  <c r="L1249" i="9"/>
  <c r="L1250" i="9"/>
  <c r="L1251" i="9"/>
  <c r="L1252" i="9"/>
  <c r="L1253" i="9"/>
  <c r="L1254" i="9"/>
  <c r="L1255" i="9"/>
  <c r="L1256" i="9"/>
  <c r="L1257" i="9"/>
  <c r="L1258" i="9"/>
  <c r="L1259" i="9"/>
  <c r="L1261" i="9"/>
  <c r="L1262" i="9"/>
  <c r="L1263" i="9"/>
  <c r="L1264" i="9"/>
  <c r="L1265" i="9"/>
  <c r="L1266" i="9"/>
  <c r="L1267" i="9"/>
  <c r="L1268" i="9"/>
  <c r="L1269" i="9"/>
  <c r="L1270" i="9"/>
  <c r="L1271" i="9"/>
  <c r="L1273" i="9"/>
  <c r="L1274" i="9"/>
  <c r="L1275" i="9"/>
  <c r="L1276" i="9"/>
  <c r="L1277" i="9"/>
  <c r="L1278" i="9"/>
  <c r="L1279" i="9"/>
  <c r="L1280" i="9"/>
  <c r="L1281" i="9"/>
  <c r="L1282" i="9"/>
  <c r="L1283" i="9"/>
  <c r="L1285" i="9"/>
  <c r="L1286" i="9"/>
  <c r="L1287" i="9"/>
  <c r="L1288" i="9"/>
  <c r="L1289" i="9"/>
  <c r="L1290" i="9"/>
  <c r="L1291" i="9"/>
  <c r="L1292" i="9"/>
  <c r="L1293" i="9"/>
  <c r="L1294" i="9"/>
  <c r="L1295" i="9"/>
  <c r="L1297" i="9"/>
  <c r="L1298" i="9"/>
  <c r="L1299" i="9"/>
  <c r="L1300" i="9"/>
  <c r="L1301" i="9"/>
  <c r="L1302" i="9"/>
  <c r="L1303" i="9"/>
  <c r="L1304" i="9"/>
  <c r="L1305" i="9"/>
  <c r="L1306" i="9"/>
  <c r="L1307" i="9"/>
  <c r="L1309" i="9"/>
  <c r="L1310" i="9"/>
  <c r="L1311" i="9"/>
  <c r="L1312" i="9"/>
  <c r="L1313" i="9"/>
  <c r="L1314" i="9"/>
  <c r="L1315" i="9"/>
  <c r="L1316" i="9"/>
  <c r="L1317" i="9"/>
  <c r="L1318" i="9"/>
  <c r="L1319" i="9"/>
  <c r="L1321" i="9"/>
  <c r="L1322" i="9"/>
  <c r="L1323" i="9"/>
  <c r="L1324" i="9"/>
  <c r="L1325" i="9"/>
  <c r="L1326" i="9"/>
  <c r="L1327" i="9"/>
  <c r="L1328" i="9"/>
  <c r="L1329" i="9"/>
  <c r="L1330" i="9"/>
  <c r="L1331" i="9"/>
  <c r="L1333" i="9"/>
  <c r="L1334" i="9"/>
  <c r="L1335" i="9"/>
  <c r="L1336" i="9"/>
  <c r="L1337" i="9"/>
  <c r="L1338" i="9"/>
  <c r="L1339" i="9"/>
  <c r="L1340" i="9"/>
  <c r="L1341" i="9"/>
  <c r="L1342" i="9"/>
  <c r="L1343" i="9"/>
  <c r="L1345" i="9"/>
  <c r="L1346" i="9"/>
  <c r="L1347" i="9"/>
  <c r="L1348" i="9"/>
  <c r="L1349" i="9"/>
  <c r="L1350" i="9"/>
  <c r="L1351" i="9"/>
  <c r="L1352" i="9"/>
  <c r="L1353" i="9"/>
  <c r="L1354" i="9"/>
  <c r="L1355" i="9"/>
  <c r="L1357" i="9"/>
  <c r="L1358" i="9"/>
  <c r="L1359" i="9"/>
  <c r="L1360" i="9"/>
  <c r="L1361" i="9"/>
  <c r="L1362" i="9"/>
  <c r="L1363" i="9"/>
  <c r="L1364" i="9"/>
  <c r="L1365" i="9"/>
  <c r="L1366" i="9"/>
  <c r="L1367" i="9"/>
  <c r="L1369" i="9"/>
  <c r="L1370" i="9"/>
  <c r="L1371" i="9"/>
  <c r="L1372" i="9"/>
  <c r="L1373" i="9"/>
  <c r="L1374" i="9"/>
  <c r="L1375" i="9"/>
  <c r="L1376" i="9"/>
  <c r="L1377" i="9"/>
  <c r="L1378" i="9"/>
  <c r="L1379" i="9"/>
  <c r="L1381" i="9"/>
  <c r="L1382" i="9"/>
  <c r="L1383" i="9"/>
  <c r="L1384" i="9"/>
  <c r="L1385" i="9"/>
  <c r="L1386" i="9"/>
  <c r="L1387" i="9"/>
  <c r="L1388" i="9"/>
  <c r="L1389" i="9"/>
  <c r="L1390" i="9"/>
  <c r="L1391" i="9"/>
  <c r="L1393" i="9"/>
  <c r="L1394" i="9"/>
  <c r="L1395" i="9"/>
  <c r="L1396" i="9"/>
  <c r="L1397" i="9"/>
  <c r="L1398" i="9"/>
  <c r="L1399" i="9"/>
  <c r="L1400" i="9"/>
  <c r="L1401" i="9"/>
  <c r="L1402" i="9"/>
  <c r="L1403" i="9"/>
  <c r="L1405" i="9"/>
  <c r="L1406" i="9"/>
  <c r="L1407" i="9"/>
  <c r="L1408" i="9"/>
  <c r="L1409" i="9"/>
  <c r="L1410" i="9"/>
  <c r="L1411" i="9"/>
  <c r="L1412" i="9"/>
  <c r="L1413" i="9"/>
  <c r="L1414" i="9"/>
  <c r="L1415" i="9"/>
  <c r="L1417" i="9"/>
  <c r="L1418" i="9"/>
  <c r="L1419" i="9"/>
  <c r="L1420" i="9"/>
  <c r="L1421" i="9"/>
  <c r="L1422" i="9"/>
  <c r="L1423" i="9"/>
  <c r="L1424" i="9"/>
  <c r="L1425" i="9"/>
  <c r="L1426" i="9"/>
  <c r="L1427" i="9"/>
  <c r="L1429" i="9"/>
  <c r="L1430" i="9"/>
  <c r="L1431" i="9"/>
  <c r="L1432" i="9"/>
  <c r="L1433" i="9"/>
  <c r="L1434" i="9"/>
  <c r="L1435" i="9"/>
  <c r="L1436" i="9"/>
  <c r="L1437" i="9"/>
  <c r="L1438" i="9"/>
  <c r="L1439" i="9"/>
  <c r="L1441" i="9"/>
  <c r="L1442" i="9"/>
  <c r="L1443" i="9"/>
  <c r="L1444" i="9"/>
  <c r="L1445" i="9"/>
  <c r="L1446" i="9"/>
  <c r="L1447" i="9"/>
  <c r="L1448" i="9"/>
  <c r="L1449" i="9"/>
  <c r="L1450" i="9"/>
  <c r="L1451" i="9"/>
  <c r="L1453" i="9"/>
  <c r="L1454" i="9"/>
  <c r="L1455" i="9"/>
  <c r="L1456" i="9"/>
  <c r="L1457" i="9"/>
  <c r="L1458" i="9"/>
  <c r="L1459" i="9"/>
  <c r="L1460" i="9"/>
  <c r="L1461" i="9"/>
  <c r="L1462" i="9"/>
  <c r="L1463" i="9"/>
  <c r="L1465" i="9"/>
  <c r="L1466" i="9"/>
  <c r="L1467" i="9"/>
  <c r="L1468" i="9"/>
  <c r="L1469" i="9"/>
  <c r="L1470" i="9"/>
  <c r="L1471" i="9"/>
  <c r="L1472" i="9"/>
  <c r="L1473" i="9"/>
  <c r="L1474" i="9"/>
  <c r="L1475" i="9"/>
  <c r="L1477" i="9"/>
  <c r="L1478" i="9"/>
  <c r="L1479" i="9"/>
  <c r="L1480" i="9"/>
  <c r="L1481" i="9"/>
  <c r="L1482" i="9"/>
  <c r="L1483" i="9"/>
  <c r="L1484" i="9"/>
  <c r="L1485" i="9"/>
  <c r="L1486" i="9"/>
  <c r="L1487" i="9"/>
  <c r="L1489" i="9"/>
  <c r="L1490" i="9"/>
  <c r="L1491" i="9"/>
  <c r="L1492" i="9"/>
  <c r="L1493" i="9"/>
  <c r="L1494" i="9"/>
  <c r="L1495" i="9"/>
  <c r="L1496" i="9"/>
  <c r="L1497" i="9"/>
  <c r="L1498" i="9"/>
  <c r="L1499" i="9"/>
  <c r="L1501" i="9"/>
  <c r="L1502" i="9"/>
  <c r="L1503" i="9"/>
  <c r="L1504" i="9"/>
  <c r="L1505" i="9"/>
  <c r="L1506" i="9"/>
  <c r="L1507" i="9"/>
  <c r="L1508" i="9"/>
  <c r="L1509" i="9"/>
  <c r="L1510" i="9"/>
  <c r="L1511" i="9"/>
  <c r="L1513" i="9"/>
  <c r="L1514" i="9"/>
  <c r="L1515" i="9"/>
  <c r="L1516" i="9"/>
  <c r="L1517" i="9"/>
  <c r="L1518" i="9"/>
  <c r="L1519" i="9"/>
  <c r="L1520" i="9"/>
  <c r="L1521" i="9"/>
  <c r="L1522" i="9"/>
  <c r="L1523" i="9"/>
  <c r="L1525" i="9"/>
  <c r="L1526" i="9"/>
  <c r="L1527" i="9"/>
  <c r="L1528" i="9"/>
  <c r="L1529" i="9"/>
  <c r="L1530" i="9"/>
  <c r="L1531" i="9"/>
  <c r="L1532" i="9"/>
  <c r="L1533" i="9"/>
  <c r="L1534" i="9"/>
  <c r="L1535" i="9"/>
  <c r="L1537" i="9"/>
  <c r="L1538" i="9"/>
  <c r="L1539" i="9"/>
  <c r="L1540" i="9"/>
  <c r="L1541" i="9"/>
  <c r="L1542" i="9"/>
  <c r="L1543" i="9"/>
  <c r="L1544" i="9"/>
  <c r="L1545" i="9"/>
  <c r="L1546" i="9"/>
  <c r="L1547" i="9"/>
  <c r="L1549" i="9"/>
  <c r="L1550" i="9"/>
  <c r="L1551" i="9"/>
  <c r="L1552" i="9"/>
  <c r="L1553" i="9"/>
  <c r="L1554" i="9"/>
  <c r="L1555" i="9"/>
  <c r="L1556" i="9"/>
  <c r="L1557" i="9"/>
  <c r="L1558" i="9"/>
  <c r="L1559" i="9"/>
  <c r="L1561" i="9"/>
  <c r="L1562" i="9"/>
  <c r="L1563" i="9"/>
  <c r="L1564" i="9"/>
  <c r="L1565" i="9"/>
  <c r="L1566" i="9"/>
  <c r="L1567" i="9"/>
  <c r="L1568" i="9"/>
  <c r="L1569" i="9"/>
  <c r="L1570" i="9"/>
  <c r="L1571" i="9"/>
  <c r="L1573" i="9"/>
  <c r="L1574" i="9"/>
  <c r="L1575" i="9"/>
  <c r="L1576" i="9"/>
  <c r="L1577" i="9"/>
  <c r="L1578" i="9"/>
  <c r="L1579" i="9"/>
  <c r="L1580" i="9"/>
  <c r="L1581" i="9"/>
  <c r="L1582" i="9"/>
  <c r="L1583" i="9"/>
  <c r="L1585" i="9"/>
  <c r="L1586" i="9"/>
  <c r="L1587" i="9"/>
  <c r="L1588" i="9"/>
  <c r="L1589" i="9"/>
  <c r="L1590" i="9"/>
  <c r="L1591" i="9"/>
  <c r="L1592" i="9"/>
  <c r="L1593" i="9"/>
  <c r="L1594" i="9"/>
  <c r="L1595" i="9"/>
  <c r="L1597" i="9"/>
  <c r="L1598" i="9"/>
  <c r="L1599" i="9"/>
  <c r="L1600" i="9"/>
  <c r="L1601" i="9"/>
  <c r="L1602" i="9"/>
  <c r="L1603" i="9"/>
  <c r="L1604" i="9"/>
  <c r="L1605" i="9"/>
  <c r="L1606" i="9"/>
  <c r="L1607" i="9"/>
  <c r="L1609" i="9"/>
  <c r="L1610" i="9"/>
  <c r="L1611" i="9"/>
  <c r="L1612" i="9"/>
  <c r="L1613" i="9"/>
  <c r="L1614" i="9"/>
  <c r="L1615" i="9"/>
  <c r="L1616" i="9"/>
  <c r="L1617" i="9"/>
  <c r="L1618" i="9"/>
  <c r="L1619" i="9"/>
  <c r="L1621" i="9"/>
  <c r="L1622" i="9"/>
  <c r="L1623" i="9"/>
  <c r="L1624" i="9"/>
  <c r="L1625" i="9"/>
  <c r="L1626" i="9"/>
  <c r="L1627" i="9"/>
  <c r="L1628" i="9"/>
  <c r="L1629" i="9"/>
  <c r="L1630" i="9"/>
  <c r="L1631" i="9"/>
  <c r="L1633" i="9"/>
  <c r="L1634" i="9"/>
  <c r="L1635" i="9"/>
  <c r="L1636" i="9"/>
  <c r="L1637" i="9"/>
  <c r="L1638" i="9"/>
  <c r="L1639" i="9"/>
  <c r="L1640" i="9"/>
  <c r="L1641" i="9"/>
  <c r="L1642" i="9"/>
  <c r="L1643" i="9"/>
  <c r="L1645" i="9"/>
  <c r="L1646" i="9"/>
  <c r="L1647" i="9"/>
  <c r="L1648" i="9"/>
  <c r="L1649" i="9"/>
  <c r="L1650" i="9"/>
  <c r="L1651" i="9"/>
  <c r="L1652" i="9"/>
  <c r="L1653" i="9"/>
  <c r="L1654" i="9"/>
  <c r="L1655" i="9"/>
  <c r="L1657" i="9"/>
  <c r="L1658" i="9"/>
  <c r="L1659" i="9"/>
  <c r="L1660" i="9"/>
  <c r="L1661" i="9"/>
  <c r="L1662" i="9"/>
  <c r="L1663" i="9"/>
  <c r="L1664" i="9"/>
  <c r="L1665" i="9"/>
  <c r="L1666" i="9"/>
  <c r="L1667" i="9"/>
  <c r="L1669" i="9"/>
  <c r="L1670" i="9"/>
  <c r="L1671" i="9"/>
  <c r="L1672" i="9"/>
  <c r="L1673" i="9"/>
  <c r="L1674" i="9"/>
  <c r="L1675" i="9"/>
  <c r="L1676" i="9"/>
  <c r="L1677" i="9"/>
  <c r="L1678" i="9"/>
  <c r="L1679" i="9"/>
  <c r="L1681" i="9"/>
  <c r="L1682" i="9"/>
  <c r="L1683" i="9"/>
  <c r="L1684" i="9"/>
  <c r="L1685" i="9"/>
  <c r="L1686" i="9"/>
  <c r="L1687" i="9"/>
  <c r="L1688" i="9"/>
  <c r="L1689" i="9"/>
  <c r="L1690" i="9"/>
  <c r="L37" i="9"/>
  <c r="O5" i="9"/>
  <c r="M5" i="9" s="1"/>
  <c r="O6" i="9"/>
  <c r="M6" i="9" s="1"/>
  <c r="O7" i="9"/>
  <c r="M7" i="9" s="1"/>
  <c r="O8" i="9"/>
  <c r="M8" i="9" s="1"/>
  <c r="O9" i="9"/>
  <c r="M9" i="9" s="1"/>
  <c r="O10" i="9"/>
  <c r="M10" i="9" s="1"/>
  <c r="O11" i="9"/>
  <c r="M11" i="9" s="1"/>
  <c r="O12" i="9"/>
  <c r="M12" i="9" s="1"/>
  <c r="O13" i="9"/>
  <c r="M13" i="9" s="1"/>
  <c r="O14" i="9"/>
  <c r="M14" i="9" s="1"/>
  <c r="O15" i="9"/>
  <c r="M15" i="9" s="1"/>
  <c r="O16" i="9"/>
  <c r="M16" i="9" s="1"/>
  <c r="O17" i="9"/>
  <c r="M17" i="9" s="1"/>
  <c r="O18" i="9"/>
  <c r="M18" i="9" s="1"/>
  <c r="O19" i="9"/>
  <c r="M19" i="9" s="1"/>
  <c r="O20" i="9"/>
  <c r="M20" i="9" s="1"/>
  <c r="O21" i="9"/>
  <c r="M21" i="9" s="1"/>
  <c r="O22" i="9"/>
  <c r="M22" i="9" s="1"/>
  <c r="O23" i="9"/>
  <c r="M23" i="9" s="1"/>
  <c r="O24" i="9"/>
  <c r="M24" i="9" s="1"/>
  <c r="O25" i="9"/>
  <c r="M25" i="9" s="1"/>
  <c r="O26" i="9"/>
  <c r="M26" i="9" s="1"/>
  <c r="O27" i="9"/>
  <c r="M27" i="9" s="1"/>
  <c r="O28" i="9"/>
  <c r="M28" i="9" s="1"/>
  <c r="O29" i="9"/>
  <c r="M29" i="9" s="1"/>
  <c r="O30" i="9"/>
  <c r="M30" i="9" s="1"/>
  <c r="O31" i="9"/>
  <c r="M31" i="9" s="1"/>
  <c r="O32" i="9"/>
  <c r="M32" i="9" s="1"/>
  <c r="O33" i="9"/>
  <c r="M33" i="9" s="1"/>
  <c r="O34" i="9"/>
  <c r="M34" i="9" s="1"/>
  <c r="O35" i="9"/>
  <c r="M35" i="9" s="1"/>
  <c r="O36" i="9"/>
  <c r="M36" i="9" s="1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4" i="9"/>
  <c r="M4" i="9" s="1"/>
  <c r="S1686" i="9"/>
  <c r="S1683" i="9"/>
  <c r="S1679" i="9"/>
  <c r="S1674" i="9"/>
  <c r="S1662" i="9"/>
  <c r="S1655" i="9"/>
  <c r="S1653" i="9"/>
  <c r="S1639" i="9"/>
  <c r="S1640" i="9" s="1"/>
  <c r="S1641" i="9" s="1"/>
  <c r="S1642" i="9" s="1"/>
  <c r="S1643" i="9" s="1"/>
  <c r="S1644" i="9" s="1"/>
  <c r="S1645" i="9" s="1"/>
  <c r="S1637" i="9"/>
  <c r="S53" i="9"/>
  <c r="S1613" i="9"/>
  <c r="S1609" i="9"/>
  <c r="S1604" i="9"/>
  <c r="S1598" i="9"/>
  <c r="S1588" i="9"/>
  <c r="S1589" i="9" s="1"/>
  <c r="S1586" i="9"/>
  <c r="S1581" i="9"/>
  <c r="S1582" i="9" s="1"/>
  <c r="S1583" i="9" s="1"/>
  <c r="S1584" i="9" s="1"/>
  <c r="S1568" i="9"/>
  <c r="S1569" i="9" s="1"/>
  <c r="S1558" i="9"/>
  <c r="S1559" i="9" s="1"/>
  <c r="S1560" i="9" s="1"/>
  <c r="S1561" i="9" s="1"/>
  <c r="S1552" i="9"/>
  <c r="S1549" i="9"/>
  <c r="S1545" i="9"/>
  <c r="S1542" i="9"/>
  <c r="S1539" i="9"/>
  <c r="S1535" i="9"/>
  <c r="S1536" i="9" s="1"/>
  <c r="S1537" i="9" s="1"/>
  <c r="S1529" i="9"/>
  <c r="S1530" i="9" s="1"/>
  <c r="S1531" i="9" s="1"/>
  <c r="S1532" i="9" s="1"/>
  <c r="S1533" i="9" s="1"/>
  <c r="S1525" i="9"/>
  <c r="S1517" i="9"/>
  <c r="S1518" i="9" s="1"/>
  <c r="S1513" i="9"/>
  <c r="S1510" i="9"/>
  <c r="S1485" i="9"/>
  <c r="S1486" i="9" s="1"/>
  <c r="S1481" i="9"/>
  <c r="S1482" i="9" s="1"/>
  <c r="S1476" i="9"/>
  <c r="S1477" i="9" s="1"/>
  <c r="S1478" i="9" s="1"/>
  <c r="S1479" i="9" s="1"/>
  <c r="S1465" i="9"/>
  <c r="S1463" i="9"/>
  <c r="S1458" i="9"/>
  <c r="S1456" i="9"/>
  <c r="S1452" i="9"/>
  <c r="S1446" i="9"/>
  <c r="S1447" i="9" s="1"/>
  <c r="S1448" i="9" s="1"/>
  <c r="S1439" i="9"/>
  <c r="S1434" i="9"/>
  <c r="S1429" i="9"/>
  <c r="S1430" i="9" s="1"/>
  <c r="S1425" i="9"/>
  <c r="S1426" i="9" s="1"/>
  <c r="S1427" i="9" s="1"/>
  <c r="S1423" i="9"/>
  <c r="S1419" i="9"/>
  <c r="S1415" i="9"/>
  <c r="S1405" i="9"/>
  <c r="S1403" i="9"/>
  <c r="S1401" i="9"/>
  <c r="S1397" i="9"/>
  <c r="S1389" i="9"/>
  <c r="S1383" i="9"/>
  <c r="S1375" i="9"/>
  <c r="S1376" i="9" s="1"/>
  <c r="S1377" i="9" s="1"/>
  <c r="S1371" i="9"/>
  <c r="S1369" i="9"/>
  <c r="S1367" i="9"/>
  <c r="S1365" i="9"/>
  <c r="S1362" i="9"/>
  <c r="S1360" i="9"/>
  <c r="S1353" i="9"/>
  <c r="S1345" i="9"/>
  <c r="S1335" i="9"/>
  <c r="S1322" i="9"/>
  <c r="S1323" i="9" s="1"/>
  <c r="S1319" i="9"/>
  <c r="S1317" i="9"/>
  <c r="S1315" i="9"/>
  <c r="S1298" i="9"/>
  <c r="S1299" i="9" s="1"/>
  <c r="S1282" i="9"/>
  <c r="S1283" i="9" s="1"/>
  <c r="S1284" i="9" s="1"/>
  <c r="S1285" i="9" s="1"/>
  <c r="S1286" i="9" s="1"/>
  <c r="S1287" i="9" s="1"/>
  <c r="S1278" i="9"/>
  <c r="S1279" i="9" s="1"/>
  <c r="S1264" i="9"/>
  <c r="S1265" i="9" s="1"/>
  <c r="S1266" i="9" s="1"/>
  <c r="S1267" i="9" s="1"/>
  <c r="S1268" i="9" s="1"/>
  <c r="S1269" i="9" s="1"/>
  <c r="S1270" i="9" s="1"/>
  <c r="S1271" i="9" s="1"/>
  <c r="S1256" i="9"/>
  <c r="S1249" i="9"/>
  <c r="S1250" i="9" s="1"/>
  <c r="S1245" i="9"/>
  <c r="S1239" i="9"/>
  <c r="S1227" i="9"/>
  <c r="S1215" i="9"/>
  <c r="S1216" i="9" s="1"/>
  <c r="S1217" i="9" s="1"/>
  <c r="S1218" i="9" s="1"/>
  <c r="S1219" i="9" s="1"/>
  <c r="S1209" i="9"/>
  <c r="S1210" i="9" s="1"/>
  <c r="S1211" i="9" s="1"/>
  <c r="S1196" i="9"/>
  <c r="S1187" i="9"/>
  <c r="S1188" i="9" s="1"/>
  <c r="S1189" i="9" s="1"/>
  <c r="S1182" i="9"/>
  <c r="S1180" i="9"/>
  <c r="S1162" i="9"/>
  <c r="S1160" i="9"/>
  <c r="S1156" i="9"/>
  <c r="S1157" i="9" s="1"/>
  <c r="S1158" i="9" s="1"/>
  <c r="S1152" i="9"/>
  <c r="S1144" i="9"/>
  <c r="S1145" i="9" s="1"/>
  <c r="S1120" i="9"/>
  <c r="S1121" i="9" s="1"/>
  <c r="S1116" i="9"/>
  <c r="S1114" i="9"/>
  <c r="S1109" i="9"/>
  <c r="S1110" i="9" s="1"/>
  <c r="S1111" i="9" s="1"/>
  <c r="S1106" i="9"/>
  <c r="S1094" i="9"/>
  <c r="S1082" i="9"/>
  <c r="S1067" i="9"/>
  <c r="S1065" i="9"/>
  <c r="S1059" i="9"/>
  <c r="S1057" i="9"/>
  <c r="S1053" i="9"/>
  <c r="S1054" i="9" s="1"/>
  <c r="S1055" i="9" s="1"/>
  <c r="S1049" i="9"/>
  <c r="S1046" i="9"/>
  <c r="S1041" i="9"/>
  <c r="S1037" i="9"/>
  <c r="S1034" i="9"/>
  <c r="S1032" i="9"/>
  <c r="S1028" i="9"/>
  <c r="S1026" i="9"/>
  <c r="S1021" i="9"/>
  <c r="S1019" i="9"/>
  <c r="S1017" i="9"/>
  <c r="S1014" i="9"/>
  <c r="S1015" i="9" s="1"/>
  <c r="S1011" i="9"/>
  <c r="S1004" i="9"/>
  <c r="S1005" i="9" s="1"/>
  <c r="S1002" i="9"/>
  <c r="S997" i="9"/>
  <c r="S998" i="9" s="1"/>
  <c r="S999" i="9" s="1"/>
  <c r="S1000" i="9" s="1"/>
  <c r="S984" i="9"/>
  <c r="S985" i="9" s="1"/>
  <c r="S986" i="9" s="1"/>
  <c r="S987" i="9" s="1"/>
  <c r="S988" i="9" s="1"/>
  <c r="S989" i="9" s="1"/>
  <c r="S982" i="9"/>
  <c r="S980" i="9"/>
  <c r="S974" i="9"/>
  <c r="S971" i="9"/>
  <c r="S969" i="9"/>
  <c r="S961" i="9"/>
  <c r="S956" i="9"/>
  <c r="S945" i="9"/>
  <c r="S946" i="9" s="1"/>
  <c r="S947" i="9" s="1"/>
  <c r="S948" i="9" s="1"/>
  <c r="S949" i="9" s="1"/>
  <c r="S950" i="9" s="1"/>
  <c r="S951" i="9" s="1"/>
  <c r="S941" i="9"/>
  <c r="S942" i="9" s="1"/>
  <c r="S939" i="9"/>
  <c r="S932" i="9"/>
  <c r="S929" i="9"/>
  <c r="S927" i="9"/>
  <c r="S925" i="9"/>
  <c r="S921" i="9"/>
  <c r="S911" i="9"/>
  <c r="S900" i="9"/>
  <c r="S896" i="9"/>
  <c r="S892" i="9"/>
  <c r="S893" i="9" s="1"/>
  <c r="S894" i="9" s="1"/>
  <c r="S889" i="9"/>
  <c r="S890" i="9" s="1"/>
  <c r="S883" i="9"/>
  <c r="S866" i="9"/>
  <c r="S864" i="9"/>
  <c r="S858" i="9"/>
  <c r="S856" i="9"/>
  <c r="S845" i="9"/>
  <c r="S843" i="9"/>
  <c r="S841" i="9"/>
  <c r="S839" i="9"/>
  <c r="S836" i="9"/>
  <c r="S831" i="9"/>
  <c r="S827" i="9"/>
  <c r="S825" i="9"/>
  <c r="S811" i="9"/>
  <c r="S802" i="9"/>
  <c r="S803" i="9" s="1"/>
  <c r="S798" i="9"/>
  <c r="S793" i="9"/>
  <c r="S790" i="9"/>
  <c r="S791" i="9" s="1"/>
  <c r="S783" i="9"/>
  <c r="S784" i="9" s="1"/>
  <c r="S785" i="9" s="1"/>
  <c r="S786" i="9" s="1"/>
  <c r="S777" i="9"/>
  <c r="S778" i="9" s="1"/>
  <c r="S772" i="9"/>
  <c r="S773" i="9" s="1"/>
  <c r="S774" i="9" s="1"/>
  <c r="S770" i="9"/>
  <c r="S765" i="9"/>
  <c r="S752" i="9"/>
  <c r="S748" i="9"/>
  <c r="S735" i="9"/>
  <c r="S736" i="9" s="1"/>
  <c r="S737" i="9" s="1"/>
  <c r="S738" i="9" s="1"/>
  <c r="S729" i="9"/>
  <c r="S730" i="9" s="1"/>
  <c r="S731" i="9" s="1"/>
  <c r="S732" i="9" s="1"/>
  <c r="S725" i="9"/>
  <c r="S711" i="9"/>
  <c r="S704" i="9"/>
  <c r="S699" i="9"/>
  <c r="S690" i="9"/>
  <c r="S687" i="9"/>
  <c r="S685" i="9"/>
  <c r="S682" i="9"/>
  <c r="S680" i="9"/>
  <c r="S677" i="9"/>
  <c r="S656" i="9"/>
  <c r="S653" i="9"/>
  <c r="S644" i="9"/>
  <c r="S642" i="9"/>
  <c r="S627" i="9"/>
  <c r="S628" i="9" s="1"/>
  <c r="S629" i="9" s="1"/>
  <c r="S630" i="9" s="1"/>
  <c r="S624" i="9"/>
  <c r="S625" i="9" s="1"/>
  <c r="S617" i="9"/>
  <c r="S598" i="9"/>
  <c r="S595" i="9"/>
  <c r="S586" i="9"/>
  <c r="S580" i="9"/>
  <c r="S576" i="9"/>
  <c r="S577" i="9" s="1"/>
  <c r="S578" i="9" s="1"/>
  <c r="S574" i="9"/>
  <c r="S570" i="9"/>
  <c r="S571" i="9" s="1"/>
  <c r="S557" i="9"/>
  <c r="S543" i="9"/>
  <c r="S524" i="9"/>
  <c r="S516" i="9"/>
  <c r="S500" i="9"/>
  <c r="S469" i="9"/>
  <c r="S441" i="9"/>
  <c r="S359" i="9"/>
  <c r="S306" i="9"/>
  <c r="S270" i="9"/>
  <c r="S258" i="9"/>
  <c r="S256" i="9"/>
  <c r="S252" i="9"/>
  <c r="S240" i="9"/>
  <c r="S198" i="9"/>
  <c r="S199" i="9" s="1"/>
  <c r="S200" i="9" s="1"/>
  <c r="S152" i="9"/>
  <c r="S145" i="9"/>
  <c r="S146" i="9" s="1"/>
  <c r="S147" i="9" s="1"/>
  <c r="S125" i="9"/>
  <c r="S106" i="9"/>
  <c r="S95" i="9"/>
  <c r="S93" i="9"/>
  <c r="S76" i="9"/>
  <c r="Q1686" i="9"/>
  <c r="Q1683" i="9"/>
  <c r="R1683" i="9" s="1"/>
  <c r="Q1679" i="9"/>
  <c r="Q1674" i="9"/>
  <c r="Q1662" i="9"/>
  <c r="R1662" i="9" s="1"/>
  <c r="Q1655" i="9"/>
  <c r="Q1653" i="9"/>
  <c r="Q1639" i="9"/>
  <c r="Q1637" i="9"/>
  <c r="Q1613" i="9"/>
  <c r="R1613" i="9" s="1"/>
  <c r="Q1609" i="9"/>
  <c r="R1609" i="9" s="1"/>
  <c r="Q1604" i="9"/>
  <c r="R1604" i="9" s="1"/>
  <c r="Q1598" i="9"/>
  <c r="R1598" i="9" s="1"/>
  <c r="Q1588" i="9"/>
  <c r="Q1586" i="9"/>
  <c r="R1586" i="9" s="1"/>
  <c r="Q1581" i="9"/>
  <c r="Q1582" i="9" s="1"/>
  <c r="Q1568" i="9"/>
  <c r="Q1558" i="9"/>
  <c r="Q1552" i="9"/>
  <c r="Q1549" i="9"/>
  <c r="Q1545" i="9"/>
  <c r="R1545" i="9" s="1"/>
  <c r="Q1542" i="9"/>
  <c r="Q1539" i="9"/>
  <c r="Q1535" i="9"/>
  <c r="Q1536" i="9" s="1"/>
  <c r="Q1529" i="9"/>
  <c r="Q1525" i="9"/>
  <c r="R1525" i="9" s="1"/>
  <c r="Q1517" i="9"/>
  <c r="Q1513" i="9"/>
  <c r="Q1510" i="9"/>
  <c r="Q1485" i="9"/>
  <c r="Q1481" i="9"/>
  <c r="Q1476" i="9"/>
  <c r="Q1465" i="9"/>
  <c r="R1465" i="9" s="1"/>
  <c r="Q1463" i="9"/>
  <c r="R1463" i="9" s="1"/>
  <c r="Q1458" i="9"/>
  <c r="R1458" i="9" s="1"/>
  <c r="Q1456" i="9"/>
  <c r="Q1452" i="9"/>
  <c r="Q1446" i="9"/>
  <c r="Q1439" i="9"/>
  <c r="R1439" i="9" s="1"/>
  <c r="Q1434" i="9"/>
  <c r="Q1429" i="9"/>
  <c r="Q1425" i="9"/>
  <c r="Q1423" i="9"/>
  <c r="Q1419" i="9"/>
  <c r="R1419" i="9" s="1"/>
  <c r="Q1415" i="9"/>
  <c r="R1415" i="9" s="1"/>
  <c r="Q1405" i="9"/>
  <c r="Q1403" i="9"/>
  <c r="R1403" i="9" s="1"/>
  <c r="Q1401" i="9"/>
  <c r="R1401" i="9" s="1"/>
  <c r="Q1397" i="9"/>
  <c r="R1397" i="9" s="1"/>
  <c r="Q1389" i="9"/>
  <c r="R1389" i="9" s="1"/>
  <c r="Q1383" i="9"/>
  <c r="Q1375" i="9"/>
  <c r="Q1376" i="9" s="1"/>
  <c r="Q1371" i="9"/>
  <c r="Q1369" i="9"/>
  <c r="Q1367" i="9"/>
  <c r="R1367" i="9" s="1"/>
  <c r="Q1365" i="9"/>
  <c r="R1365" i="9" s="1"/>
  <c r="Q1362" i="9"/>
  <c r="R1362" i="9" s="1"/>
  <c r="Q1360" i="9"/>
  <c r="R1360" i="9" s="1"/>
  <c r="Q1353" i="9"/>
  <c r="Q1345" i="9"/>
  <c r="Q1335" i="9"/>
  <c r="Q1322" i="9"/>
  <c r="Q1323" i="9" s="1"/>
  <c r="R1323" i="9" s="1"/>
  <c r="Q1319" i="9"/>
  <c r="Q1317" i="9"/>
  <c r="Q1315" i="9"/>
  <c r="Q1298" i="9"/>
  <c r="Q1299" i="9" s="1"/>
  <c r="R1299" i="9" s="1"/>
  <c r="Q1282" i="9"/>
  <c r="Q1283" i="9" s="1"/>
  <c r="Q1278" i="9"/>
  <c r="Q1279" i="9" s="1"/>
  <c r="R1279" i="9" s="1"/>
  <c r="Q1264" i="9"/>
  <c r="Q1265" i="9" s="1"/>
  <c r="Q1256" i="9"/>
  <c r="Q1249" i="9"/>
  <c r="Q1250" i="9" s="1"/>
  <c r="R1250" i="9" s="1"/>
  <c r="Q1245" i="9"/>
  <c r="Q1239" i="9"/>
  <c r="Q1227" i="9"/>
  <c r="Q1215" i="9"/>
  <c r="Q1216" i="9" s="1"/>
  <c r="Q1209" i="9"/>
  <c r="Q1210" i="9" s="1"/>
  <c r="Q1196" i="9"/>
  <c r="Q1187" i="9"/>
  <c r="Q1188" i="9" s="1"/>
  <c r="Q1182" i="9"/>
  <c r="R1182" i="9" s="1"/>
  <c r="Q1180" i="9"/>
  <c r="R1180" i="9" s="1"/>
  <c r="Q1162" i="9"/>
  <c r="R1162" i="9" s="1"/>
  <c r="Q1160" i="9"/>
  <c r="R1160" i="9" s="1"/>
  <c r="Q1156" i="9"/>
  <c r="Q1152" i="9"/>
  <c r="R1152" i="9" s="1"/>
  <c r="Q1144" i="9"/>
  <c r="Q1120" i="9"/>
  <c r="Q1116" i="9"/>
  <c r="R1116" i="9" s="1"/>
  <c r="Q1114" i="9"/>
  <c r="R1114" i="9" s="1"/>
  <c r="Q1109" i="9"/>
  <c r="Q1106" i="9"/>
  <c r="R1106" i="9" s="1"/>
  <c r="Q1094" i="9"/>
  <c r="R1094" i="9" s="1"/>
  <c r="Q1082" i="9"/>
  <c r="R1082" i="9" s="1"/>
  <c r="Q1067" i="9"/>
  <c r="R1067" i="9" s="1"/>
  <c r="Q1065" i="9"/>
  <c r="R1065" i="9" s="1"/>
  <c r="Q1059" i="9"/>
  <c r="R1059" i="9" s="1"/>
  <c r="Q1057" i="9"/>
  <c r="R1057" i="9" s="1"/>
  <c r="Q1053" i="9"/>
  <c r="Q1049" i="9"/>
  <c r="R1049" i="9" s="1"/>
  <c r="Q1046" i="9"/>
  <c r="R1046" i="9" s="1"/>
  <c r="Q1041" i="9"/>
  <c r="R1041" i="9" s="1"/>
  <c r="Q1037" i="9"/>
  <c r="R1037" i="9" s="1"/>
  <c r="Q1034" i="9"/>
  <c r="R1034" i="9" s="1"/>
  <c r="Q1032" i="9"/>
  <c r="R1032" i="9" s="1"/>
  <c r="Q1028" i="9"/>
  <c r="R1028" i="9" s="1"/>
  <c r="Q1026" i="9"/>
  <c r="R1026" i="9" s="1"/>
  <c r="Q1021" i="9"/>
  <c r="R1021" i="9" s="1"/>
  <c r="Q1019" i="9"/>
  <c r="R1019" i="9" s="1"/>
  <c r="Q1017" i="9"/>
  <c r="R1017" i="9" s="1"/>
  <c r="Q1014" i="9"/>
  <c r="Q1011" i="9"/>
  <c r="R1011" i="9" s="1"/>
  <c r="Q1004" i="9"/>
  <c r="Q1002" i="9"/>
  <c r="R1002" i="9" s="1"/>
  <c r="Q997" i="9"/>
  <c r="Q984" i="9"/>
  <c r="Q982" i="9"/>
  <c r="R982" i="9" s="1"/>
  <c r="Q980" i="9"/>
  <c r="R980" i="9" s="1"/>
  <c r="Q974" i="9"/>
  <c r="R974" i="9" s="1"/>
  <c r="Q971" i="9"/>
  <c r="R971" i="9" s="1"/>
  <c r="Q969" i="9"/>
  <c r="R969" i="9" s="1"/>
  <c r="Q961" i="9"/>
  <c r="R961" i="9" s="1"/>
  <c r="Q956" i="9"/>
  <c r="R956" i="9" s="1"/>
  <c r="Q945" i="9"/>
  <c r="Q941" i="9"/>
  <c r="Q939" i="9"/>
  <c r="R939" i="9" s="1"/>
  <c r="Q932" i="9"/>
  <c r="R932" i="9" s="1"/>
  <c r="Q929" i="9"/>
  <c r="R929" i="9" s="1"/>
  <c r="Q927" i="9"/>
  <c r="R927" i="9" s="1"/>
  <c r="Q925" i="9"/>
  <c r="R925" i="9" s="1"/>
  <c r="Q921" i="9"/>
  <c r="R921" i="9" s="1"/>
  <c r="Q911" i="9"/>
  <c r="R911" i="9" s="1"/>
  <c r="Q900" i="9"/>
  <c r="R900" i="9" s="1"/>
  <c r="Q896" i="9"/>
  <c r="Q892" i="9"/>
  <c r="Q893" i="9" s="1"/>
  <c r="Q889" i="9"/>
  <c r="Q890" i="9" s="1"/>
  <c r="R890" i="9" s="1"/>
  <c r="Q883" i="9"/>
  <c r="Q866" i="9"/>
  <c r="Q864" i="9"/>
  <c r="Q858" i="9"/>
  <c r="Q856" i="9"/>
  <c r="Q845" i="9"/>
  <c r="Q843" i="9"/>
  <c r="Q841" i="9"/>
  <c r="Q839" i="9"/>
  <c r="Q836" i="9"/>
  <c r="Q831" i="9"/>
  <c r="Q827" i="9"/>
  <c r="Q825" i="9"/>
  <c r="Q811" i="9"/>
  <c r="Q802" i="9"/>
  <c r="Q803" i="9" s="1"/>
  <c r="R803" i="9" s="1"/>
  <c r="Q798" i="9"/>
  <c r="Q793" i="9"/>
  <c r="Q790" i="9"/>
  <c r="Q791" i="9" s="1"/>
  <c r="R791" i="9" s="1"/>
  <c r="Q783" i="9"/>
  <c r="Q784" i="9" s="1"/>
  <c r="Q777" i="9"/>
  <c r="Q778" i="9" s="1"/>
  <c r="R778" i="9" s="1"/>
  <c r="Q772" i="9"/>
  <c r="Q773" i="9" s="1"/>
  <c r="Q770" i="9"/>
  <c r="Q765" i="9"/>
  <c r="Q752" i="9"/>
  <c r="Q748" i="9"/>
  <c r="Q735" i="9"/>
  <c r="Q736" i="9" s="1"/>
  <c r="Q729" i="9"/>
  <c r="Q730" i="9" s="1"/>
  <c r="Q725" i="9"/>
  <c r="Q711" i="9"/>
  <c r="Q704" i="9"/>
  <c r="Q699" i="9"/>
  <c r="Q690" i="9"/>
  <c r="Q687" i="9"/>
  <c r="Q685" i="9"/>
  <c r="Q682" i="9"/>
  <c r="Q680" i="9"/>
  <c r="Q677" i="9"/>
  <c r="Q656" i="9"/>
  <c r="R656" i="9" s="1"/>
  <c r="Q653" i="9"/>
  <c r="R653" i="9" s="1"/>
  <c r="Q644" i="9"/>
  <c r="R644" i="9" s="1"/>
  <c r="Q642" i="9"/>
  <c r="R642" i="9" s="1"/>
  <c r="Q627" i="9"/>
  <c r="Q624" i="9"/>
  <c r="Q617" i="9"/>
  <c r="R617" i="9" s="1"/>
  <c r="Q598" i="9"/>
  <c r="R598" i="9" s="1"/>
  <c r="Q595" i="9"/>
  <c r="R595" i="9" s="1"/>
  <c r="Q586" i="9"/>
  <c r="R586" i="9" s="1"/>
  <c r="Q580" i="9"/>
  <c r="R580" i="9" s="1"/>
  <c r="Q576" i="9"/>
  <c r="Q574" i="9"/>
  <c r="R574" i="9" s="1"/>
  <c r="Q570" i="9"/>
  <c r="Q557" i="9"/>
  <c r="R557" i="9" s="1"/>
  <c r="Q543" i="9"/>
  <c r="R543" i="9" s="1"/>
  <c r="Q524" i="9"/>
  <c r="R524" i="9" s="1"/>
  <c r="Q516" i="9"/>
  <c r="R516" i="9" s="1"/>
  <c r="Q500" i="9"/>
  <c r="R500" i="9" s="1"/>
  <c r="Q469" i="9"/>
  <c r="Q441" i="9"/>
  <c r="R441" i="9" s="1"/>
  <c r="Q359" i="9"/>
  <c r="Q306" i="9"/>
  <c r="Q270" i="9"/>
  <c r="Q258" i="9"/>
  <c r="Q256" i="9"/>
  <c r="Q252" i="9"/>
  <c r="Q240" i="9"/>
  <c r="Q198" i="9"/>
  <c r="Q199" i="9" s="1"/>
  <c r="Q152" i="9"/>
  <c r="Q145" i="9"/>
  <c r="Q146" i="9" s="1"/>
  <c r="Q125" i="9"/>
  <c r="Q106" i="9"/>
  <c r="Q95" i="9"/>
  <c r="Q93" i="9"/>
  <c r="Q76" i="9"/>
  <c r="Q53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3" i="9"/>
  <c r="R734" i="9"/>
  <c r="R735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5" i="9"/>
  <c r="R776" i="9"/>
  <c r="R777" i="9"/>
  <c r="R779" i="9"/>
  <c r="R780" i="9"/>
  <c r="R781" i="9"/>
  <c r="R782" i="9"/>
  <c r="R783" i="9"/>
  <c r="R787" i="9"/>
  <c r="R788" i="9"/>
  <c r="R789" i="9"/>
  <c r="R790" i="9"/>
  <c r="R792" i="9"/>
  <c r="R793" i="9"/>
  <c r="R794" i="9"/>
  <c r="R795" i="9"/>
  <c r="R796" i="9"/>
  <c r="R797" i="9"/>
  <c r="R798" i="9"/>
  <c r="R799" i="9"/>
  <c r="R800" i="9"/>
  <c r="R801" i="9"/>
  <c r="R802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1" i="9"/>
  <c r="R892" i="9"/>
  <c r="R895" i="9"/>
  <c r="R896" i="9"/>
  <c r="R897" i="9"/>
  <c r="R898" i="9"/>
  <c r="R899" i="9"/>
  <c r="R901" i="9"/>
  <c r="R902" i="9"/>
  <c r="R903" i="9"/>
  <c r="R904" i="9"/>
  <c r="R905" i="9"/>
  <c r="R906" i="9"/>
  <c r="R907" i="9"/>
  <c r="R908" i="9"/>
  <c r="R909" i="9"/>
  <c r="R910" i="9"/>
  <c r="R912" i="9"/>
  <c r="R913" i="9"/>
  <c r="R914" i="9"/>
  <c r="R915" i="9"/>
  <c r="R916" i="9"/>
  <c r="R917" i="9"/>
  <c r="R918" i="9"/>
  <c r="R919" i="9"/>
  <c r="R920" i="9"/>
  <c r="R922" i="9"/>
  <c r="R923" i="9"/>
  <c r="R924" i="9"/>
  <c r="R926" i="9"/>
  <c r="R928" i="9"/>
  <c r="R930" i="9"/>
  <c r="R931" i="9"/>
  <c r="R933" i="9"/>
  <c r="R934" i="9"/>
  <c r="R935" i="9"/>
  <c r="R936" i="9"/>
  <c r="R937" i="9"/>
  <c r="R938" i="9"/>
  <c r="R940" i="9"/>
  <c r="R943" i="9"/>
  <c r="R944" i="9"/>
  <c r="R952" i="9"/>
  <c r="R953" i="9"/>
  <c r="R954" i="9"/>
  <c r="R955" i="9"/>
  <c r="R957" i="9"/>
  <c r="R958" i="9"/>
  <c r="R959" i="9"/>
  <c r="R960" i="9"/>
  <c r="R962" i="9"/>
  <c r="R963" i="9"/>
  <c r="R964" i="9"/>
  <c r="R965" i="9"/>
  <c r="R966" i="9"/>
  <c r="R967" i="9"/>
  <c r="R968" i="9"/>
  <c r="R970" i="9"/>
  <c r="R972" i="9"/>
  <c r="R973" i="9"/>
  <c r="R975" i="9"/>
  <c r="R976" i="9"/>
  <c r="R977" i="9"/>
  <c r="R978" i="9"/>
  <c r="R979" i="9"/>
  <c r="R981" i="9"/>
  <c r="R983" i="9"/>
  <c r="R990" i="9"/>
  <c r="R991" i="9"/>
  <c r="R992" i="9"/>
  <c r="R993" i="9"/>
  <c r="R994" i="9"/>
  <c r="R995" i="9"/>
  <c r="R996" i="9"/>
  <c r="R1001" i="9"/>
  <c r="R1003" i="9"/>
  <c r="R1006" i="9"/>
  <c r="R1007" i="9"/>
  <c r="R1008" i="9"/>
  <c r="R1009" i="9"/>
  <c r="R1010" i="9"/>
  <c r="R1012" i="9"/>
  <c r="R1013" i="9"/>
  <c r="R1016" i="9"/>
  <c r="R1018" i="9"/>
  <c r="R1020" i="9"/>
  <c r="R1022" i="9"/>
  <c r="R1023" i="9"/>
  <c r="R1024" i="9"/>
  <c r="R1025" i="9"/>
  <c r="R1027" i="9"/>
  <c r="R1029" i="9"/>
  <c r="R1030" i="9"/>
  <c r="R1031" i="9"/>
  <c r="R1033" i="9"/>
  <c r="R1035" i="9"/>
  <c r="R1036" i="9"/>
  <c r="R1038" i="9"/>
  <c r="R1039" i="9"/>
  <c r="R1040" i="9"/>
  <c r="R1042" i="9"/>
  <c r="R1043" i="9"/>
  <c r="R1044" i="9"/>
  <c r="R1045" i="9"/>
  <c r="R1047" i="9"/>
  <c r="R1048" i="9"/>
  <c r="R1050" i="9"/>
  <c r="R1051" i="9"/>
  <c r="R1052" i="9"/>
  <c r="R1056" i="9"/>
  <c r="R1058" i="9"/>
  <c r="R1060" i="9"/>
  <c r="R1061" i="9"/>
  <c r="R1062" i="9"/>
  <c r="R1063" i="9"/>
  <c r="R1064" i="9"/>
  <c r="R1066" i="9"/>
  <c r="R1068" i="9"/>
  <c r="R1069" i="9"/>
  <c r="R1070" i="9"/>
  <c r="R1071" i="9"/>
  <c r="R1072" i="9"/>
  <c r="R1073" i="9"/>
  <c r="R1074" i="9"/>
  <c r="R1075" i="9"/>
  <c r="R1076" i="9"/>
  <c r="R1077" i="9"/>
  <c r="R1078" i="9"/>
  <c r="R1079" i="9"/>
  <c r="R1080" i="9"/>
  <c r="R1081" i="9"/>
  <c r="R1083" i="9"/>
  <c r="R1084" i="9"/>
  <c r="R1085" i="9"/>
  <c r="R1086" i="9"/>
  <c r="R1087" i="9"/>
  <c r="R1088" i="9"/>
  <c r="R1089" i="9"/>
  <c r="R1090" i="9"/>
  <c r="R1091" i="9"/>
  <c r="R1092" i="9"/>
  <c r="R1093" i="9"/>
  <c r="R1095" i="9"/>
  <c r="R1096" i="9"/>
  <c r="R1097" i="9"/>
  <c r="R1098" i="9"/>
  <c r="R1099" i="9"/>
  <c r="R1100" i="9"/>
  <c r="R1101" i="9"/>
  <c r="R1102" i="9"/>
  <c r="R1103" i="9"/>
  <c r="R1104" i="9"/>
  <c r="R1105" i="9"/>
  <c r="R1107" i="9"/>
  <c r="R1108" i="9"/>
  <c r="R1112" i="9"/>
  <c r="R1113" i="9"/>
  <c r="R1115" i="9"/>
  <c r="R1117" i="9"/>
  <c r="R1118" i="9"/>
  <c r="R1119" i="9"/>
  <c r="R1122" i="9"/>
  <c r="R1123" i="9"/>
  <c r="R1124" i="9"/>
  <c r="R1125" i="9"/>
  <c r="R1126" i="9"/>
  <c r="R1127" i="9"/>
  <c r="R1128" i="9"/>
  <c r="R1129" i="9"/>
  <c r="R1130" i="9"/>
  <c r="R1131" i="9"/>
  <c r="R1132" i="9"/>
  <c r="R1133" i="9"/>
  <c r="R1134" i="9"/>
  <c r="R1135" i="9"/>
  <c r="R1136" i="9"/>
  <c r="R1137" i="9"/>
  <c r="R1138" i="9"/>
  <c r="R1139" i="9"/>
  <c r="R1140" i="9"/>
  <c r="R1141" i="9"/>
  <c r="R1142" i="9"/>
  <c r="R1143" i="9"/>
  <c r="R1146" i="9"/>
  <c r="R1147" i="9"/>
  <c r="R1148" i="9"/>
  <c r="R1149" i="9"/>
  <c r="R1150" i="9"/>
  <c r="R1151" i="9"/>
  <c r="R1153" i="9"/>
  <c r="R1154" i="9"/>
  <c r="R1155" i="9"/>
  <c r="R1159" i="9"/>
  <c r="R1161" i="9"/>
  <c r="R1163" i="9"/>
  <c r="R1164" i="9"/>
  <c r="R1165" i="9"/>
  <c r="R1166" i="9"/>
  <c r="R1167" i="9"/>
  <c r="R1168" i="9"/>
  <c r="R1169" i="9"/>
  <c r="R1170" i="9"/>
  <c r="R1171" i="9"/>
  <c r="R1172" i="9"/>
  <c r="R1173" i="9"/>
  <c r="R1174" i="9"/>
  <c r="R1175" i="9"/>
  <c r="R1176" i="9"/>
  <c r="R1177" i="9"/>
  <c r="R1178" i="9"/>
  <c r="R1179" i="9"/>
  <c r="R1181" i="9"/>
  <c r="R1183" i="9"/>
  <c r="R1184" i="9"/>
  <c r="R1185" i="9"/>
  <c r="R1186" i="9"/>
  <c r="R1187" i="9"/>
  <c r="R1190" i="9"/>
  <c r="R1191" i="9"/>
  <c r="R1192" i="9"/>
  <c r="R1193" i="9"/>
  <c r="R1194" i="9"/>
  <c r="R1195" i="9"/>
  <c r="R1196" i="9"/>
  <c r="R1197" i="9"/>
  <c r="R1198" i="9"/>
  <c r="R1199" i="9"/>
  <c r="R1200" i="9"/>
  <c r="R1201" i="9"/>
  <c r="R1202" i="9"/>
  <c r="R1203" i="9"/>
  <c r="R1204" i="9"/>
  <c r="R1205" i="9"/>
  <c r="R1206" i="9"/>
  <c r="R1207" i="9"/>
  <c r="R1208" i="9"/>
  <c r="R1209" i="9"/>
  <c r="R1212" i="9"/>
  <c r="R1213" i="9"/>
  <c r="R1214" i="9"/>
  <c r="R1215" i="9"/>
  <c r="R1220" i="9"/>
  <c r="R1221" i="9"/>
  <c r="R1222" i="9"/>
  <c r="R1223" i="9"/>
  <c r="R1224" i="9"/>
  <c r="R1225" i="9"/>
  <c r="R1226" i="9"/>
  <c r="R1227" i="9"/>
  <c r="R1228" i="9"/>
  <c r="R1229" i="9"/>
  <c r="R1230" i="9"/>
  <c r="R1231" i="9"/>
  <c r="R1232" i="9"/>
  <c r="R1233" i="9"/>
  <c r="R1234" i="9"/>
  <c r="R1235" i="9"/>
  <c r="R1236" i="9"/>
  <c r="R1237" i="9"/>
  <c r="R1238" i="9"/>
  <c r="R1239" i="9"/>
  <c r="R1240" i="9"/>
  <c r="R1241" i="9"/>
  <c r="R1242" i="9"/>
  <c r="R1243" i="9"/>
  <c r="R1244" i="9"/>
  <c r="R1245" i="9"/>
  <c r="R1246" i="9"/>
  <c r="R1247" i="9"/>
  <c r="R1248" i="9"/>
  <c r="R1249" i="9"/>
  <c r="R1251" i="9"/>
  <c r="R1252" i="9"/>
  <c r="R1253" i="9"/>
  <c r="R1254" i="9"/>
  <c r="R1255" i="9"/>
  <c r="R1256" i="9"/>
  <c r="R1257" i="9"/>
  <c r="R1258" i="9"/>
  <c r="R1259" i="9"/>
  <c r="R1260" i="9"/>
  <c r="R1261" i="9"/>
  <c r="R1262" i="9"/>
  <c r="R1263" i="9"/>
  <c r="R1264" i="9"/>
  <c r="R1272" i="9"/>
  <c r="R1273" i="9"/>
  <c r="R1274" i="9"/>
  <c r="R1275" i="9"/>
  <c r="R1276" i="9"/>
  <c r="R1277" i="9"/>
  <c r="R1278" i="9"/>
  <c r="R1280" i="9"/>
  <c r="R1281" i="9"/>
  <c r="R1282" i="9"/>
  <c r="R1288" i="9"/>
  <c r="R1289" i="9"/>
  <c r="R1290" i="9"/>
  <c r="R1291" i="9"/>
  <c r="R1292" i="9"/>
  <c r="R1293" i="9"/>
  <c r="R1294" i="9"/>
  <c r="R1295" i="9"/>
  <c r="R1296" i="9"/>
  <c r="R1297" i="9"/>
  <c r="R1298" i="9"/>
  <c r="R1300" i="9"/>
  <c r="R1301" i="9"/>
  <c r="R1302" i="9"/>
  <c r="R1303" i="9"/>
  <c r="R1304" i="9"/>
  <c r="R1305" i="9"/>
  <c r="R1306" i="9"/>
  <c r="R1307" i="9"/>
  <c r="R1308" i="9"/>
  <c r="R1309" i="9"/>
  <c r="R1310" i="9"/>
  <c r="R1311" i="9"/>
  <c r="R1312" i="9"/>
  <c r="R1313" i="9"/>
  <c r="R1314" i="9"/>
  <c r="R1315" i="9"/>
  <c r="R1316" i="9"/>
  <c r="R1317" i="9"/>
  <c r="R1318" i="9"/>
  <c r="R1319" i="9"/>
  <c r="R1320" i="9"/>
  <c r="R1321" i="9"/>
  <c r="R1322" i="9"/>
  <c r="R1324" i="9"/>
  <c r="R1325" i="9"/>
  <c r="R1326" i="9"/>
  <c r="R1327" i="9"/>
  <c r="R1328" i="9"/>
  <c r="R1329" i="9"/>
  <c r="R1330" i="9"/>
  <c r="R1331" i="9"/>
  <c r="R1332" i="9"/>
  <c r="R1333" i="9"/>
  <c r="R1334" i="9"/>
  <c r="R1335" i="9"/>
  <c r="R1336" i="9"/>
  <c r="R1337" i="9"/>
  <c r="R1338" i="9"/>
  <c r="R1339" i="9"/>
  <c r="R1340" i="9"/>
  <c r="R1341" i="9"/>
  <c r="R1342" i="9"/>
  <c r="R1343" i="9"/>
  <c r="R1344" i="9"/>
  <c r="R1345" i="9"/>
  <c r="R1346" i="9"/>
  <c r="R1347" i="9"/>
  <c r="R1348" i="9"/>
  <c r="R1349" i="9"/>
  <c r="R1350" i="9"/>
  <c r="R1351" i="9"/>
  <c r="R1352" i="9"/>
  <c r="R1353" i="9"/>
  <c r="R1354" i="9"/>
  <c r="R1355" i="9"/>
  <c r="R1356" i="9"/>
  <c r="R1357" i="9"/>
  <c r="R1358" i="9"/>
  <c r="R1359" i="9"/>
  <c r="R1361" i="9"/>
  <c r="R1363" i="9"/>
  <c r="R1364" i="9"/>
  <c r="R1366" i="9"/>
  <c r="R1368" i="9"/>
  <c r="R1369" i="9"/>
  <c r="R1370" i="9"/>
  <c r="R1371" i="9"/>
  <c r="R1372" i="9"/>
  <c r="R1373" i="9"/>
  <c r="R1374" i="9"/>
  <c r="R1375" i="9"/>
  <c r="R1378" i="9"/>
  <c r="R1379" i="9"/>
  <c r="R1380" i="9"/>
  <c r="R1381" i="9"/>
  <c r="R1382" i="9"/>
  <c r="R1383" i="9"/>
  <c r="R1384" i="9"/>
  <c r="R1385" i="9"/>
  <c r="R1386" i="9"/>
  <c r="R1387" i="9"/>
  <c r="R1388" i="9"/>
  <c r="R1390" i="9"/>
  <c r="R1391" i="9"/>
  <c r="R1392" i="9"/>
  <c r="R1393" i="9"/>
  <c r="R1394" i="9"/>
  <c r="R1395" i="9"/>
  <c r="R1396" i="9"/>
  <c r="R1398" i="9"/>
  <c r="R1399" i="9"/>
  <c r="R1400" i="9"/>
  <c r="R1402" i="9"/>
  <c r="R1404" i="9"/>
  <c r="R1405" i="9"/>
  <c r="R1406" i="9"/>
  <c r="R1407" i="9"/>
  <c r="R1408" i="9"/>
  <c r="R1409" i="9"/>
  <c r="R1410" i="9"/>
  <c r="R1411" i="9"/>
  <c r="R1412" i="9"/>
  <c r="R1413" i="9"/>
  <c r="R1414" i="9"/>
  <c r="R1416" i="9"/>
  <c r="R1417" i="9"/>
  <c r="R1418" i="9"/>
  <c r="R1420" i="9"/>
  <c r="R1421" i="9"/>
  <c r="R1422" i="9"/>
  <c r="R1423" i="9"/>
  <c r="R1424" i="9"/>
  <c r="R1428" i="9"/>
  <c r="R1431" i="9"/>
  <c r="R1432" i="9"/>
  <c r="R1433" i="9"/>
  <c r="R1434" i="9"/>
  <c r="R1435" i="9"/>
  <c r="R1436" i="9"/>
  <c r="R1437" i="9"/>
  <c r="R1438" i="9"/>
  <c r="R1440" i="9"/>
  <c r="R1441" i="9"/>
  <c r="R1442" i="9"/>
  <c r="R1443" i="9"/>
  <c r="R1444" i="9"/>
  <c r="R1445" i="9"/>
  <c r="R1449" i="9"/>
  <c r="R1450" i="9"/>
  <c r="R1451" i="9"/>
  <c r="R1452" i="9"/>
  <c r="R1453" i="9"/>
  <c r="R1454" i="9"/>
  <c r="R1455" i="9"/>
  <c r="R1456" i="9"/>
  <c r="R1457" i="9"/>
  <c r="R1459" i="9"/>
  <c r="R1460" i="9"/>
  <c r="R1461" i="9"/>
  <c r="R1462" i="9"/>
  <c r="R1464" i="9"/>
  <c r="R1466" i="9"/>
  <c r="R1467" i="9"/>
  <c r="R1468" i="9"/>
  <c r="R1469" i="9"/>
  <c r="R1470" i="9"/>
  <c r="R1471" i="9"/>
  <c r="R1472" i="9"/>
  <c r="R1473" i="9"/>
  <c r="R1474" i="9"/>
  <c r="R1475" i="9"/>
  <c r="R1480" i="9"/>
  <c r="R1483" i="9"/>
  <c r="R1484" i="9"/>
  <c r="R1487" i="9"/>
  <c r="R1488" i="9"/>
  <c r="R1489" i="9"/>
  <c r="R1490" i="9"/>
  <c r="R1491" i="9"/>
  <c r="R1492" i="9"/>
  <c r="R1493" i="9"/>
  <c r="R1494" i="9"/>
  <c r="R1495" i="9"/>
  <c r="R1496" i="9"/>
  <c r="R1497" i="9"/>
  <c r="R1498" i="9"/>
  <c r="R1499" i="9"/>
  <c r="R1500" i="9"/>
  <c r="R1501" i="9"/>
  <c r="R1502" i="9"/>
  <c r="R1503" i="9"/>
  <c r="R1504" i="9"/>
  <c r="R1505" i="9"/>
  <c r="R1506" i="9"/>
  <c r="R1507" i="9"/>
  <c r="R1508" i="9"/>
  <c r="R1509" i="9"/>
  <c r="R1510" i="9"/>
  <c r="R1511" i="9"/>
  <c r="R1512" i="9"/>
  <c r="R1513" i="9"/>
  <c r="R1514" i="9"/>
  <c r="R1515" i="9"/>
  <c r="R1516" i="9"/>
  <c r="R1519" i="9"/>
  <c r="R1520" i="9"/>
  <c r="R1521" i="9"/>
  <c r="R1522" i="9"/>
  <c r="R1523" i="9"/>
  <c r="R1524" i="9"/>
  <c r="R1526" i="9"/>
  <c r="R1527" i="9"/>
  <c r="R1528" i="9"/>
  <c r="R1534" i="9"/>
  <c r="R1535" i="9"/>
  <c r="R1538" i="9"/>
  <c r="R1539" i="9"/>
  <c r="R1540" i="9"/>
  <c r="R1541" i="9"/>
  <c r="R1542" i="9"/>
  <c r="R1543" i="9"/>
  <c r="R1544" i="9"/>
  <c r="R1546" i="9"/>
  <c r="R1547" i="9"/>
  <c r="R1548" i="9"/>
  <c r="R1549" i="9"/>
  <c r="R1550" i="9"/>
  <c r="R1551" i="9"/>
  <c r="R1552" i="9"/>
  <c r="R1553" i="9"/>
  <c r="R1554" i="9"/>
  <c r="R1555" i="9"/>
  <c r="R1556" i="9"/>
  <c r="R1557" i="9"/>
  <c r="R1562" i="9"/>
  <c r="R1563" i="9"/>
  <c r="R1564" i="9"/>
  <c r="R1565" i="9"/>
  <c r="R1566" i="9"/>
  <c r="R1567" i="9"/>
  <c r="R1570" i="9"/>
  <c r="R1571" i="9"/>
  <c r="R1572" i="9"/>
  <c r="R1573" i="9"/>
  <c r="R1574" i="9"/>
  <c r="R1575" i="9"/>
  <c r="R1576" i="9"/>
  <c r="R1577" i="9"/>
  <c r="R1578" i="9"/>
  <c r="R1579" i="9"/>
  <c r="R1580" i="9"/>
  <c r="R1581" i="9"/>
  <c r="R1585" i="9"/>
  <c r="R1587" i="9"/>
  <c r="R1590" i="9"/>
  <c r="R1591" i="9"/>
  <c r="R1592" i="9"/>
  <c r="R1593" i="9"/>
  <c r="R1594" i="9"/>
  <c r="R1595" i="9"/>
  <c r="R1596" i="9"/>
  <c r="R1597" i="9"/>
  <c r="R1599" i="9"/>
  <c r="R1600" i="9"/>
  <c r="R1601" i="9"/>
  <c r="R1602" i="9"/>
  <c r="R1603" i="9"/>
  <c r="R1605" i="9"/>
  <c r="R1606" i="9"/>
  <c r="R1607" i="9"/>
  <c r="R1608" i="9"/>
  <c r="R1610" i="9"/>
  <c r="R1611" i="9"/>
  <c r="R1612" i="9"/>
  <c r="R1614" i="9"/>
  <c r="R1615" i="9"/>
  <c r="R1616" i="9"/>
  <c r="R1617" i="9"/>
  <c r="R1618" i="9"/>
  <c r="R1619" i="9"/>
  <c r="R1620" i="9"/>
  <c r="R1621" i="9"/>
  <c r="R1622" i="9"/>
  <c r="R1623" i="9"/>
  <c r="R1624" i="9"/>
  <c r="R1625" i="9"/>
  <c r="R1626" i="9"/>
  <c r="R1627" i="9"/>
  <c r="R1628" i="9"/>
  <c r="R1629" i="9"/>
  <c r="R1630" i="9"/>
  <c r="R1631" i="9"/>
  <c r="R1632" i="9"/>
  <c r="R1633" i="9"/>
  <c r="R1634" i="9"/>
  <c r="R1635" i="9"/>
  <c r="R1636" i="9"/>
  <c r="R1637" i="9"/>
  <c r="R1638" i="9"/>
  <c r="R1646" i="9"/>
  <c r="R1647" i="9"/>
  <c r="R1648" i="9"/>
  <c r="R1649" i="9"/>
  <c r="R1650" i="9"/>
  <c r="R1651" i="9"/>
  <c r="R1652" i="9"/>
  <c r="R1653" i="9"/>
  <c r="R1654" i="9"/>
  <c r="R1655" i="9"/>
  <c r="R1656" i="9"/>
  <c r="R1657" i="9"/>
  <c r="R1658" i="9"/>
  <c r="R1659" i="9"/>
  <c r="R1660" i="9"/>
  <c r="R1661" i="9"/>
  <c r="R1663" i="9"/>
  <c r="R1664" i="9"/>
  <c r="R1665" i="9"/>
  <c r="R1666" i="9"/>
  <c r="R1667" i="9"/>
  <c r="R1668" i="9"/>
  <c r="R1669" i="9"/>
  <c r="R1670" i="9"/>
  <c r="R1671" i="9"/>
  <c r="R1672" i="9"/>
  <c r="R1673" i="9"/>
  <c r="R1674" i="9"/>
  <c r="R1675" i="9"/>
  <c r="R1676" i="9"/>
  <c r="R1677" i="9"/>
  <c r="R1678" i="9"/>
  <c r="R1679" i="9"/>
  <c r="R1680" i="9"/>
  <c r="R1681" i="9"/>
  <c r="R1682" i="9"/>
  <c r="R1684" i="9"/>
  <c r="R1685" i="9"/>
  <c r="R1686" i="9"/>
  <c r="R1687" i="9"/>
  <c r="R1688" i="9"/>
  <c r="R1689" i="9"/>
  <c r="R1690" i="9"/>
  <c r="E4" i="9"/>
  <c r="C4" i="9" s="1"/>
  <c r="B4" i="9" s="1"/>
  <c r="E5" i="9"/>
  <c r="C5" i="9" s="1"/>
  <c r="B5" i="9" s="1"/>
  <c r="E6" i="9"/>
  <c r="C6" i="9" s="1"/>
  <c r="B6" i="9" s="1"/>
  <c r="E7" i="9"/>
  <c r="C7" i="9" s="1"/>
  <c r="B7" i="9" s="1"/>
  <c r="E8" i="9"/>
  <c r="C8" i="9" s="1"/>
  <c r="B8" i="9" s="1"/>
  <c r="E9" i="9"/>
  <c r="C9" i="9" s="1"/>
  <c r="B9" i="9" s="1"/>
  <c r="E10" i="9"/>
  <c r="C10" i="9" s="1"/>
  <c r="B10" i="9" s="1"/>
  <c r="E11" i="9"/>
  <c r="C11" i="9" s="1"/>
  <c r="B11" i="9" s="1"/>
  <c r="E12" i="9"/>
  <c r="C12" i="9" s="1"/>
  <c r="B12" i="9" s="1"/>
  <c r="E13" i="9"/>
  <c r="C13" i="9" s="1"/>
  <c r="B13" i="9" s="1"/>
  <c r="E14" i="9"/>
  <c r="C14" i="9" s="1"/>
  <c r="B14" i="9" s="1"/>
  <c r="E15" i="9"/>
  <c r="C15" i="9" s="1"/>
  <c r="B15" i="9" s="1"/>
  <c r="E16" i="9"/>
  <c r="C16" i="9" s="1"/>
  <c r="B16" i="9" s="1"/>
  <c r="E17" i="9"/>
  <c r="C17" i="9" s="1"/>
  <c r="B17" i="9" s="1"/>
  <c r="E18" i="9"/>
  <c r="C18" i="9" s="1"/>
  <c r="B18" i="9" s="1"/>
  <c r="E19" i="9"/>
  <c r="C19" i="9" s="1"/>
  <c r="B19" i="9" s="1"/>
  <c r="E20" i="9"/>
  <c r="C20" i="9" s="1"/>
  <c r="B20" i="9" s="1"/>
  <c r="E21" i="9"/>
  <c r="C21" i="9" s="1"/>
  <c r="B21" i="9" s="1"/>
  <c r="E22" i="9"/>
  <c r="C22" i="9" s="1"/>
  <c r="B22" i="9" s="1"/>
  <c r="E23" i="9"/>
  <c r="C23" i="9" s="1"/>
  <c r="B23" i="9" s="1"/>
  <c r="E24" i="9"/>
  <c r="C24" i="9" s="1"/>
  <c r="B24" i="9" s="1"/>
  <c r="E25" i="9"/>
  <c r="C25" i="9" s="1"/>
  <c r="B25" i="9" s="1"/>
  <c r="E26" i="9"/>
  <c r="C26" i="9" s="1"/>
  <c r="B26" i="9" s="1"/>
  <c r="E27" i="9"/>
  <c r="C27" i="9" s="1"/>
  <c r="B27" i="9" s="1"/>
  <c r="E28" i="9"/>
  <c r="C28" i="9" s="1"/>
  <c r="B28" i="9" s="1"/>
  <c r="E29" i="9"/>
  <c r="B29" i="9" s="1"/>
  <c r="E30" i="9"/>
  <c r="B30" i="9" s="1"/>
  <c r="E31" i="9"/>
  <c r="B31" i="9" s="1"/>
  <c r="E32" i="9"/>
  <c r="B32" i="9" s="1"/>
  <c r="E33" i="9"/>
  <c r="B33" i="9" s="1"/>
  <c r="E34" i="9"/>
  <c r="B34" i="9" s="1"/>
  <c r="E35" i="9"/>
  <c r="B35" i="9" s="1"/>
  <c r="E36" i="9"/>
  <c r="B36" i="9" s="1"/>
  <c r="E37" i="9"/>
  <c r="B37" i="9" s="1"/>
  <c r="E38" i="9"/>
  <c r="B38" i="9" s="1"/>
  <c r="E39" i="9"/>
  <c r="E40" i="9"/>
  <c r="B40" i="9" s="1"/>
  <c r="E41" i="9"/>
  <c r="B41" i="9" s="1"/>
  <c r="E42" i="9"/>
  <c r="B42" i="9" s="1"/>
  <c r="E43" i="9"/>
  <c r="B43" i="9" s="1"/>
  <c r="E44" i="9"/>
  <c r="B44" i="9" s="1"/>
  <c r="E45" i="9"/>
  <c r="B45" i="9" s="1"/>
  <c r="E46" i="9"/>
  <c r="B46" i="9" s="1"/>
  <c r="E47" i="9"/>
  <c r="B47" i="9" s="1"/>
  <c r="E48" i="9"/>
  <c r="B48" i="9" s="1"/>
  <c r="E49" i="9"/>
  <c r="B49" i="9" s="1"/>
  <c r="E50" i="9"/>
  <c r="B50" i="9" s="1"/>
  <c r="E51" i="9"/>
  <c r="E52" i="9"/>
  <c r="B52" i="9" s="1"/>
  <c r="E53" i="9"/>
  <c r="B53" i="9" s="1"/>
  <c r="E54" i="9"/>
  <c r="B54" i="9" s="1"/>
  <c r="E55" i="9"/>
  <c r="B55" i="9" s="1"/>
  <c r="E56" i="9"/>
  <c r="B56" i="9" s="1"/>
  <c r="E57" i="9"/>
  <c r="B57" i="9" s="1"/>
  <c r="E58" i="9"/>
  <c r="B58" i="9" s="1"/>
  <c r="E59" i="9"/>
  <c r="B59" i="9" s="1"/>
  <c r="E60" i="9"/>
  <c r="B60" i="9" s="1"/>
  <c r="E61" i="9"/>
  <c r="B61" i="9" s="1"/>
  <c r="E62" i="9"/>
  <c r="B62" i="9" s="1"/>
  <c r="E63" i="9"/>
  <c r="E64" i="9"/>
  <c r="B64" i="9" s="1"/>
  <c r="E65" i="9"/>
  <c r="B65" i="9" s="1"/>
  <c r="E66" i="9"/>
  <c r="B66" i="9" s="1"/>
  <c r="E67" i="9"/>
  <c r="B67" i="9" s="1"/>
  <c r="E68" i="9"/>
  <c r="B68" i="9" s="1"/>
  <c r="E69" i="9"/>
  <c r="B69" i="9" s="1"/>
  <c r="E70" i="9"/>
  <c r="B70" i="9" s="1"/>
  <c r="E71" i="9"/>
  <c r="B71" i="9" s="1"/>
  <c r="E72" i="9"/>
  <c r="B72" i="9" s="1"/>
  <c r="E73" i="9"/>
  <c r="B73" i="9" s="1"/>
  <c r="E74" i="9"/>
  <c r="B74" i="9" s="1"/>
  <c r="E75" i="9"/>
  <c r="E76" i="9"/>
  <c r="B76" i="9" s="1"/>
  <c r="E77" i="9"/>
  <c r="B77" i="9" s="1"/>
  <c r="E78" i="9"/>
  <c r="B78" i="9" s="1"/>
  <c r="E79" i="9"/>
  <c r="B79" i="9" s="1"/>
  <c r="E80" i="9"/>
  <c r="B80" i="9" s="1"/>
  <c r="E81" i="9"/>
  <c r="B81" i="9" s="1"/>
  <c r="E82" i="9"/>
  <c r="B82" i="9" s="1"/>
  <c r="E83" i="9"/>
  <c r="B83" i="9" s="1"/>
  <c r="E84" i="9"/>
  <c r="B84" i="9" s="1"/>
  <c r="E85" i="9"/>
  <c r="B85" i="9" s="1"/>
  <c r="E86" i="9"/>
  <c r="B86" i="9" s="1"/>
  <c r="E87" i="9"/>
  <c r="E88" i="9"/>
  <c r="B88" i="9" s="1"/>
  <c r="E89" i="9"/>
  <c r="B89" i="9" s="1"/>
  <c r="E90" i="9"/>
  <c r="B90" i="9" s="1"/>
  <c r="E91" i="9"/>
  <c r="B91" i="9" s="1"/>
  <c r="E92" i="9"/>
  <c r="B92" i="9" s="1"/>
  <c r="E93" i="9"/>
  <c r="B93" i="9" s="1"/>
  <c r="E94" i="9"/>
  <c r="B94" i="9" s="1"/>
  <c r="E95" i="9"/>
  <c r="B95" i="9" s="1"/>
  <c r="E96" i="9"/>
  <c r="B96" i="9" s="1"/>
  <c r="E97" i="9"/>
  <c r="B97" i="9" s="1"/>
  <c r="E98" i="9"/>
  <c r="B98" i="9" s="1"/>
  <c r="E99" i="9"/>
  <c r="E100" i="9"/>
  <c r="B100" i="9" s="1"/>
  <c r="E101" i="9"/>
  <c r="B101" i="9" s="1"/>
  <c r="E102" i="9"/>
  <c r="B102" i="9" s="1"/>
  <c r="E103" i="9"/>
  <c r="B103" i="9" s="1"/>
  <c r="E104" i="9"/>
  <c r="B104" i="9" s="1"/>
  <c r="E105" i="9"/>
  <c r="B105" i="9" s="1"/>
  <c r="E106" i="9"/>
  <c r="B106" i="9" s="1"/>
  <c r="E107" i="9"/>
  <c r="B107" i="9" s="1"/>
  <c r="E108" i="9"/>
  <c r="B108" i="9" s="1"/>
  <c r="E109" i="9"/>
  <c r="B109" i="9" s="1"/>
  <c r="E110" i="9"/>
  <c r="B110" i="9" s="1"/>
  <c r="E111" i="9"/>
  <c r="E112" i="9"/>
  <c r="B112" i="9" s="1"/>
  <c r="E113" i="9"/>
  <c r="B113" i="9" s="1"/>
  <c r="E114" i="9"/>
  <c r="B114" i="9" s="1"/>
  <c r="E115" i="9"/>
  <c r="B115" i="9" s="1"/>
  <c r="E116" i="9"/>
  <c r="B116" i="9" s="1"/>
  <c r="E117" i="9"/>
  <c r="B117" i="9" s="1"/>
  <c r="E118" i="9"/>
  <c r="B118" i="9" s="1"/>
  <c r="E119" i="9"/>
  <c r="B119" i="9" s="1"/>
  <c r="E120" i="9"/>
  <c r="B120" i="9" s="1"/>
  <c r="E121" i="9"/>
  <c r="B121" i="9" s="1"/>
  <c r="E122" i="9"/>
  <c r="B122" i="9" s="1"/>
  <c r="E123" i="9"/>
  <c r="E124" i="9"/>
  <c r="B124" i="9" s="1"/>
  <c r="E125" i="9"/>
  <c r="B125" i="9" s="1"/>
  <c r="E126" i="9"/>
  <c r="B126" i="9" s="1"/>
  <c r="E127" i="9"/>
  <c r="B127" i="9" s="1"/>
  <c r="E128" i="9"/>
  <c r="B128" i="9" s="1"/>
  <c r="E129" i="9"/>
  <c r="B129" i="9" s="1"/>
  <c r="E130" i="9"/>
  <c r="B130" i="9" s="1"/>
  <c r="E131" i="9"/>
  <c r="B131" i="9" s="1"/>
  <c r="E132" i="9"/>
  <c r="B132" i="9" s="1"/>
  <c r="E133" i="9"/>
  <c r="B133" i="9" s="1"/>
  <c r="E134" i="9"/>
  <c r="B134" i="9" s="1"/>
  <c r="E135" i="9"/>
  <c r="E136" i="9"/>
  <c r="B136" i="9" s="1"/>
  <c r="E137" i="9"/>
  <c r="B137" i="9" s="1"/>
  <c r="E138" i="9"/>
  <c r="B138" i="9" s="1"/>
  <c r="E139" i="9"/>
  <c r="B139" i="9" s="1"/>
  <c r="E140" i="9"/>
  <c r="B140" i="9" s="1"/>
  <c r="E141" i="9"/>
  <c r="B141" i="9" s="1"/>
  <c r="E142" i="9"/>
  <c r="B142" i="9" s="1"/>
  <c r="E143" i="9"/>
  <c r="B143" i="9" s="1"/>
  <c r="E144" i="9"/>
  <c r="B144" i="9" s="1"/>
  <c r="E145" i="9"/>
  <c r="B145" i="9" s="1"/>
  <c r="E146" i="9"/>
  <c r="B146" i="9" s="1"/>
  <c r="E147" i="9"/>
  <c r="E148" i="9"/>
  <c r="B148" i="9" s="1"/>
  <c r="E149" i="9"/>
  <c r="B149" i="9" s="1"/>
  <c r="E150" i="9"/>
  <c r="B150" i="9" s="1"/>
  <c r="E151" i="9"/>
  <c r="B151" i="9" s="1"/>
  <c r="E152" i="9"/>
  <c r="B152" i="9" s="1"/>
  <c r="E153" i="9"/>
  <c r="B153" i="9" s="1"/>
  <c r="E154" i="9"/>
  <c r="B154" i="9" s="1"/>
  <c r="E155" i="9"/>
  <c r="B155" i="9" s="1"/>
  <c r="E156" i="9"/>
  <c r="B156" i="9" s="1"/>
  <c r="E157" i="9"/>
  <c r="B157" i="9" s="1"/>
  <c r="E158" i="9"/>
  <c r="B158" i="9" s="1"/>
  <c r="E159" i="9"/>
  <c r="E160" i="9"/>
  <c r="B160" i="9" s="1"/>
  <c r="E161" i="9"/>
  <c r="B161" i="9" s="1"/>
  <c r="E162" i="9"/>
  <c r="B162" i="9" s="1"/>
  <c r="E163" i="9"/>
  <c r="B163" i="9" s="1"/>
  <c r="E164" i="9"/>
  <c r="B164" i="9" s="1"/>
  <c r="E165" i="9"/>
  <c r="B165" i="9" s="1"/>
  <c r="E166" i="9"/>
  <c r="B166" i="9" s="1"/>
  <c r="E167" i="9"/>
  <c r="B167" i="9" s="1"/>
  <c r="E168" i="9"/>
  <c r="B168" i="9" s="1"/>
  <c r="E169" i="9"/>
  <c r="B169" i="9" s="1"/>
  <c r="E170" i="9"/>
  <c r="B170" i="9" s="1"/>
  <c r="E171" i="9"/>
  <c r="E172" i="9"/>
  <c r="B172" i="9" s="1"/>
  <c r="E173" i="9"/>
  <c r="B173" i="9" s="1"/>
  <c r="E174" i="9"/>
  <c r="B174" i="9" s="1"/>
  <c r="E175" i="9"/>
  <c r="B175" i="9" s="1"/>
  <c r="E176" i="9"/>
  <c r="B176" i="9" s="1"/>
  <c r="E177" i="9"/>
  <c r="B177" i="9" s="1"/>
  <c r="E178" i="9"/>
  <c r="B178" i="9" s="1"/>
  <c r="E179" i="9"/>
  <c r="B179" i="9" s="1"/>
  <c r="E180" i="9"/>
  <c r="B180" i="9" s="1"/>
  <c r="E181" i="9"/>
  <c r="B181" i="9" s="1"/>
  <c r="E182" i="9"/>
  <c r="B182" i="9" s="1"/>
  <c r="E183" i="9"/>
  <c r="E184" i="9"/>
  <c r="B184" i="9" s="1"/>
  <c r="E185" i="9"/>
  <c r="B185" i="9" s="1"/>
  <c r="E186" i="9"/>
  <c r="B186" i="9" s="1"/>
  <c r="E187" i="9"/>
  <c r="B187" i="9" s="1"/>
  <c r="E188" i="9"/>
  <c r="B188" i="9" s="1"/>
  <c r="E189" i="9"/>
  <c r="B189" i="9" s="1"/>
  <c r="E190" i="9"/>
  <c r="B190" i="9" s="1"/>
  <c r="E191" i="9"/>
  <c r="B191" i="9" s="1"/>
  <c r="E192" i="9"/>
  <c r="B192" i="9" s="1"/>
  <c r="E193" i="9"/>
  <c r="B193" i="9" s="1"/>
  <c r="E194" i="9"/>
  <c r="B194" i="9" s="1"/>
  <c r="E195" i="9"/>
  <c r="E196" i="9"/>
  <c r="B196" i="9" s="1"/>
  <c r="E197" i="9"/>
  <c r="B197" i="9" s="1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I1641" i="9"/>
  <c r="I1634" i="9"/>
  <c r="I1635" i="9" s="1"/>
  <c r="I1636" i="9" s="1"/>
  <c r="I1637" i="9" s="1"/>
  <c r="I1628" i="9"/>
  <c r="I1629" i="9" s="1"/>
  <c r="I1630" i="9" s="1"/>
  <c r="I1631" i="9" s="1"/>
  <c r="I1632" i="9" s="1"/>
  <c r="I1625" i="9"/>
  <c r="I1623" i="9"/>
  <c r="I1617" i="9"/>
  <c r="I1618" i="9" s="1"/>
  <c r="I1610" i="9"/>
  <c r="I1606" i="9"/>
  <c r="I1603" i="9"/>
  <c r="I1604" i="9" s="1"/>
  <c r="I1600" i="9"/>
  <c r="I1595" i="9"/>
  <c r="I1592" i="9"/>
  <c r="I1593" i="9" s="1"/>
  <c r="I1580" i="9"/>
  <c r="I1581" i="9" s="1"/>
  <c r="I1582" i="9" s="1"/>
  <c r="I1578" i="9"/>
  <c r="I1575" i="9"/>
  <c r="I1570" i="9"/>
  <c r="I1568" i="9"/>
  <c r="I1563" i="9"/>
  <c r="I1559" i="9"/>
  <c r="I1557" i="9"/>
  <c r="I1549" i="9"/>
  <c r="I1547" i="9"/>
  <c r="I1542" i="9"/>
  <c r="I1543" i="9" s="1"/>
  <c r="I1527" i="9"/>
  <c r="I1528" i="9" s="1"/>
  <c r="I1529" i="9" s="1"/>
  <c r="I1530" i="9" s="1"/>
  <c r="I1531" i="9" s="1"/>
  <c r="I1522" i="9"/>
  <c r="I1523" i="9" s="1"/>
  <c r="I1524" i="9" s="1"/>
  <c r="I1525" i="9" s="1"/>
  <c r="I1519" i="9"/>
  <c r="I1513" i="9"/>
  <c r="I1514" i="9" s="1"/>
  <c r="I1515" i="9" s="1"/>
  <c r="I1508" i="9"/>
  <c r="I1509" i="9" s="1"/>
  <c r="I1499" i="9"/>
  <c r="I1493" i="9"/>
  <c r="I1491" i="9"/>
  <c r="I1489" i="9"/>
  <c r="I1484" i="9"/>
  <c r="I1482" i="9"/>
  <c r="I1480" i="9"/>
  <c r="I1468" i="9"/>
  <c r="I1469" i="9" s="1"/>
  <c r="I1470" i="9" s="1"/>
  <c r="I1471" i="9" s="1"/>
  <c r="I1472" i="9" s="1"/>
  <c r="I1461" i="9"/>
  <c r="I1462" i="9" s="1"/>
  <c r="I1452" i="9"/>
  <c r="I1443" i="9"/>
  <c r="I1441" i="9"/>
  <c r="I1434" i="9"/>
  <c r="I1427" i="9"/>
  <c r="I1424" i="9"/>
  <c r="I1419" i="9"/>
  <c r="I1420" i="9" s="1"/>
  <c r="I1421" i="9" s="1"/>
  <c r="I1422" i="9" s="1"/>
  <c r="I1415" i="9"/>
  <c r="I1416" i="9" s="1"/>
  <c r="I1417" i="9" s="1"/>
  <c r="I1413" i="9"/>
  <c r="I1407" i="9"/>
  <c r="I1408" i="9" s="1"/>
  <c r="I1409" i="9" s="1"/>
  <c r="I1400" i="9"/>
  <c r="I1401" i="9" s="1"/>
  <c r="I1387" i="9"/>
  <c r="I1383" i="9"/>
  <c r="I1379" i="9"/>
  <c r="I1373" i="9"/>
  <c r="I1374" i="9" s="1"/>
  <c r="I1369" i="9"/>
  <c r="I1364" i="9"/>
  <c r="I1365" i="9" s="1"/>
  <c r="I1366" i="9" s="1"/>
  <c r="I1367" i="9" s="1"/>
  <c r="I1362" i="9"/>
  <c r="I1352" i="9"/>
  <c r="I1349" i="9"/>
  <c r="I1343" i="9"/>
  <c r="I1341" i="9"/>
  <c r="I1337" i="9"/>
  <c r="I1335" i="9"/>
  <c r="I1329" i="9"/>
  <c r="I1322" i="9"/>
  <c r="I1319" i="9"/>
  <c r="I1320" i="9" s="1"/>
  <c r="I1317" i="9"/>
  <c r="I1312" i="9"/>
  <c r="I1313" i="9" s="1"/>
  <c r="I1314" i="9" s="1"/>
  <c r="I1315" i="9" s="1"/>
  <c r="I1308" i="9"/>
  <c r="I1309" i="9" s="1"/>
  <c r="I1305" i="9"/>
  <c r="I1302" i="9"/>
  <c r="I1300" i="9"/>
  <c r="I1294" i="9"/>
  <c r="I1287" i="9"/>
  <c r="I1285" i="9"/>
  <c r="I1283" i="9"/>
  <c r="I1278" i="9"/>
  <c r="I1267" i="9"/>
  <c r="I1263" i="9"/>
  <c r="I1264" i="9" s="1"/>
  <c r="I1265" i="9" s="1"/>
  <c r="I1257" i="9"/>
  <c r="I1258" i="9" s="1"/>
  <c r="I1259" i="9" s="1"/>
  <c r="I1260" i="9" s="1"/>
  <c r="I1261" i="9" s="1"/>
  <c r="I1252" i="9"/>
  <c r="I1249" i="9"/>
  <c r="I1247" i="9"/>
  <c r="I1242" i="9"/>
  <c r="I1243" i="9" s="1"/>
  <c r="I1234" i="9"/>
  <c r="I1222" i="9"/>
  <c r="I1219" i="9"/>
  <c r="I1213" i="9"/>
  <c r="I1214" i="9" s="1"/>
  <c r="I1210" i="9"/>
  <c r="I1211" i="9" s="1"/>
  <c r="I1207" i="9"/>
  <c r="I1205" i="9"/>
  <c r="I1202" i="9"/>
  <c r="I1193" i="9"/>
  <c r="I1194" i="9" s="1"/>
  <c r="I1175" i="9"/>
  <c r="I1173" i="9"/>
  <c r="I1171" i="9"/>
  <c r="I1165" i="9"/>
  <c r="I1161" i="9"/>
  <c r="I1156" i="9"/>
  <c r="I1157" i="9" s="1"/>
  <c r="I1153" i="9"/>
  <c r="I1154" i="9" s="1"/>
  <c r="I1149" i="9"/>
  <c r="I1150" i="9" s="1"/>
  <c r="I1151" i="9" s="1"/>
  <c r="I1144" i="9"/>
  <c r="I1145" i="9" s="1"/>
  <c r="I1142" i="9"/>
  <c r="I1138" i="9"/>
  <c r="I1133" i="9"/>
  <c r="I1130" i="9"/>
  <c r="I1128" i="9"/>
  <c r="I1118" i="9"/>
  <c r="I1115" i="9"/>
  <c r="I1113" i="9"/>
  <c r="I1098" i="9"/>
  <c r="I1099" i="9" s="1"/>
  <c r="I1100" i="9" s="1"/>
  <c r="I1101" i="9" s="1"/>
  <c r="I1102" i="9" s="1"/>
  <c r="I1103" i="9" s="1"/>
  <c r="I1093" i="9"/>
  <c r="I1094" i="9" s="1"/>
  <c r="I1095" i="9" s="1"/>
  <c r="I1091" i="9"/>
  <c r="I1080" i="9"/>
  <c r="I1074" i="9"/>
  <c r="I1075" i="9" s="1"/>
  <c r="I1071" i="9"/>
  <c r="I1067" i="9"/>
  <c r="I1068" i="9" s="1"/>
  <c r="I1069" i="9" s="1"/>
  <c r="I1058" i="9"/>
  <c r="I1051" i="9"/>
  <c r="I1041" i="9"/>
  <c r="I1042" i="9" s="1"/>
  <c r="I1043" i="9" s="1"/>
  <c r="I1044" i="9" s="1"/>
  <c r="I1045" i="9" s="1"/>
  <c r="I1046" i="9" s="1"/>
  <c r="I1047" i="9" s="1"/>
  <c r="I1048" i="9" s="1"/>
  <c r="I1018" i="9"/>
  <c r="I1015" i="9"/>
  <c r="I1013" i="9"/>
  <c r="I1007" i="9"/>
  <c r="I1008" i="9" s="1"/>
  <c r="I1009" i="9" s="1"/>
  <c r="I1001" i="9"/>
  <c r="I989" i="9"/>
  <c r="I990" i="9" s="1"/>
  <c r="I991" i="9" s="1"/>
  <c r="I992" i="9" s="1"/>
  <c r="I993" i="9" s="1"/>
  <c r="I994" i="9" s="1"/>
  <c r="I995" i="9" s="1"/>
  <c r="I996" i="9" s="1"/>
  <c r="I997" i="9" s="1"/>
  <c r="I998" i="9" s="1"/>
  <c r="I999" i="9" s="1"/>
  <c r="I987" i="9"/>
  <c r="I982" i="9"/>
  <c r="I975" i="9"/>
  <c r="I973" i="9"/>
  <c r="I970" i="9"/>
  <c r="I965" i="9"/>
  <c r="I966" i="9" s="1"/>
  <c r="I967" i="9" s="1"/>
  <c r="I955" i="9"/>
  <c r="I951" i="9"/>
  <c r="I952" i="9" s="1"/>
  <c r="I953" i="9" s="1"/>
  <c r="I947" i="9"/>
  <c r="I948" i="9" s="1"/>
  <c r="I943" i="9"/>
  <c r="I944" i="9" s="1"/>
  <c r="I941" i="9"/>
  <c r="I939" i="9"/>
  <c r="I935" i="9"/>
  <c r="I936" i="9" s="1"/>
  <c r="I925" i="9"/>
  <c r="I923" i="9"/>
  <c r="I920" i="9"/>
  <c r="I918" i="9"/>
  <c r="I908" i="9"/>
  <c r="I906" i="9"/>
  <c r="I901" i="9"/>
  <c r="I899" i="9"/>
  <c r="I894" i="9"/>
  <c r="I890" i="9"/>
  <c r="I891" i="9" s="1"/>
  <c r="I888" i="9"/>
  <c r="I886" i="9"/>
  <c r="I880" i="9"/>
  <c r="I881" i="9" s="1"/>
  <c r="I882" i="9" s="1"/>
  <c r="I883" i="9" s="1"/>
  <c r="I878" i="9"/>
  <c r="I876" i="9"/>
  <c r="I862" i="9"/>
  <c r="I860" i="9"/>
  <c r="I853" i="9"/>
  <c r="I854" i="9" s="1"/>
  <c r="I850" i="9"/>
  <c r="I848" i="9"/>
  <c r="I843" i="9"/>
  <c r="I835" i="9"/>
  <c r="I836" i="9" s="1"/>
  <c r="I837" i="9" s="1"/>
  <c r="I831" i="9"/>
  <c r="I832" i="9" s="1"/>
  <c r="I833" i="9" s="1"/>
  <c r="I829" i="9"/>
  <c r="I825" i="9"/>
  <c r="I823" i="9"/>
  <c r="I821" i="9"/>
  <c r="I813" i="9"/>
  <c r="I797" i="9"/>
  <c r="I788" i="9"/>
  <c r="I789" i="9" s="1"/>
  <c r="I790" i="9" s="1"/>
  <c r="I785" i="9"/>
  <c r="I780" i="9"/>
  <c r="I781" i="9" s="1"/>
  <c r="I782" i="9" s="1"/>
  <c r="I776" i="9"/>
  <c r="I777" i="9" s="1"/>
  <c r="I772" i="9"/>
  <c r="I767" i="9"/>
  <c r="I768" i="9" s="1"/>
  <c r="I764" i="9"/>
  <c r="I760" i="9"/>
  <c r="I753" i="9"/>
  <c r="I747" i="9"/>
  <c r="I744" i="9"/>
  <c r="I741" i="9"/>
  <c r="I733" i="9"/>
  <c r="I734" i="9" s="1"/>
  <c r="I735" i="9" s="1"/>
  <c r="I726" i="9"/>
  <c r="I727" i="9" s="1"/>
  <c r="I728" i="9" s="1"/>
  <c r="I729" i="9" s="1"/>
  <c r="I730" i="9" s="1"/>
  <c r="I722" i="9"/>
  <c r="I723" i="9" s="1"/>
  <c r="I724" i="9" s="1"/>
  <c r="I717" i="9"/>
  <c r="I718" i="9" s="1"/>
  <c r="I712" i="9"/>
  <c r="I710" i="9"/>
  <c r="I706" i="9"/>
  <c r="I707" i="9" s="1"/>
  <c r="I697" i="9"/>
  <c r="I689" i="9"/>
  <c r="I690" i="9" s="1"/>
  <c r="I686" i="9"/>
  <c r="I687" i="9" s="1"/>
  <c r="I683" i="9"/>
  <c r="I684" i="9" s="1"/>
  <c r="I681" i="9"/>
  <c r="I678" i="9"/>
  <c r="I679" i="9" s="1"/>
  <c r="I675" i="9"/>
  <c r="I666" i="9"/>
  <c r="I667" i="9" s="1"/>
  <c r="I668" i="9" s="1"/>
  <c r="I669" i="9" s="1"/>
  <c r="I670" i="9" s="1"/>
  <c r="I671" i="9" s="1"/>
  <c r="I672" i="9" s="1"/>
  <c r="I673" i="9" s="1"/>
  <c r="I660" i="9"/>
  <c r="I661" i="9" s="1"/>
  <c r="I657" i="9"/>
  <c r="I655" i="9"/>
  <c r="I652" i="9"/>
  <c r="I646" i="9"/>
  <c r="I647" i="9" s="1"/>
  <c r="I641" i="9"/>
  <c r="I638" i="9"/>
  <c r="I634" i="9"/>
  <c r="I629" i="9"/>
  <c r="I625" i="9"/>
  <c r="I621" i="9"/>
  <c r="I622" i="9" s="1"/>
  <c r="I616" i="9"/>
  <c r="I617" i="9" s="1"/>
  <c r="I618" i="9" s="1"/>
  <c r="I619" i="9" s="1"/>
  <c r="I614" i="9"/>
  <c r="I611" i="9"/>
  <c r="I612" i="9" s="1"/>
  <c r="I608" i="9"/>
  <c r="I606" i="9"/>
  <c r="I599" i="9"/>
  <c r="I593" i="9"/>
  <c r="I594" i="9" s="1"/>
  <c r="I588" i="9"/>
  <c r="I583" i="9"/>
  <c r="I584" i="9" s="1"/>
  <c r="I571" i="9"/>
  <c r="I563" i="9"/>
  <c r="I549" i="9"/>
  <c r="I514" i="9"/>
  <c r="I509" i="9"/>
  <c r="I463" i="9"/>
  <c r="I459" i="9"/>
  <c r="I455" i="9"/>
  <c r="I456" i="9" s="1"/>
  <c r="I457" i="9" s="1"/>
  <c r="I409" i="9"/>
  <c r="I410" i="9" s="1"/>
  <c r="I405" i="9"/>
  <c r="I379" i="9"/>
  <c r="I362" i="9"/>
  <c r="I356" i="9"/>
  <c r="I350" i="9"/>
  <c r="I343" i="9"/>
  <c r="I327" i="9"/>
  <c r="I314" i="9"/>
  <c r="I305" i="9"/>
  <c r="I303" i="9"/>
  <c r="I300" i="9"/>
  <c r="I298" i="9"/>
  <c r="I264" i="9"/>
  <c r="I246" i="9"/>
  <c r="I224" i="9"/>
  <c r="I195" i="9"/>
  <c r="I196" i="9" s="1"/>
  <c r="I197" i="9" s="1"/>
  <c r="I190" i="9"/>
  <c r="I152" i="9"/>
  <c r="I148" i="9"/>
  <c r="I143" i="9"/>
  <c r="I141" i="9"/>
  <c r="I139" i="9"/>
  <c r="I136" i="9"/>
  <c r="I131" i="9"/>
  <c r="I88" i="9"/>
  <c r="I89" i="9" s="1"/>
  <c r="I90" i="9" s="1"/>
  <c r="I91" i="9" s="1"/>
  <c r="I74" i="9"/>
  <c r="I70" i="9"/>
  <c r="I51" i="9"/>
  <c r="I43" i="9"/>
  <c r="I31" i="9"/>
  <c r="G1641" i="9"/>
  <c r="H1641" i="9" s="1"/>
  <c r="G1634" i="9"/>
  <c r="G1628" i="9"/>
  <c r="G1625" i="9"/>
  <c r="H1625" i="9" s="1"/>
  <c r="G1623" i="9"/>
  <c r="H1623" i="9" s="1"/>
  <c r="G1617" i="9"/>
  <c r="G1610" i="9"/>
  <c r="H1610" i="9" s="1"/>
  <c r="G1606" i="9"/>
  <c r="H1606" i="9" s="1"/>
  <c r="G1603" i="9"/>
  <c r="G1600" i="9"/>
  <c r="H1600" i="9" s="1"/>
  <c r="G1595" i="9"/>
  <c r="H1595" i="9" s="1"/>
  <c r="G1592" i="9"/>
  <c r="G1580" i="9"/>
  <c r="G1578" i="9"/>
  <c r="H1578" i="9" s="1"/>
  <c r="G1575" i="9"/>
  <c r="H1575" i="9" s="1"/>
  <c r="G1570" i="9"/>
  <c r="H1570" i="9" s="1"/>
  <c r="G1568" i="9"/>
  <c r="H1568" i="9" s="1"/>
  <c r="G1563" i="9"/>
  <c r="H1563" i="9" s="1"/>
  <c r="G1559" i="9"/>
  <c r="H1559" i="9" s="1"/>
  <c r="G1557" i="9"/>
  <c r="H1557" i="9" s="1"/>
  <c r="G1549" i="9"/>
  <c r="H1549" i="9" s="1"/>
  <c r="G1547" i="9"/>
  <c r="H1547" i="9" s="1"/>
  <c r="G1542" i="9"/>
  <c r="G1527" i="9"/>
  <c r="G1522" i="9"/>
  <c r="G1519" i="9"/>
  <c r="H1519" i="9" s="1"/>
  <c r="G1513" i="9"/>
  <c r="G1508" i="9"/>
  <c r="G1499" i="9"/>
  <c r="H1499" i="9" s="1"/>
  <c r="G1493" i="9"/>
  <c r="H1493" i="9" s="1"/>
  <c r="G1491" i="9"/>
  <c r="H1491" i="9" s="1"/>
  <c r="G1489" i="9"/>
  <c r="H1489" i="9" s="1"/>
  <c r="G1484" i="9"/>
  <c r="H1484" i="9" s="1"/>
  <c r="G1482" i="9"/>
  <c r="H1482" i="9" s="1"/>
  <c r="G1480" i="9"/>
  <c r="H1480" i="9" s="1"/>
  <c r="G1468" i="9"/>
  <c r="G1461" i="9"/>
  <c r="G1452" i="9"/>
  <c r="H1452" i="9" s="1"/>
  <c r="G1443" i="9"/>
  <c r="H1443" i="9" s="1"/>
  <c r="G1441" i="9"/>
  <c r="H1441" i="9" s="1"/>
  <c r="G1434" i="9"/>
  <c r="H1434" i="9" s="1"/>
  <c r="G1427" i="9"/>
  <c r="H1427" i="9" s="1"/>
  <c r="G1424" i="9"/>
  <c r="H1424" i="9" s="1"/>
  <c r="G1419" i="9"/>
  <c r="G1415" i="9"/>
  <c r="G1413" i="9"/>
  <c r="H1413" i="9" s="1"/>
  <c r="G1407" i="9"/>
  <c r="G1400" i="9"/>
  <c r="G1387" i="9"/>
  <c r="H1387" i="9" s="1"/>
  <c r="G1383" i="9"/>
  <c r="H1383" i="9" s="1"/>
  <c r="G1379" i="9"/>
  <c r="H1379" i="9" s="1"/>
  <c r="G1373" i="9"/>
  <c r="G1369" i="9"/>
  <c r="H1369" i="9" s="1"/>
  <c r="G1364" i="9"/>
  <c r="G1362" i="9"/>
  <c r="H1362" i="9" s="1"/>
  <c r="G1352" i="9"/>
  <c r="H1352" i="9" s="1"/>
  <c r="G1349" i="9"/>
  <c r="H1349" i="9" s="1"/>
  <c r="G1343" i="9"/>
  <c r="H1343" i="9" s="1"/>
  <c r="G1341" i="9"/>
  <c r="H1341" i="9" s="1"/>
  <c r="G1337" i="9"/>
  <c r="H1337" i="9" s="1"/>
  <c r="G1335" i="9"/>
  <c r="H1335" i="9" s="1"/>
  <c r="G1329" i="9"/>
  <c r="H1329" i="9" s="1"/>
  <c r="G1322" i="9"/>
  <c r="H1322" i="9" s="1"/>
  <c r="G1319" i="9"/>
  <c r="G1317" i="9"/>
  <c r="H1317" i="9" s="1"/>
  <c r="G1312" i="9"/>
  <c r="G1308" i="9"/>
  <c r="G1305" i="9"/>
  <c r="H1305" i="9" s="1"/>
  <c r="G1302" i="9"/>
  <c r="H1302" i="9" s="1"/>
  <c r="G1300" i="9"/>
  <c r="H1300" i="9" s="1"/>
  <c r="G1294" i="9"/>
  <c r="H1294" i="9" s="1"/>
  <c r="G1287" i="9"/>
  <c r="H1287" i="9" s="1"/>
  <c r="G1285" i="9"/>
  <c r="H1285" i="9" s="1"/>
  <c r="G1283" i="9"/>
  <c r="H1283" i="9" s="1"/>
  <c r="G1278" i="9"/>
  <c r="H1278" i="9" s="1"/>
  <c r="G1267" i="9"/>
  <c r="H1267" i="9" s="1"/>
  <c r="G1263" i="9"/>
  <c r="G1257" i="9"/>
  <c r="G1252" i="9"/>
  <c r="H1252" i="9" s="1"/>
  <c r="G1249" i="9"/>
  <c r="H1249" i="9" s="1"/>
  <c r="G1247" i="9"/>
  <c r="H1247" i="9" s="1"/>
  <c r="G1242" i="9"/>
  <c r="G1234" i="9"/>
  <c r="H1234" i="9" s="1"/>
  <c r="G1222" i="9"/>
  <c r="H1222" i="9" s="1"/>
  <c r="G1219" i="9"/>
  <c r="H1219" i="9" s="1"/>
  <c r="G1213" i="9"/>
  <c r="G1210" i="9"/>
  <c r="G1207" i="9"/>
  <c r="H1207" i="9" s="1"/>
  <c r="G1205" i="9"/>
  <c r="H1205" i="9" s="1"/>
  <c r="G1202" i="9"/>
  <c r="H1202" i="9" s="1"/>
  <c r="G1193" i="9"/>
  <c r="G1175" i="9"/>
  <c r="H1175" i="9" s="1"/>
  <c r="G1173" i="9"/>
  <c r="H1173" i="9" s="1"/>
  <c r="G1171" i="9"/>
  <c r="H1171" i="9" s="1"/>
  <c r="G1165" i="9"/>
  <c r="H1165" i="9" s="1"/>
  <c r="G1161" i="9"/>
  <c r="H1161" i="9" s="1"/>
  <c r="G1156" i="9"/>
  <c r="G1153" i="9"/>
  <c r="G1149" i="9"/>
  <c r="G1144" i="9"/>
  <c r="G1142" i="9"/>
  <c r="H1142" i="9" s="1"/>
  <c r="G1138" i="9"/>
  <c r="H1138" i="9" s="1"/>
  <c r="G1133" i="9"/>
  <c r="H1133" i="9" s="1"/>
  <c r="G1130" i="9"/>
  <c r="H1130" i="9" s="1"/>
  <c r="G1128" i="9"/>
  <c r="H1128" i="9" s="1"/>
  <c r="G1118" i="9"/>
  <c r="H1118" i="9" s="1"/>
  <c r="G1115" i="9"/>
  <c r="H1115" i="9" s="1"/>
  <c r="G1113" i="9"/>
  <c r="H1113" i="9" s="1"/>
  <c r="G1098" i="9"/>
  <c r="G1093" i="9"/>
  <c r="G1091" i="9"/>
  <c r="H1091" i="9" s="1"/>
  <c r="G1080" i="9"/>
  <c r="H1080" i="9" s="1"/>
  <c r="G1074" i="9"/>
  <c r="G1071" i="9"/>
  <c r="H1071" i="9" s="1"/>
  <c r="G1067" i="9"/>
  <c r="G1058" i="9"/>
  <c r="H1058" i="9" s="1"/>
  <c r="G1051" i="9"/>
  <c r="H1051" i="9" s="1"/>
  <c r="G1041" i="9"/>
  <c r="G1018" i="9"/>
  <c r="H1018" i="9" s="1"/>
  <c r="G1015" i="9"/>
  <c r="H1015" i="9" s="1"/>
  <c r="G1013" i="9"/>
  <c r="H1013" i="9" s="1"/>
  <c r="G1007" i="9"/>
  <c r="G1001" i="9"/>
  <c r="H1001" i="9" s="1"/>
  <c r="G989" i="9"/>
  <c r="G987" i="9"/>
  <c r="H987" i="9" s="1"/>
  <c r="G982" i="9"/>
  <c r="H982" i="9" s="1"/>
  <c r="G975" i="9"/>
  <c r="H975" i="9" s="1"/>
  <c r="G973" i="9"/>
  <c r="H973" i="9" s="1"/>
  <c r="G970" i="9"/>
  <c r="H970" i="9" s="1"/>
  <c r="G965" i="9"/>
  <c r="G955" i="9"/>
  <c r="H955" i="9" s="1"/>
  <c r="G951" i="9"/>
  <c r="G947" i="9"/>
  <c r="G943" i="9"/>
  <c r="G941" i="9"/>
  <c r="H941" i="9" s="1"/>
  <c r="G939" i="9"/>
  <c r="H939" i="9" s="1"/>
  <c r="G935" i="9"/>
  <c r="G925" i="9"/>
  <c r="H925" i="9" s="1"/>
  <c r="G923" i="9"/>
  <c r="H923" i="9" s="1"/>
  <c r="G920" i="9"/>
  <c r="H920" i="9" s="1"/>
  <c r="G918" i="9"/>
  <c r="H918" i="9" s="1"/>
  <c r="G908" i="9"/>
  <c r="H908" i="9" s="1"/>
  <c r="G906" i="9"/>
  <c r="H906" i="9" s="1"/>
  <c r="G901" i="9"/>
  <c r="H901" i="9" s="1"/>
  <c r="G899" i="9"/>
  <c r="H899" i="9" s="1"/>
  <c r="G894" i="9"/>
  <c r="H894" i="9" s="1"/>
  <c r="G890" i="9"/>
  <c r="G888" i="9"/>
  <c r="H888" i="9" s="1"/>
  <c r="G886" i="9"/>
  <c r="H886" i="9" s="1"/>
  <c r="G880" i="9"/>
  <c r="G878" i="9"/>
  <c r="H878" i="9" s="1"/>
  <c r="G876" i="9"/>
  <c r="H876" i="9" s="1"/>
  <c r="G862" i="9"/>
  <c r="H862" i="9" s="1"/>
  <c r="G860" i="9"/>
  <c r="H860" i="9" s="1"/>
  <c r="G853" i="9"/>
  <c r="G850" i="9"/>
  <c r="H850" i="9" s="1"/>
  <c r="G848" i="9"/>
  <c r="H848" i="9" s="1"/>
  <c r="G843" i="9"/>
  <c r="H843" i="9" s="1"/>
  <c r="G835" i="9"/>
  <c r="G831" i="9"/>
  <c r="G829" i="9"/>
  <c r="H829" i="9" s="1"/>
  <c r="G825" i="9"/>
  <c r="H825" i="9" s="1"/>
  <c r="G823" i="9"/>
  <c r="H823" i="9" s="1"/>
  <c r="G821" i="9"/>
  <c r="H821" i="9" s="1"/>
  <c r="G813" i="9"/>
  <c r="H813" i="9" s="1"/>
  <c r="G797" i="9"/>
  <c r="H797" i="9" s="1"/>
  <c r="G788" i="9"/>
  <c r="G785" i="9"/>
  <c r="H785" i="9" s="1"/>
  <c r="G780" i="9"/>
  <c r="G776" i="9"/>
  <c r="G772" i="9"/>
  <c r="H772" i="9" s="1"/>
  <c r="G767" i="9"/>
  <c r="G764" i="9"/>
  <c r="H764" i="9" s="1"/>
  <c r="G760" i="9"/>
  <c r="H760" i="9" s="1"/>
  <c r="G753" i="9"/>
  <c r="H753" i="9" s="1"/>
  <c r="G747" i="9"/>
  <c r="H747" i="9" s="1"/>
  <c r="G744" i="9"/>
  <c r="H744" i="9" s="1"/>
  <c r="G741" i="9"/>
  <c r="H741" i="9" s="1"/>
  <c r="G733" i="9"/>
  <c r="G726" i="9"/>
  <c r="G722" i="9"/>
  <c r="G717" i="9"/>
  <c r="G712" i="9"/>
  <c r="H712" i="9" s="1"/>
  <c r="G710" i="9"/>
  <c r="H710" i="9" s="1"/>
  <c r="G706" i="9"/>
  <c r="G697" i="9"/>
  <c r="H697" i="9" s="1"/>
  <c r="G689" i="9"/>
  <c r="G686" i="9"/>
  <c r="G683" i="9"/>
  <c r="G681" i="9"/>
  <c r="H681" i="9" s="1"/>
  <c r="G678" i="9"/>
  <c r="G675" i="9"/>
  <c r="H675" i="9" s="1"/>
  <c r="G666" i="9"/>
  <c r="G660" i="9"/>
  <c r="G657" i="9"/>
  <c r="H657" i="9" s="1"/>
  <c r="G655" i="9"/>
  <c r="H655" i="9" s="1"/>
  <c r="G652" i="9"/>
  <c r="H652" i="9" s="1"/>
  <c r="G646" i="9"/>
  <c r="G641" i="9"/>
  <c r="H641" i="9" s="1"/>
  <c r="G638" i="9"/>
  <c r="H638" i="9" s="1"/>
  <c r="G634" i="9"/>
  <c r="H634" i="9" s="1"/>
  <c r="G629" i="9"/>
  <c r="H629" i="9" s="1"/>
  <c r="G625" i="9"/>
  <c r="H625" i="9" s="1"/>
  <c r="G621" i="9"/>
  <c r="G616" i="9"/>
  <c r="G614" i="9"/>
  <c r="H614" i="9" s="1"/>
  <c r="G611" i="9"/>
  <c r="G608" i="9"/>
  <c r="H608" i="9" s="1"/>
  <c r="G606" i="9"/>
  <c r="H606" i="9" s="1"/>
  <c r="G599" i="9"/>
  <c r="H599" i="9" s="1"/>
  <c r="G593" i="9"/>
  <c r="G588" i="9"/>
  <c r="H588" i="9" s="1"/>
  <c r="G583" i="9"/>
  <c r="G571" i="9"/>
  <c r="H571" i="9" s="1"/>
  <c r="G563" i="9"/>
  <c r="H563" i="9" s="1"/>
  <c r="G549" i="9"/>
  <c r="H549" i="9" s="1"/>
  <c r="G514" i="9"/>
  <c r="H514" i="9" s="1"/>
  <c r="G509" i="9"/>
  <c r="H509" i="9" s="1"/>
  <c r="G463" i="9"/>
  <c r="H463" i="9" s="1"/>
  <c r="G459" i="9"/>
  <c r="H459" i="9" s="1"/>
  <c r="G455" i="9"/>
  <c r="G409" i="9"/>
  <c r="G410" i="9" s="1"/>
  <c r="H410" i="9" s="1"/>
  <c r="G405" i="9"/>
  <c r="G379" i="9"/>
  <c r="G362" i="9"/>
  <c r="G356" i="9"/>
  <c r="G350" i="9"/>
  <c r="G343" i="9"/>
  <c r="G327" i="9"/>
  <c r="G314" i="9"/>
  <c r="G305" i="9"/>
  <c r="G303" i="9"/>
  <c r="G300" i="9"/>
  <c r="G298" i="9"/>
  <c r="G264" i="9"/>
  <c r="G246" i="9"/>
  <c r="G224" i="9"/>
  <c r="G195" i="9"/>
  <c r="G196" i="9" s="1"/>
  <c r="G190" i="9"/>
  <c r="G152" i="9"/>
  <c r="G148" i="9"/>
  <c r="G143" i="9"/>
  <c r="G141" i="9"/>
  <c r="G139" i="9"/>
  <c r="G136" i="9"/>
  <c r="G131" i="9"/>
  <c r="G88" i="9"/>
  <c r="G89" i="9" s="1"/>
  <c r="G74" i="9"/>
  <c r="G70" i="9"/>
  <c r="G51" i="9"/>
  <c r="G43" i="9"/>
  <c r="G31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8" i="9"/>
  <c r="H460" i="9"/>
  <c r="H461" i="9"/>
  <c r="H462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10" i="9"/>
  <c r="H511" i="9"/>
  <c r="H512" i="9"/>
  <c r="H513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4" i="9"/>
  <c r="H565" i="9"/>
  <c r="H566" i="9"/>
  <c r="H567" i="9"/>
  <c r="H568" i="9"/>
  <c r="H569" i="9"/>
  <c r="H570" i="9"/>
  <c r="H572" i="9"/>
  <c r="H573" i="9"/>
  <c r="H574" i="9"/>
  <c r="H575" i="9"/>
  <c r="H576" i="9"/>
  <c r="H577" i="9"/>
  <c r="H578" i="9"/>
  <c r="H579" i="9"/>
  <c r="H580" i="9"/>
  <c r="H581" i="9"/>
  <c r="H582" i="9"/>
  <c r="H585" i="9"/>
  <c r="H586" i="9"/>
  <c r="H587" i="9"/>
  <c r="H589" i="9"/>
  <c r="H590" i="9"/>
  <c r="H591" i="9"/>
  <c r="H592" i="9"/>
  <c r="H595" i="9"/>
  <c r="H596" i="9"/>
  <c r="H597" i="9"/>
  <c r="H598" i="9"/>
  <c r="H600" i="9"/>
  <c r="H601" i="9"/>
  <c r="H602" i="9"/>
  <c r="H603" i="9"/>
  <c r="H604" i="9"/>
  <c r="H605" i="9"/>
  <c r="H607" i="9"/>
  <c r="H609" i="9"/>
  <c r="H610" i="9"/>
  <c r="H613" i="9"/>
  <c r="H615" i="9"/>
  <c r="H620" i="9"/>
  <c r="H623" i="9"/>
  <c r="H624" i="9"/>
  <c r="H626" i="9"/>
  <c r="H627" i="9"/>
  <c r="H628" i="9"/>
  <c r="H630" i="9"/>
  <c r="H631" i="9"/>
  <c r="H632" i="9"/>
  <c r="H633" i="9"/>
  <c r="H635" i="9"/>
  <c r="H636" i="9"/>
  <c r="H637" i="9"/>
  <c r="H639" i="9"/>
  <c r="H640" i="9"/>
  <c r="H642" i="9"/>
  <c r="H643" i="9"/>
  <c r="H644" i="9"/>
  <c r="H645" i="9"/>
  <c r="H648" i="9"/>
  <c r="H649" i="9"/>
  <c r="H650" i="9"/>
  <c r="H651" i="9"/>
  <c r="H653" i="9"/>
  <c r="H654" i="9"/>
  <c r="H656" i="9"/>
  <c r="H658" i="9"/>
  <c r="H659" i="9"/>
  <c r="H662" i="9"/>
  <c r="H663" i="9"/>
  <c r="H664" i="9"/>
  <c r="H665" i="9"/>
  <c r="H674" i="9"/>
  <c r="H676" i="9"/>
  <c r="H677" i="9"/>
  <c r="H680" i="9"/>
  <c r="H682" i="9"/>
  <c r="H685" i="9"/>
  <c r="H688" i="9"/>
  <c r="H691" i="9"/>
  <c r="H692" i="9"/>
  <c r="H693" i="9"/>
  <c r="H694" i="9"/>
  <c r="H695" i="9"/>
  <c r="H696" i="9"/>
  <c r="H698" i="9"/>
  <c r="H699" i="9"/>
  <c r="H700" i="9"/>
  <c r="H701" i="9"/>
  <c r="H702" i="9"/>
  <c r="H703" i="9"/>
  <c r="H704" i="9"/>
  <c r="H705" i="9"/>
  <c r="H708" i="9"/>
  <c r="H709" i="9"/>
  <c r="H711" i="9"/>
  <c r="H713" i="9"/>
  <c r="H714" i="9"/>
  <c r="H715" i="9"/>
  <c r="H716" i="9"/>
  <c r="H719" i="9"/>
  <c r="H720" i="9"/>
  <c r="H721" i="9"/>
  <c r="H725" i="9"/>
  <c r="H731" i="9"/>
  <c r="H732" i="9"/>
  <c r="H736" i="9"/>
  <c r="H737" i="9"/>
  <c r="H738" i="9"/>
  <c r="H739" i="9"/>
  <c r="H740" i="9"/>
  <c r="H742" i="9"/>
  <c r="H743" i="9"/>
  <c r="H745" i="9"/>
  <c r="H746" i="9"/>
  <c r="H748" i="9"/>
  <c r="H749" i="9"/>
  <c r="H750" i="9"/>
  <c r="H751" i="9"/>
  <c r="H752" i="9"/>
  <c r="H754" i="9"/>
  <c r="H755" i="9"/>
  <c r="H756" i="9"/>
  <c r="H757" i="9"/>
  <c r="H758" i="9"/>
  <c r="H759" i="9"/>
  <c r="H761" i="9"/>
  <c r="H762" i="9"/>
  <c r="H763" i="9"/>
  <c r="H765" i="9"/>
  <c r="H766" i="9"/>
  <c r="H769" i="9"/>
  <c r="H770" i="9"/>
  <c r="H771" i="9"/>
  <c r="H773" i="9"/>
  <c r="H774" i="9"/>
  <c r="H775" i="9"/>
  <c r="H778" i="9"/>
  <c r="H779" i="9"/>
  <c r="H783" i="9"/>
  <c r="H784" i="9"/>
  <c r="H786" i="9"/>
  <c r="H787" i="9"/>
  <c r="H791" i="9"/>
  <c r="H792" i="9"/>
  <c r="H793" i="9"/>
  <c r="H794" i="9"/>
  <c r="H795" i="9"/>
  <c r="H796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4" i="9"/>
  <c r="H815" i="9"/>
  <c r="H816" i="9"/>
  <c r="H817" i="9"/>
  <c r="H818" i="9"/>
  <c r="H819" i="9"/>
  <c r="H820" i="9"/>
  <c r="H822" i="9"/>
  <c r="H824" i="9"/>
  <c r="H826" i="9"/>
  <c r="H827" i="9"/>
  <c r="H828" i="9"/>
  <c r="H830" i="9"/>
  <c r="H834" i="9"/>
  <c r="H838" i="9"/>
  <c r="H839" i="9"/>
  <c r="H840" i="9"/>
  <c r="H841" i="9"/>
  <c r="H842" i="9"/>
  <c r="H844" i="9"/>
  <c r="H845" i="9"/>
  <c r="H846" i="9"/>
  <c r="H847" i="9"/>
  <c r="H849" i="9"/>
  <c r="H851" i="9"/>
  <c r="H852" i="9"/>
  <c r="H855" i="9"/>
  <c r="H856" i="9"/>
  <c r="H857" i="9"/>
  <c r="H858" i="9"/>
  <c r="H859" i="9"/>
  <c r="H861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7" i="9"/>
  <c r="H879" i="9"/>
  <c r="H884" i="9"/>
  <c r="H885" i="9"/>
  <c r="H887" i="9"/>
  <c r="H889" i="9"/>
  <c r="H892" i="9"/>
  <c r="H893" i="9"/>
  <c r="H895" i="9"/>
  <c r="H896" i="9"/>
  <c r="H897" i="9"/>
  <c r="H898" i="9"/>
  <c r="H900" i="9"/>
  <c r="H902" i="9"/>
  <c r="H903" i="9"/>
  <c r="H904" i="9"/>
  <c r="H905" i="9"/>
  <c r="H907" i="9"/>
  <c r="H909" i="9"/>
  <c r="H910" i="9"/>
  <c r="H911" i="9"/>
  <c r="H912" i="9"/>
  <c r="H913" i="9"/>
  <c r="H914" i="9"/>
  <c r="H915" i="9"/>
  <c r="H916" i="9"/>
  <c r="H917" i="9"/>
  <c r="H919" i="9"/>
  <c r="H921" i="9"/>
  <c r="H922" i="9"/>
  <c r="H924" i="9"/>
  <c r="H926" i="9"/>
  <c r="H927" i="9"/>
  <c r="H928" i="9"/>
  <c r="H929" i="9"/>
  <c r="H930" i="9"/>
  <c r="H931" i="9"/>
  <c r="H932" i="9"/>
  <c r="H933" i="9"/>
  <c r="H934" i="9"/>
  <c r="H937" i="9"/>
  <c r="H938" i="9"/>
  <c r="H940" i="9"/>
  <c r="H942" i="9"/>
  <c r="H945" i="9"/>
  <c r="H946" i="9"/>
  <c r="H949" i="9"/>
  <c r="H950" i="9"/>
  <c r="H954" i="9"/>
  <c r="H956" i="9"/>
  <c r="H957" i="9"/>
  <c r="H958" i="9"/>
  <c r="H959" i="9"/>
  <c r="H960" i="9"/>
  <c r="H961" i="9"/>
  <c r="H962" i="9"/>
  <c r="H963" i="9"/>
  <c r="H964" i="9"/>
  <c r="H968" i="9"/>
  <c r="H969" i="9"/>
  <c r="H971" i="9"/>
  <c r="H972" i="9"/>
  <c r="H974" i="9"/>
  <c r="H976" i="9"/>
  <c r="H977" i="9"/>
  <c r="H978" i="9"/>
  <c r="H979" i="9"/>
  <c r="H980" i="9"/>
  <c r="H981" i="9"/>
  <c r="H983" i="9"/>
  <c r="H984" i="9"/>
  <c r="H985" i="9"/>
  <c r="H986" i="9"/>
  <c r="H988" i="9"/>
  <c r="H1000" i="9"/>
  <c r="H1002" i="9"/>
  <c r="H1003" i="9"/>
  <c r="H1004" i="9"/>
  <c r="H1005" i="9"/>
  <c r="H1006" i="9"/>
  <c r="H1010" i="9"/>
  <c r="H1011" i="9"/>
  <c r="H1012" i="9"/>
  <c r="H1014" i="9"/>
  <c r="H1016" i="9"/>
  <c r="H1017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9" i="9"/>
  <c r="H1050" i="9"/>
  <c r="H1052" i="9"/>
  <c r="H1053" i="9"/>
  <c r="H1054" i="9"/>
  <c r="H1055" i="9"/>
  <c r="H1056" i="9"/>
  <c r="H1057" i="9"/>
  <c r="H1059" i="9"/>
  <c r="H1060" i="9"/>
  <c r="H1061" i="9"/>
  <c r="H1062" i="9"/>
  <c r="H1063" i="9"/>
  <c r="H1064" i="9"/>
  <c r="H1065" i="9"/>
  <c r="H1066" i="9"/>
  <c r="H1070" i="9"/>
  <c r="H1072" i="9"/>
  <c r="H1073" i="9"/>
  <c r="H1076" i="9"/>
  <c r="H1077" i="9"/>
  <c r="H1078" i="9"/>
  <c r="H1079" i="9"/>
  <c r="H1081" i="9"/>
  <c r="H1082" i="9"/>
  <c r="H1083" i="9"/>
  <c r="H1084" i="9"/>
  <c r="H1085" i="9"/>
  <c r="H1086" i="9"/>
  <c r="H1087" i="9"/>
  <c r="H1088" i="9"/>
  <c r="H1089" i="9"/>
  <c r="H1090" i="9"/>
  <c r="H1092" i="9"/>
  <c r="H1096" i="9"/>
  <c r="H1097" i="9"/>
  <c r="H1104" i="9"/>
  <c r="H1105" i="9"/>
  <c r="H1106" i="9"/>
  <c r="H1107" i="9"/>
  <c r="H1108" i="9"/>
  <c r="H1109" i="9"/>
  <c r="H1110" i="9"/>
  <c r="H1111" i="9"/>
  <c r="H1112" i="9"/>
  <c r="H1114" i="9"/>
  <c r="H1116" i="9"/>
  <c r="H1117" i="9"/>
  <c r="H1119" i="9"/>
  <c r="H1120" i="9"/>
  <c r="H1121" i="9"/>
  <c r="H1122" i="9"/>
  <c r="H1123" i="9"/>
  <c r="H1124" i="9"/>
  <c r="H1125" i="9"/>
  <c r="H1126" i="9"/>
  <c r="H1127" i="9"/>
  <c r="H1129" i="9"/>
  <c r="H1131" i="9"/>
  <c r="H1132" i="9"/>
  <c r="H1134" i="9"/>
  <c r="H1135" i="9"/>
  <c r="H1136" i="9"/>
  <c r="H1137" i="9"/>
  <c r="H1139" i="9"/>
  <c r="H1140" i="9"/>
  <c r="H1141" i="9"/>
  <c r="H1143" i="9"/>
  <c r="H1146" i="9"/>
  <c r="H1147" i="9"/>
  <c r="H1148" i="9"/>
  <c r="H1152" i="9"/>
  <c r="H1155" i="9"/>
  <c r="H1158" i="9"/>
  <c r="H1159" i="9"/>
  <c r="H1160" i="9"/>
  <c r="H1162" i="9"/>
  <c r="H1163" i="9"/>
  <c r="H1164" i="9"/>
  <c r="H1166" i="9"/>
  <c r="H1167" i="9"/>
  <c r="H1168" i="9"/>
  <c r="H1169" i="9"/>
  <c r="H1170" i="9"/>
  <c r="H1172" i="9"/>
  <c r="H1174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5" i="9"/>
  <c r="H1196" i="9"/>
  <c r="H1197" i="9"/>
  <c r="H1198" i="9"/>
  <c r="H1199" i="9"/>
  <c r="H1200" i="9"/>
  <c r="H1201" i="9"/>
  <c r="H1203" i="9"/>
  <c r="H1204" i="9"/>
  <c r="H1206" i="9"/>
  <c r="H1208" i="9"/>
  <c r="H1209" i="9"/>
  <c r="H1212" i="9"/>
  <c r="H1215" i="9"/>
  <c r="H1216" i="9"/>
  <c r="H1217" i="9"/>
  <c r="H1218" i="9"/>
  <c r="H1220" i="9"/>
  <c r="H1221" i="9"/>
  <c r="H1223" i="9"/>
  <c r="H1224" i="9"/>
  <c r="H1225" i="9"/>
  <c r="H1226" i="9"/>
  <c r="H1227" i="9"/>
  <c r="H1228" i="9"/>
  <c r="H1229" i="9"/>
  <c r="H1230" i="9"/>
  <c r="H1231" i="9"/>
  <c r="H1232" i="9"/>
  <c r="H1233" i="9"/>
  <c r="H1235" i="9"/>
  <c r="H1236" i="9"/>
  <c r="H1237" i="9"/>
  <c r="H1238" i="9"/>
  <c r="H1239" i="9"/>
  <c r="H1240" i="9"/>
  <c r="H1241" i="9"/>
  <c r="H1244" i="9"/>
  <c r="H1245" i="9"/>
  <c r="H1246" i="9"/>
  <c r="H1248" i="9"/>
  <c r="H1250" i="9"/>
  <c r="H1251" i="9"/>
  <c r="H1253" i="9"/>
  <c r="H1254" i="9"/>
  <c r="H1255" i="9"/>
  <c r="H1256" i="9"/>
  <c r="H1262" i="9"/>
  <c r="H1266" i="9"/>
  <c r="H1268" i="9"/>
  <c r="H1269" i="9"/>
  <c r="H1270" i="9"/>
  <c r="H1271" i="9"/>
  <c r="H1272" i="9"/>
  <c r="H1273" i="9"/>
  <c r="H1274" i="9"/>
  <c r="H1275" i="9"/>
  <c r="H1276" i="9"/>
  <c r="H1277" i="9"/>
  <c r="H1279" i="9"/>
  <c r="H1280" i="9"/>
  <c r="H1281" i="9"/>
  <c r="H1282" i="9"/>
  <c r="H1284" i="9"/>
  <c r="H1286" i="9"/>
  <c r="H1288" i="9"/>
  <c r="H1289" i="9"/>
  <c r="H1290" i="9"/>
  <c r="H1291" i="9"/>
  <c r="H1292" i="9"/>
  <c r="H1293" i="9"/>
  <c r="H1295" i="9"/>
  <c r="H1296" i="9"/>
  <c r="H1297" i="9"/>
  <c r="H1298" i="9"/>
  <c r="H1299" i="9"/>
  <c r="H1301" i="9"/>
  <c r="H1303" i="9"/>
  <c r="H1304" i="9"/>
  <c r="H1306" i="9"/>
  <c r="H1307" i="9"/>
  <c r="H1310" i="9"/>
  <c r="H1311" i="9"/>
  <c r="H1316" i="9"/>
  <c r="H1318" i="9"/>
  <c r="H1321" i="9"/>
  <c r="H1323" i="9"/>
  <c r="H1324" i="9"/>
  <c r="H1325" i="9"/>
  <c r="H1326" i="9"/>
  <c r="H1327" i="9"/>
  <c r="H1328" i="9"/>
  <c r="H1330" i="9"/>
  <c r="H1331" i="9"/>
  <c r="H1332" i="9"/>
  <c r="H1333" i="9"/>
  <c r="H1334" i="9"/>
  <c r="H1336" i="9"/>
  <c r="H1338" i="9"/>
  <c r="H1339" i="9"/>
  <c r="H1340" i="9"/>
  <c r="H1342" i="9"/>
  <c r="H1344" i="9"/>
  <c r="H1345" i="9"/>
  <c r="H1346" i="9"/>
  <c r="H1347" i="9"/>
  <c r="H1348" i="9"/>
  <c r="H1350" i="9"/>
  <c r="H1351" i="9"/>
  <c r="H1353" i="9"/>
  <c r="H1354" i="9"/>
  <c r="H1355" i="9"/>
  <c r="H1356" i="9"/>
  <c r="H1357" i="9"/>
  <c r="H1358" i="9"/>
  <c r="H1359" i="9"/>
  <c r="H1360" i="9"/>
  <c r="H1361" i="9"/>
  <c r="H1363" i="9"/>
  <c r="H1368" i="9"/>
  <c r="H1370" i="9"/>
  <c r="H1371" i="9"/>
  <c r="H1372" i="9"/>
  <c r="H1375" i="9"/>
  <c r="H1376" i="9"/>
  <c r="H1377" i="9"/>
  <c r="H1378" i="9"/>
  <c r="H1380" i="9"/>
  <c r="H1381" i="9"/>
  <c r="H1382" i="9"/>
  <c r="H1384" i="9"/>
  <c r="H1385" i="9"/>
  <c r="H1386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2" i="9"/>
  <c r="H1403" i="9"/>
  <c r="H1404" i="9"/>
  <c r="H1405" i="9"/>
  <c r="H1406" i="9"/>
  <c r="H1410" i="9"/>
  <c r="H1411" i="9"/>
  <c r="H1412" i="9"/>
  <c r="H1414" i="9"/>
  <c r="H1418" i="9"/>
  <c r="H1423" i="9"/>
  <c r="H1425" i="9"/>
  <c r="H1426" i="9"/>
  <c r="H1428" i="9"/>
  <c r="H1429" i="9"/>
  <c r="H1430" i="9"/>
  <c r="H1431" i="9"/>
  <c r="H1432" i="9"/>
  <c r="H1433" i="9"/>
  <c r="H1435" i="9"/>
  <c r="H1436" i="9"/>
  <c r="H1437" i="9"/>
  <c r="H1438" i="9"/>
  <c r="H1439" i="9"/>
  <c r="H1440" i="9"/>
  <c r="H1442" i="9"/>
  <c r="H1444" i="9"/>
  <c r="H1445" i="9"/>
  <c r="H1446" i="9"/>
  <c r="H1447" i="9"/>
  <c r="H1448" i="9"/>
  <c r="H1449" i="9"/>
  <c r="H1450" i="9"/>
  <c r="H1451" i="9"/>
  <c r="H1453" i="9"/>
  <c r="H1454" i="9"/>
  <c r="H1455" i="9"/>
  <c r="H1456" i="9"/>
  <c r="H1457" i="9"/>
  <c r="H1458" i="9"/>
  <c r="H1459" i="9"/>
  <c r="H1460" i="9"/>
  <c r="H1463" i="9"/>
  <c r="H1464" i="9"/>
  <c r="H1465" i="9"/>
  <c r="H1466" i="9"/>
  <c r="H1467" i="9"/>
  <c r="H1473" i="9"/>
  <c r="H1474" i="9"/>
  <c r="H1475" i="9"/>
  <c r="H1476" i="9"/>
  <c r="H1477" i="9"/>
  <c r="H1478" i="9"/>
  <c r="H1479" i="9"/>
  <c r="H1481" i="9"/>
  <c r="H1483" i="9"/>
  <c r="H1485" i="9"/>
  <c r="H1486" i="9"/>
  <c r="H1487" i="9"/>
  <c r="H1488" i="9"/>
  <c r="H1490" i="9"/>
  <c r="H1492" i="9"/>
  <c r="H1494" i="9"/>
  <c r="H1495" i="9"/>
  <c r="H1496" i="9"/>
  <c r="H1497" i="9"/>
  <c r="H1498" i="9"/>
  <c r="H1500" i="9"/>
  <c r="H1501" i="9"/>
  <c r="H1502" i="9"/>
  <c r="H1503" i="9"/>
  <c r="H1504" i="9"/>
  <c r="H1505" i="9"/>
  <c r="H1506" i="9"/>
  <c r="H1507" i="9"/>
  <c r="H1510" i="9"/>
  <c r="H1511" i="9"/>
  <c r="H1512" i="9"/>
  <c r="H1516" i="9"/>
  <c r="H1517" i="9"/>
  <c r="H1518" i="9"/>
  <c r="H1520" i="9"/>
  <c r="H1521" i="9"/>
  <c r="H1526" i="9"/>
  <c r="H1532" i="9"/>
  <c r="H1533" i="9"/>
  <c r="H1534" i="9"/>
  <c r="H1535" i="9"/>
  <c r="H1536" i="9"/>
  <c r="H1537" i="9"/>
  <c r="H1538" i="9"/>
  <c r="H1539" i="9"/>
  <c r="H1540" i="9"/>
  <c r="H1541" i="9"/>
  <c r="H1544" i="9"/>
  <c r="H1545" i="9"/>
  <c r="H1546" i="9"/>
  <c r="H1548" i="9"/>
  <c r="H1550" i="9"/>
  <c r="H1551" i="9"/>
  <c r="H1552" i="9"/>
  <c r="H1553" i="9"/>
  <c r="H1554" i="9"/>
  <c r="H1555" i="9"/>
  <c r="H1556" i="9"/>
  <c r="H1558" i="9"/>
  <c r="H1560" i="9"/>
  <c r="H1561" i="9"/>
  <c r="H1562" i="9"/>
  <c r="H1564" i="9"/>
  <c r="H1565" i="9"/>
  <c r="H1566" i="9"/>
  <c r="H1567" i="9"/>
  <c r="H1569" i="9"/>
  <c r="H1571" i="9"/>
  <c r="H1572" i="9"/>
  <c r="H1573" i="9"/>
  <c r="H1574" i="9"/>
  <c r="H1576" i="9"/>
  <c r="H1577" i="9"/>
  <c r="H1579" i="9"/>
  <c r="H1583" i="9"/>
  <c r="H1584" i="9"/>
  <c r="H1585" i="9"/>
  <c r="H1586" i="9"/>
  <c r="H1587" i="9"/>
  <c r="H1588" i="9"/>
  <c r="H1589" i="9"/>
  <c r="H1590" i="9"/>
  <c r="H1591" i="9"/>
  <c r="H1594" i="9"/>
  <c r="H1596" i="9"/>
  <c r="H1597" i="9"/>
  <c r="H1598" i="9"/>
  <c r="H1599" i="9"/>
  <c r="H1601" i="9"/>
  <c r="H1602" i="9"/>
  <c r="H1605" i="9"/>
  <c r="H1607" i="9"/>
  <c r="H1608" i="9"/>
  <c r="H1609" i="9"/>
  <c r="H1611" i="9"/>
  <c r="H1612" i="9"/>
  <c r="H1613" i="9"/>
  <c r="H1614" i="9"/>
  <c r="H1615" i="9"/>
  <c r="H1616" i="9"/>
  <c r="H1619" i="9"/>
  <c r="H1620" i="9"/>
  <c r="H1621" i="9"/>
  <c r="H1622" i="9"/>
  <c r="H1624" i="9"/>
  <c r="H1626" i="9"/>
  <c r="H1627" i="9"/>
  <c r="H1633" i="9"/>
  <c r="H1638" i="9"/>
  <c r="H1639" i="9"/>
  <c r="H1640" i="9"/>
  <c r="H1642" i="9"/>
  <c r="H1643" i="9"/>
  <c r="H1644" i="9"/>
  <c r="H1645" i="9"/>
  <c r="H1646" i="9"/>
  <c r="H1647" i="9"/>
  <c r="H1648" i="9"/>
  <c r="B668" i="9"/>
  <c r="B669" i="9"/>
  <c r="B670" i="9"/>
  <c r="B671" i="9"/>
  <c r="B672" i="9"/>
  <c r="B673" i="9"/>
  <c r="B674" i="9"/>
  <c r="B676" i="9"/>
  <c r="B677" i="9"/>
  <c r="B678" i="9"/>
  <c r="B679" i="9"/>
  <c r="B680" i="9"/>
  <c r="B681" i="9"/>
  <c r="B682" i="9"/>
  <c r="B683" i="9"/>
  <c r="B684" i="9"/>
  <c r="B685" i="9"/>
  <c r="B686" i="9"/>
  <c r="B688" i="9"/>
  <c r="B689" i="9"/>
  <c r="B690" i="9"/>
  <c r="B691" i="9"/>
  <c r="B692" i="9"/>
  <c r="B693" i="9"/>
  <c r="B694" i="9"/>
  <c r="B695" i="9"/>
  <c r="B696" i="9"/>
  <c r="B697" i="9"/>
  <c r="B698" i="9"/>
  <c r="B700" i="9"/>
  <c r="B701" i="9"/>
  <c r="B702" i="9"/>
  <c r="B703" i="9"/>
  <c r="B704" i="9"/>
  <c r="B705" i="9"/>
  <c r="B706" i="9"/>
  <c r="B707" i="9"/>
  <c r="B708" i="9"/>
  <c r="B709" i="9"/>
  <c r="B710" i="9"/>
  <c r="B712" i="9"/>
  <c r="B713" i="9"/>
  <c r="B714" i="9"/>
  <c r="B715" i="9"/>
  <c r="B716" i="9"/>
  <c r="B717" i="9"/>
  <c r="B718" i="9"/>
  <c r="B719" i="9"/>
  <c r="B720" i="9"/>
  <c r="B721" i="9"/>
  <c r="B722" i="9"/>
  <c r="B724" i="9"/>
  <c r="B725" i="9"/>
  <c r="B726" i="9"/>
  <c r="B727" i="9"/>
  <c r="B728" i="9"/>
  <c r="B729" i="9"/>
  <c r="B730" i="9"/>
  <c r="B731" i="9"/>
  <c r="B732" i="9"/>
  <c r="B733" i="9"/>
  <c r="B734" i="9"/>
  <c r="B736" i="9"/>
  <c r="B737" i="9"/>
  <c r="B738" i="9"/>
  <c r="B739" i="9"/>
  <c r="B740" i="9"/>
  <c r="B741" i="9"/>
  <c r="B742" i="9"/>
  <c r="B743" i="9"/>
  <c r="B744" i="9"/>
  <c r="B745" i="9"/>
  <c r="B746" i="9"/>
  <c r="B748" i="9"/>
  <c r="B749" i="9"/>
  <c r="B750" i="9"/>
  <c r="B751" i="9"/>
  <c r="B752" i="9"/>
  <c r="B753" i="9"/>
  <c r="B754" i="9"/>
  <c r="B755" i="9"/>
  <c r="B756" i="9"/>
  <c r="B757" i="9"/>
  <c r="B758" i="9"/>
  <c r="B760" i="9"/>
  <c r="B761" i="9"/>
  <c r="B762" i="9"/>
  <c r="B763" i="9"/>
  <c r="B764" i="9"/>
  <c r="B765" i="9"/>
  <c r="B766" i="9"/>
  <c r="B767" i="9"/>
  <c r="B768" i="9"/>
  <c r="B769" i="9"/>
  <c r="B770" i="9"/>
  <c r="B772" i="9"/>
  <c r="B773" i="9"/>
  <c r="B774" i="9"/>
  <c r="B775" i="9"/>
  <c r="B776" i="9"/>
  <c r="B777" i="9"/>
  <c r="B778" i="9"/>
  <c r="B779" i="9"/>
  <c r="B780" i="9"/>
  <c r="B781" i="9"/>
  <c r="B782" i="9"/>
  <c r="B784" i="9"/>
  <c r="B785" i="9"/>
  <c r="B786" i="9"/>
  <c r="B787" i="9"/>
  <c r="B788" i="9"/>
  <c r="B789" i="9"/>
  <c r="B790" i="9"/>
  <c r="B791" i="9"/>
  <c r="B792" i="9"/>
  <c r="B793" i="9"/>
  <c r="B794" i="9"/>
  <c r="B796" i="9"/>
  <c r="B797" i="9"/>
  <c r="B798" i="9"/>
  <c r="B799" i="9"/>
  <c r="B800" i="9"/>
  <c r="B801" i="9"/>
  <c r="B802" i="9"/>
  <c r="B803" i="9"/>
  <c r="B804" i="9"/>
  <c r="B805" i="9"/>
  <c r="B806" i="9"/>
  <c r="B808" i="9"/>
  <c r="B809" i="9"/>
  <c r="B810" i="9"/>
  <c r="B811" i="9"/>
  <c r="B812" i="9"/>
  <c r="B813" i="9"/>
  <c r="B814" i="9"/>
  <c r="B815" i="9"/>
  <c r="B816" i="9"/>
  <c r="B817" i="9"/>
  <c r="B818" i="9"/>
  <c r="B820" i="9"/>
  <c r="B821" i="9"/>
  <c r="B822" i="9"/>
  <c r="B823" i="9"/>
  <c r="B824" i="9"/>
  <c r="B825" i="9"/>
  <c r="B826" i="9"/>
  <c r="B827" i="9"/>
  <c r="B828" i="9"/>
  <c r="B829" i="9"/>
  <c r="B830" i="9"/>
  <c r="B832" i="9"/>
  <c r="B833" i="9"/>
  <c r="B834" i="9"/>
  <c r="B835" i="9"/>
  <c r="B836" i="9"/>
  <c r="B837" i="9"/>
  <c r="B838" i="9"/>
  <c r="B839" i="9"/>
  <c r="B840" i="9"/>
  <c r="B841" i="9"/>
  <c r="B842" i="9"/>
  <c r="B844" i="9"/>
  <c r="B845" i="9"/>
  <c r="B846" i="9"/>
  <c r="B847" i="9"/>
  <c r="B848" i="9"/>
  <c r="B849" i="9"/>
  <c r="B850" i="9"/>
  <c r="B851" i="9"/>
  <c r="B852" i="9"/>
  <c r="B853" i="9"/>
  <c r="B854" i="9"/>
  <c r="B856" i="9"/>
  <c r="B857" i="9"/>
  <c r="B858" i="9"/>
  <c r="B859" i="9"/>
  <c r="B860" i="9"/>
  <c r="B861" i="9"/>
  <c r="B862" i="9"/>
  <c r="B863" i="9"/>
  <c r="B864" i="9"/>
  <c r="B865" i="9"/>
  <c r="B866" i="9"/>
  <c r="B868" i="9"/>
  <c r="B869" i="9"/>
  <c r="B870" i="9"/>
  <c r="B871" i="9"/>
  <c r="B872" i="9"/>
  <c r="B873" i="9"/>
  <c r="B874" i="9"/>
  <c r="B875" i="9"/>
  <c r="B876" i="9"/>
  <c r="B877" i="9"/>
  <c r="B878" i="9"/>
  <c r="B880" i="9"/>
  <c r="B881" i="9"/>
  <c r="B882" i="9"/>
  <c r="B883" i="9"/>
  <c r="B884" i="9"/>
  <c r="B885" i="9"/>
  <c r="B886" i="9"/>
  <c r="B887" i="9"/>
  <c r="B888" i="9"/>
  <c r="B889" i="9"/>
  <c r="B890" i="9"/>
  <c r="B892" i="9"/>
  <c r="B893" i="9"/>
  <c r="B894" i="9"/>
  <c r="B895" i="9"/>
  <c r="B896" i="9"/>
  <c r="B897" i="9"/>
  <c r="B898" i="9"/>
  <c r="B899" i="9"/>
  <c r="B900" i="9"/>
  <c r="B901" i="9"/>
  <c r="B902" i="9"/>
  <c r="B904" i="9"/>
  <c r="B905" i="9"/>
  <c r="B906" i="9"/>
  <c r="B907" i="9"/>
  <c r="B908" i="9"/>
  <c r="B909" i="9"/>
  <c r="B910" i="9"/>
  <c r="B911" i="9"/>
  <c r="B912" i="9"/>
  <c r="B913" i="9"/>
  <c r="B914" i="9"/>
  <c r="B916" i="9"/>
  <c r="B917" i="9"/>
  <c r="B918" i="9"/>
  <c r="B919" i="9"/>
  <c r="B920" i="9"/>
  <c r="B921" i="9"/>
  <c r="B922" i="9"/>
  <c r="B923" i="9"/>
  <c r="B924" i="9"/>
  <c r="B925" i="9"/>
  <c r="B926" i="9"/>
  <c r="B928" i="9"/>
  <c r="B929" i="9"/>
  <c r="B930" i="9"/>
  <c r="B931" i="9"/>
  <c r="B932" i="9"/>
  <c r="B933" i="9"/>
  <c r="B934" i="9"/>
  <c r="B935" i="9"/>
  <c r="B936" i="9"/>
  <c r="B937" i="9"/>
  <c r="B938" i="9"/>
  <c r="B940" i="9"/>
  <c r="B941" i="9"/>
  <c r="B942" i="9"/>
  <c r="B943" i="9"/>
  <c r="B944" i="9"/>
  <c r="B945" i="9"/>
  <c r="B946" i="9"/>
  <c r="B947" i="9"/>
  <c r="B948" i="9"/>
  <c r="B949" i="9"/>
  <c r="B950" i="9"/>
  <c r="B952" i="9"/>
  <c r="B953" i="9"/>
  <c r="B954" i="9"/>
  <c r="B955" i="9"/>
  <c r="B956" i="9"/>
  <c r="B957" i="9"/>
  <c r="B958" i="9"/>
  <c r="B959" i="9"/>
  <c r="B960" i="9"/>
  <c r="B961" i="9"/>
  <c r="B962" i="9"/>
  <c r="B964" i="9"/>
  <c r="B965" i="9"/>
  <c r="B966" i="9"/>
  <c r="B967" i="9"/>
  <c r="B968" i="9"/>
  <c r="B969" i="9"/>
  <c r="B970" i="9"/>
  <c r="B971" i="9"/>
  <c r="B972" i="9"/>
  <c r="B973" i="9"/>
  <c r="B974" i="9"/>
  <c r="B976" i="9"/>
  <c r="B977" i="9"/>
  <c r="B978" i="9"/>
  <c r="B979" i="9"/>
  <c r="B980" i="9"/>
  <c r="B981" i="9"/>
  <c r="B982" i="9"/>
  <c r="B983" i="9"/>
  <c r="B984" i="9"/>
  <c r="B985" i="9"/>
  <c r="B986" i="9"/>
  <c r="B988" i="9"/>
  <c r="B989" i="9"/>
  <c r="B990" i="9"/>
  <c r="B991" i="9"/>
  <c r="B992" i="9"/>
  <c r="B993" i="9"/>
  <c r="B994" i="9"/>
  <c r="B995" i="9"/>
  <c r="B996" i="9"/>
  <c r="B997" i="9"/>
  <c r="B998" i="9"/>
  <c r="B1000" i="9"/>
  <c r="B1001" i="9"/>
  <c r="B1002" i="9"/>
  <c r="B1003" i="9"/>
  <c r="B1004" i="9"/>
  <c r="B1005" i="9"/>
  <c r="B1006" i="9"/>
  <c r="B1007" i="9"/>
  <c r="B1008" i="9"/>
  <c r="B1009" i="9"/>
  <c r="B1010" i="9"/>
  <c r="B1012" i="9"/>
  <c r="B1013" i="9"/>
  <c r="B1014" i="9"/>
  <c r="B1015" i="9"/>
  <c r="B1016" i="9"/>
  <c r="B1017" i="9"/>
  <c r="B1018" i="9"/>
  <c r="B1019" i="9"/>
  <c r="B1020" i="9"/>
  <c r="B1021" i="9"/>
  <c r="B1022" i="9"/>
  <c r="B1024" i="9"/>
  <c r="B1025" i="9"/>
  <c r="B1026" i="9"/>
  <c r="B1027" i="9"/>
  <c r="B1028" i="9"/>
  <c r="B1029" i="9"/>
  <c r="B1030" i="9"/>
  <c r="B1031" i="9"/>
  <c r="B1032" i="9"/>
  <c r="B1033" i="9"/>
  <c r="B1034" i="9"/>
  <c r="B1036" i="9"/>
  <c r="B1037" i="9"/>
  <c r="B1038" i="9"/>
  <c r="B1039" i="9"/>
  <c r="B1040" i="9"/>
  <c r="B1041" i="9"/>
  <c r="B1042" i="9"/>
  <c r="B1043" i="9"/>
  <c r="B1044" i="9"/>
  <c r="B1045" i="9"/>
  <c r="B1046" i="9"/>
  <c r="B1048" i="9"/>
  <c r="B1049" i="9"/>
  <c r="B1050" i="9"/>
  <c r="B1051" i="9"/>
  <c r="B1052" i="9"/>
  <c r="B1053" i="9"/>
  <c r="B1054" i="9"/>
  <c r="B1055" i="9"/>
  <c r="B1056" i="9"/>
  <c r="B1057" i="9"/>
  <c r="B1058" i="9"/>
  <c r="B1060" i="9"/>
  <c r="B1061" i="9"/>
  <c r="B1062" i="9"/>
  <c r="B1063" i="9"/>
  <c r="B1064" i="9"/>
  <c r="B1065" i="9"/>
  <c r="B1066" i="9"/>
  <c r="B1067" i="9"/>
  <c r="B1068" i="9"/>
  <c r="B1069" i="9"/>
  <c r="B1070" i="9"/>
  <c r="B1072" i="9"/>
  <c r="B1073" i="9"/>
  <c r="B1074" i="9"/>
  <c r="B1075" i="9"/>
  <c r="B1076" i="9"/>
  <c r="B1077" i="9"/>
  <c r="B1078" i="9"/>
  <c r="B1079" i="9"/>
  <c r="B1080" i="9"/>
  <c r="B1081" i="9"/>
  <c r="B1082" i="9"/>
  <c r="B1084" i="9"/>
  <c r="B1085" i="9"/>
  <c r="B1086" i="9"/>
  <c r="B1087" i="9"/>
  <c r="B1088" i="9"/>
  <c r="B1089" i="9"/>
  <c r="B1090" i="9"/>
  <c r="B1091" i="9"/>
  <c r="B1092" i="9"/>
  <c r="B1093" i="9"/>
  <c r="B1094" i="9"/>
  <c r="B1096" i="9"/>
  <c r="B1097" i="9"/>
  <c r="B1098" i="9"/>
  <c r="B1099" i="9"/>
  <c r="B1100" i="9"/>
  <c r="B1101" i="9"/>
  <c r="B1102" i="9"/>
  <c r="B1103" i="9"/>
  <c r="B1104" i="9"/>
  <c r="B1105" i="9"/>
  <c r="B1106" i="9"/>
  <c r="B1108" i="9"/>
  <c r="B1109" i="9"/>
  <c r="B1110" i="9"/>
  <c r="B1111" i="9"/>
  <c r="B1112" i="9"/>
  <c r="B1113" i="9"/>
  <c r="B1114" i="9"/>
  <c r="B1115" i="9"/>
  <c r="B1116" i="9"/>
  <c r="B1117" i="9"/>
  <c r="B1118" i="9"/>
  <c r="B1120" i="9"/>
  <c r="B1121" i="9"/>
  <c r="B1122" i="9"/>
  <c r="B1123" i="9"/>
  <c r="B1124" i="9"/>
  <c r="B1125" i="9"/>
  <c r="B1126" i="9"/>
  <c r="B1127" i="9"/>
  <c r="B1128" i="9"/>
  <c r="B1129" i="9"/>
  <c r="B1130" i="9"/>
  <c r="B1132" i="9"/>
  <c r="B1133" i="9"/>
  <c r="B1134" i="9"/>
  <c r="B1135" i="9"/>
  <c r="B1136" i="9"/>
  <c r="B1137" i="9"/>
  <c r="B1138" i="9"/>
  <c r="B1139" i="9"/>
  <c r="B1140" i="9"/>
  <c r="B1141" i="9"/>
  <c r="B1142" i="9"/>
  <c r="B1144" i="9"/>
  <c r="B1145" i="9"/>
  <c r="B1146" i="9"/>
  <c r="B1147" i="9"/>
  <c r="B1148" i="9"/>
  <c r="B1149" i="9"/>
  <c r="B1150" i="9"/>
  <c r="B1151" i="9"/>
  <c r="B1152" i="9"/>
  <c r="B1153" i="9"/>
  <c r="B1154" i="9"/>
  <c r="B1156" i="9"/>
  <c r="B1157" i="9"/>
  <c r="B1158" i="9"/>
  <c r="B1159" i="9"/>
  <c r="B1160" i="9"/>
  <c r="B1161" i="9"/>
  <c r="B1162" i="9"/>
  <c r="B1163" i="9"/>
  <c r="B1164" i="9"/>
  <c r="B1165" i="9"/>
  <c r="B1166" i="9"/>
  <c r="B1168" i="9"/>
  <c r="B1169" i="9"/>
  <c r="B1170" i="9"/>
  <c r="B1171" i="9"/>
  <c r="B1172" i="9"/>
  <c r="B1173" i="9"/>
  <c r="B1174" i="9"/>
  <c r="B1175" i="9"/>
  <c r="B1176" i="9"/>
  <c r="B1177" i="9"/>
  <c r="B1178" i="9"/>
  <c r="B1180" i="9"/>
  <c r="B1181" i="9"/>
  <c r="B1182" i="9"/>
  <c r="B1183" i="9"/>
  <c r="B1184" i="9"/>
  <c r="B1185" i="9"/>
  <c r="B1186" i="9"/>
  <c r="B1187" i="9"/>
  <c r="B1188" i="9"/>
  <c r="B1189" i="9"/>
  <c r="B1190" i="9"/>
  <c r="B1192" i="9"/>
  <c r="B1193" i="9"/>
  <c r="B1194" i="9"/>
  <c r="B1195" i="9"/>
  <c r="B1196" i="9"/>
  <c r="B1197" i="9"/>
  <c r="B1198" i="9"/>
  <c r="B1199" i="9"/>
  <c r="B1200" i="9"/>
  <c r="B1201" i="9"/>
  <c r="B1202" i="9"/>
  <c r="B1204" i="9"/>
  <c r="B1205" i="9"/>
  <c r="B1206" i="9"/>
  <c r="B1207" i="9"/>
  <c r="B1208" i="9"/>
  <c r="B1209" i="9"/>
  <c r="B1210" i="9"/>
  <c r="B1211" i="9"/>
  <c r="B1212" i="9"/>
  <c r="B1213" i="9"/>
  <c r="B1214" i="9"/>
  <c r="B1216" i="9"/>
  <c r="B1217" i="9"/>
  <c r="B1218" i="9"/>
  <c r="B1219" i="9"/>
  <c r="B1220" i="9"/>
  <c r="B1221" i="9"/>
  <c r="B1222" i="9"/>
  <c r="B1223" i="9"/>
  <c r="B1224" i="9"/>
  <c r="B1225" i="9"/>
  <c r="B1226" i="9"/>
  <c r="B1228" i="9"/>
  <c r="B1229" i="9"/>
  <c r="B1230" i="9"/>
  <c r="B1231" i="9"/>
  <c r="B1232" i="9"/>
  <c r="B1233" i="9"/>
  <c r="B1234" i="9"/>
  <c r="B1235" i="9"/>
  <c r="B1236" i="9"/>
  <c r="B1237" i="9"/>
  <c r="B1238" i="9"/>
  <c r="B1240" i="9"/>
  <c r="B1241" i="9"/>
  <c r="B1242" i="9"/>
  <c r="B1243" i="9"/>
  <c r="B1244" i="9"/>
  <c r="B1245" i="9"/>
  <c r="B1246" i="9"/>
  <c r="B1247" i="9"/>
  <c r="B1248" i="9"/>
  <c r="B1249" i="9"/>
  <c r="B1250" i="9"/>
  <c r="B1253" i="9"/>
  <c r="B1254" i="9"/>
  <c r="B1255" i="9"/>
  <c r="B1256" i="9"/>
  <c r="B1257" i="9"/>
  <c r="B1258" i="9"/>
  <c r="B1259" i="9"/>
  <c r="B1260" i="9"/>
  <c r="B1261" i="9"/>
  <c r="B1262" i="9"/>
  <c r="B1264" i="9"/>
  <c r="B1265" i="9"/>
  <c r="B1266" i="9"/>
  <c r="B1267" i="9"/>
  <c r="B1268" i="9"/>
  <c r="B1269" i="9"/>
  <c r="B1270" i="9"/>
  <c r="B1271" i="9"/>
  <c r="B1272" i="9"/>
  <c r="B1273" i="9"/>
  <c r="B1274" i="9"/>
  <c r="B1276" i="9"/>
  <c r="B1277" i="9"/>
  <c r="B1278" i="9"/>
  <c r="B1279" i="9"/>
  <c r="B1280" i="9"/>
  <c r="B1281" i="9"/>
  <c r="B1282" i="9"/>
  <c r="B1283" i="9"/>
  <c r="B1284" i="9"/>
  <c r="B1285" i="9"/>
  <c r="B1286" i="9"/>
  <c r="B1288" i="9"/>
  <c r="B1289" i="9"/>
  <c r="B1290" i="9"/>
  <c r="B1291" i="9"/>
  <c r="B1292" i="9"/>
  <c r="B1293" i="9"/>
  <c r="B1294" i="9"/>
  <c r="B1295" i="9"/>
  <c r="B1296" i="9"/>
  <c r="B1297" i="9"/>
  <c r="B1298" i="9"/>
  <c r="B1300" i="9"/>
  <c r="B1301" i="9"/>
  <c r="B1302" i="9"/>
  <c r="B1303" i="9"/>
  <c r="B1304" i="9"/>
  <c r="B1305" i="9"/>
  <c r="B1306" i="9"/>
  <c r="B1307" i="9"/>
  <c r="B1308" i="9"/>
  <c r="B1309" i="9"/>
  <c r="B1310" i="9"/>
  <c r="B1312" i="9"/>
  <c r="B1313" i="9"/>
  <c r="B1314" i="9"/>
  <c r="B1315" i="9"/>
  <c r="B1316" i="9"/>
  <c r="B1317" i="9"/>
  <c r="B1318" i="9"/>
  <c r="B1319" i="9"/>
  <c r="B1320" i="9"/>
  <c r="B1321" i="9"/>
  <c r="B1322" i="9"/>
  <c r="B1324" i="9"/>
  <c r="B1325" i="9"/>
  <c r="B1326" i="9"/>
  <c r="B1327" i="9"/>
  <c r="B1328" i="9"/>
  <c r="B1329" i="9"/>
  <c r="B1330" i="9"/>
  <c r="B1331" i="9"/>
  <c r="B1332" i="9"/>
  <c r="B1333" i="9"/>
  <c r="B1334" i="9"/>
  <c r="B1336" i="9"/>
  <c r="B1337" i="9"/>
  <c r="B1338" i="9"/>
  <c r="B1339" i="9"/>
  <c r="B1340" i="9"/>
  <c r="B1341" i="9"/>
  <c r="B1342" i="9"/>
  <c r="B1343" i="9"/>
  <c r="B1344" i="9"/>
  <c r="B1345" i="9"/>
  <c r="B1346" i="9"/>
  <c r="B1348" i="9"/>
  <c r="B1349" i="9"/>
  <c r="B1350" i="9"/>
  <c r="B1351" i="9"/>
  <c r="B1352" i="9"/>
  <c r="B1353" i="9"/>
  <c r="B1354" i="9"/>
  <c r="B1355" i="9"/>
  <c r="B1356" i="9"/>
  <c r="B1357" i="9"/>
  <c r="B1358" i="9"/>
  <c r="B1360" i="9"/>
  <c r="B1361" i="9"/>
  <c r="B1362" i="9"/>
  <c r="B1363" i="9"/>
  <c r="B1364" i="9"/>
  <c r="B1365" i="9"/>
  <c r="B1366" i="9"/>
  <c r="B1367" i="9"/>
  <c r="B1368" i="9"/>
  <c r="B1369" i="9"/>
  <c r="B1370" i="9"/>
  <c r="B1372" i="9"/>
  <c r="B1373" i="9"/>
  <c r="B1374" i="9"/>
  <c r="B1375" i="9"/>
  <c r="B1376" i="9"/>
  <c r="B1377" i="9"/>
  <c r="B1378" i="9"/>
  <c r="B1379" i="9"/>
  <c r="B1380" i="9"/>
  <c r="B1381" i="9"/>
  <c r="B1382" i="9"/>
  <c r="B1384" i="9"/>
  <c r="B1385" i="9"/>
  <c r="B1386" i="9"/>
  <c r="B1387" i="9"/>
  <c r="B1388" i="9"/>
  <c r="B1389" i="9"/>
  <c r="B1390" i="9"/>
  <c r="B1391" i="9"/>
  <c r="B1392" i="9"/>
  <c r="B1393" i="9"/>
  <c r="B1394" i="9"/>
  <c r="B1396" i="9"/>
  <c r="B1397" i="9"/>
  <c r="B1398" i="9"/>
  <c r="B1399" i="9"/>
  <c r="B1400" i="9"/>
  <c r="B1401" i="9"/>
  <c r="B1402" i="9"/>
  <c r="B1403" i="9"/>
  <c r="B1404" i="9"/>
  <c r="B1405" i="9"/>
  <c r="B1406" i="9"/>
  <c r="B1408" i="9"/>
  <c r="B1409" i="9"/>
  <c r="B1410" i="9"/>
  <c r="B1411" i="9"/>
  <c r="B1412" i="9"/>
  <c r="B1413" i="9"/>
  <c r="B1414" i="9"/>
  <c r="B1415" i="9"/>
  <c r="B1416" i="9"/>
  <c r="B1417" i="9"/>
  <c r="B1418" i="9"/>
  <c r="B1420" i="9"/>
  <c r="B1421" i="9"/>
  <c r="B1422" i="9"/>
  <c r="B1423" i="9"/>
  <c r="B1424" i="9"/>
  <c r="B1425" i="9"/>
  <c r="B1426" i="9"/>
  <c r="B1427" i="9"/>
  <c r="B1428" i="9"/>
  <c r="B1429" i="9"/>
  <c r="B1430" i="9"/>
  <c r="B1432" i="9"/>
  <c r="B1433" i="9"/>
  <c r="B1434" i="9"/>
  <c r="B1435" i="9"/>
  <c r="B1436" i="9"/>
  <c r="B1437" i="9"/>
  <c r="B1438" i="9"/>
  <c r="B1439" i="9"/>
  <c r="B1440" i="9"/>
  <c r="B1441" i="9"/>
  <c r="B1442" i="9"/>
  <c r="B1444" i="9"/>
  <c r="B1445" i="9"/>
  <c r="B1446" i="9"/>
  <c r="B1447" i="9"/>
  <c r="B1448" i="9"/>
  <c r="B1449" i="9"/>
  <c r="B1450" i="9"/>
  <c r="B1451" i="9"/>
  <c r="B1452" i="9"/>
  <c r="B1453" i="9"/>
  <c r="B1454" i="9"/>
  <c r="B1456" i="9"/>
  <c r="B1457" i="9"/>
  <c r="B1458" i="9"/>
  <c r="B1459" i="9"/>
  <c r="B1460" i="9"/>
  <c r="B1461" i="9"/>
  <c r="B1462" i="9"/>
  <c r="B1463" i="9"/>
  <c r="B1464" i="9"/>
  <c r="B1465" i="9"/>
  <c r="B1466" i="9"/>
  <c r="B1468" i="9"/>
  <c r="B1469" i="9"/>
  <c r="B1470" i="9"/>
  <c r="B1471" i="9"/>
  <c r="B1472" i="9"/>
  <c r="B1473" i="9"/>
  <c r="B1474" i="9"/>
  <c r="B1475" i="9"/>
  <c r="B1476" i="9"/>
  <c r="B1477" i="9"/>
  <c r="B1478" i="9"/>
  <c r="B1480" i="9"/>
  <c r="B1481" i="9"/>
  <c r="B1482" i="9"/>
  <c r="B1483" i="9"/>
  <c r="B1484" i="9"/>
  <c r="B1485" i="9"/>
  <c r="B1486" i="9"/>
  <c r="B1487" i="9"/>
  <c r="B1488" i="9"/>
  <c r="B1489" i="9"/>
  <c r="B1490" i="9"/>
  <c r="B1492" i="9"/>
  <c r="B1493" i="9"/>
  <c r="B1494" i="9"/>
  <c r="B1495" i="9"/>
  <c r="B1496" i="9"/>
  <c r="B1497" i="9"/>
  <c r="B1498" i="9"/>
  <c r="B1499" i="9"/>
  <c r="B1500" i="9"/>
  <c r="B1501" i="9"/>
  <c r="B1502" i="9"/>
  <c r="B1504" i="9"/>
  <c r="B1505" i="9"/>
  <c r="B1506" i="9"/>
  <c r="B1507" i="9"/>
  <c r="B1508" i="9"/>
  <c r="B1509" i="9"/>
  <c r="B1510" i="9"/>
  <c r="B1511" i="9"/>
  <c r="B1512" i="9"/>
  <c r="B1513" i="9"/>
  <c r="B1514" i="9"/>
  <c r="B1516" i="9"/>
  <c r="B1517" i="9"/>
  <c r="B1518" i="9"/>
  <c r="B1519" i="9"/>
  <c r="B1520" i="9"/>
  <c r="B1521" i="9"/>
  <c r="B1522" i="9"/>
  <c r="B1523" i="9"/>
  <c r="B1524" i="9"/>
  <c r="B1525" i="9"/>
  <c r="B1526" i="9"/>
  <c r="B1528" i="9"/>
  <c r="B1529" i="9"/>
  <c r="B1530" i="9"/>
  <c r="B1531" i="9"/>
  <c r="B1532" i="9"/>
  <c r="B1533" i="9"/>
  <c r="B1534" i="9"/>
  <c r="B1535" i="9"/>
  <c r="B1536" i="9"/>
  <c r="B1537" i="9"/>
  <c r="B1538" i="9"/>
  <c r="B1540" i="9"/>
  <c r="B1541" i="9"/>
  <c r="B1542" i="9"/>
  <c r="B1543" i="9"/>
  <c r="B1544" i="9"/>
  <c r="B1545" i="9"/>
  <c r="B1546" i="9"/>
  <c r="B1547" i="9"/>
  <c r="B1548" i="9"/>
  <c r="B1549" i="9"/>
  <c r="B1550" i="9"/>
  <c r="B1552" i="9"/>
  <c r="B1553" i="9"/>
  <c r="B1554" i="9"/>
  <c r="B1555" i="9"/>
  <c r="B1556" i="9"/>
  <c r="B1557" i="9"/>
  <c r="B1558" i="9"/>
  <c r="B1559" i="9"/>
  <c r="B1560" i="9"/>
  <c r="B1561" i="9"/>
  <c r="B1562" i="9"/>
  <c r="B1564" i="9"/>
  <c r="B1565" i="9"/>
  <c r="B1566" i="9"/>
  <c r="B1567" i="9"/>
  <c r="B1568" i="9"/>
  <c r="B1569" i="9"/>
  <c r="B1570" i="9"/>
  <c r="B1571" i="9"/>
  <c r="B1572" i="9"/>
  <c r="B1573" i="9"/>
  <c r="B1574" i="9"/>
  <c r="B1576" i="9"/>
  <c r="B1577" i="9"/>
  <c r="B1578" i="9"/>
  <c r="B1579" i="9"/>
  <c r="B1580" i="9"/>
  <c r="B1581" i="9"/>
  <c r="B1582" i="9"/>
  <c r="B1583" i="9"/>
  <c r="B1584" i="9"/>
  <c r="B1585" i="9"/>
  <c r="B1586" i="9"/>
  <c r="B1588" i="9"/>
  <c r="B1589" i="9"/>
  <c r="B1590" i="9"/>
  <c r="B1591" i="9"/>
  <c r="B1592" i="9"/>
  <c r="B1593" i="9"/>
  <c r="B1594" i="9"/>
  <c r="B1595" i="9"/>
  <c r="B1596" i="9"/>
  <c r="B1597" i="9"/>
  <c r="B1598" i="9"/>
  <c r="B1600" i="9"/>
  <c r="B1601" i="9"/>
  <c r="B1602" i="9"/>
  <c r="B1603" i="9"/>
  <c r="B1604" i="9"/>
  <c r="B1605" i="9"/>
  <c r="B1606" i="9"/>
  <c r="B1607" i="9"/>
  <c r="B1608" i="9"/>
  <c r="B1609" i="9"/>
  <c r="B1610" i="9"/>
  <c r="B1612" i="9"/>
  <c r="B1613" i="9"/>
  <c r="B1614" i="9"/>
  <c r="B1615" i="9"/>
  <c r="B1616" i="9"/>
  <c r="B1617" i="9"/>
  <c r="B1618" i="9"/>
  <c r="B1619" i="9"/>
  <c r="B1620" i="9"/>
  <c r="B1621" i="9"/>
  <c r="B1622" i="9"/>
  <c r="B1624" i="9"/>
  <c r="B1625" i="9"/>
  <c r="B1626" i="9"/>
  <c r="B1627" i="9"/>
  <c r="B1628" i="9"/>
  <c r="B1629" i="9"/>
  <c r="B1630" i="9"/>
  <c r="B1631" i="9"/>
  <c r="B1632" i="9"/>
  <c r="B1633" i="9"/>
  <c r="B1634" i="9"/>
  <c r="B1636" i="9"/>
  <c r="B1637" i="9"/>
  <c r="B1638" i="9"/>
  <c r="B1639" i="9"/>
  <c r="B1640" i="9"/>
  <c r="B1641" i="9"/>
  <c r="B1642" i="9"/>
  <c r="B1643" i="9"/>
  <c r="B1644" i="9"/>
  <c r="B1645" i="9"/>
  <c r="B1646" i="9"/>
  <c r="B1648" i="9"/>
  <c r="R667" i="12"/>
  <c r="O667" i="12"/>
  <c r="H667" i="12"/>
  <c r="R666" i="12"/>
  <c r="O666" i="12"/>
  <c r="H666" i="12"/>
  <c r="R665" i="12"/>
  <c r="O665" i="12"/>
  <c r="H665" i="12"/>
  <c r="R664" i="12"/>
  <c r="O664" i="12"/>
  <c r="H664" i="12"/>
  <c r="R663" i="12"/>
  <c r="O663" i="12"/>
  <c r="H663" i="12"/>
  <c r="R662" i="12"/>
  <c r="O662" i="12"/>
  <c r="H662" i="12"/>
  <c r="R661" i="12"/>
  <c r="O661" i="12"/>
  <c r="H661" i="12"/>
  <c r="R660" i="12"/>
  <c r="O660" i="12"/>
  <c r="H660" i="12"/>
  <c r="R659" i="12"/>
  <c r="O659" i="12"/>
  <c r="H659" i="12"/>
  <c r="R658" i="12"/>
  <c r="O658" i="12"/>
  <c r="H658" i="12"/>
  <c r="R657" i="12"/>
  <c r="O657" i="12"/>
  <c r="H657" i="12"/>
  <c r="R656" i="12"/>
  <c r="O656" i="12"/>
  <c r="H656" i="12"/>
  <c r="R655" i="12"/>
  <c r="O655" i="12"/>
  <c r="H655" i="12"/>
  <c r="R654" i="12"/>
  <c r="O654" i="12"/>
  <c r="H654" i="12"/>
  <c r="R653" i="12"/>
  <c r="O653" i="12"/>
  <c r="H653" i="12"/>
  <c r="R652" i="12"/>
  <c r="O652" i="12"/>
  <c r="H652" i="12"/>
  <c r="R651" i="12"/>
  <c r="O651" i="12"/>
  <c r="H651" i="12"/>
  <c r="R650" i="12"/>
  <c r="O650" i="12"/>
  <c r="H650" i="12"/>
  <c r="R649" i="12"/>
  <c r="O649" i="12"/>
  <c r="H649" i="12"/>
  <c r="R648" i="12"/>
  <c r="O648" i="12"/>
  <c r="H648" i="12"/>
  <c r="R647" i="12"/>
  <c r="O647" i="12"/>
  <c r="H647" i="12"/>
  <c r="R646" i="12"/>
  <c r="O646" i="12"/>
  <c r="H646" i="12"/>
  <c r="R645" i="12"/>
  <c r="O645" i="12"/>
  <c r="H645" i="12"/>
  <c r="R644" i="12"/>
  <c r="O644" i="12"/>
  <c r="H644" i="12"/>
  <c r="R643" i="12"/>
  <c r="O643" i="12"/>
  <c r="H643" i="12"/>
  <c r="R642" i="12"/>
  <c r="O642" i="12"/>
  <c r="H642" i="12"/>
  <c r="R641" i="12"/>
  <c r="O641" i="12"/>
  <c r="H641" i="12"/>
  <c r="R640" i="12"/>
  <c r="O640" i="12"/>
  <c r="H640" i="12"/>
  <c r="R639" i="12"/>
  <c r="O639" i="12"/>
  <c r="H639" i="12"/>
  <c r="R638" i="12"/>
  <c r="O638" i="12"/>
  <c r="H638" i="12"/>
  <c r="R637" i="12"/>
  <c r="O637" i="12"/>
  <c r="H637" i="12"/>
  <c r="R636" i="12"/>
  <c r="O636" i="12"/>
  <c r="H636" i="12"/>
  <c r="R635" i="12"/>
  <c r="O635" i="12"/>
  <c r="H635" i="12"/>
  <c r="R634" i="12"/>
  <c r="O634" i="12"/>
  <c r="H634" i="12"/>
  <c r="R633" i="12"/>
  <c r="O633" i="12"/>
  <c r="H633" i="12"/>
  <c r="R632" i="12"/>
  <c r="O632" i="12"/>
  <c r="H632" i="12"/>
  <c r="R631" i="12"/>
  <c r="O631" i="12"/>
  <c r="H631" i="12"/>
  <c r="R630" i="12"/>
  <c r="O630" i="12"/>
  <c r="H630" i="12"/>
  <c r="R629" i="12"/>
  <c r="O629" i="12"/>
  <c r="H629" i="12"/>
  <c r="R628" i="12"/>
  <c r="O628" i="12"/>
  <c r="H628" i="12"/>
  <c r="R627" i="12"/>
  <c r="O627" i="12"/>
  <c r="H627" i="12"/>
  <c r="R626" i="12"/>
  <c r="O626" i="12"/>
  <c r="H626" i="12"/>
  <c r="R625" i="12"/>
  <c r="O625" i="12"/>
  <c r="H625" i="12"/>
  <c r="R624" i="12"/>
  <c r="O624" i="12"/>
  <c r="H624" i="12"/>
  <c r="R623" i="12"/>
  <c r="O623" i="12"/>
  <c r="H623" i="12"/>
  <c r="R622" i="12"/>
  <c r="O622" i="12"/>
  <c r="H622" i="12"/>
  <c r="R621" i="12"/>
  <c r="O621" i="12"/>
  <c r="H621" i="12"/>
  <c r="R620" i="12"/>
  <c r="O620" i="12"/>
  <c r="H620" i="12"/>
  <c r="R619" i="12"/>
  <c r="O619" i="12"/>
  <c r="H619" i="12"/>
  <c r="R618" i="12"/>
  <c r="O618" i="12"/>
  <c r="H618" i="12"/>
  <c r="R617" i="12"/>
  <c r="O617" i="12"/>
  <c r="H617" i="12"/>
  <c r="R616" i="12"/>
  <c r="O616" i="12"/>
  <c r="H616" i="12"/>
  <c r="R615" i="12"/>
  <c r="O615" i="12"/>
  <c r="H615" i="12"/>
  <c r="R614" i="12"/>
  <c r="O614" i="12"/>
  <c r="H614" i="12"/>
  <c r="R613" i="12"/>
  <c r="O613" i="12"/>
  <c r="H613" i="12"/>
  <c r="R612" i="12"/>
  <c r="O612" i="12"/>
  <c r="H612" i="12"/>
  <c r="R611" i="12"/>
  <c r="O611" i="12"/>
  <c r="H611" i="12"/>
  <c r="R610" i="12"/>
  <c r="O610" i="12"/>
  <c r="H610" i="12"/>
  <c r="R609" i="12"/>
  <c r="O609" i="12"/>
  <c r="H609" i="12"/>
  <c r="R608" i="12"/>
  <c r="O608" i="12"/>
  <c r="H608" i="12"/>
  <c r="R607" i="12"/>
  <c r="O607" i="12"/>
  <c r="H607" i="12"/>
  <c r="R606" i="12"/>
  <c r="O606" i="12"/>
  <c r="H606" i="12"/>
  <c r="R605" i="12"/>
  <c r="O605" i="12"/>
  <c r="H605" i="12"/>
  <c r="R604" i="12"/>
  <c r="O604" i="12"/>
  <c r="H604" i="12"/>
  <c r="R603" i="12"/>
  <c r="O603" i="12"/>
  <c r="H603" i="12"/>
  <c r="R602" i="12"/>
  <c r="O602" i="12"/>
  <c r="H602" i="12"/>
  <c r="R601" i="12"/>
  <c r="O601" i="12"/>
  <c r="H601" i="12"/>
  <c r="R600" i="12"/>
  <c r="O600" i="12"/>
  <c r="H600" i="12"/>
  <c r="R599" i="12"/>
  <c r="O599" i="12"/>
  <c r="H599" i="12"/>
  <c r="R598" i="12"/>
  <c r="O598" i="12"/>
  <c r="H598" i="12"/>
  <c r="R597" i="12"/>
  <c r="O597" i="12"/>
  <c r="H597" i="12"/>
  <c r="R596" i="12"/>
  <c r="O596" i="12"/>
  <c r="H596" i="12"/>
  <c r="R595" i="12"/>
  <c r="O595" i="12"/>
  <c r="H595" i="12"/>
  <c r="R594" i="12"/>
  <c r="O594" i="12"/>
  <c r="H594" i="12"/>
  <c r="R593" i="12"/>
  <c r="O593" i="12"/>
  <c r="H593" i="12"/>
  <c r="R592" i="12"/>
  <c r="O592" i="12"/>
  <c r="H592" i="12"/>
  <c r="R591" i="12"/>
  <c r="O591" i="12"/>
  <c r="H591" i="12"/>
  <c r="R590" i="12"/>
  <c r="O590" i="12"/>
  <c r="H590" i="12"/>
  <c r="R589" i="12"/>
  <c r="O589" i="12"/>
  <c r="H589" i="12"/>
  <c r="R588" i="12"/>
  <c r="O588" i="12"/>
  <c r="H588" i="12"/>
  <c r="R587" i="12"/>
  <c r="O587" i="12"/>
  <c r="H587" i="12"/>
  <c r="R586" i="12"/>
  <c r="O586" i="12"/>
  <c r="H586" i="12"/>
  <c r="R585" i="12"/>
  <c r="O585" i="12"/>
  <c r="H585" i="12"/>
  <c r="R584" i="12"/>
  <c r="O584" i="12"/>
  <c r="H584" i="12"/>
  <c r="R583" i="12"/>
  <c r="O583" i="12"/>
  <c r="H583" i="12"/>
  <c r="R582" i="12"/>
  <c r="O582" i="12"/>
  <c r="H582" i="12"/>
  <c r="R581" i="12"/>
  <c r="O581" i="12"/>
  <c r="H581" i="12"/>
  <c r="R580" i="12"/>
  <c r="O580" i="12"/>
  <c r="H580" i="12"/>
  <c r="R579" i="12"/>
  <c r="O579" i="12"/>
  <c r="H579" i="12"/>
  <c r="R578" i="12"/>
  <c r="O578" i="12"/>
  <c r="H578" i="12"/>
  <c r="R577" i="12"/>
  <c r="O577" i="12"/>
  <c r="H577" i="12"/>
  <c r="R576" i="12"/>
  <c r="O576" i="12"/>
  <c r="H576" i="12"/>
  <c r="R575" i="12"/>
  <c r="O575" i="12"/>
  <c r="H575" i="12"/>
  <c r="R574" i="12"/>
  <c r="O574" i="12"/>
  <c r="H574" i="12"/>
  <c r="R573" i="12"/>
  <c r="O573" i="12"/>
  <c r="H573" i="12"/>
  <c r="R572" i="12"/>
  <c r="O572" i="12"/>
  <c r="H572" i="12"/>
  <c r="R571" i="12"/>
  <c r="O571" i="12"/>
  <c r="H571" i="12"/>
  <c r="R570" i="12"/>
  <c r="O570" i="12"/>
  <c r="H570" i="12"/>
  <c r="R569" i="12"/>
  <c r="O569" i="12"/>
  <c r="H569" i="12"/>
  <c r="R568" i="12"/>
  <c r="O568" i="12"/>
  <c r="H568" i="12"/>
  <c r="R567" i="12"/>
  <c r="O567" i="12"/>
  <c r="H567" i="12"/>
  <c r="R566" i="12"/>
  <c r="O566" i="12"/>
  <c r="H566" i="12"/>
  <c r="R565" i="12"/>
  <c r="O565" i="12"/>
  <c r="H565" i="12"/>
  <c r="R564" i="12"/>
  <c r="O564" i="12"/>
  <c r="H564" i="12"/>
  <c r="R563" i="12"/>
  <c r="O563" i="12"/>
  <c r="H563" i="12"/>
  <c r="R562" i="12"/>
  <c r="O562" i="12"/>
  <c r="H562" i="12"/>
  <c r="R561" i="12"/>
  <c r="O561" i="12"/>
  <c r="H561" i="12"/>
  <c r="R560" i="12"/>
  <c r="O560" i="12"/>
  <c r="H560" i="12"/>
  <c r="R559" i="12"/>
  <c r="O559" i="12"/>
  <c r="H559" i="12"/>
  <c r="R558" i="12"/>
  <c r="O558" i="12"/>
  <c r="H558" i="12"/>
  <c r="R557" i="12"/>
  <c r="O557" i="12"/>
  <c r="H557" i="12"/>
  <c r="R556" i="12"/>
  <c r="O556" i="12"/>
  <c r="H556" i="12"/>
  <c r="R555" i="12"/>
  <c r="O555" i="12"/>
  <c r="H555" i="12"/>
  <c r="R554" i="12"/>
  <c r="O554" i="12"/>
  <c r="H554" i="12"/>
  <c r="R553" i="12"/>
  <c r="O553" i="12"/>
  <c r="H553" i="12"/>
  <c r="R552" i="12"/>
  <c r="O552" i="12"/>
  <c r="H552" i="12"/>
  <c r="R551" i="12"/>
  <c r="O551" i="12"/>
  <c r="H551" i="12"/>
  <c r="R550" i="12"/>
  <c r="O550" i="12"/>
  <c r="H550" i="12"/>
  <c r="R549" i="12"/>
  <c r="O549" i="12"/>
  <c r="H549" i="12"/>
  <c r="R548" i="12"/>
  <c r="O548" i="12"/>
  <c r="H548" i="12"/>
  <c r="R547" i="12"/>
  <c r="O547" i="12"/>
  <c r="H547" i="12"/>
  <c r="R546" i="12"/>
  <c r="O546" i="12"/>
  <c r="H546" i="12"/>
  <c r="R545" i="12"/>
  <c r="O545" i="12"/>
  <c r="H545" i="12"/>
  <c r="R544" i="12"/>
  <c r="O544" i="12"/>
  <c r="H544" i="12"/>
  <c r="R543" i="12"/>
  <c r="O543" i="12"/>
  <c r="H543" i="12"/>
  <c r="R542" i="12"/>
  <c r="O542" i="12"/>
  <c r="H542" i="12"/>
  <c r="R541" i="12"/>
  <c r="O541" i="12"/>
  <c r="H541" i="12"/>
  <c r="R540" i="12"/>
  <c r="O540" i="12"/>
  <c r="H540" i="12"/>
  <c r="R539" i="12"/>
  <c r="O539" i="12"/>
  <c r="H539" i="12"/>
  <c r="R538" i="12"/>
  <c r="O538" i="12"/>
  <c r="H538" i="12"/>
  <c r="R537" i="12"/>
  <c r="O537" i="12"/>
  <c r="H537" i="12"/>
  <c r="R536" i="12"/>
  <c r="O536" i="12"/>
  <c r="H536" i="12"/>
  <c r="R535" i="12"/>
  <c r="O535" i="12"/>
  <c r="H535" i="12"/>
  <c r="R534" i="12"/>
  <c r="O534" i="12"/>
  <c r="H534" i="12"/>
  <c r="R533" i="12"/>
  <c r="O533" i="12"/>
  <c r="H533" i="12"/>
  <c r="R532" i="12"/>
  <c r="O532" i="12"/>
  <c r="H532" i="12"/>
  <c r="R531" i="12"/>
  <c r="O531" i="12"/>
  <c r="H531" i="12"/>
  <c r="R530" i="12"/>
  <c r="O530" i="12"/>
  <c r="H530" i="12"/>
  <c r="R529" i="12"/>
  <c r="O529" i="12"/>
  <c r="H529" i="12"/>
  <c r="R528" i="12"/>
  <c r="O528" i="12"/>
  <c r="H528" i="12"/>
  <c r="R527" i="12"/>
  <c r="O527" i="12"/>
  <c r="H527" i="12"/>
  <c r="R526" i="12"/>
  <c r="O526" i="12"/>
  <c r="H526" i="12"/>
  <c r="R525" i="12"/>
  <c r="O525" i="12"/>
  <c r="H525" i="12"/>
  <c r="R524" i="12"/>
  <c r="O524" i="12"/>
  <c r="H524" i="12"/>
  <c r="R523" i="12"/>
  <c r="O523" i="12"/>
  <c r="H523" i="12"/>
  <c r="R522" i="12"/>
  <c r="O522" i="12"/>
  <c r="H522" i="12"/>
  <c r="R521" i="12"/>
  <c r="O521" i="12"/>
  <c r="H521" i="12"/>
  <c r="R520" i="12"/>
  <c r="O520" i="12"/>
  <c r="H520" i="12"/>
  <c r="R519" i="12"/>
  <c r="O519" i="12"/>
  <c r="H519" i="12"/>
  <c r="R518" i="12"/>
  <c r="O518" i="12"/>
  <c r="H518" i="12"/>
  <c r="R517" i="12"/>
  <c r="O517" i="12"/>
  <c r="H517" i="12"/>
  <c r="R516" i="12"/>
  <c r="O516" i="12"/>
  <c r="H516" i="12"/>
  <c r="R515" i="12"/>
  <c r="O515" i="12"/>
  <c r="H515" i="12"/>
  <c r="R514" i="12"/>
  <c r="O514" i="12"/>
  <c r="H514" i="12"/>
  <c r="R513" i="12"/>
  <c r="O513" i="12"/>
  <c r="R512" i="12"/>
  <c r="O512" i="12"/>
  <c r="R511" i="12"/>
  <c r="O511" i="12"/>
  <c r="R510" i="12"/>
  <c r="O510" i="12"/>
  <c r="R509" i="12"/>
  <c r="O509" i="12"/>
  <c r="R508" i="12"/>
  <c r="O508" i="12"/>
  <c r="R507" i="12"/>
  <c r="O507" i="12"/>
  <c r="R506" i="12"/>
  <c r="O506" i="12"/>
  <c r="R505" i="12"/>
  <c r="O505" i="12"/>
  <c r="R504" i="12"/>
  <c r="O504" i="12"/>
  <c r="R503" i="12"/>
  <c r="O503" i="12"/>
  <c r="R502" i="12"/>
  <c r="O502" i="12"/>
  <c r="R501" i="12"/>
  <c r="O501" i="12"/>
  <c r="R500" i="12"/>
  <c r="O500" i="12"/>
  <c r="R499" i="12"/>
  <c r="O499" i="12"/>
  <c r="R498" i="12"/>
  <c r="O498" i="12"/>
  <c r="R497" i="12"/>
  <c r="O497" i="12"/>
  <c r="R496" i="12"/>
  <c r="O496" i="12"/>
  <c r="R495" i="12"/>
  <c r="O495" i="12"/>
  <c r="R494" i="12"/>
  <c r="O494" i="12"/>
  <c r="R493" i="12"/>
  <c r="O493" i="12"/>
  <c r="R492" i="12"/>
  <c r="O492" i="12"/>
  <c r="R491" i="12"/>
  <c r="O491" i="12"/>
  <c r="R490" i="12"/>
  <c r="O490" i="12"/>
  <c r="R489" i="12"/>
  <c r="O489" i="12"/>
  <c r="R488" i="12"/>
  <c r="O488" i="12"/>
  <c r="R487" i="12"/>
  <c r="O487" i="12"/>
  <c r="R486" i="12"/>
  <c r="O486" i="12"/>
  <c r="R485" i="12"/>
  <c r="O485" i="12"/>
  <c r="R484" i="12"/>
  <c r="O484" i="12"/>
  <c r="R483" i="12"/>
  <c r="O483" i="12"/>
  <c r="R482" i="12"/>
  <c r="O482" i="12"/>
  <c r="R481" i="12"/>
  <c r="O481" i="12"/>
  <c r="R480" i="12"/>
  <c r="O480" i="12"/>
  <c r="R479" i="12"/>
  <c r="O479" i="12"/>
  <c r="R478" i="12"/>
  <c r="O478" i="12"/>
  <c r="R477" i="12"/>
  <c r="O477" i="12"/>
  <c r="R476" i="12"/>
  <c r="R475" i="12"/>
  <c r="R474" i="12"/>
  <c r="R473" i="12"/>
  <c r="R472" i="12"/>
  <c r="R471" i="12"/>
  <c r="R470" i="12"/>
  <c r="M470" i="12"/>
  <c r="L470" i="12" s="1"/>
  <c r="R469" i="12"/>
  <c r="M469" i="12"/>
  <c r="L469" i="12" s="1"/>
  <c r="R468" i="12"/>
  <c r="M468" i="12"/>
  <c r="L468" i="12" s="1"/>
  <c r="R467" i="12"/>
  <c r="M467" i="12"/>
  <c r="L467" i="12" s="1"/>
  <c r="R466" i="12"/>
  <c r="M466" i="12"/>
  <c r="L466" i="12" s="1"/>
  <c r="R465" i="12"/>
  <c r="M465" i="12"/>
  <c r="L465" i="12" s="1"/>
  <c r="R464" i="12"/>
  <c r="M464" i="12"/>
  <c r="L464" i="12" s="1"/>
  <c r="R463" i="12"/>
  <c r="M463" i="12"/>
  <c r="L463" i="12" s="1"/>
  <c r="R462" i="12"/>
  <c r="M462" i="12"/>
  <c r="L462" i="12" s="1"/>
  <c r="R461" i="12"/>
  <c r="M461" i="12"/>
  <c r="L461" i="12" s="1"/>
  <c r="R460" i="12"/>
  <c r="R459" i="12"/>
  <c r="R458" i="12"/>
  <c r="M458" i="12"/>
  <c r="L458" i="12" s="1"/>
  <c r="R457" i="12"/>
  <c r="M457" i="12"/>
  <c r="L457" i="12" s="1"/>
  <c r="R456" i="12"/>
  <c r="M456" i="12"/>
  <c r="L456" i="12" s="1"/>
  <c r="R455" i="12"/>
  <c r="M455" i="12"/>
  <c r="L455" i="12" s="1"/>
  <c r="R454" i="12"/>
  <c r="M454" i="12"/>
  <c r="R453" i="12"/>
  <c r="M453" i="12"/>
  <c r="C453" i="12"/>
  <c r="R452" i="12"/>
  <c r="M452" i="12"/>
  <c r="H452" i="12"/>
  <c r="R451" i="12"/>
  <c r="M451" i="12"/>
  <c r="C451" i="12"/>
  <c r="R450" i="12"/>
  <c r="M450" i="12"/>
  <c r="C450" i="12"/>
  <c r="R449" i="12"/>
  <c r="M449" i="12"/>
  <c r="C449" i="12"/>
  <c r="R448" i="12"/>
  <c r="H448" i="12"/>
  <c r="C448" i="12"/>
  <c r="R447" i="12"/>
  <c r="M447" i="12"/>
  <c r="H447" i="12"/>
  <c r="R446" i="12"/>
  <c r="M446" i="12"/>
  <c r="C446" i="12"/>
  <c r="R445" i="12"/>
  <c r="M445" i="12"/>
  <c r="R444" i="12"/>
  <c r="M444" i="12"/>
  <c r="R443" i="12"/>
  <c r="M443" i="12"/>
  <c r="C443" i="12"/>
  <c r="R442" i="12"/>
  <c r="M442" i="12"/>
  <c r="R441" i="12"/>
  <c r="M441" i="12"/>
  <c r="C441" i="12"/>
  <c r="R440" i="12"/>
  <c r="M440" i="12"/>
  <c r="R439" i="12"/>
  <c r="M439" i="12"/>
  <c r="C439" i="12"/>
  <c r="R438" i="12"/>
  <c r="M438" i="12"/>
  <c r="C438" i="12"/>
  <c r="M437" i="12"/>
  <c r="C437" i="12"/>
  <c r="C436" i="12"/>
  <c r="M434" i="12"/>
  <c r="C434" i="12"/>
  <c r="M433" i="12"/>
  <c r="C433" i="12"/>
  <c r="M432" i="12"/>
  <c r="M431" i="12"/>
  <c r="H431" i="12"/>
  <c r="C431" i="12"/>
  <c r="M430" i="12"/>
  <c r="H430" i="12"/>
  <c r="M429" i="12"/>
  <c r="H429" i="12"/>
  <c r="C429" i="12"/>
  <c r="M428" i="12"/>
  <c r="H428" i="12"/>
  <c r="M427" i="12"/>
  <c r="H427" i="12"/>
  <c r="C427" i="12"/>
  <c r="M426" i="12"/>
  <c r="H426" i="12"/>
  <c r="C426" i="12"/>
  <c r="M425" i="12"/>
  <c r="H425" i="12"/>
  <c r="C425" i="12"/>
  <c r="H424" i="12"/>
  <c r="C424" i="12"/>
  <c r="H423" i="12"/>
  <c r="M422" i="12"/>
  <c r="H422" i="12"/>
  <c r="C422" i="12"/>
  <c r="M421" i="12"/>
  <c r="H421" i="12"/>
  <c r="M420" i="12"/>
  <c r="H420" i="12"/>
  <c r="R419" i="12"/>
  <c r="M419" i="12"/>
  <c r="H419" i="12"/>
  <c r="C419" i="12"/>
  <c r="R418" i="12"/>
  <c r="M418" i="12"/>
  <c r="H418" i="12"/>
  <c r="R417" i="12"/>
  <c r="M417" i="12"/>
  <c r="H417" i="12"/>
  <c r="C417" i="12"/>
  <c r="R416" i="12"/>
  <c r="M416" i="12"/>
  <c r="H416" i="12"/>
  <c r="R415" i="12"/>
  <c r="M415" i="12"/>
  <c r="H415" i="12"/>
  <c r="C415" i="12"/>
  <c r="R414" i="12"/>
  <c r="M414" i="12"/>
  <c r="H414" i="12"/>
  <c r="C414" i="12"/>
  <c r="R413" i="12"/>
  <c r="M413" i="12"/>
  <c r="H413" i="12"/>
  <c r="C413" i="12"/>
  <c r="R412" i="12"/>
  <c r="H412" i="12"/>
  <c r="C412" i="12"/>
  <c r="R411" i="12"/>
  <c r="H411" i="12"/>
  <c r="R410" i="12"/>
  <c r="M410" i="12"/>
  <c r="H410" i="12"/>
  <c r="C410" i="12"/>
  <c r="R409" i="12"/>
  <c r="M409" i="12"/>
  <c r="H409" i="12"/>
  <c r="R408" i="12"/>
  <c r="M408" i="12"/>
  <c r="H408" i="12"/>
  <c r="C408" i="12"/>
  <c r="R407" i="12"/>
  <c r="M407" i="12"/>
  <c r="H407" i="12"/>
  <c r="C407" i="12"/>
  <c r="R406" i="12"/>
  <c r="M406" i="12"/>
  <c r="H406" i="12"/>
  <c r="R405" i="12"/>
  <c r="M405" i="12"/>
  <c r="H405" i="12"/>
  <c r="C405" i="12"/>
  <c r="R404" i="12"/>
  <c r="M404" i="12"/>
  <c r="H404" i="12"/>
  <c r="R403" i="12"/>
  <c r="M403" i="12"/>
  <c r="H403" i="12"/>
  <c r="C403" i="12"/>
  <c r="R402" i="12"/>
  <c r="M402" i="12"/>
  <c r="H402" i="12"/>
  <c r="C402" i="12"/>
  <c r="R401" i="12"/>
  <c r="M401" i="12"/>
  <c r="H401" i="12"/>
  <c r="C401" i="12"/>
  <c r="R400" i="12"/>
  <c r="H400" i="12"/>
  <c r="C400" i="12"/>
  <c r="R399" i="12"/>
  <c r="R398" i="12"/>
  <c r="M398" i="12"/>
  <c r="H398" i="12"/>
  <c r="C398" i="12"/>
  <c r="M397" i="12"/>
  <c r="H397" i="12"/>
  <c r="R396" i="12"/>
  <c r="M396" i="12"/>
  <c r="H396" i="12"/>
  <c r="R395" i="12"/>
  <c r="M395" i="12"/>
  <c r="H395" i="12"/>
  <c r="C395" i="12"/>
  <c r="R394" i="12"/>
  <c r="M394" i="12"/>
  <c r="H394" i="12"/>
  <c r="R393" i="12"/>
  <c r="M393" i="12"/>
  <c r="H393" i="12"/>
  <c r="C393" i="12"/>
  <c r="R392" i="12"/>
  <c r="M392" i="12"/>
  <c r="H392" i="12"/>
  <c r="R391" i="12"/>
  <c r="M391" i="12"/>
  <c r="H391" i="12"/>
  <c r="C391" i="12"/>
  <c r="R390" i="12"/>
  <c r="M390" i="12"/>
  <c r="H390" i="12"/>
  <c r="C390" i="12"/>
  <c r="R389" i="12"/>
  <c r="M389" i="12"/>
  <c r="H389" i="12"/>
  <c r="C389" i="12"/>
  <c r="R388" i="12"/>
  <c r="H388" i="12"/>
  <c r="C388" i="12"/>
  <c r="R387" i="12"/>
  <c r="H387" i="12"/>
  <c r="R386" i="12"/>
  <c r="M386" i="12"/>
  <c r="H386" i="12"/>
  <c r="C386" i="12"/>
  <c r="M385" i="12"/>
  <c r="H385" i="12"/>
  <c r="R384" i="12"/>
  <c r="M384" i="12"/>
  <c r="H384" i="12"/>
  <c r="R383" i="12"/>
  <c r="M383" i="12"/>
  <c r="H383" i="12"/>
  <c r="C383" i="12"/>
  <c r="R382" i="12"/>
  <c r="M382" i="12"/>
  <c r="H382" i="12"/>
  <c r="R381" i="12"/>
  <c r="M381" i="12"/>
  <c r="H381" i="12"/>
  <c r="C381" i="12"/>
  <c r="R380" i="12"/>
  <c r="M380" i="12"/>
  <c r="H380" i="12"/>
  <c r="R379" i="12"/>
  <c r="M379" i="12"/>
  <c r="H379" i="12"/>
  <c r="C379" i="12"/>
  <c r="R378" i="12"/>
  <c r="M378" i="12"/>
  <c r="H378" i="12"/>
  <c r="C378" i="12"/>
  <c r="R377" i="12"/>
  <c r="M377" i="12"/>
  <c r="H377" i="12"/>
  <c r="C377" i="12"/>
  <c r="R376" i="12"/>
  <c r="H376" i="12"/>
  <c r="C376" i="12"/>
  <c r="R375" i="12"/>
  <c r="H375" i="12"/>
  <c r="R374" i="12"/>
  <c r="M374" i="12"/>
  <c r="H374" i="12"/>
  <c r="C374" i="12"/>
  <c r="R373" i="12"/>
  <c r="M373" i="12"/>
  <c r="H373" i="12"/>
  <c r="R372" i="12"/>
  <c r="M372" i="12"/>
  <c r="H372" i="12"/>
  <c r="R371" i="12"/>
  <c r="M371" i="12"/>
  <c r="H371" i="12"/>
  <c r="C371" i="12"/>
  <c r="R370" i="12"/>
  <c r="M370" i="12"/>
  <c r="H370" i="12"/>
  <c r="C370" i="12"/>
  <c r="R369" i="12"/>
  <c r="M369" i="12"/>
  <c r="H369" i="12"/>
  <c r="C369" i="12"/>
  <c r="R368" i="12"/>
  <c r="M368" i="12"/>
  <c r="H368" i="12"/>
  <c r="R367" i="12"/>
  <c r="M367" i="12"/>
  <c r="H367" i="12"/>
  <c r="C367" i="12"/>
  <c r="R366" i="12"/>
  <c r="M366" i="12"/>
  <c r="H366" i="12"/>
  <c r="C366" i="12"/>
  <c r="R365" i="12"/>
  <c r="M365" i="12"/>
  <c r="H365" i="12"/>
  <c r="C365" i="12"/>
  <c r="R364" i="12"/>
  <c r="H364" i="12"/>
  <c r="C364" i="12"/>
  <c r="R363" i="12"/>
  <c r="R362" i="12"/>
  <c r="M362" i="12"/>
  <c r="H362" i="12"/>
  <c r="C362" i="12"/>
  <c r="R361" i="12"/>
  <c r="M361" i="12"/>
  <c r="H361" i="12"/>
  <c r="C361" i="12"/>
  <c r="R360" i="12"/>
  <c r="M360" i="12"/>
  <c r="H360" i="12"/>
  <c r="R359" i="12"/>
  <c r="M359" i="12"/>
  <c r="H359" i="12"/>
  <c r="C359" i="12"/>
  <c r="R358" i="12"/>
  <c r="M358" i="12"/>
  <c r="H358" i="12"/>
  <c r="R357" i="12"/>
  <c r="M357" i="12"/>
  <c r="H357" i="12"/>
  <c r="C357" i="12"/>
  <c r="R356" i="12"/>
  <c r="M356" i="12"/>
  <c r="H356" i="12"/>
  <c r="R355" i="12"/>
  <c r="M355" i="12"/>
  <c r="H355" i="12"/>
  <c r="C355" i="12"/>
  <c r="R354" i="12"/>
  <c r="M354" i="12"/>
  <c r="H354" i="12"/>
  <c r="C354" i="12"/>
  <c r="R353" i="12"/>
  <c r="M353" i="12"/>
  <c r="H353" i="12"/>
  <c r="C353" i="12"/>
  <c r="R352" i="12"/>
  <c r="H352" i="12"/>
  <c r="C352" i="12"/>
  <c r="R351" i="12"/>
  <c r="H351" i="12"/>
  <c r="R350" i="12"/>
  <c r="M350" i="12"/>
  <c r="H350" i="12"/>
  <c r="C350" i="12"/>
  <c r="R349" i="12"/>
  <c r="M349" i="12"/>
  <c r="H349" i="12"/>
  <c r="R348" i="12"/>
  <c r="M348" i="12"/>
  <c r="H348" i="12"/>
  <c r="R347" i="12"/>
  <c r="M347" i="12"/>
  <c r="H347" i="12"/>
  <c r="C347" i="12"/>
  <c r="R346" i="12"/>
  <c r="M346" i="12"/>
  <c r="H346" i="12"/>
  <c r="R345" i="12"/>
  <c r="M345" i="12"/>
  <c r="H345" i="12"/>
  <c r="C345" i="12"/>
  <c r="R344" i="12"/>
  <c r="M344" i="12"/>
  <c r="H344" i="12"/>
  <c r="R343" i="12"/>
  <c r="M343" i="12"/>
  <c r="H343" i="12"/>
  <c r="C343" i="12"/>
  <c r="R342" i="12"/>
  <c r="M342" i="12"/>
  <c r="H342" i="12"/>
  <c r="C342" i="12"/>
  <c r="R341" i="12"/>
  <c r="M341" i="12"/>
  <c r="H341" i="12"/>
  <c r="C341" i="12"/>
  <c r="R340" i="12"/>
  <c r="H340" i="12"/>
  <c r="C340" i="12"/>
  <c r="R339" i="12"/>
  <c r="H339" i="12"/>
  <c r="R338" i="12"/>
  <c r="M338" i="12"/>
  <c r="H338" i="12"/>
  <c r="C338" i="12"/>
  <c r="R337" i="12"/>
  <c r="M337" i="12"/>
  <c r="H337" i="12"/>
  <c r="R336" i="12"/>
  <c r="M336" i="12"/>
  <c r="H336" i="12"/>
  <c r="C336" i="12"/>
  <c r="R335" i="12"/>
  <c r="M335" i="12"/>
  <c r="H335" i="12"/>
  <c r="C335" i="12"/>
  <c r="R334" i="12"/>
  <c r="M334" i="12"/>
  <c r="H334" i="12"/>
  <c r="R333" i="12"/>
  <c r="M333" i="12"/>
  <c r="H333" i="12"/>
  <c r="C333" i="12"/>
  <c r="R332" i="12"/>
  <c r="M332" i="12"/>
  <c r="H332" i="12"/>
  <c r="R331" i="12"/>
  <c r="M331" i="12"/>
  <c r="H331" i="12"/>
  <c r="C331" i="12"/>
  <c r="R330" i="12"/>
  <c r="M330" i="12"/>
  <c r="H330" i="12"/>
  <c r="C330" i="12"/>
  <c r="R329" i="12"/>
  <c r="M329" i="12"/>
  <c r="H329" i="12"/>
  <c r="C329" i="12"/>
  <c r="R328" i="12"/>
  <c r="H328" i="12"/>
  <c r="C328" i="12"/>
  <c r="R327" i="12"/>
  <c r="H327" i="12"/>
  <c r="R326" i="12"/>
  <c r="M326" i="12"/>
  <c r="H326" i="12"/>
  <c r="C326" i="12"/>
  <c r="R325" i="12"/>
  <c r="M325" i="12"/>
  <c r="H325" i="12"/>
  <c r="R324" i="12"/>
  <c r="M324" i="12"/>
  <c r="H324" i="12"/>
  <c r="R323" i="12"/>
  <c r="M323" i="12"/>
  <c r="H323" i="12"/>
  <c r="C323" i="12"/>
  <c r="R322" i="12"/>
  <c r="M322" i="12"/>
  <c r="R321" i="12"/>
  <c r="M321" i="12"/>
  <c r="C321" i="12"/>
  <c r="R320" i="12"/>
  <c r="M320" i="12"/>
  <c r="H320" i="12"/>
  <c r="R319" i="12"/>
  <c r="M319" i="12"/>
  <c r="H319" i="12"/>
  <c r="C319" i="12"/>
  <c r="R318" i="12"/>
  <c r="M318" i="12"/>
  <c r="H318" i="12"/>
  <c r="C318" i="12"/>
  <c r="R317" i="12"/>
  <c r="M317" i="12"/>
  <c r="H317" i="12"/>
  <c r="C317" i="12"/>
  <c r="R316" i="12"/>
  <c r="H316" i="12"/>
  <c r="C316" i="12"/>
  <c r="R315" i="12"/>
  <c r="H315" i="12"/>
  <c r="R314" i="12"/>
  <c r="M314" i="12"/>
  <c r="H314" i="12"/>
  <c r="C314" i="12"/>
  <c r="M313" i="12"/>
  <c r="H313" i="12"/>
  <c r="R312" i="12"/>
  <c r="M312" i="12"/>
  <c r="H312" i="12"/>
  <c r="R311" i="12"/>
  <c r="M311" i="12"/>
  <c r="H311" i="12"/>
  <c r="C311" i="12"/>
  <c r="R310" i="12"/>
  <c r="M310" i="12"/>
  <c r="H310" i="12"/>
  <c r="R309" i="12"/>
  <c r="M309" i="12"/>
  <c r="H309" i="12"/>
  <c r="C309" i="12"/>
  <c r="R308" i="12"/>
  <c r="M308" i="12"/>
  <c r="H308" i="12"/>
  <c r="R307" i="12"/>
  <c r="M307" i="12"/>
  <c r="H307" i="12"/>
  <c r="C307" i="12"/>
  <c r="R306" i="12"/>
  <c r="M306" i="12"/>
  <c r="H306" i="12"/>
  <c r="C306" i="12"/>
  <c r="R305" i="12"/>
  <c r="M305" i="12"/>
  <c r="H305" i="12"/>
  <c r="C305" i="12"/>
  <c r="R304" i="12"/>
  <c r="H304" i="12"/>
  <c r="C304" i="12"/>
  <c r="R303" i="12"/>
  <c r="H303" i="12"/>
  <c r="R302" i="12"/>
  <c r="M302" i="12"/>
  <c r="H302" i="12"/>
  <c r="C302" i="12"/>
  <c r="R301" i="12"/>
  <c r="M301" i="12"/>
  <c r="H301" i="12"/>
  <c r="R300" i="12"/>
  <c r="M300" i="12"/>
  <c r="H300" i="12"/>
  <c r="R299" i="12"/>
  <c r="M299" i="12"/>
  <c r="H299" i="12"/>
  <c r="C299" i="12"/>
  <c r="R298" i="12"/>
  <c r="M298" i="12"/>
  <c r="H298" i="12"/>
  <c r="R297" i="12"/>
  <c r="M297" i="12"/>
  <c r="H297" i="12"/>
  <c r="C297" i="12"/>
  <c r="R296" i="12"/>
  <c r="M296" i="12"/>
  <c r="H296" i="12"/>
  <c r="R295" i="12"/>
  <c r="M295" i="12"/>
  <c r="H295" i="12"/>
  <c r="C295" i="12"/>
  <c r="R294" i="12"/>
  <c r="M294" i="12"/>
  <c r="H294" i="12"/>
  <c r="C294" i="12"/>
  <c r="R293" i="12"/>
  <c r="M293" i="12"/>
  <c r="H293" i="12"/>
  <c r="C293" i="12"/>
  <c r="R292" i="12"/>
  <c r="H292" i="12"/>
  <c r="C292" i="12"/>
  <c r="R291" i="12"/>
  <c r="R290" i="12"/>
  <c r="M290" i="12"/>
  <c r="H290" i="12"/>
  <c r="C290" i="12"/>
  <c r="R289" i="12"/>
  <c r="M289" i="12"/>
  <c r="H289" i="12"/>
  <c r="R288" i="12"/>
  <c r="M288" i="12"/>
  <c r="H288" i="12"/>
  <c r="R287" i="12"/>
  <c r="M287" i="12"/>
  <c r="H287" i="12"/>
  <c r="C287" i="12"/>
  <c r="R286" i="12"/>
  <c r="M286" i="12"/>
  <c r="H286" i="12"/>
  <c r="R285" i="12"/>
  <c r="M285" i="12"/>
  <c r="H285" i="12"/>
  <c r="C285" i="12"/>
  <c r="R284" i="12"/>
  <c r="M284" i="12"/>
  <c r="H284" i="12"/>
  <c r="R283" i="12"/>
  <c r="M283" i="12"/>
  <c r="H283" i="12"/>
  <c r="C283" i="12"/>
  <c r="R282" i="12"/>
  <c r="M282" i="12"/>
  <c r="H282" i="12"/>
  <c r="C282" i="12"/>
  <c r="R281" i="12"/>
  <c r="M281" i="12"/>
  <c r="H281" i="12"/>
  <c r="C281" i="12"/>
  <c r="R280" i="12"/>
  <c r="H280" i="12"/>
  <c r="C280" i="12"/>
  <c r="R279" i="12"/>
  <c r="H279" i="12"/>
  <c r="R278" i="12"/>
  <c r="M278" i="12"/>
  <c r="H278" i="12"/>
  <c r="C278" i="12"/>
  <c r="R277" i="12"/>
  <c r="M277" i="12"/>
  <c r="H277" i="12"/>
  <c r="R276" i="12"/>
  <c r="M276" i="12"/>
  <c r="H276" i="12"/>
  <c r="C276" i="12"/>
  <c r="R275" i="12"/>
  <c r="M275" i="12"/>
  <c r="H275" i="12"/>
  <c r="C275" i="12"/>
  <c r="R274" i="12"/>
  <c r="M274" i="12"/>
  <c r="H274" i="12"/>
  <c r="R273" i="12"/>
  <c r="M273" i="12"/>
  <c r="H273" i="12"/>
  <c r="C273" i="12"/>
  <c r="R272" i="12"/>
  <c r="M272" i="12"/>
  <c r="H272" i="12"/>
  <c r="R271" i="12"/>
  <c r="M271" i="12"/>
  <c r="H271" i="12"/>
  <c r="C271" i="12"/>
  <c r="R270" i="12"/>
  <c r="M270" i="12"/>
  <c r="H270" i="12"/>
  <c r="C270" i="12"/>
  <c r="R269" i="12"/>
  <c r="M269" i="12"/>
  <c r="H269" i="12"/>
  <c r="C269" i="12"/>
  <c r="R268" i="12"/>
  <c r="H268" i="12"/>
  <c r="C268" i="12"/>
  <c r="R267" i="12"/>
  <c r="H267" i="12"/>
  <c r="R266" i="12"/>
  <c r="M266" i="12"/>
  <c r="H266" i="12"/>
  <c r="C266" i="12"/>
  <c r="R265" i="12"/>
  <c r="M265" i="12"/>
  <c r="H265" i="12"/>
  <c r="R264" i="12"/>
  <c r="M264" i="12"/>
  <c r="H264" i="12"/>
  <c r="R263" i="12"/>
  <c r="M263" i="12"/>
  <c r="H263" i="12"/>
  <c r="C263" i="12"/>
  <c r="R262" i="12"/>
  <c r="M262" i="12"/>
  <c r="H262" i="12"/>
  <c r="R261" i="12"/>
  <c r="M261" i="12"/>
  <c r="H261" i="12"/>
  <c r="C261" i="12"/>
  <c r="R260" i="12"/>
  <c r="M260" i="12"/>
  <c r="H260" i="12"/>
  <c r="R259" i="12"/>
  <c r="M259" i="12"/>
  <c r="H259" i="12"/>
  <c r="C259" i="12"/>
  <c r="R258" i="12"/>
  <c r="M258" i="12"/>
  <c r="H258" i="12"/>
  <c r="C258" i="12"/>
  <c r="R257" i="12"/>
  <c r="M257" i="12"/>
  <c r="H257" i="12"/>
  <c r="C257" i="12"/>
  <c r="R256" i="12"/>
  <c r="M256" i="12"/>
  <c r="H256" i="12"/>
  <c r="C256" i="12"/>
  <c r="R255" i="12"/>
  <c r="R254" i="12"/>
  <c r="M254" i="12"/>
  <c r="H254" i="12"/>
  <c r="C254" i="12"/>
  <c r="R253" i="12"/>
  <c r="M253" i="12"/>
  <c r="R252" i="12"/>
  <c r="M252" i="12"/>
  <c r="H252" i="12"/>
  <c r="R251" i="12"/>
  <c r="M251" i="12"/>
  <c r="H251" i="12"/>
  <c r="C251" i="12"/>
  <c r="R250" i="12"/>
  <c r="M250" i="12"/>
  <c r="H250" i="12"/>
  <c r="R249" i="12"/>
  <c r="M249" i="12"/>
  <c r="H249" i="12"/>
  <c r="C249" i="12"/>
  <c r="R248" i="12"/>
  <c r="M248" i="12"/>
  <c r="H248" i="12"/>
  <c r="R247" i="12"/>
  <c r="M247" i="12"/>
  <c r="H247" i="12"/>
  <c r="C247" i="12"/>
  <c r="R246" i="12"/>
  <c r="M246" i="12"/>
  <c r="H246" i="12"/>
  <c r="C246" i="12"/>
  <c r="R245" i="12"/>
  <c r="M245" i="12"/>
  <c r="H245" i="12"/>
  <c r="C245" i="12"/>
  <c r="R244" i="12"/>
  <c r="H244" i="12"/>
  <c r="C244" i="12"/>
  <c r="R243" i="12"/>
  <c r="H243" i="12"/>
  <c r="R242" i="12"/>
  <c r="M242" i="12"/>
  <c r="H242" i="12"/>
  <c r="C242" i="12"/>
  <c r="R241" i="12"/>
  <c r="M241" i="12"/>
  <c r="H241" i="12"/>
  <c r="C241" i="12"/>
  <c r="R240" i="12"/>
  <c r="M240" i="12"/>
  <c r="H240" i="12"/>
  <c r="R239" i="12"/>
  <c r="M239" i="12"/>
  <c r="H239" i="12"/>
  <c r="C239" i="12"/>
  <c r="R238" i="12"/>
  <c r="M238" i="12"/>
  <c r="H238" i="12"/>
  <c r="R237" i="12"/>
  <c r="M237" i="12"/>
  <c r="H237" i="12"/>
  <c r="C237" i="12"/>
  <c r="R236" i="12"/>
  <c r="M236" i="12"/>
  <c r="H236" i="12"/>
  <c r="R235" i="12"/>
  <c r="M235" i="12"/>
  <c r="H235" i="12"/>
  <c r="C235" i="12"/>
  <c r="R234" i="12"/>
  <c r="M234" i="12"/>
  <c r="H234" i="12"/>
  <c r="C234" i="12"/>
  <c r="R233" i="12"/>
  <c r="M233" i="12"/>
  <c r="H233" i="12"/>
  <c r="C233" i="12"/>
  <c r="R232" i="12"/>
  <c r="H232" i="12"/>
  <c r="C232" i="12"/>
  <c r="R231" i="12"/>
  <c r="H231" i="12"/>
  <c r="R230" i="12"/>
  <c r="M230" i="12"/>
  <c r="H230" i="12"/>
  <c r="C230" i="12"/>
  <c r="R229" i="12"/>
  <c r="M229" i="12"/>
  <c r="H229" i="12"/>
  <c r="R228" i="12"/>
  <c r="M228" i="12"/>
  <c r="H228" i="12"/>
  <c r="R227" i="12"/>
  <c r="M227" i="12"/>
  <c r="H227" i="12"/>
  <c r="C227" i="12"/>
  <c r="R226" i="12"/>
  <c r="M226" i="12"/>
  <c r="H226" i="12"/>
  <c r="R225" i="12"/>
  <c r="M225" i="12"/>
  <c r="H225" i="12"/>
  <c r="C225" i="12"/>
  <c r="R224" i="12"/>
  <c r="M224" i="12"/>
  <c r="H224" i="12"/>
  <c r="R223" i="12"/>
  <c r="M223" i="12"/>
  <c r="H223" i="12"/>
  <c r="C223" i="12"/>
  <c r="R222" i="12"/>
  <c r="M222" i="12"/>
  <c r="H222" i="12"/>
  <c r="C222" i="12"/>
  <c r="R221" i="12"/>
  <c r="M221" i="12"/>
  <c r="H221" i="12"/>
  <c r="C221" i="12"/>
  <c r="R220" i="12"/>
  <c r="H220" i="12"/>
  <c r="C220" i="12"/>
  <c r="R219" i="12"/>
  <c r="R218" i="12"/>
  <c r="M218" i="12"/>
  <c r="H218" i="12"/>
  <c r="C218" i="12"/>
  <c r="R217" i="12"/>
  <c r="M217" i="12"/>
  <c r="H217" i="12"/>
  <c r="R216" i="12"/>
  <c r="M216" i="12"/>
  <c r="H216" i="12"/>
  <c r="C216" i="12"/>
  <c r="R215" i="12"/>
  <c r="M215" i="12"/>
  <c r="H215" i="12"/>
  <c r="C215" i="12"/>
  <c r="R214" i="12"/>
  <c r="M214" i="12"/>
  <c r="H214" i="12"/>
  <c r="R213" i="12"/>
  <c r="M213" i="12"/>
  <c r="H213" i="12"/>
  <c r="C213" i="12"/>
  <c r="R212" i="12"/>
  <c r="M212" i="12"/>
  <c r="H212" i="12"/>
  <c r="R211" i="12"/>
  <c r="M211" i="12"/>
  <c r="H211" i="12"/>
  <c r="C211" i="12"/>
  <c r="R210" i="12"/>
  <c r="M210" i="12"/>
  <c r="H210" i="12"/>
  <c r="C210" i="12"/>
  <c r="R209" i="12"/>
  <c r="M209" i="12"/>
  <c r="H209" i="12"/>
  <c r="C209" i="12"/>
  <c r="R208" i="12"/>
  <c r="H208" i="12"/>
  <c r="C208" i="12"/>
  <c r="R207" i="12"/>
  <c r="H207" i="12"/>
  <c r="R206" i="12"/>
  <c r="M206" i="12"/>
  <c r="H206" i="12"/>
  <c r="C206" i="12"/>
  <c r="R205" i="12"/>
  <c r="M205" i="12"/>
  <c r="H205" i="12"/>
  <c r="R204" i="12"/>
  <c r="M204" i="12"/>
  <c r="H204" i="12"/>
  <c r="R203" i="12"/>
  <c r="M203" i="12"/>
  <c r="H203" i="12"/>
  <c r="C203" i="12"/>
  <c r="R202" i="12"/>
  <c r="M202" i="12"/>
  <c r="H202" i="12"/>
  <c r="R201" i="12"/>
  <c r="M201" i="12"/>
  <c r="H201" i="12"/>
  <c r="C201" i="12"/>
  <c r="R200" i="12"/>
  <c r="M200" i="12"/>
  <c r="H200" i="12"/>
  <c r="R199" i="12"/>
  <c r="M199" i="12"/>
  <c r="H199" i="12"/>
  <c r="C199" i="12"/>
  <c r="R198" i="12"/>
  <c r="M198" i="12"/>
  <c r="H198" i="12"/>
  <c r="C198" i="12"/>
  <c r="R197" i="12"/>
  <c r="M197" i="12"/>
  <c r="H197" i="12"/>
  <c r="C197" i="12"/>
  <c r="R196" i="12"/>
  <c r="H196" i="12"/>
  <c r="C196" i="12"/>
  <c r="R195" i="12"/>
  <c r="H195" i="12"/>
  <c r="R194" i="12"/>
  <c r="M194" i="12"/>
  <c r="H194" i="12"/>
  <c r="C194" i="12"/>
  <c r="R193" i="12"/>
  <c r="M193" i="12"/>
  <c r="H193" i="12"/>
  <c r="R192" i="12"/>
  <c r="M192" i="12"/>
  <c r="H192" i="12"/>
  <c r="R191" i="12"/>
  <c r="M191" i="12"/>
  <c r="H191" i="12"/>
  <c r="C191" i="12"/>
  <c r="R190" i="12"/>
  <c r="M190" i="12"/>
  <c r="H190" i="12"/>
  <c r="R189" i="12"/>
  <c r="M189" i="12"/>
  <c r="H189" i="12"/>
  <c r="C189" i="12"/>
  <c r="R188" i="12"/>
  <c r="M188" i="12"/>
  <c r="H188" i="12"/>
  <c r="R187" i="12"/>
  <c r="M187" i="12"/>
  <c r="H187" i="12"/>
  <c r="C187" i="12"/>
  <c r="R186" i="12"/>
  <c r="M186" i="12"/>
  <c r="H186" i="12"/>
  <c r="C186" i="12"/>
  <c r="R185" i="12"/>
  <c r="M185" i="12"/>
  <c r="H185" i="12"/>
  <c r="C185" i="12"/>
  <c r="R184" i="12"/>
  <c r="H184" i="12"/>
  <c r="C184" i="12"/>
  <c r="R183" i="12"/>
  <c r="H183" i="12"/>
  <c r="R182" i="12"/>
  <c r="M182" i="12"/>
  <c r="H182" i="12"/>
  <c r="C182" i="12"/>
  <c r="R181" i="12"/>
  <c r="M181" i="12"/>
  <c r="H181" i="12"/>
  <c r="R180" i="12"/>
  <c r="M180" i="12"/>
  <c r="R179" i="12"/>
  <c r="M179" i="12"/>
  <c r="C179" i="12"/>
  <c r="R178" i="12"/>
  <c r="M178" i="12"/>
  <c r="H178" i="12"/>
  <c r="R177" i="12"/>
  <c r="M177" i="12"/>
  <c r="H177" i="12"/>
  <c r="C177" i="12"/>
  <c r="R176" i="12"/>
  <c r="M176" i="12"/>
  <c r="H176" i="12"/>
  <c r="R175" i="12"/>
  <c r="M175" i="12"/>
  <c r="H175" i="12"/>
  <c r="C175" i="12"/>
  <c r="R174" i="12"/>
  <c r="M174" i="12"/>
  <c r="H174" i="12"/>
  <c r="C174" i="12"/>
  <c r="R173" i="12"/>
  <c r="M173" i="12"/>
  <c r="H173" i="12"/>
  <c r="C173" i="12"/>
  <c r="R172" i="12"/>
  <c r="H172" i="12"/>
  <c r="C172" i="12"/>
  <c r="R171" i="12"/>
  <c r="H171" i="12"/>
  <c r="R170" i="12"/>
  <c r="M170" i="12"/>
  <c r="H170" i="12"/>
  <c r="C170" i="12"/>
  <c r="R169" i="12"/>
  <c r="M169" i="12"/>
  <c r="H169" i="12"/>
  <c r="R168" i="12"/>
  <c r="M168" i="12"/>
  <c r="H168" i="12"/>
  <c r="R167" i="12"/>
  <c r="M167" i="12"/>
  <c r="H167" i="12"/>
  <c r="C167" i="12"/>
  <c r="R166" i="12"/>
  <c r="M166" i="12"/>
  <c r="H166" i="12"/>
  <c r="R165" i="12"/>
  <c r="M165" i="12"/>
  <c r="H165" i="12"/>
  <c r="C165" i="12"/>
  <c r="R164" i="12"/>
  <c r="M164" i="12"/>
  <c r="H164" i="12"/>
  <c r="R163" i="12"/>
  <c r="M163" i="12"/>
  <c r="H163" i="12"/>
  <c r="C163" i="12"/>
  <c r="R162" i="12"/>
  <c r="M162" i="12"/>
  <c r="H162" i="12"/>
  <c r="C162" i="12"/>
  <c r="R161" i="12"/>
  <c r="M161" i="12"/>
  <c r="H161" i="12"/>
  <c r="C161" i="12"/>
  <c r="R160" i="12"/>
  <c r="H160" i="12"/>
  <c r="C160" i="12"/>
  <c r="R159" i="12"/>
  <c r="H159" i="12"/>
  <c r="R158" i="12"/>
  <c r="M158" i="12"/>
  <c r="H158" i="12"/>
  <c r="C158" i="12"/>
  <c r="R157" i="12"/>
  <c r="M157" i="12"/>
  <c r="H157" i="12"/>
  <c r="R156" i="12"/>
  <c r="M156" i="12"/>
  <c r="H156" i="12"/>
  <c r="C156" i="12"/>
  <c r="R155" i="12"/>
  <c r="M155" i="12"/>
  <c r="H155" i="12"/>
  <c r="C155" i="12"/>
  <c r="R154" i="12"/>
  <c r="M154" i="12"/>
  <c r="H154" i="12"/>
  <c r="R153" i="12"/>
  <c r="M153" i="12"/>
  <c r="H153" i="12"/>
  <c r="C153" i="12"/>
  <c r="R152" i="12"/>
  <c r="M152" i="12"/>
  <c r="H152" i="12"/>
  <c r="R151" i="12"/>
  <c r="M151" i="12"/>
  <c r="H151" i="12"/>
  <c r="C151" i="12"/>
  <c r="R150" i="12"/>
  <c r="M150" i="12"/>
  <c r="H150" i="12"/>
  <c r="C150" i="12"/>
  <c r="R149" i="12"/>
  <c r="M149" i="12"/>
  <c r="H149" i="12"/>
  <c r="C149" i="12"/>
  <c r="R148" i="12"/>
  <c r="H148" i="12"/>
  <c r="C148" i="12"/>
  <c r="R147" i="12"/>
  <c r="H147" i="12"/>
  <c r="R146" i="12"/>
  <c r="M146" i="12"/>
  <c r="H146" i="12"/>
  <c r="C146" i="12"/>
  <c r="R145" i="12"/>
  <c r="M145" i="12"/>
  <c r="H145" i="12"/>
  <c r="R144" i="12"/>
  <c r="M144" i="12"/>
  <c r="H144" i="12"/>
  <c r="R143" i="12"/>
  <c r="M143" i="12"/>
  <c r="H143" i="12"/>
  <c r="C143" i="12"/>
  <c r="R142" i="12"/>
  <c r="M142" i="12"/>
  <c r="C142" i="12"/>
  <c r="R141" i="12"/>
  <c r="M141" i="12"/>
  <c r="H141" i="12"/>
  <c r="C141" i="12"/>
  <c r="R140" i="12"/>
  <c r="M140" i="12"/>
  <c r="H140" i="12"/>
  <c r="R139" i="12"/>
  <c r="M139" i="12"/>
  <c r="H139" i="12"/>
  <c r="C139" i="12"/>
  <c r="R138" i="12"/>
  <c r="M138" i="12"/>
  <c r="H138" i="12"/>
  <c r="C138" i="12"/>
  <c r="R137" i="12"/>
  <c r="M137" i="12"/>
  <c r="H137" i="12"/>
  <c r="C137" i="12"/>
  <c r="R136" i="12"/>
  <c r="H136" i="12"/>
  <c r="C136" i="12"/>
  <c r="R135" i="12"/>
  <c r="H135" i="12"/>
  <c r="R134" i="12"/>
  <c r="M134" i="12"/>
  <c r="H134" i="12"/>
  <c r="C134" i="12"/>
  <c r="R133" i="12"/>
  <c r="M133" i="12"/>
  <c r="H133" i="12"/>
  <c r="R132" i="12"/>
  <c r="M132" i="12"/>
  <c r="H132" i="12"/>
  <c r="R131" i="12"/>
  <c r="M131" i="12"/>
  <c r="H131" i="12"/>
  <c r="C131" i="12"/>
  <c r="R130" i="12"/>
  <c r="M130" i="12"/>
  <c r="H130" i="12"/>
  <c r="R129" i="12"/>
  <c r="M129" i="12"/>
  <c r="H129" i="12"/>
  <c r="C129" i="12"/>
  <c r="R128" i="12"/>
  <c r="M128" i="12"/>
  <c r="H128" i="12"/>
  <c r="R127" i="12"/>
  <c r="M127" i="12"/>
  <c r="H127" i="12"/>
  <c r="C127" i="12"/>
  <c r="R126" i="12"/>
  <c r="M126" i="12"/>
  <c r="H126" i="12"/>
  <c r="C126" i="12"/>
  <c r="R125" i="12"/>
  <c r="M125" i="12"/>
  <c r="H125" i="12"/>
  <c r="C125" i="12"/>
  <c r="R124" i="12"/>
  <c r="H124" i="12"/>
  <c r="C124" i="12"/>
  <c r="R123" i="12"/>
  <c r="H123" i="12"/>
  <c r="R122" i="12"/>
  <c r="M122" i="12"/>
  <c r="H122" i="12"/>
  <c r="C122" i="12"/>
  <c r="R121" i="12"/>
  <c r="M121" i="12"/>
  <c r="H121" i="12"/>
  <c r="R120" i="12"/>
  <c r="M120" i="12"/>
  <c r="H120" i="12"/>
  <c r="R119" i="12"/>
  <c r="M119" i="12"/>
  <c r="H119" i="12"/>
  <c r="C119" i="12"/>
  <c r="R118" i="12"/>
  <c r="M118" i="12"/>
  <c r="H118" i="12"/>
  <c r="R117" i="12"/>
  <c r="M117" i="12"/>
  <c r="H117" i="12"/>
  <c r="C117" i="12"/>
  <c r="R116" i="12"/>
  <c r="M116" i="12"/>
  <c r="H116" i="12"/>
  <c r="R115" i="12"/>
  <c r="M115" i="12"/>
  <c r="H115" i="12"/>
  <c r="C115" i="12"/>
  <c r="R114" i="12"/>
  <c r="M114" i="12"/>
  <c r="H114" i="12"/>
  <c r="C114" i="12"/>
  <c r="R113" i="12"/>
  <c r="M113" i="12"/>
  <c r="H113" i="12"/>
  <c r="C113" i="12"/>
  <c r="R112" i="12"/>
  <c r="H112" i="12"/>
  <c r="C112" i="12"/>
  <c r="R111" i="12"/>
  <c r="H111" i="12"/>
  <c r="R110" i="12"/>
  <c r="M110" i="12"/>
  <c r="H110" i="12"/>
  <c r="C110" i="12"/>
  <c r="R109" i="12"/>
  <c r="M109" i="12"/>
  <c r="H109" i="12"/>
  <c r="R108" i="12"/>
  <c r="M108" i="12"/>
  <c r="H108" i="12"/>
  <c r="R107" i="12"/>
  <c r="M107" i="12"/>
  <c r="H107" i="12"/>
  <c r="C107" i="12"/>
  <c r="R106" i="12"/>
  <c r="M106" i="12"/>
  <c r="H106" i="12"/>
  <c r="R105" i="12"/>
  <c r="M105" i="12"/>
  <c r="H105" i="12"/>
  <c r="C105" i="12"/>
  <c r="R104" i="12"/>
  <c r="M104" i="12"/>
  <c r="H104" i="12"/>
  <c r="R103" i="12"/>
  <c r="M103" i="12"/>
  <c r="H103" i="12"/>
  <c r="C103" i="12"/>
  <c r="R102" i="12"/>
  <c r="M102" i="12"/>
  <c r="H102" i="12"/>
  <c r="C102" i="12"/>
  <c r="R101" i="12"/>
  <c r="M101" i="12"/>
  <c r="H101" i="12"/>
  <c r="C101" i="12"/>
  <c r="R100" i="12"/>
  <c r="H100" i="12"/>
  <c r="C100" i="12"/>
  <c r="R99" i="12"/>
  <c r="H99" i="12"/>
  <c r="R98" i="12"/>
  <c r="M98" i="12"/>
  <c r="H98" i="12"/>
  <c r="C98" i="12"/>
  <c r="R97" i="12"/>
  <c r="M97" i="12"/>
  <c r="H97" i="12"/>
  <c r="R96" i="12"/>
  <c r="M96" i="12"/>
  <c r="H96" i="12"/>
  <c r="R95" i="12"/>
  <c r="M95" i="12"/>
  <c r="H95" i="12"/>
  <c r="C95" i="12"/>
  <c r="R94" i="12"/>
  <c r="M94" i="12"/>
  <c r="H94" i="12"/>
  <c r="R93" i="12"/>
  <c r="M93" i="12"/>
  <c r="H93" i="12"/>
  <c r="C93" i="12"/>
  <c r="M92" i="12"/>
  <c r="H92" i="12"/>
  <c r="R91" i="12"/>
  <c r="M91" i="12"/>
  <c r="H91" i="12"/>
  <c r="C91" i="12"/>
  <c r="R90" i="12"/>
  <c r="M90" i="12"/>
  <c r="H90" i="12"/>
  <c r="C90" i="12"/>
  <c r="R89" i="12"/>
  <c r="M89" i="12"/>
  <c r="H89" i="12"/>
  <c r="C89" i="12"/>
  <c r="R88" i="12"/>
  <c r="H88" i="12"/>
  <c r="C88" i="12"/>
  <c r="R87" i="12"/>
  <c r="H87" i="12"/>
  <c r="R86" i="12"/>
  <c r="M86" i="12"/>
  <c r="H86" i="12"/>
  <c r="C86" i="12"/>
  <c r="R85" i="12"/>
  <c r="M85" i="12"/>
  <c r="H85" i="12"/>
  <c r="R84" i="12"/>
  <c r="M84" i="12"/>
  <c r="H84" i="12"/>
  <c r="R83" i="12"/>
  <c r="M83" i="12"/>
  <c r="H83" i="12"/>
  <c r="C83" i="12"/>
  <c r="R82" i="12"/>
  <c r="M82" i="12"/>
  <c r="H82" i="12"/>
  <c r="R81" i="12"/>
  <c r="M81" i="12"/>
  <c r="H81" i="12"/>
  <c r="C81" i="12"/>
  <c r="R80" i="12"/>
  <c r="M80" i="12"/>
  <c r="H80" i="12"/>
  <c r="C80" i="12"/>
  <c r="R79" i="12"/>
  <c r="M79" i="12"/>
  <c r="H79" i="12"/>
  <c r="C79" i="12"/>
  <c r="R78" i="12"/>
  <c r="M78" i="12"/>
  <c r="H78" i="12"/>
  <c r="C78" i="12"/>
  <c r="R77" i="12"/>
  <c r="M77" i="12"/>
  <c r="H77" i="12"/>
  <c r="C77" i="12"/>
  <c r="R76" i="12"/>
  <c r="H76" i="12"/>
  <c r="C76" i="12"/>
  <c r="R75" i="12"/>
  <c r="H75" i="12"/>
  <c r="R74" i="12"/>
  <c r="M74" i="12"/>
  <c r="C74" i="12"/>
  <c r="R73" i="12"/>
  <c r="M73" i="12"/>
  <c r="H73" i="12"/>
  <c r="R72" i="12"/>
  <c r="M72" i="12"/>
  <c r="H72" i="12"/>
  <c r="C72" i="12"/>
  <c r="R71" i="12"/>
  <c r="M71" i="12"/>
  <c r="H71" i="12"/>
  <c r="C71" i="12"/>
  <c r="R70" i="12"/>
  <c r="M70" i="12"/>
  <c r="H70" i="12"/>
  <c r="R69" i="12"/>
  <c r="M69" i="12"/>
  <c r="H69" i="12"/>
  <c r="C69" i="12"/>
  <c r="R68" i="12"/>
  <c r="M68" i="12"/>
  <c r="H68" i="12"/>
  <c r="R67" i="12"/>
  <c r="M67" i="12"/>
  <c r="H67" i="12"/>
  <c r="C67" i="12"/>
  <c r="R66" i="12"/>
  <c r="M66" i="12"/>
  <c r="H66" i="12"/>
  <c r="C66" i="12"/>
  <c r="R65" i="12"/>
  <c r="M65" i="12"/>
  <c r="H65" i="12"/>
  <c r="C65" i="12"/>
  <c r="R64" i="12"/>
  <c r="H64" i="12"/>
  <c r="C64" i="12"/>
  <c r="R63" i="12"/>
  <c r="H63" i="12"/>
  <c r="R62" i="12"/>
  <c r="M62" i="12"/>
  <c r="H62" i="12"/>
  <c r="C62" i="12"/>
  <c r="R61" i="12"/>
  <c r="M61" i="12"/>
  <c r="H61" i="12"/>
  <c r="R60" i="12"/>
  <c r="M60" i="12"/>
  <c r="H60" i="12"/>
  <c r="R59" i="12"/>
  <c r="M59" i="12"/>
  <c r="H59" i="12"/>
  <c r="C59" i="12"/>
  <c r="R58" i="12"/>
  <c r="M58" i="12"/>
  <c r="H58" i="12"/>
  <c r="R57" i="12"/>
  <c r="M57" i="12"/>
  <c r="H57" i="12"/>
  <c r="C57" i="12"/>
  <c r="R56" i="12"/>
  <c r="M56" i="12"/>
  <c r="H56" i="12"/>
  <c r="R55" i="12"/>
  <c r="M55" i="12"/>
  <c r="H55" i="12"/>
  <c r="C55" i="12"/>
  <c r="R54" i="12"/>
  <c r="M54" i="12"/>
  <c r="H54" i="12"/>
  <c r="C54" i="12"/>
  <c r="R53" i="12"/>
  <c r="M53" i="12"/>
  <c r="H53" i="12"/>
  <c r="C53" i="12"/>
  <c r="R52" i="12"/>
  <c r="H52" i="12"/>
  <c r="C52" i="12"/>
  <c r="R51" i="12"/>
  <c r="H51" i="12"/>
  <c r="R50" i="12"/>
  <c r="M50" i="12"/>
  <c r="H50" i="12"/>
  <c r="C50" i="12"/>
  <c r="R49" i="12"/>
  <c r="M49" i="12"/>
  <c r="H49" i="12"/>
  <c r="R48" i="12"/>
  <c r="M48" i="12"/>
  <c r="H48" i="12"/>
  <c r="R47" i="12"/>
  <c r="M47" i="12"/>
  <c r="H47" i="12"/>
  <c r="C47" i="12"/>
  <c r="R46" i="12"/>
  <c r="M46" i="12"/>
  <c r="H46" i="12"/>
  <c r="R45" i="12"/>
  <c r="M45" i="12"/>
  <c r="H45" i="12"/>
  <c r="C45" i="12"/>
  <c r="R44" i="12"/>
  <c r="M44" i="12"/>
  <c r="H44" i="12"/>
  <c r="C44" i="12"/>
  <c r="R43" i="12"/>
  <c r="M43" i="12"/>
  <c r="H43" i="12"/>
  <c r="C43" i="12"/>
  <c r="R42" i="12"/>
  <c r="M42" i="12"/>
  <c r="H42" i="12"/>
  <c r="C42" i="12"/>
  <c r="R41" i="12"/>
  <c r="M41" i="12"/>
  <c r="H41" i="12"/>
  <c r="C41" i="12"/>
  <c r="R40" i="12"/>
  <c r="H40" i="12"/>
  <c r="C40" i="12"/>
  <c r="R39" i="12"/>
  <c r="H39" i="12"/>
  <c r="R38" i="12"/>
  <c r="M38" i="12"/>
  <c r="H38" i="12"/>
  <c r="C38" i="12"/>
  <c r="R37" i="12"/>
  <c r="M37" i="12"/>
  <c r="H37" i="12"/>
  <c r="R36" i="12"/>
  <c r="M36" i="12"/>
  <c r="H36" i="12"/>
  <c r="R35" i="12"/>
  <c r="M35" i="12"/>
  <c r="H35" i="12"/>
  <c r="C35" i="12"/>
  <c r="R34" i="12"/>
  <c r="M34" i="12"/>
  <c r="H34" i="12"/>
  <c r="R33" i="12"/>
  <c r="M33" i="12"/>
  <c r="H33" i="12"/>
  <c r="C33" i="12"/>
  <c r="R32" i="12"/>
  <c r="M32" i="12"/>
  <c r="H32" i="12"/>
  <c r="R31" i="12"/>
  <c r="M31" i="12"/>
  <c r="H31" i="12"/>
  <c r="C31" i="12"/>
  <c r="R30" i="12"/>
  <c r="M30" i="12"/>
  <c r="H30" i="12"/>
  <c r="C30" i="12"/>
  <c r="R29" i="12"/>
  <c r="M29" i="12"/>
  <c r="H29" i="12"/>
  <c r="C29" i="12"/>
  <c r="R28" i="12"/>
  <c r="M28" i="12"/>
  <c r="H28" i="12"/>
  <c r="C28" i="12"/>
  <c r="R27" i="12"/>
  <c r="H27" i="12"/>
  <c r="R26" i="12"/>
  <c r="M26" i="12"/>
  <c r="H26" i="12"/>
  <c r="C26" i="12"/>
  <c r="R25" i="12"/>
  <c r="M25" i="12"/>
  <c r="H25" i="12"/>
  <c r="R24" i="12"/>
  <c r="H24" i="12"/>
  <c r="R23" i="12"/>
  <c r="H23" i="12"/>
  <c r="C23" i="12"/>
  <c r="R22" i="12"/>
  <c r="H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V5" i="12"/>
  <c r="R5" i="12"/>
  <c r="R4" i="12"/>
  <c r="R667" i="11"/>
  <c r="O667" i="11"/>
  <c r="H667" i="11"/>
  <c r="E667" i="11"/>
  <c r="R666" i="11"/>
  <c r="O666" i="11"/>
  <c r="H666" i="11"/>
  <c r="E666" i="11"/>
  <c r="R665" i="11"/>
  <c r="O665" i="11"/>
  <c r="H665" i="11"/>
  <c r="E665" i="11"/>
  <c r="R664" i="11"/>
  <c r="O664" i="11"/>
  <c r="H664" i="11"/>
  <c r="E664" i="11"/>
  <c r="R663" i="11"/>
  <c r="O663" i="11"/>
  <c r="H663" i="11"/>
  <c r="E663" i="11"/>
  <c r="R662" i="11"/>
  <c r="O662" i="11"/>
  <c r="H662" i="11"/>
  <c r="E662" i="11"/>
  <c r="R661" i="11"/>
  <c r="O661" i="11"/>
  <c r="H661" i="11"/>
  <c r="E661" i="11"/>
  <c r="R660" i="11"/>
  <c r="O660" i="11"/>
  <c r="H660" i="11"/>
  <c r="E660" i="11"/>
  <c r="R659" i="11"/>
  <c r="O659" i="11"/>
  <c r="H659" i="11"/>
  <c r="E659" i="11"/>
  <c r="R658" i="11"/>
  <c r="O658" i="11"/>
  <c r="H658" i="11"/>
  <c r="E658" i="11"/>
  <c r="R657" i="11"/>
  <c r="O657" i="11"/>
  <c r="H657" i="11"/>
  <c r="E657" i="11"/>
  <c r="R656" i="11"/>
  <c r="O656" i="11"/>
  <c r="H656" i="11"/>
  <c r="E656" i="11"/>
  <c r="R655" i="11"/>
  <c r="O655" i="11"/>
  <c r="H655" i="11"/>
  <c r="E655" i="11"/>
  <c r="R654" i="11"/>
  <c r="O654" i="11"/>
  <c r="H654" i="11"/>
  <c r="E654" i="11"/>
  <c r="R653" i="11"/>
  <c r="O653" i="11"/>
  <c r="H653" i="11"/>
  <c r="E653" i="11"/>
  <c r="R652" i="11"/>
  <c r="O652" i="11"/>
  <c r="H652" i="11"/>
  <c r="E652" i="11"/>
  <c r="R651" i="11"/>
  <c r="O651" i="11"/>
  <c r="H651" i="11"/>
  <c r="E651" i="11"/>
  <c r="R650" i="11"/>
  <c r="O650" i="11"/>
  <c r="H650" i="11"/>
  <c r="E650" i="11"/>
  <c r="R649" i="11"/>
  <c r="O649" i="11"/>
  <c r="H649" i="11"/>
  <c r="E649" i="11"/>
  <c r="R648" i="11"/>
  <c r="O648" i="11"/>
  <c r="H648" i="11"/>
  <c r="E648" i="11"/>
  <c r="R647" i="11"/>
  <c r="O647" i="11"/>
  <c r="H647" i="11"/>
  <c r="E647" i="11"/>
  <c r="R646" i="11"/>
  <c r="O646" i="11"/>
  <c r="H646" i="11"/>
  <c r="E646" i="11"/>
  <c r="R645" i="11"/>
  <c r="O645" i="11"/>
  <c r="H645" i="11"/>
  <c r="E645" i="11"/>
  <c r="R644" i="11"/>
  <c r="O644" i="11"/>
  <c r="H644" i="11"/>
  <c r="E644" i="11"/>
  <c r="R643" i="11"/>
  <c r="O643" i="11"/>
  <c r="H643" i="11"/>
  <c r="E643" i="11"/>
  <c r="R642" i="11"/>
  <c r="O642" i="11"/>
  <c r="H642" i="11"/>
  <c r="E642" i="11"/>
  <c r="R641" i="11"/>
  <c r="O641" i="11"/>
  <c r="H641" i="11"/>
  <c r="E641" i="11"/>
  <c r="R640" i="11"/>
  <c r="O640" i="11"/>
  <c r="H640" i="11"/>
  <c r="E640" i="11"/>
  <c r="R639" i="11"/>
  <c r="O639" i="11"/>
  <c r="H639" i="11"/>
  <c r="E639" i="11"/>
  <c r="R638" i="11"/>
  <c r="O638" i="11"/>
  <c r="H638" i="11"/>
  <c r="E638" i="11"/>
  <c r="R637" i="11"/>
  <c r="O637" i="11"/>
  <c r="H637" i="11"/>
  <c r="E637" i="11"/>
  <c r="R636" i="11"/>
  <c r="O636" i="11"/>
  <c r="H636" i="11"/>
  <c r="E636" i="11"/>
  <c r="R635" i="11"/>
  <c r="O635" i="11"/>
  <c r="H635" i="11"/>
  <c r="E635" i="11"/>
  <c r="R634" i="11"/>
  <c r="O634" i="11"/>
  <c r="H634" i="11"/>
  <c r="E634" i="11"/>
  <c r="R633" i="11"/>
  <c r="O633" i="11"/>
  <c r="H633" i="11"/>
  <c r="E633" i="11"/>
  <c r="R632" i="11"/>
  <c r="O632" i="11"/>
  <c r="H632" i="11"/>
  <c r="E632" i="11"/>
  <c r="R631" i="11"/>
  <c r="O631" i="11"/>
  <c r="H631" i="11"/>
  <c r="E631" i="11"/>
  <c r="R630" i="11"/>
  <c r="O630" i="11"/>
  <c r="H630" i="11"/>
  <c r="E630" i="11"/>
  <c r="R629" i="11"/>
  <c r="O629" i="11"/>
  <c r="H629" i="11"/>
  <c r="E629" i="11"/>
  <c r="R628" i="11"/>
  <c r="O628" i="11"/>
  <c r="H628" i="11"/>
  <c r="E628" i="11"/>
  <c r="R627" i="11"/>
  <c r="O627" i="11"/>
  <c r="H627" i="11"/>
  <c r="E627" i="11"/>
  <c r="R626" i="11"/>
  <c r="O626" i="11"/>
  <c r="H626" i="11"/>
  <c r="E626" i="11"/>
  <c r="R625" i="11"/>
  <c r="O625" i="11"/>
  <c r="H625" i="11"/>
  <c r="E625" i="11"/>
  <c r="R624" i="11"/>
  <c r="O624" i="11"/>
  <c r="H624" i="11"/>
  <c r="E624" i="11"/>
  <c r="R623" i="11"/>
  <c r="O623" i="11"/>
  <c r="H623" i="11"/>
  <c r="E623" i="11"/>
  <c r="R622" i="11"/>
  <c r="O622" i="11"/>
  <c r="H622" i="11"/>
  <c r="E622" i="11"/>
  <c r="R621" i="11"/>
  <c r="O621" i="11"/>
  <c r="H621" i="11"/>
  <c r="E621" i="11"/>
  <c r="R620" i="11"/>
  <c r="O620" i="11"/>
  <c r="H620" i="11"/>
  <c r="E620" i="11"/>
  <c r="R619" i="11"/>
  <c r="O619" i="11"/>
  <c r="H619" i="11"/>
  <c r="E619" i="11"/>
  <c r="R618" i="11"/>
  <c r="O618" i="11"/>
  <c r="H618" i="11"/>
  <c r="E618" i="11"/>
  <c r="R617" i="11"/>
  <c r="O617" i="11"/>
  <c r="H617" i="11"/>
  <c r="E617" i="11"/>
  <c r="R616" i="11"/>
  <c r="O616" i="11"/>
  <c r="H616" i="11"/>
  <c r="E616" i="11"/>
  <c r="R615" i="11"/>
  <c r="O615" i="11"/>
  <c r="H615" i="11"/>
  <c r="E615" i="11"/>
  <c r="R614" i="11"/>
  <c r="O614" i="11"/>
  <c r="H614" i="11"/>
  <c r="E614" i="11"/>
  <c r="R613" i="11"/>
  <c r="O613" i="11"/>
  <c r="H613" i="11"/>
  <c r="E613" i="11"/>
  <c r="R612" i="11"/>
  <c r="O612" i="11"/>
  <c r="H612" i="11"/>
  <c r="E612" i="11"/>
  <c r="R611" i="11"/>
  <c r="O611" i="11"/>
  <c r="H611" i="11"/>
  <c r="E611" i="11"/>
  <c r="R610" i="11"/>
  <c r="O610" i="11"/>
  <c r="H610" i="11"/>
  <c r="E610" i="11"/>
  <c r="R609" i="11"/>
  <c r="O609" i="11"/>
  <c r="H609" i="11"/>
  <c r="E609" i="11"/>
  <c r="R608" i="11"/>
  <c r="O608" i="11"/>
  <c r="H608" i="11"/>
  <c r="E608" i="11"/>
  <c r="R607" i="11"/>
  <c r="O607" i="11"/>
  <c r="H607" i="11"/>
  <c r="E607" i="11"/>
  <c r="R606" i="11"/>
  <c r="O606" i="11"/>
  <c r="H606" i="11"/>
  <c r="E606" i="11"/>
  <c r="R605" i="11"/>
  <c r="O605" i="11"/>
  <c r="H605" i="11"/>
  <c r="E605" i="11"/>
  <c r="R604" i="11"/>
  <c r="O604" i="11"/>
  <c r="H604" i="11"/>
  <c r="E604" i="11"/>
  <c r="R603" i="11"/>
  <c r="O603" i="11"/>
  <c r="H603" i="11"/>
  <c r="E603" i="11"/>
  <c r="R602" i="11"/>
  <c r="O602" i="11"/>
  <c r="H602" i="11"/>
  <c r="E602" i="11"/>
  <c r="R601" i="11"/>
  <c r="O601" i="11"/>
  <c r="H601" i="11"/>
  <c r="E601" i="11"/>
  <c r="R600" i="11"/>
  <c r="O600" i="11"/>
  <c r="H600" i="11"/>
  <c r="E600" i="11"/>
  <c r="R599" i="11"/>
  <c r="O599" i="11"/>
  <c r="H599" i="11"/>
  <c r="E599" i="11"/>
  <c r="R598" i="11"/>
  <c r="O598" i="11"/>
  <c r="H598" i="11"/>
  <c r="E598" i="11"/>
  <c r="R597" i="11"/>
  <c r="O597" i="11"/>
  <c r="H597" i="11"/>
  <c r="E597" i="11"/>
  <c r="R596" i="11"/>
  <c r="O596" i="11"/>
  <c r="H596" i="11"/>
  <c r="E596" i="11"/>
  <c r="R595" i="11"/>
  <c r="O595" i="11"/>
  <c r="H595" i="11"/>
  <c r="E595" i="11"/>
  <c r="R594" i="11"/>
  <c r="O594" i="11"/>
  <c r="H594" i="11"/>
  <c r="E594" i="11"/>
  <c r="R593" i="11"/>
  <c r="O593" i="11"/>
  <c r="H593" i="11"/>
  <c r="E593" i="11"/>
  <c r="R592" i="11"/>
  <c r="O592" i="11"/>
  <c r="H592" i="11"/>
  <c r="E592" i="11"/>
  <c r="R591" i="11"/>
  <c r="O591" i="11"/>
  <c r="H591" i="11"/>
  <c r="E591" i="11"/>
  <c r="R590" i="11"/>
  <c r="O590" i="11"/>
  <c r="H590" i="11"/>
  <c r="E590" i="11"/>
  <c r="R589" i="11"/>
  <c r="O589" i="11"/>
  <c r="H589" i="11"/>
  <c r="E589" i="11"/>
  <c r="R588" i="11"/>
  <c r="O588" i="11"/>
  <c r="H588" i="11"/>
  <c r="E588" i="11"/>
  <c r="R587" i="11"/>
  <c r="O587" i="11"/>
  <c r="H587" i="11"/>
  <c r="E587" i="11"/>
  <c r="R586" i="11"/>
  <c r="O586" i="11"/>
  <c r="H586" i="11"/>
  <c r="E586" i="11"/>
  <c r="R585" i="11"/>
  <c r="O585" i="11"/>
  <c r="H585" i="11"/>
  <c r="E585" i="11"/>
  <c r="R584" i="11"/>
  <c r="O584" i="11"/>
  <c r="H584" i="11"/>
  <c r="E584" i="11"/>
  <c r="R583" i="11"/>
  <c r="O583" i="11"/>
  <c r="H583" i="11"/>
  <c r="E583" i="11"/>
  <c r="R582" i="11"/>
  <c r="O582" i="11"/>
  <c r="H582" i="11"/>
  <c r="E582" i="11"/>
  <c r="R581" i="11"/>
  <c r="O581" i="11"/>
  <c r="H581" i="11"/>
  <c r="E581" i="11"/>
  <c r="R580" i="11"/>
  <c r="O580" i="11"/>
  <c r="H580" i="11"/>
  <c r="E580" i="11"/>
  <c r="R579" i="11"/>
  <c r="O579" i="11"/>
  <c r="H579" i="11"/>
  <c r="E579" i="11"/>
  <c r="R578" i="11"/>
  <c r="O578" i="11"/>
  <c r="H578" i="11"/>
  <c r="E578" i="11"/>
  <c r="R577" i="11"/>
  <c r="O577" i="11"/>
  <c r="H577" i="11"/>
  <c r="E577" i="11"/>
  <c r="R576" i="11"/>
  <c r="O576" i="11"/>
  <c r="H576" i="11"/>
  <c r="E576" i="11"/>
  <c r="R575" i="11"/>
  <c r="O575" i="11"/>
  <c r="H575" i="11"/>
  <c r="E575" i="11"/>
  <c r="R574" i="11"/>
  <c r="O574" i="11"/>
  <c r="H574" i="11"/>
  <c r="E574" i="11"/>
  <c r="R573" i="11"/>
  <c r="O573" i="11"/>
  <c r="H573" i="11"/>
  <c r="E573" i="11"/>
  <c r="R572" i="11"/>
  <c r="O572" i="11"/>
  <c r="H572" i="11"/>
  <c r="E572" i="11"/>
  <c r="R571" i="11"/>
  <c r="O571" i="11"/>
  <c r="H571" i="11"/>
  <c r="E571" i="11"/>
  <c r="R570" i="11"/>
  <c r="O570" i="11"/>
  <c r="H570" i="11"/>
  <c r="E570" i="11"/>
  <c r="R569" i="11"/>
  <c r="O569" i="11"/>
  <c r="H569" i="11"/>
  <c r="E569" i="11"/>
  <c r="R568" i="11"/>
  <c r="O568" i="11"/>
  <c r="H568" i="11"/>
  <c r="E568" i="11"/>
  <c r="R567" i="11"/>
  <c r="O567" i="11"/>
  <c r="H567" i="11"/>
  <c r="E567" i="11"/>
  <c r="R566" i="11"/>
  <c r="O566" i="11"/>
  <c r="H566" i="11"/>
  <c r="E566" i="11"/>
  <c r="R565" i="11"/>
  <c r="O565" i="11"/>
  <c r="H565" i="11"/>
  <c r="E565" i="11"/>
  <c r="R564" i="11"/>
  <c r="O564" i="11"/>
  <c r="H564" i="11"/>
  <c r="E564" i="11"/>
  <c r="R563" i="11"/>
  <c r="O563" i="11"/>
  <c r="H563" i="11"/>
  <c r="E563" i="11"/>
  <c r="R562" i="11"/>
  <c r="O562" i="11"/>
  <c r="H562" i="11"/>
  <c r="E562" i="11"/>
  <c r="R561" i="11"/>
  <c r="O561" i="11"/>
  <c r="H561" i="11"/>
  <c r="E561" i="11"/>
  <c r="R560" i="11"/>
  <c r="O560" i="11"/>
  <c r="H560" i="11"/>
  <c r="E560" i="11"/>
  <c r="R559" i="11"/>
  <c r="O559" i="11"/>
  <c r="H559" i="11"/>
  <c r="E559" i="11"/>
  <c r="R558" i="11"/>
  <c r="O558" i="11"/>
  <c r="H558" i="11"/>
  <c r="E558" i="11"/>
  <c r="R557" i="11"/>
  <c r="O557" i="11"/>
  <c r="H557" i="11"/>
  <c r="E557" i="11"/>
  <c r="R556" i="11"/>
  <c r="O556" i="11"/>
  <c r="H556" i="11"/>
  <c r="E556" i="11"/>
  <c r="R555" i="11"/>
  <c r="O555" i="11"/>
  <c r="H555" i="11"/>
  <c r="E555" i="11"/>
  <c r="R554" i="11"/>
  <c r="O554" i="11"/>
  <c r="H554" i="11"/>
  <c r="E554" i="11"/>
  <c r="R553" i="11"/>
  <c r="O553" i="11"/>
  <c r="H553" i="11"/>
  <c r="E553" i="11"/>
  <c r="R552" i="11"/>
  <c r="O552" i="11"/>
  <c r="H552" i="11"/>
  <c r="E552" i="11"/>
  <c r="R551" i="11"/>
  <c r="O551" i="11"/>
  <c r="H551" i="11"/>
  <c r="E551" i="11"/>
  <c r="R550" i="11"/>
  <c r="O550" i="11"/>
  <c r="H550" i="11"/>
  <c r="E550" i="11"/>
  <c r="R549" i="11"/>
  <c r="O549" i="11"/>
  <c r="H549" i="11"/>
  <c r="E549" i="11"/>
  <c r="R548" i="11"/>
  <c r="O548" i="11"/>
  <c r="H548" i="11"/>
  <c r="E548" i="11"/>
  <c r="R547" i="11"/>
  <c r="O547" i="11"/>
  <c r="H547" i="11"/>
  <c r="E547" i="11"/>
  <c r="R546" i="11"/>
  <c r="O546" i="11"/>
  <c r="H546" i="11"/>
  <c r="E546" i="11"/>
  <c r="R545" i="11"/>
  <c r="O545" i="11"/>
  <c r="H545" i="11"/>
  <c r="E545" i="11"/>
  <c r="R544" i="11"/>
  <c r="O544" i="11"/>
  <c r="H544" i="11"/>
  <c r="E544" i="11"/>
  <c r="R543" i="11"/>
  <c r="O543" i="11"/>
  <c r="H543" i="11"/>
  <c r="E543" i="11"/>
  <c r="R542" i="11"/>
  <c r="O542" i="11"/>
  <c r="H542" i="11"/>
  <c r="E542" i="11"/>
  <c r="R541" i="11"/>
  <c r="O541" i="11"/>
  <c r="H541" i="11"/>
  <c r="E541" i="11"/>
  <c r="R540" i="11"/>
  <c r="O540" i="11"/>
  <c r="H540" i="11"/>
  <c r="E540" i="11"/>
  <c r="R539" i="11"/>
  <c r="O539" i="11"/>
  <c r="H539" i="11"/>
  <c r="E539" i="11"/>
  <c r="R538" i="11"/>
  <c r="O538" i="11"/>
  <c r="H538" i="11"/>
  <c r="E538" i="11"/>
  <c r="R537" i="11"/>
  <c r="O537" i="11"/>
  <c r="H537" i="11"/>
  <c r="E537" i="11"/>
  <c r="R536" i="11"/>
  <c r="O536" i="11"/>
  <c r="H536" i="11"/>
  <c r="E536" i="11"/>
  <c r="R535" i="11"/>
  <c r="O535" i="11"/>
  <c r="H535" i="11"/>
  <c r="E535" i="11"/>
  <c r="R534" i="11"/>
  <c r="O534" i="11"/>
  <c r="H534" i="11"/>
  <c r="E534" i="11"/>
  <c r="R533" i="11"/>
  <c r="O533" i="11"/>
  <c r="H533" i="11"/>
  <c r="E533" i="11"/>
  <c r="R532" i="11"/>
  <c r="O532" i="11"/>
  <c r="H532" i="11"/>
  <c r="E532" i="11"/>
  <c r="R531" i="11"/>
  <c r="O531" i="11"/>
  <c r="H531" i="11"/>
  <c r="E531" i="11"/>
  <c r="R530" i="11"/>
  <c r="O530" i="11"/>
  <c r="H530" i="11"/>
  <c r="E530" i="11"/>
  <c r="R529" i="11"/>
  <c r="O529" i="11"/>
  <c r="H529" i="11"/>
  <c r="E529" i="11"/>
  <c r="R528" i="11"/>
  <c r="O528" i="11"/>
  <c r="H528" i="11"/>
  <c r="E528" i="11"/>
  <c r="R527" i="11"/>
  <c r="O527" i="11"/>
  <c r="H527" i="11"/>
  <c r="E527" i="11"/>
  <c r="R526" i="11"/>
  <c r="O526" i="11"/>
  <c r="H526" i="11"/>
  <c r="E526" i="11"/>
  <c r="R525" i="11"/>
  <c r="O525" i="11"/>
  <c r="H525" i="11"/>
  <c r="E525" i="11"/>
  <c r="R524" i="11"/>
  <c r="O524" i="11"/>
  <c r="H524" i="11"/>
  <c r="E524" i="11"/>
  <c r="R523" i="11"/>
  <c r="O523" i="11"/>
  <c r="H523" i="11"/>
  <c r="E523" i="11"/>
  <c r="R522" i="11"/>
  <c r="O522" i="11"/>
  <c r="H522" i="11"/>
  <c r="E522" i="11"/>
  <c r="R521" i="11"/>
  <c r="O521" i="11"/>
  <c r="H521" i="11"/>
  <c r="E521" i="11"/>
  <c r="R520" i="11"/>
  <c r="O520" i="11"/>
  <c r="H520" i="11"/>
  <c r="E520" i="11"/>
  <c r="R519" i="11"/>
  <c r="O519" i="11"/>
  <c r="H519" i="11"/>
  <c r="E519" i="11"/>
  <c r="R518" i="11"/>
  <c r="O518" i="11"/>
  <c r="H518" i="11"/>
  <c r="E518" i="11"/>
  <c r="R517" i="11"/>
  <c r="O517" i="11"/>
  <c r="H517" i="11"/>
  <c r="E517" i="11"/>
  <c r="R516" i="11"/>
  <c r="O516" i="11"/>
  <c r="H516" i="11"/>
  <c r="E516" i="11"/>
  <c r="R515" i="11"/>
  <c r="O515" i="11"/>
  <c r="H515" i="11"/>
  <c r="E515" i="11"/>
  <c r="R514" i="11"/>
  <c r="O514" i="11"/>
  <c r="H514" i="11"/>
  <c r="E514" i="11"/>
  <c r="R513" i="11"/>
  <c r="O513" i="11"/>
  <c r="H513" i="11"/>
  <c r="E513" i="11"/>
  <c r="R512" i="11"/>
  <c r="O512" i="11"/>
  <c r="H512" i="11"/>
  <c r="E512" i="11"/>
  <c r="R511" i="11"/>
  <c r="O511" i="11"/>
  <c r="H511" i="11"/>
  <c r="E511" i="11"/>
  <c r="R510" i="11"/>
  <c r="O510" i="11"/>
  <c r="H510" i="11"/>
  <c r="E510" i="11"/>
  <c r="R509" i="11"/>
  <c r="O509" i="11"/>
  <c r="H509" i="11"/>
  <c r="E509" i="11"/>
  <c r="R508" i="11"/>
  <c r="O508" i="11"/>
  <c r="H508" i="11"/>
  <c r="E508" i="11"/>
  <c r="R507" i="11"/>
  <c r="O507" i="11"/>
  <c r="H507" i="11"/>
  <c r="E507" i="11"/>
  <c r="R506" i="11"/>
  <c r="O506" i="11"/>
  <c r="H506" i="11"/>
  <c r="E506" i="11"/>
  <c r="R505" i="11"/>
  <c r="O505" i="11"/>
  <c r="H505" i="11"/>
  <c r="E505" i="11"/>
  <c r="R504" i="11"/>
  <c r="O504" i="11"/>
  <c r="H504" i="11"/>
  <c r="E504" i="11"/>
  <c r="R503" i="11"/>
  <c r="O503" i="11"/>
  <c r="H503" i="11"/>
  <c r="E503" i="11"/>
  <c r="R502" i="11"/>
  <c r="O502" i="11"/>
  <c r="H502" i="11"/>
  <c r="E502" i="11"/>
  <c r="R501" i="11"/>
  <c r="O501" i="11"/>
  <c r="H501" i="11"/>
  <c r="E501" i="11"/>
  <c r="R500" i="11"/>
  <c r="O500" i="11"/>
  <c r="H500" i="11"/>
  <c r="E500" i="11"/>
  <c r="R499" i="11"/>
  <c r="O499" i="11"/>
  <c r="H499" i="11"/>
  <c r="E499" i="11"/>
  <c r="R498" i="11"/>
  <c r="O498" i="11"/>
  <c r="H498" i="11"/>
  <c r="E498" i="11"/>
  <c r="R497" i="11"/>
  <c r="O497" i="11"/>
  <c r="H497" i="11"/>
  <c r="E497" i="11"/>
  <c r="R496" i="11"/>
  <c r="O496" i="11"/>
  <c r="H496" i="11"/>
  <c r="E496" i="11"/>
  <c r="R495" i="11"/>
  <c r="O495" i="11"/>
  <c r="H495" i="11"/>
  <c r="E495" i="11"/>
  <c r="R494" i="11"/>
  <c r="O494" i="11"/>
  <c r="H494" i="11"/>
  <c r="E494" i="11"/>
  <c r="R493" i="11"/>
  <c r="O493" i="11"/>
  <c r="H493" i="11"/>
  <c r="E493" i="11"/>
  <c r="R492" i="11"/>
  <c r="O492" i="11"/>
  <c r="H492" i="11"/>
  <c r="E492" i="11"/>
  <c r="R491" i="11"/>
  <c r="O491" i="11"/>
  <c r="H491" i="11"/>
  <c r="E491" i="11"/>
  <c r="R490" i="11"/>
  <c r="O490" i="11"/>
  <c r="H490" i="11"/>
  <c r="E490" i="11"/>
  <c r="R489" i="11"/>
  <c r="O489" i="11"/>
  <c r="H489" i="11"/>
  <c r="E489" i="11"/>
  <c r="R488" i="11"/>
  <c r="O488" i="11"/>
  <c r="H488" i="11"/>
  <c r="E488" i="11"/>
  <c r="R487" i="11"/>
  <c r="O487" i="11"/>
  <c r="H487" i="11"/>
  <c r="E487" i="11"/>
  <c r="R486" i="11"/>
  <c r="O486" i="11"/>
  <c r="H486" i="11"/>
  <c r="E486" i="11"/>
  <c r="R485" i="11"/>
  <c r="O485" i="11"/>
  <c r="H485" i="11"/>
  <c r="E485" i="11"/>
  <c r="R484" i="11"/>
  <c r="O484" i="11"/>
  <c r="H484" i="11"/>
  <c r="E484" i="11"/>
  <c r="R483" i="11"/>
  <c r="O483" i="11"/>
  <c r="H483" i="11"/>
  <c r="E483" i="11"/>
  <c r="R482" i="11"/>
  <c r="O482" i="11"/>
  <c r="H482" i="11"/>
  <c r="E482" i="11"/>
  <c r="R481" i="11"/>
  <c r="O481" i="11"/>
  <c r="H481" i="11"/>
  <c r="E481" i="11"/>
  <c r="R480" i="11"/>
  <c r="O480" i="11"/>
  <c r="H480" i="11"/>
  <c r="E480" i="11"/>
  <c r="R479" i="11"/>
  <c r="O479" i="11"/>
  <c r="H479" i="11"/>
  <c r="E479" i="11"/>
  <c r="R478" i="11"/>
  <c r="O478" i="11"/>
  <c r="H478" i="11"/>
  <c r="E478" i="11"/>
  <c r="R477" i="11"/>
  <c r="O477" i="11"/>
  <c r="H477" i="11"/>
  <c r="E477" i="11"/>
  <c r="R476" i="11"/>
  <c r="O476" i="11"/>
  <c r="H476" i="11"/>
  <c r="E476" i="11"/>
  <c r="R475" i="11"/>
  <c r="O475" i="11"/>
  <c r="H475" i="11"/>
  <c r="E475" i="11"/>
  <c r="R474" i="11"/>
  <c r="O474" i="11"/>
  <c r="H474" i="11"/>
  <c r="E474" i="11"/>
  <c r="R473" i="11"/>
  <c r="O473" i="11"/>
  <c r="H473" i="11"/>
  <c r="E473" i="11"/>
  <c r="R472" i="11"/>
  <c r="O472" i="11"/>
  <c r="H472" i="11"/>
  <c r="E472" i="11"/>
  <c r="R471" i="11"/>
  <c r="O471" i="11"/>
  <c r="M471" i="11" s="1"/>
  <c r="L471" i="11" s="1"/>
  <c r="H471" i="11"/>
  <c r="E471" i="11"/>
  <c r="R470" i="11"/>
  <c r="O470" i="11"/>
  <c r="M470" i="11" s="1"/>
  <c r="L470" i="11" s="1"/>
  <c r="H470" i="11"/>
  <c r="E470" i="11"/>
  <c r="R469" i="11"/>
  <c r="O469" i="11"/>
  <c r="M469" i="11" s="1"/>
  <c r="L469" i="11" s="1"/>
  <c r="H469" i="11"/>
  <c r="E469" i="11"/>
  <c r="R468" i="11"/>
  <c r="O468" i="11"/>
  <c r="M468" i="11" s="1"/>
  <c r="L468" i="11" s="1"/>
  <c r="H468" i="11"/>
  <c r="E468" i="11"/>
  <c r="R467" i="11"/>
  <c r="O467" i="11"/>
  <c r="M467" i="11" s="1"/>
  <c r="L467" i="11" s="1"/>
  <c r="H467" i="11"/>
  <c r="E467" i="11"/>
  <c r="R466" i="11"/>
  <c r="O466" i="11"/>
  <c r="M466" i="11" s="1"/>
  <c r="L466" i="11" s="1"/>
  <c r="H466" i="11"/>
  <c r="E466" i="11"/>
  <c r="R465" i="11"/>
  <c r="O465" i="11"/>
  <c r="M465" i="11" s="1"/>
  <c r="L465" i="11" s="1"/>
  <c r="H465" i="11"/>
  <c r="E465" i="11"/>
  <c r="R464" i="11"/>
  <c r="O464" i="11"/>
  <c r="M464" i="11" s="1"/>
  <c r="L464" i="11" s="1"/>
  <c r="H464" i="11"/>
  <c r="E464" i="11"/>
  <c r="R463" i="11"/>
  <c r="O463" i="11"/>
  <c r="M463" i="11" s="1"/>
  <c r="L463" i="11" s="1"/>
  <c r="H463" i="11"/>
  <c r="E463" i="11"/>
  <c r="R462" i="11"/>
  <c r="O462" i="11"/>
  <c r="M462" i="11" s="1"/>
  <c r="L462" i="11" s="1"/>
  <c r="H462" i="11"/>
  <c r="E462" i="11"/>
  <c r="R461" i="11"/>
  <c r="O461" i="11"/>
  <c r="M461" i="11" s="1"/>
  <c r="L461" i="11" s="1"/>
  <c r="H461" i="11"/>
  <c r="E461" i="11"/>
  <c r="R460" i="11"/>
  <c r="O460" i="11"/>
  <c r="M460" i="11" s="1"/>
  <c r="L460" i="11" s="1"/>
  <c r="H460" i="11"/>
  <c r="E460" i="11"/>
  <c r="R459" i="11"/>
  <c r="O459" i="11"/>
  <c r="M459" i="11" s="1"/>
  <c r="L459" i="11" s="1"/>
  <c r="H459" i="11"/>
  <c r="E459" i="11"/>
  <c r="R458" i="11"/>
  <c r="O458" i="11"/>
  <c r="M458" i="11" s="1"/>
  <c r="L458" i="11" s="1"/>
  <c r="H458" i="11"/>
  <c r="E458" i="11"/>
  <c r="R457" i="11"/>
  <c r="O457" i="11"/>
  <c r="M457" i="11" s="1"/>
  <c r="L457" i="11" s="1"/>
  <c r="H457" i="11"/>
  <c r="E457" i="11"/>
  <c r="R456" i="11"/>
  <c r="O456" i="11"/>
  <c r="M456" i="11" s="1"/>
  <c r="L456" i="11" s="1"/>
  <c r="H456" i="11"/>
  <c r="E456" i="11"/>
  <c r="R455" i="11"/>
  <c r="O455" i="11"/>
  <c r="M455" i="11" s="1"/>
  <c r="L455" i="11" s="1"/>
  <c r="H455" i="11"/>
  <c r="E455" i="11"/>
  <c r="R454" i="11"/>
  <c r="O454" i="11"/>
  <c r="M454" i="11" s="1"/>
  <c r="L454" i="11" s="1"/>
  <c r="H454" i="11"/>
  <c r="E454" i="11"/>
  <c r="C454" i="11" s="1"/>
  <c r="B454" i="11" s="1"/>
  <c r="R453" i="11"/>
  <c r="O453" i="11"/>
  <c r="M453" i="11" s="1"/>
  <c r="L453" i="11" s="1"/>
  <c r="H453" i="11"/>
  <c r="E453" i="11"/>
  <c r="C453" i="11" s="1"/>
  <c r="B453" i="11" s="1"/>
  <c r="R452" i="11"/>
  <c r="O452" i="11"/>
  <c r="M452" i="11" s="1"/>
  <c r="L452" i="11" s="1"/>
  <c r="H452" i="11"/>
  <c r="E452" i="11"/>
  <c r="C452" i="11" s="1"/>
  <c r="B452" i="11" s="1"/>
  <c r="R451" i="11"/>
  <c r="O451" i="11"/>
  <c r="M451" i="11" s="1"/>
  <c r="L451" i="11" s="1"/>
  <c r="H451" i="11"/>
  <c r="E451" i="11"/>
  <c r="C451" i="11" s="1"/>
  <c r="B451" i="11" s="1"/>
  <c r="R450" i="11"/>
  <c r="O450" i="11"/>
  <c r="M450" i="11" s="1"/>
  <c r="L450" i="11" s="1"/>
  <c r="H450" i="11"/>
  <c r="E450" i="11"/>
  <c r="C450" i="11" s="1"/>
  <c r="B450" i="11" s="1"/>
  <c r="R449" i="11"/>
  <c r="O449" i="11"/>
  <c r="M449" i="11" s="1"/>
  <c r="L449" i="11" s="1"/>
  <c r="H449" i="11"/>
  <c r="E449" i="11"/>
  <c r="C449" i="11" s="1"/>
  <c r="B449" i="11" s="1"/>
  <c r="R448" i="11"/>
  <c r="O448" i="11"/>
  <c r="M448" i="11" s="1"/>
  <c r="L448" i="11" s="1"/>
  <c r="H448" i="11"/>
  <c r="E448" i="11"/>
  <c r="C448" i="11" s="1"/>
  <c r="B448" i="11" s="1"/>
  <c r="R447" i="11"/>
  <c r="O447" i="11"/>
  <c r="M447" i="11" s="1"/>
  <c r="L447" i="11" s="1"/>
  <c r="H447" i="11"/>
  <c r="E447" i="11"/>
  <c r="C447" i="11" s="1"/>
  <c r="B447" i="11" s="1"/>
  <c r="R446" i="11"/>
  <c r="O446" i="11"/>
  <c r="M446" i="11" s="1"/>
  <c r="L446" i="11" s="1"/>
  <c r="H446" i="11"/>
  <c r="E446" i="11"/>
  <c r="C446" i="11" s="1"/>
  <c r="B446" i="11" s="1"/>
  <c r="R445" i="11"/>
  <c r="O445" i="11"/>
  <c r="M445" i="11" s="1"/>
  <c r="L445" i="11" s="1"/>
  <c r="H445" i="11"/>
  <c r="E445" i="11"/>
  <c r="C445" i="11" s="1"/>
  <c r="B445" i="11" s="1"/>
  <c r="R444" i="11"/>
  <c r="O444" i="11"/>
  <c r="M444" i="11" s="1"/>
  <c r="L444" i="11" s="1"/>
  <c r="H444" i="11"/>
  <c r="E444" i="11"/>
  <c r="C444" i="11" s="1"/>
  <c r="B444" i="11" s="1"/>
  <c r="R443" i="11"/>
  <c r="O443" i="11"/>
  <c r="M443" i="11" s="1"/>
  <c r="L443" i="11" s="1"/>
  <c r="H443" i="11"/>
  <c r="E443" i="11"/>
  <c r="C443" i="11" s="1"/>
  <c r="B443" i="11" s="1"/>
  <c r="R442" i="11"/>
  <c r="O442" i="11"/>
  <c r="M442" i="11" s="1"/>
  <c r="L442" i="11" s="1"/>
  <c r="H442" i="11"/>
  <c r="E442" i="11"/>
  <c r="C442" i="11" s="1"/>
  <c r="B442" i="11" s="1"/>
  <c r="R441" i="11"/>
  <c r="O441" i="11"/>
  <c r="M441" i="11" s="1"/>
  <c r="L441" i="11" s="1"/>
  <c r="H441" i="11"/>
  <c r="E441" i="11"/>
  <c r="C441" i="11" s="1"/>
  <c r="B441" i="11" s="1"/>
  <c r="R440" i="11"/>
  <c r="O440" i="11"/>
  <c r="M440" i="11" s="1"/>
  <c r="L440" i="11" s="1"/>
  <c r="H440" i="11"/>
  <c r="E440" i="11"/>
  <c r="C440" i="11" s="1"/>
  <c r="B440" i="11" s="1"/>
  <c r="R439" i="11"/>
  <c r="O439" i="11"/>
  <c r="M439" i="11" s="1"/>
  <c r="L439" i="11" s="1"/>
  <c r="H439" i="11"/>
  <c r="E439" i="11"/>
  <c r="C439" i="11" s="1"/>
  <c r="B439" i="11" s="1"/>
  <c r="R438" i="11"/>
  <c r="O438" i="11"/>
  <c r="M438" i="11" s="1"/>
  <c r="L438" i="11" s="1"/>
  <c r="H438" i="11"/>
  <c r="E438" i="11"/>
  <c r="C438" i="11" s="1"/>
  <c r="B438" i="11" s="1"/>
  <c r="R437" i="11"/>
  <c r="O437" i="11"/>
  <c r="M437" i="11" s="1"/>
  <c r="L437" i="11" s="1"/>
  <c r="H437" i="11"/>
  <c r="E437" i="11"/>
  <c r="C437" i="11" s="1"/>
  <c r="B437" i="11" s="1"/>
  <c r="R436" i="11"/>
  <c r="O436" i="11"/>
  <c r="M436" i="11" s="1"/>
  <c r="L436" i="11" s="1"/>
  <c r="H436" i="11"/>
  <c r="E436" i="11"/>
  <c r="C436" i="11" s="1"/>
  <c r="B436" i="11" s="1"/>
  <c r="R435" i="11"/>
  <c r="O435" i="11"/>
  <c r="M435" i="11" s="1"/>
  <c r="L435" i="11" s="1"/>
  <c r="H435" i="11"/>
  <c r="E435" i="11"/>
  <c r="C435" i="11" s="1"/>
  <c r="B435" i="11" s="1"/>
  <c r="R434" i="11"/>
  <c r="O434" i="11"/>
  <c r="M434" i="11" s="1"/>
  <c r="L434" i="11" s="1"/>
  <c r="H434" i="11"/>
  <c r="E434" i="11"/>
  <c r="C434" i="11" s="1"/>
  <c r="B434" i="11" s="1"/>
  <c r="R433" i="11"/>
  <c r="O433" i="11"/>
  <c r="M433" i="11" s="1"/>
  <c r="L433" i="11" s="1"/>
  <c r="H433" i="11"/>
  <c r="E433" i="11"/>
  <c r="C433" i="11" s="1"/>
  <c r="B433" i="11" s="1"/>
  <c r="R432" i="11"/>
  <c r="O432" i="11"/>
  <c r="M432" i="11" s="1"/>
  <c r="L432" i="11" s="1"/>
  <c r="H432" i="11"/>
  <c r="E432" i="11"/>
  <c r="C432" i="11" s="1"/>
  <c r="B432" i="11" s="1"/>
  <c r="R431" i="11"/>
  <c r="O431" i="11"/>
  <c r="M431" i="11" s="1"/>
  <c r="L431" i="11" s="1"/>
  <c r="H431" i="11"/>
  <c r="E431" i="11"/>
  <c r="C431" i="11" s="1"/>
  <c r="B431" i="11" s="1"/>
  <c r="R430" i="11"/>
  <c r="O430" i="11"/>
  <c r="M430" i="11" s="1"/>
  <c r="L430" i="11" s="1"/>
  <c r="H430" i="11"/>
  <c r="E430" i="11"/>
  <c r="C430" i="11" s="1"/>
  <c r="B430" i="11" s="1"/>
  <c r="R429" i="11"/>
  <c r="O429" i="11"/>
  <c r="M429" i="11" s="1"/>
  <c r="L429" i="11" s="1"/>
  <c r="H429" i="11"/>
  <c r="E429" i="11"/>
  <c r="C429" i="11" s="1"/>
  <c r="B429" i="11" s="1"/>
  <c r="R428" i="11"/>
  <c r="O428" i="11"/>
  <c r="M428" i="11" s="1"/>
  <c r="L428" i="11" s="1"/>
  <c r="H428" i="11"/>
  <c r="E428" i="11"/>
  <c r="C428" i="11" s="1"/>
  <c r="B428" i="11" s="1"/>
  <c r="R427" i="11"/>
  <c r="O427" i="11"/>
  <c r="M427" i="11" s="1"/>
  <c r="L427" i="11" s="1"/>
  <c r="H427" i="11"/>
  <c r="E427" i="11"/>
  <c r="C427" i="11" s="1"/>
  <c r="B427" i="11" s="1"/>
  <c r="R426" i="11"/>
  <c r="O426" i="11"/>
  <c r="M426" i="11" s="1"/>
  <c r="L426" i="11" s="1"/>
  <c r="H426" i="11"/>
  <c r="E426" i="11"/>
  <c r="C426" i="11" s="1"/>
  <c r="B426" i="11" s="1"/>
  <c r="R425" i="11"/>
  <c r="O425" i="11"/>
  <c r="M425" i="11" s="1"/>
  <c r="L425" i="11" s="1"/>
  <c r="H425" i="11"/>
  <c r="E425" i="11"/>
  <c r="C425" i="11" s="1"/>
  <c r="B425" i="11" s="1"/>
  <c r="R424" i="11"/>
  <c r="O424" i="11"/>
  <c r="M424" i="11" s="1"/>
  <c r="L424" i="11" s="1"/>
  <c r="H424" i="11"/>
  <c r="E424" i="11"/>
  <c r="C424" i="11" s="1"/>
  <c r="B424" i="11" s="1"/>
  <c r="R423" i="11"/>
  <c r="O423" i="11"/>
  <c r="M423" i="11" s="1"/>
  <c r="L423" i="11" s="1"/>
  <c r="H423" i="11"/>
  <c r="E423" i="11"/>
  <c r="C423" i="11" s="1"/>
  <c r="B423" i="11" s="1"/>
  <c r="R422" i="11"/>
  <c r="O422" i="11"/>
  <c r="M422" i="11" s="1"/>
  <c r="L422" i="11" s="1"/>
  <c r="H422" i="11"/>
  <c r="E422" i="11"/>
  <c r="C422" i="11" s="1"/>
  <c r="B422" i="11" s="1"/>
  <c r="R421" i="11"/>
  <c r="O421" i="11"/>
  <c r="M421" i="11" s="1"/>
  <c r="L421" i="11" s="1"/>
  <c r="H421" i="11"/>
  <c r="E421" i="11"/>
  <c r="C421" i="11" s="1"/>
  <c r="B421" i="11" s="1"/>
  <c r="R420" i="11"/>
  <c r="O420" i="11"/>
  <c r="M420" i="11" s="1"/>
  <c r="L420" i="11" s="1"/>
  <c r="H420" i="11"/>
  <c r="E420" i="11"/>
  <c r="C420" i="11" s="1"/>
  <c r="B420" i="11" s="1"/>
  <c r="R419" i="11"/>
  <c r="O419" i="11"/>
  <c r="M419" i="11" s="1"/>
  <c r="L419" i="11" s="1"/>
  <c r="H419" i="11"/>
  <c r="E419" i="11"/>
  <c r="C419" i="11" s="1"/>
  <c r="B419" i="11" s="1"/>
  <c r="R418" i="11"/>
  <c r="O418" i="11"/>
  <c r="M418" i="11" s="1"/>
  <c r="L418" i="11" s="1"/>
  <c r="H418" i="11"/>
  <c r="E418" i="11"/>
  <c r="C418" i="11" s="1"/>
  <c r="B418" i="11" s="1"/>
  <c r="R417" i="11"/>
  <c r="O417" i="11"/>
  <c r="M417" i="11" s="1"/>
  <c r="L417" i="11" s="1"/>
  <c r="H417" i="11"/>
  <c r="E417" i="11"/>
  <c r="C417" i="11" s="1"/>
  <c r="B417" i="11" s="1"/>
  <c r="R416" i="11"/>
  <c r="O416" i="11"/>
  <c r="M416" i="11" s="1"/>
  <c r="L416" i="11" s="1"/>
  <c r="H416" i="11"/>
  <c r="E416" i="11"/>
  <c r="C416" i="11" s="1"/>
  <c r="B416" i="11" s="1"/>
  <c r="R415" i="11"/>
  <c r="O415" i="11"/>
  <c r="M415" i="11" s="1"/>
  <c r="L415" i="11" s="1"/>
  <c r="H415" i="11"/>
  <c r="E415" i="11"/>
  <c r="C415" i="11" s="1"/>
  <c r="B415" i="11" s="1"/>
  <c r="R414" i="11"/>
  <c r="O414" i="11"/>
  <c r="M414" i="11" s="1"/>
  <c r="L414" i="11" s="1"/>
  <c r="H414" i="11"/>
  <c r="E414" i="11"/>
  <c r="C414" i="11" s="1"/>
  <c r="B414" i="11" s="1"/>
  <c r="R413" i="11"/>
  <c r="O413" i="11"/>
  <c r="M413" i="11" s="1"/>
  <c r="L413" i="11" s="1"/>
  <c r="H413" i="11"/>
  <c r="E413" i="11"/>
  <c r="C413" i="11" s="1"/>
  <c r="B413" i="11" s="1"/>
  <c r="R412" i="11"/>
  <c r="O412" i="11"/>
  <c r="M412" i="11" s="1"/>
  <c r="L412" i="11" s="1"/>
  <c r="H412" i="11"/>
  <c r="E412" i="11"/>
  <c r="C412" i="11" s="1"/>
  <c r="B412" i="11" s="1"/>
  <c r="R411" i="11"/>
  <c r="O411" i="11"/>
  <c r="M411" i="11" s="1"/>
  <c r="L411" i="11" s="1"/>
  <c r="H411" i="11"/>
  <c r="E411" i="11"/>
  <c r="C411" i="11" s="1"/>
  <c r="B411" i="11" s="1"/>
  <c r="R410" i="11"/>
  <c r="O410" i="11"/>
  <c r="M410" i="11" s="1"/>
  <c r="L410" i="11" s="1"/>
  <c r="H410" i="11"/>
  <c r="E410" i="11"/>
  <c r="C410" i="11" s="1"/>
  <c r="B410" i="11" s="1"/>
  <c r="R409" i="11"/>
  <c r="O409" i="11"/>
  <c r="M409" i="11" s="1"/>
  <c r="L409" i="11" s="1"/>
  <c r="H409" i="11"/>
  <c r="E409" i="11"/>
  <c r="C409" i="11" s="1"/>
  <c r="B409" i="11" s="1"/>
  <c r="R408" i="11"/>
  <c r="O408" i="11"/>
  <c r="M408" i="11" s="1"/>
  <c r="L408" i="11" s="1"/>
  <c r="H408" i="11"/>
  <c r="E408" i="11"/>
  <c r="C408" i="11" s="1"/>
  <c r="B408" i="11" s="1"/>
  <c r="R407" i="11"/>
  <c r="O407" i="11"/>
  <c r="M407" i="11" s="1"/>
  <c r="L407" i="11" s="1"/>
  <c r="H407" i="11"/>
  <c r="E407" i="11"/>
  <c r="C407" i="11" s="1"/>
  <c r="B407" i="11" s="1"/>
  <c r="R406" i="11"/>
  <c r="O406" i="11"/>
  <c r="M406" i="11" s="1"/>
  <c r="L406" i="11" s="1"/>
  <c r="H406" i="11"/>
  <c r="E406" i="11"/>
  <c r="C406" i="11" s="1"/>
  <c r="B406" i="11" s="1"/>
  <c r="R405" i="11"/>
  <c r="O405" i="11"/>
  <c r="M405" i="11" s="1"/>
  <c r="L405" i="11" s="1"/>
  <c r="H405" i="11"/>
  <c r="E405" i="11"/>
  <c r="C405" i="11" s="1"/>
  <c r="B405" i="11" s="1"/>
  <c r="R404" i="11"/>
  <c r="O404" i="11"/>
  <c r="M404" i="11" s="1"/>
  <c r="L404" i="11" s="1"/>
  <c r="H404" i="11"/>
  <c r="E404" i="11"/>
  <c r="C404" i="11" s="1"/>
  <c r="B404" i="11" s="1"/>
  <c r="R403" i="11"/>
  <c r="O403" i="11"/>
  <c r="M403" i="11" s="1"/>
  <c r="L403" i="11" s="1"/>
  <c r="H403" i="11"/>
  <c r="E403" i="11"/>
  <c r="C403" i="11" s="1"/>
  <c r="B403" i="11" s="1"/>
  <c r="R402" i="11"/>
  <c r="O402" i="11"/>
  <c r="M402" i="11" s="1"/>
  <c r="L402" i="11" s="1"/>
  <c r="H402" i="11"/>
  <c r="E402" i="11"/>
  <c r="C402" i="11" s="1"/>
  <c r="B402" i="11" s="1"/>
  <c r="R401" i="11"/>
  <c r="O401" i="11"/>
  <c r="M401" i="11" s="1"/>
  <c r="L401" i="11" s="1"/>
  <c r="H401" i="11"/>
  <c r="E401" i="11"/>
  <c r="C401" i="11" s="1"/>
  <c r="B401" i="11" s="1"/>
  <c r="R400" i="11"/>
  <c r="O400" i="11"/>
  <c r="M400" i="11" s="1"/>
  <c r="L400" i="11" s="1"/>
  <c r="H400" i="11"/>
  <c r="E400" i="11"/>
  <c r="C400" i="11" s="1"/>
  <c r="B400" i="11" s="1"/>
  <c r="R399" i="11"/>
  <c r="O399" i="11"/>
  <c r="M399" i="11" s="1"/>
  <c r="L399" i="11" s="1"/>
  <c r="H399" i="11"/>
  <c r="E399" i="11"/>
  <c r="C399" i="11" s="1"/>
  <c r="B399" i="11" s="1"/>
  <c r="R398" i="11"/>
  <c r="O398" i="11"/>
  <c r="M398" i="11" s="1"/>
  <c r="L398" i="11" s="1"/>
  <c r="H398" i="11"/>
  <c r="E398" i="11"/>
  <c r="C398" i="11" s="1"/>
  <c r="B398" i="11" s="1"/>
  <c r="R397" i="11"/>
  <c r="O397" i="11"/>
  <c r="M397" i="11" s="1"/>
  <c r="L397" i="11" s="1"/>
  <c r="H397" i="11"/>
  <c r="E397" i="11"/>
  <c r="C397" i="11" s="1"/>
  <c r="B397" i="11" s="1"/>
  <c r="R396" i="11"/>
  <c r="O396" i="11"/>
  <c r="M396" i="11" s="1"/>
  <c r="L396" i="11" s="1"/>
  <c r="H396" i="11"/>
  <c r="E396" i="11"/>
  <c r="C396" i="11" s="1"/>
  <c r="B396" i="11" s="1"/>
  <c r="R395" i="11"/>
  <c r="O395" i="11"/>
  <c r="M395" i="11" s="1"/>
  <c r="L395" i="11" s="1"/>
  <c r="H395" i="11"/>
  <c r="E395" i="11"/>
  <c r="C395" i="11" s="1"/>
  <c r="B395" i="11" s="1"/>
  <c r="R394" i="11"/>
  <c r="O394" i="11"/>
  <c r="M394" i="11" s="1"/>
  <c r="L394" i="11" s="1"/>
  <c r="H394" i="11"/>
  <c r="E394" i="11"/>
  <c r="C394" i="11" s="1"/>
  <c r="B394" i="11" s="1"/>
  <c r="R393" i="11"/>
  <c r="O393" i="11"/>
  <c r="M393" i="11" s="1"/>
  <c r="L393" i="11" s="1"/>
  <c r="H393" i="11"/>
  <c r="E393" i="11"/>
  <c r="C393" i="11" s="1"/>
  <c r="B393" i="11" s="1"/>
  <c r="R392" i="11"/>
  <c r="O392" i="11"/>
  <c r="M392" i="11" s="1"/>
  <c r="L392" i="11" s="1"/>
  <c r="H392" i="11"/>
  <c r="E392" i="11"/>
  <c r="C392" i="11" s="1"/>
  <c r="B392" i="11" s="1"/>
  <c r="R391" i="11"/>
  <c r="O391" i="11"/>
  <c r="M391" i="11" s="1"/>
  <c r="L391" i="11" s="1"/>
  <c r="H391" i="11"/>
  <c r="E391" i="11"/>
  <c r="C391" i="11" s="1"/>
  <c r="B391" i="11" s="1"/>
  <c r="R390" i="11"/>
  <c r="O390" i="11"/>
  <c r="M390" i="11" s="1"/>
  <c r="L390" i="11" s="1"/>
  <c r="H390" i="11"/>
  <c r="E390" i="11"/>
  <c r="C390" i="11" s="1"/>
  <c r="B390" i="11" s="1"/>
  <c r="R389" i="11"/>
  <c r="O389" i="11"/>
  <c r="M389" i="11" s="1"/>
  <c r="L389" i="11" s="1"/>
  <c r="H389" i="11"/>
  <c r="E389" i="11"/>
  <c r="C389" i="11" s="1"/>
  <c r="B389" i="11" s="1"/>
  <c r="R388" i="11"/>
  <c r="O388" i="11"/>
  <c r="M388" i="11" s="1"/>
  <c r="L388" i="11" s="1"/>
  <c r="H388" i="11"/>
  <c r="E388" i="11"/>
  <c r="C388" i="11" s="1"/>
  <c r="B388" i="11" s="1"/>
  <c r="R387" i="11"/>
  <c r="O387" i="11"/>
  <c r="M387" i="11" s="1"/>
  <c r="L387" i="11" s="1"/>
  <c r="H387" i="11"/>
  <c r="E387" i="11"/>
  <c r="C387" i="11" s="1"/>
  <c r="B387" i="11" s="1"/>
  <c r="R386" i="11"/>
  <c r="O386" i="11"/>
  <c r="M386" i="11" s="1"/>
  <c r="L386" i="11" s="1"/>
  <c r="H386" i="11"/>
  <c r="E386" i="11"/>
  <c r="C386" i="11" s="1"/>
  <c r="B386" i="11" s="1"/>
  <c r="R385" i="11"/>
  <c r="O385" i="11"/>
  <c r="M385" i="11" s="1"/>
  <c r="L385" i="11" s="1"/>
  <c r="H385" i="11"/>
  <c r="E385" i="11"/>
  <c r="C385" i="11" s="1"/>
  <c r="B385" i="11" s="1"/>
  <c r="R384" i="11"/>
  <c r="O384" i="11"/>
  <c r="M384" i="11" s="1"/>
  <c r="L384" i="11" s="1"/>
  <c r="H384" i="11"/>
  <c r="E384" i="11"/>
  <c r="C384" i="11" s="1"/>
  <c r="B384" i="11" s="1"/>
  <c r="R383" i="11"/>
  <c r="O383" i="11"/>
  <c r="M383" i="11" s="1"/>
  <c r="L383" i="11" s="1"/>
  <c r="H383" i="11"/>
  <c r="E383" i="11"/>
  <c r="C383" i="11" s="1"/>
  <c r="B383" i="11" s="1"/>
  <c r="R382" i="11"/>
  <c r="O382" i="11"/>
  <c r="M382" i="11" s="1"/>
  <c r="L382" i="11" s="1"/>
  <c r="H382" i="11"/>
  <c r="E382" i="11"/>
  <c r="C382" i="11" s="1"/>
  <c r="B382" i="11" s="1"/>
  <c r="R381" i="11"/>
  <c r="O381" i="11"/>
  <c r="M381" i="11" s="1"/>
  <c r="L381" i="11" s="1"/>
  <c r="H381" i="11"/>
  <c r="E381" i="11"/>
  <c r="C381" i="11" s="1"/>
  <c r="B381" i="11" s="1"/>
  <c r="R380" i="11"/>
  <c r="O380" i="11"/>
  <c r="M380" i="11" s="1"/>
  <c r="L380" i="11" s="1"/>
  <c r="H380" i="11"/>
  <c r="E380" i="11"/>
  <c r="C380" i="11" s="1"/>
  <c r="B380" i="11" s="1"/>
  <c r="R379" i="11"/>
  <c r="O379" i="11"/>
  <c r="M379" i="11" s="1"/>
  <c r="L379" i="11" s="1"/>
  <c r="H379" i="11"/>
  <c r="E379" i="11"/>
  <c r="C379" i="11" s="1"/>
  <c r="B379" i="11" s="1"/>
  <c r="R378" i="11"/>
  <c r="O378" i="11"/>
  <c r="M378" i="11" s="1"/>
  <c r="L378" i="11" s="1"/>
  <c r="H378" i="11"/>
  <c r="E378" i="11"/>
  <c r="C378" i="11" s="1"/>
  <c r="B378" i="11" s="1"/>
  <c r="R377" i="11"/>
  <c r="O377" i="11"/>
  <c r="M377" i="11" s="1"/>
  <c r="L377" i="11" s="1"/>
  <c r="H377" i="11"/>
  <c r="E377" i="11"/>
  <c r="C377" i="11" s="1"/>
  <c r="B377" i="11" s="1"/>
  <c r="R376" i="11"/>
  <c r="O376" i="11"/>
  <c r="M376" i="11" s="1"/>
  <c r="L376" i="11" s="1"/>
  <c r="H376" i="11"/>
  <c r="E376" i="11"/>
  <c r="C376" i="11" s="1"/>
  <c r="B376" i="11" s="1"/>
  <c r="R375" i="11"/>
  <c r="O375" i="11"/>
  <c r="M375" i="11" s="1"/>
  <c r="L375" i="11" s="1"/>
  <c r="H375" i="11"/>
  <c r="E375" i="11"/>
  <c r="C375" i="11" s="1"/>
  <c r="B375" i="11" s="1"/>
  <c r="R374" i="11"/>
  <c r="O374" i="11"/>
  <c r="M374" i="11" s="1"/>
  <c r="L374" i="11" s="1"/>
  <c r="H374" i="11"/>
  <c r="E374" i="11"/>
  <c r="C374" i="11" s="1"/>
  <c r="B374" i="11" s="1"/>
  <c r="R373" i="11"/>
  <c r="O373" i="11"/>
  <c r="M373" i="11" s="1"/>
  <c r="L373" i="11" s="1"/>
  <c r="H373" i="11"/>
  <c r="E373" i="11"/>
  <c r="C373" i="11" s="1"/>
  <c r="B373" i="11" s="1"/>
  <c r="R372" i="11"/>
  <c r="O372" i="11"/>
  <c r="M372" i="11" s="1"/>
  <c r="L372" i="11" s="1"/>
  <c r="H372" i="11"/>
  <c r="E372" i="11"/>
  <c r="C372" i="11" s="1"/>
  <c r="B372" i="11" s="1"/>
  <c r="R371" i="11"/>
  <c r="O371" i="11"/>
  <c r="M371" i="11" s="1"/>
  <c r="L371" i="11" s="1"/>
  <c r="H371" i="11"/>
  <c r="E371" i="11"/>
  <c r="C371" i="11" s="1"/>
  <c r="B371" i="11" s="1"/>
  <c r="R370" i="11"/>
  <c r="O370" i="11"/>
  <c r="M370" i="11" s="1"/>
  <c r="L370" i="11" s="1"/>
  <c r="H370" i="11"/>
  <c r="E370" i="11"/>
  <c r="C370" i="11" s="1"/>
  <c r="B370" i="11" s="1"/>
  <c r="R369" i="11"/>
  <c r="O369" i="11"/>
  <c r="M369" i="11" s="1"/>
  <c r="L369" i="11" s="1"/>
  <c r="H369" i="11"/>
  <c r="E369" i="11"/>
  <c r="C369" i="11" s="1"/>
  <c r="B369" i="11" s="1"/>
  <c r="R368" i="11"/>
  <c r="O368" i="11"/>
  <c r="M368" i="11" s="1"/>
  <c r="L368" i="11" s="1"/>
  <c r="H368" i="11"/>
  <c r="E368" i="11"/>
  <c r="C368" i="11" s="1"/>
  <c r="B368" i="11" s="1"/>
  <c r="R367" i="11"/>
  <c r="O367" i="11"/>
  <c r="M367" i="11" s="1"/>
  <c r="L367" i="11" s="1"/>
  <c r="H367" i="11"/>
  <c r="E367" i="11"/>
  <c r="C367" i="11" s="1"/>
  <c r="B367" i="11" s="1"/>
  <c r="R366" i="11"/>
  <c r="O366" i="11"/>
  <c r="M366" i="11" s="1"/>
  <c r="L366" i="11" s="1"/>
  <c r="H366" i="11"/>
  <c r="E366" i="11"/>
  <c r="C366" i="11" s="1"/>
  <c r="B366" i="11" s="1"/>
  <c r="R365" i="11"/>
  <c r="O365" i="11"/>
  <c r="M365" i="11" s="1"/>
  <c r="L365" i="11" s="1"/>
  <c r="H365" i="11"/>
  <c r="E365" i="11"/>
  <c r="C365" i="11" s="1"/>
  <c r="B365" i="11" s="1"/>
  <c r="R364" i="11"/>
  <c r="O364" i="11"/>
  <c r="M364" i="11" s="1"/>
  <c r="L364" i="11" s="1"/>
  <c r="H364" i="11"/>
  <c r="E364" i="11"/>
  <c r="C364" i="11" s="1"/>
  <c r="B364" i="11" s="1"/>
  <c r="R363" i="11"/>
  <c r="O363" i="11"/>
  <c r="M363" i="11" s="1"/>
  <c r="L363" i="11" s="1"/>
  <c r="H363" i="11"/>
  <c r="E363" i="11"/>
  <c r="C363" i="11" s="1"/>
  <c r="B363" i="11" s="1"/>
  <c r="R362" i="11"/>
  <c r="O362" i="11"/>
  <c r="M362" i="11" s="1"/>
  <c r="L362" i="11" s="1"/>
  <c r="H362" i="11"/>
  <c r="E362" i="11"/>
  <c r="C362" i="11" s="1"/>
  <c r="B362" i="11" s="1"/>
  <c r="R361" i="11"/>
  <c r="O361" i="11"/>
  <c r="M361" i="11" s="1"/>
  <c r="L361" i="11" s="1"/>
  <c r="H361" i="11"/>
  <c r="E361" i="11"/>
  <c r="C361" i="11" s="1"/>
  <c r="B361" i="11" s="1"/>
  <c r="R360" i="11"/>
  <c r="O360" i="11"/>
  <c r="M360" i="11" s="1"/>
  <c r="L360" i="11" s="1"/>
  <c r="H360" i="11"/>
  <c r="E360" i="11"/>
  <c r="C360" i="11" s="1"/>
  <c r="B360" i="11" s="1"/>
  <c r="R359" i="11"/>
  <c r="O359" i="11"/>
  <c r="M359" i="11" s="1"/>
  <c r="L359" i="11" s="1"/>
  <c r="H359" i="11"/>
  <c r="E359" i="11"/>
  <c r="C359" i="11" s="1"/>
  <c r="B359" i="11" s="1"/>
  <c r="R358" i="11"/>
  <c r="O358" i="11"/>
  <c r="M358" i="11" s="1"/>
  <c r="L358" i="11" s="1"/>
  <c r="H358" i="11"/>
  <c r="E358" i="11"/>
  <c r="C358" i="11" s="1"/>
  <c r="B358" i="11" s="1"/>
  <c r="R357" i="11"/>
  <c r="O357" i="11"/>
  <c r="M357" i="11" s="1"/>
  <c r="L357" i="11" s="1"/>
  <c r="H357" i="11"/>
  <c r="E357" i="11"/>
  <c r="C357" i="11" s="1"/>
  <c r="B357" i="11" s="1"/>
  <c r="R356" i="11"/>
  <c r="O356" i="11"/>
  <c r="M356" i="11" s="1"/>
  <c r="L356" i="11" s="1"/>
  <c r="H356" i="11"/>
  <c r="E356" i="11"/>
  <c r="C356" i="11" s="1"/>
  <c r="B356" i="11" s="1"/>
  <c r="R355" i="11"/>
  <c r="O355" i="11"/>
  <c r="M355" i="11" s="1"/>
  <c r="L355" i="11" s="1"/>
  <c r="H355" i="11"/>
  <c r="E355" i="11"/>
  <c r="C355" i="11" s="1"/>
  <c r="B355" i="11" s="1"/>
  <c r="R354" i="11"/>
  <c r="O354" i="11"/>
  <c r="M354" i="11" s="1"/>
  <c r="L354" i="11" s="1"/>
  <c r="H354" i="11"/>
  <c r="E354" i="11"/>
  <c r="C354" i="11" s="1"/>
  <c r="B354" i="11" s="1"/>
  <c r="R353" i="11"/>
  <c r="O353" i="11"/>
  <c r="M353" i="11" s="1"/>
  <c r="L353" i="11" s="1"/>
  <c r="H353" i="11"/>
  <c r="E353" i="11"/>
  <c r="C353" i="11" s="1"/>
  <c r="B353" i="11" s="1"/>
  <c r="R352" i="11"/>
  <c r="O352" i="11"/>
  <c r="M352" i="11" s="1"/>
  <c r="L352" i="11" s="1"/>
  <c r="H352" i="11"/>
  <c r="E352" i="11"/>
  <c r="C352" i="11" s="1"/>
  <c r="B352" i="11" s="1"/>
  <c r="R351" i="11"/>
  <c r="O351" i="11"/>
  <c r="M351" i="11" s="1"/>
  <c r="L351" i="11" s="1"/>
  <c r="H351" i="11"/>
  <c r="E351" i="11"/>
  <c r="C351" i="11" s="1"/>
  <c r="B351" i="11" s="1"/>
  <c r="R350" i="11"/>
  <c r="O350" i="11"/>
  <c r="M350" i="11" s="1"/>
  <c r="L350" i="11" s="1"/>
  <c r="H350" i="11"/>
  <c r="E350" i="11"/>
  <c r="C350" i="11" s="1"/>
  <c r="B350" i="11" s="1"/>
  <c r="R349" i="11"/>
  <c r="O349" i="11"/>
  <c r="M349" i="11" s="1"/>
  <c r="L349" i="11" s="1"/>
  <c r="H349" i="11"/>
  <c r="E349" i="11"/>
  <c r="C349" i="11" s="1"/>
  <c r="B349" i="11" s="1"/>
  <c r="R348" i="11"/>
  <c r="O348" i="11"/>
  <c r="M348" i="11" s="1"/>
  <c r="L348" i="11" s="1"/>
  <c r="H348" i="11"/>
  <c r="E348" i="11"/>
  <c r="C348" i="11" s="1"/>
  <c r="B348" i="11" s="1"/>
  <c r="R347" i="11"/>
  <c r="O347" i="11"/>
  <c r="M347" i="11" s="1"/>
  <c r="L347" i="11" s="1"/>
  <c r="H347" i="11"/>
  <c r="E347" i="11"/>
  <c r="C347" i="11" s="1"/>
  <c r="B347" i="11" s="1"/>
  <c r="R346" i="11"/>
  <c r="O346" i="11"/>
  <c r="M346" i="11" s="1"/>
  <c r="L346" i="11" s="1"/>
  <c r="H346" i="11"/>
  <c r="E346" i="11"/>
  <c r="C346" i="11" s="1"/>
  <c r="B346" i="11" s="1"/>
  <c r="R345" i="11"/>
  <c r="O345" i="11"/>
  <c r="M345" i="11" s="1"/>
  <c r="L345" i="11" s="1"/>
  <c r="H345" i="11"/>
  <c r="E345" i="11"/>
  <c r="C345" i="11" s="1"/>
  <c r="B345" i="11" s="1"/>
  <c r="R344" i="11"/>
  <c r="O344" i="11"/>
  <c r="M344" i="11" s="1"/>
  <c r="L344" i="11" s="1"/>
  <c r="H344" i="11"/>
  <c r="E344" i="11"/>
  <c r="C344" i="11" s="1"/>
  <c r="B344" i="11" s="1"/>
  <c r="R343" i="11"/>
  <c r="O343" i="11"/>
  <c r="M343" i="11" s="1"/>
  <c r="L343" i="11" s="1"/>
  <c r="H343" i="11"/>
  <c r="E343" i="11"/>
  <c r="C343" i="11" s="1"/>
  <c r="B343" i="11" s="1"/>
  <c r="R342" i="11"/>
  <c r="O342" i="11"/>
  <c r="M342" i="11" s="1"/>
  <c r="L342" i="11" s="1"/>
  <c r="H342" i="11"/>
  <c r="E342" i="11"/>
  <c r="C342" i="11" s="1"/>
  <c r="B342" i="11" s="1"/>
  <c r="R341" i="11"/>
  <c r="O341" i="11"/>
  <c r="M341" i="11" s="1"/>
  <c r="L341" i="11" s="1"/>
  <c r="H341" i="11"/>
  <c r="E341" i="11"/>
  <c r="C341" i="11" s="1"/>
  <c r="B341" i="11" s="1"/>
  <c r="R340" i="11"/>
  <c r="O340" i="11"/>
  <c r="M340" i="11" s="1"/>
  <c r="L340" i="11" s="1"/>
  <c r="H340" i="11"/>
  <c r="E340" i="11"/>
  <c r="C340" i="11" s="1"/>
  <c r="B340" i="11" s="1"/>
  <c r="R339" i="11"/>
  <c r="O339" i="11"/>
  <c r="M339" i="11" s="1"/>
  <c r="L339" i="11" s="1"/>
  <c r="H339" i="11"/>
  <c r="E339" i="11"/>
  <c r="C339" i="11" s="1"/>
  <c r="B339" i="11" s="1"/>
  <c r="R338" i="11"/>
  <c r="O338" i="11"/>
  <c r="M338" i="11" s="1"/>
  <c r="L338" i="11" s="1"/>
  <c r="H338" i="11"/>
  <c r="E338" i="11"/>
  <c r="C338" i="11" s="1"/>
  <c r="B338" i="11" s="1"/>
  <c r="R337" i="11"/>
  <c r="O337" i="11"/>
  <c r="M337" i="11" s="1"/>
  <c r="L337" i="11" s="1"/>
  <c r="H337" i="11"/>
  <c r="E337" i="11"/>
  <c r="C337" i="11" s="1"/>
  <c r="B337" i="11" s="1"/>
  <c r="R336" i="11"/>
  <c r="O336" i="11"/>
  <c r="M336" i="11" s="1"/>
  <c r="L336" i="11" s="1"/>
  <c r="H336" i="11"/>
  <c r="E336" i="11"/>
  <c r="C336" i="11" s="1"/>
  <c r="B336" i="11" s="1"/>
  <c r="R335" i="11"/>
  <c r="O335" i="11"/>
  <c r="M335" i="11" s="1"/>
  <c r="L335" i="11" s="1"/>
  <c r="H335" i="11"/>
  <c r="E335" i="11"/>
  <c r="C335" i="11" s="1"/>
  <c r="B335" i="11" s="1"/>
  <c r="R334" i="11"/>
  <c r="O334" i="11"/>
  <c r="M334" i="11" s="1"/>
  <c r="L334" i="11" s="1"/>
  <c r="H334" i="11"/>
  <c r="E334" i="11"/>
  <c r="C334" i="11" s="1"/>
  <c r="B334" i="11" s="1"/>
  <c r="R333" i="11"/>
  <c r="O333" i="11"/>
  <c r="M333" i="11" s="1"/>
  <c r="L333" i="11" s="1"/>
  <c r="H333" i="11"/>
  <c r="E333" i="11"/>
  <c r="C333" i="11" s="1"/>
  <c r="B333" i="11" s="1"/>
  <c r="R332" i="11"/>
  <c r="O332" i="11"/>
  <c r="M332" i="11" s="1"/>
  <c r="L332" i="11" s="1"/>
  <c r="H332" i="11"/>
  <c r="E332" i="11"/>
  <c r="C332" i="11" s="1"/>
  <c r="B332" i="11" s="1"/>
  <c r="R331" i="11"/>
  <c r="O331" i="11"/>
  <c r="M331" i="11" s="1"/>
  <c r="L331" i="11" s="1"/>
  <c r="H331" i="11"/>
  <c r="E331" i="11"/>
  <c r="C331" i="11" s="1"/>
  <c r="B331" i="11" s="1"/>
  <c r="R330" i="11"/>
  <c r="O330" i="11"/>
  <c r="M330" i="11" s="1"/>
  <c r="L330" i="11" s="1"/>
  <c r="H330" i="11"/>
  <c r="E330" i="11"/>
  <c r="C330" i="11" s="1"/>
  <c r="B330" i="11" s="1"/>
  <c r="R329" i="11"/>
  <c r="O329" i="11"/>
  <c r="M329" i="11" s="1"/>
  <c r="L329" i="11" s="1"/>
  <c r="H329" i="11"/>
  <c r="E329" i="11"/>
  <c r="C329" i="11" s="1"/>
  <c r="B329" i="11" s="1"/>
  <c r="R328" i="11"/>
  <c r="O328" i="11"/>
  <c r="M328" i="11" s="1"/>
  <c r="L328" i="11" s="1"/>
  <c r="H328" i="11"/>
  <c r="E328" i="11"/>
  <c r="C328" i="11" s="1"/>
  <c r="B328" i="11" s="1"/>
  <c r="R327" i="11"/>
  <c r="O327" i="11"/>
  <c r="M327" i="11" s="1"/>
  <c r="L327" i="11" s="1"/>
  <c r="H327" i="11"/>
  <c r="E327" i="11"/>
  <c r="C327" i="11" s="1"/>
  <c r="B327" i="11" s="1"/>
  <c r="R326" i="11"/>
  <c r="O326" i="11"/>
  <c r="M326" i="11" s="1"/>
  <c r="L326" i="11" s="1"/>
  <c r="H326" i="11"/>
  <c r="E326" i="11"/>
  <c r="C326" i="11" s="1"/>
  <c r="B326" i="11" s="1"/>
  <c r="R325" i="11"/>
  <c r="O325" i="11"/>
  <c r="M325" i="11" s="1"/>
  <c r="L325" i="11" s="1"/>
  <c r="H325" i="11"/>
  <c r="E325" i="11"/>
  <c r="C325" i="11" s="1"/>
  <c r="B325" i="11" s="1"/>
  <c r="R324" i="11"/>
  <c r="O324" i="11"/>
  <c r="M324" i="11" s="1"/>
  <c r="L324" i="11" s="1"/>
  <c r="H324" i="11"/>
  <c r="E324" i="11"/>
  <c r="C324" i="11" s="1"/>
  <c r="B324" i="11" s="1"/>
  <c r="R323" i="11"/>
  <c r="O323" i="11"/>
  <c r="M323" i="11" s="1"/>
  <c r="L323" i="11" s="1"/>
  <c r="H323" i="11"/>
  <c r="E323" i="11"/>
  <c r="C323" i="11" s="1"/>
  <c r="B323" i="11" s="1"/>
  <c r="R322" i="11"/>
  <c r="O322" i="11"/>
  <c r="M322" i="11" s="1"/>
  <c r="L322" i="11" s="1"/>
  <c r="H322" i="11"/>
  <c r="E322" i="11"/>
  <c r="C322" i="11" s="1"/>
  <c r="B322" i="11" s="1"/>
  <c r="R321" i="11"/>
  <c r="O321" i="11"/>
  <c r="M321" i="11" s="1"/>
  <c r="L321" i="11" s="1"/>
  <c r="H321" i="11"/>
  <c r="E321" i="11"/>
  <c r="C321" i="11" s="1"/>
  <c r="B321" i="11" s="1"/>
  <c r="R320" i="11"/>
  <c r="O320" i="11"/>
  <c r="M320" i="11" s="1"/>
  <c r="L320" i="11" s="1"/>
  <c r="H320" i="11"/>
  <c r="E320" i="11"/>
  <c r="C320" i="11" s="1"/>
  <c r="B320" i="11" s="1"/>
  <c r="R319" i="11"/>
  <c r="O319" i="11"/>
  <c r="M319" i="11" s="1"/>
  <c r="L319" i="11" s="1"/>
  <c r="H319" i="11"/>
  <c r="E319" i="11"/>
  <c r="C319" i="11" s="1"/>
  <c r="B319" i="11" s="1"/>
  <c r="R318" i="11"/>
  <c r="O318" i="11"/>
  <c r="M318" i="11" s="1"/>
  <c r="L318" i="11" s="1"/>
  <c r="H318" i="11"/>
  <c r="E318" i="11"/>
  <c r="C318" i="11" s="1"/>
  <c r="B318" i="11" s="1"/>
  <c r="R317" i="11"/>
  <c r="O317" i="11"/>
  <c r="M317" i="11" s="1"/>
  <c r="L317" i="11" s="1"/>
  <c r="H317" i="11"/>
  <c r="E317" i="11"/>
  <c r="C317" i="11" s="1"/>
  <c r="B317" i="11" s="1"/>
  <c r="R316" i="11"/>
  <c r="O316" i="11"/>
  <c r="M316" i="11" s="1"/>
  <c r="L316" i="11" s="1"/>
  <c r="H316" i="11"/>
  <c r="E316" i="11"/>
  <c r="C316" i="11" s="1"/>
  <c r="B316" i="11" s="1"/>
  <c r="R315" i="11"/>
  <c r="O315" i="11"/>
  <c r="M315" i="11" s="1"/>
  <c r="L315" i="11" s="1"/>
  <c r="H315" i="11"/>
  <c r="E315" i="11"/>
  <c r="C315" i="11" s="1"/>
  <c r="B315" i="11" s="1"/>
  <c r="R314" i="11"/>
  <c r="O314" i="11"/>
  <c r="M314" i="11" s="1"/>
  <c r="L314" i="11" s="1"/>
  <c r="H314" i="11"/>
  <c r="E314" i="11"/>
  <c r="C314" i="11" s="1"/>
  <c r="B314" i="11" s="1"/>
  <c r="R313" i="11"/>
  <c r="O313" i="11"/>
  <c r="M313" i="11" s="1"/>
  <c r="L313" i="11" s="1"/>
  <c r="H313" i="11"/>
  <c r="E313" i="11"/>
  <c r="C313" i="11" s="1"/>
  <c r="B313" i="11" s="1"/>
  <c r="R312" i="11"/>
  <c r="O312" i="11"/>
  <c r="M312" i="11" s="1"/>
  <c r="L312" i="11" s="1"/>
  <c r="H312" i="11"/>
  <c r="E312" i="11"/>
  <c r="C312" i="11" s="1"/>
  <c r="B312" i="11" s="1"/>
  <c r="R311" i="11"/>
  <c r="O311" i="11"/>
  <c r="M311" i="11" s="1"/>
  <c r="L311" i="11" s="1"/>
  <c r="H311" i="11"/>
  <c r="E311" i="11"/>
  <c r="C311" i="11" s="1"/>
  <c r="B311" i="11" s="1"/>
  <c r="R310" i="11"/>
  <c r="O310" i="11"/>
  <c r="M310" i="11" s="1"/>
  <c r="L310" i="11" s="1"/>
  <c r="H310" i="11"/>
  <c r="E310" i="11"/>
  <c r="C310" i="11" s="1"/>
  <c r="B310" i="11" s="1"/>
  <c r="R309" i="11"/>
  <c r="O309" i="11"/>
  <c r="M309" i="11" s="1"/>
  <c r="L309" i="11" s="1"/>
  <c r="H309" i="11"/>
  <c r="E309" i="11"/>
  <c r="C309" i="11" s="1"/>
  <c r="B309" i="11" s="1"/>
  <c r="R308" i="11"/>
  <c r="O308" i="11"/>
  <c r="M308" i="11" s="1"/>
  <c r="L308" i="11" s="1"/>
  <c r="H308" i="11"/>
  <c r="E308" i="11"/>
  <c r="C308" i="11" s="1"/>
  <c r="B308" i="11" s="1"/>
  <c r="R307" i="11"/>
  <c r="O307" i="11"/>
  <c r="M307" i="11" s="1"/>
  <c r="L307" i="11" s="1"/>
  <c r="H307" i="11"/>
  <c r="E307" i="11"/>
  <c r="C307" i="11" s="1"/>
  <c r="B307" i="11" s="1"/>
  <c r="R306" i="11"/>
  <c r="O306" i="11"/>
  <c r="M306" i="11" s="1"/>
  <c r="L306" i="11" s="1"/>
  <c r="H306" i="11"/>
  <c r="E306" i="11"/>
  <c r="C306" i="11" s="1"/>
  <c r="B306" i="11" s="1"/>
  <c r="R305" i="11"/>
  <c r="O305" i="11"/>
  <c r="M305" i="11" s="1"/>
  <c r="L305" i="11" s="1"/>
  <c r="H305" i="11"/>
  <c r="E305" i="11"/>
  <c r="C305" i="11" s="1"/>
  <c r="B305" i="11" s="1"/>
  <c r="R304" i="11"/>
  <c r="O304" i="11"/>
  <c r="M304" i="11" s="1"/>
  <c r="L304" i="11" s="1"/>
  <c r="H304" i="11"/>
  <c r="E304" i="11"/>
  <c r="C304" i="11" s="1"/>
  <c r="B304" i="11" s="1"/>
  <c r="R303" i="11"/>
  <c r="O303" i="11"/>
  <c r="M303" i="11" s="1"/>
  <c r="L303" i="11" s="1"/>
  <c r="H303" i="11"/>
  <c r="E303" i="11"/>
  <c r="C303" i="11" s="1"/>
  <c r="B303" i="11" s="1"/>
  <c r="R302" i="11"/>
  <c r="O302" i="11"/>
  <c r="M302" i="11" s="1"/>
  <c r="L302" i="11" s="1"/>
  <c r="H302" i="11"/>
  <c r="E302" i="11"/>
  <c r="C302" i="11" s="1"/>
  <c r="B302" i="11" s="1"/>
  <c r="R301" i="11"/>
  <c r="O301" i="11"/>
  <c r="M301" i="11" s="1"/>
  <c r="L301" i="11" s="1"/>
  <c r="H301" i="11"/>
  <c r="E301" i="11"/>
  <c r="C301" i="11" s="1"/>
  <c r="B301" i="11" s="1"/>
  <c r="R300" i="11"/>
  <c r="O300" i="11"/>
  <c r="M300" i="11" s="1"/>
  <c r="L300" i="11" s="1"/>
  <c r="H300" i="11"/>
  <c r="E300" i="11"/>
  <c r="C300" i="11" s="1"/>
  <c r="B300" i="11" s="1"/>
  <c r="R299" i="11"/>
  <c r="O299" i="11"/>
  <c r="M299" i="11" s="1"/>
  <c r="L299" i="11" s="1"/>
  <c r="H299" i="11"/>
  <c r="E299" i="11"/>
  <c r="C299" i="11" s="1"/>
  <c r="B299" i="11" s="1"/>
  <c r="R298" i="11"/>
  <c r="O298" i="11"/>
  <c r="M298" i="11" s="1"/>
  <c r="L298" i="11" s="1"/>
  <c r="H298" i="11"/>
  <c r="E298" i="11"/>
  <c r="C298" i="11" s="1"/>
  <c r="B298" i="11" s="1"/>
  <c r="R297" i="11"/>
  <c r="O297" i="11"/>
  <c r="M297" i="11" s="1"/>
  <c r="L297" i="11" s="1"/>
  <c r="H297" i="11"/>
  <c r="E297" i="11"/>
  <c r="C297" i="11" s="1"/>
  <c r="B297" i="11" s="1"/>
  <c r="R296" i="11"/>
  <c r="O296" i="11"/>
  <c r="M296" i="11" s="1"/>
  <c r="L296" i="11" s="1"/>
  <c r="H296" i="11"/>
  <c r="E296" i="11"/>
  <c r="C296" i="11" s="1"/>
  <c r="B296" i="11" s="1"/>
  <c r="R295" i="11"/>
  <c r="O295" i="11"/>
  <c r="M295" i="11" s="1"/>
  <c r="L295" i="11" s="1"/>
  <c r="H295" i="11"/>
  <c r="E295" i="11"/>
  <c r="C295" i="11" s="1"/>
  <c r="B295" i="11" s="1"/>
  <c r="R294" i="11"/>
  <c r="O294" i="11"/>
  <c r="M294" i="11" s="1"/>
  <c r="L294" i="11" s="1"/>
  <c r="H294" i="11"/>
  <c r="E294" i="11"/>
  <c r="C294" i="11" s="1"/>
  <c r="B294" i="11" s="1"/>
  <c r="R293" i="11"/>
  <c r="O293" i="11"/>
  <c r="M293" i="11" s="1"/>
  <c r="L293" i="11" s="1"/>
  <c r="H293" i="11"/>
  <c r="E293" i="11"/>
  <c r="C293" i="11" s="1"/>
  <c r="B293" i="11" s="1"/>
  <c r="R292" i="11"/>
  <c r="O292" i="11"/>
  <c r="M292" i="11" s="1"/>
  <c r="L292" i="11" s="1"/>
  <c r="H292" i="11"/>
  <c r="E292" i="11"/>
  <c r="C292" i="11" s="1"/>
  <c r="B292" i="11" s="1"/>
  <c r="R291" i="11"/>
  <c r="O291" i="11"/>
  <c r="M291" i="11" s="1"/>
  <c r="L291" i="11" s="1"/>
  <c r="H291" i="11"/>
  <c r="E291" i="11"/>
  <c r="C291" i="11" s="1"/>
  <c r="B291" i="11" s="1"/>
  <c r="R290" i="11"/>
  <c r="O290" i="11"/>
  <c r="M290" i="11" s="1"/>
  <c r="L290" i="11" s="1"/>
  <c r="H290" i="11"/>
  <c r="E290" i="11"/>
  <c r="C290" i="11" s="1"/>
  <c r="B290" i="11" s="1"/>
  <c r="R289" i="11"/>
  <c r="O289" i="11"/>
  <c r="M289" i="11" s="1"/>
  <c r="L289" i="11" s="1"/>
  <c r="H289" i="11"/>
  <c r="E289" i="11"/>
  <c r="C289" i="11" s="1"/>
  <c r="B289" i="11" s="1"/>
  <c r="R288" i="11"/>
  <c r="O288" i="11"/>
  <c r="M288" i="11" s="1"/>
  <c r="L288" i="11" s="1"/>
  <c r="H288" i="11"/>
  <c r="E288" i="11"/>
  <c r="C288" i="11" s="1"/>
  <c r="B288" i="11" s="1"/>
  <c r="R287" i="11"/>
  <c r="O287" i="11"/>
  <c r="M287" i="11" s="1"/>
  <c r="L287" i="11" s="1"/>
  <c r="H287" i="11"/>
  <c r="E287" i="11"/>
  <c r="C287" i="11" s="1"/>
  <c r="B287" i="11" s="1"/>
  <c r="R286" i="11"/>
  <c r="O286" i="11"/>
  <c r="M286" i="11" s="1"/>
  <c r="L286" i="11" s="1"/>
  <c r="H286" i="11"/>
  <c r="E286" i="11"/>
  <c r="C286" i="11" s="1"/>
  <c r="B286" i="11" s="1"/>
  <c r="R285" i="11"/>
  <c r="O285" i="11"/>
  <c r="M285" i="11" s="1"/>
  <c r="L285" i="11" s="1"/>
  <c r="H285" i="11"/>
  <c r="E285" i="11"/>
  <c r="C285" i="11" s="1"/>
  <c r="B285" i="11" s="1"/>
  <c r="R284" i="11"/>
  <c r="O284" i="11"/>
  <c r="M284" i="11" s="1"/>
  <c r="L284" i="11" s="1"/>
  <c r="H284" i="11"/>
  <c r="E284" i="11"/>
  <c r="C284" i="11" s="1"/>
  <c r="B284" i="11" s="1"/>
  <c r="R283" i="11"/>
  <c r="O283" i="11"/>
  <c r="M283" i="11" s="1"/>
  <c r="L283" i="11" s="1"/>
  <c r="H283" i="11"/>
  <c r="E283" i="11"/>
  <c r="C283" i="11" s="1"/>
  <c r="B283" i="11" s="1"/>
  <c r="R282" i="11"/>
  <c r="O282" i="11"/>
  <c r="M282" i="11" s="1"/>
  <c r="L282" i="11" s="1"/>
  <c r="H282" i="11"/>
  <c r="E282" i="11"/>
  <c r="C282" i="11" s="1"/>
  <c r="B282" i="11" s="1"/>
  <c r="R281" i="11"/>
  <c r="O281" i="11"/>
  <c r="M281" i="11" s="1"/>
  <c r="L281" i="11" s="1"/>
  <c r="H281" i="11"/>
  <c r="E281" i="11"/>
  <c r="C281" i="11" s="1"/>
  <c r="B281" i="11" s="1"/>
  <c r="R280" i="11"/>
  <c r="O280" i="11"/>
  <c r="M280" i="11" s="1"/>
  <c r="L280" i="11" s="1"/>
  <c r="H280" i="11"/>
  <c r="E280" i="11"/>
  <c r="C280" i="11" s="1"/>
  <c r="B280" i="11" s="1"/>
  <c r="R279" i="11"/>
  <c r="O279" i="11"/>
  <c r="M279" i="11" s="1"/>
  <c r="L279" i="11" s="1"/>
  <c r="H279" i="11"/>
  <c r="E279" i="11"/>
  <c r="C279" i="11" s="1"/>
  <c r="B279" i="11" s="1"/>
  <c r="R278" i="11"/>
  <c r="O278" i="11"/>
  <c r="M278" i="11" s="1"/>
  <c r="L278" i="11" s="1"/>
  <c r="H278" i="11"/>
  <c r="E278" i="11"/>
  <c r="C278" i="11" s="1"/>
  <c r="B278" i="11" s="1"/>
  <c r="R277" i="11"/>
  <c r="O277" i="11"/>
  <c r="M277" i="11" s="1"/>
  <c r="L277" i="11" s="1"/>
  <c r="H277" i="11"/>
  <c r="E277" i="11"/>
  <c r="C277" i="11" s="1"/>
  <c r="B277" i="11" s="1"/>
  <c r="R276" i="11"/>
  <c r="O276" i="11"/>
  <c r="M276" i="11" s="1"/>
  <c r="L276" i="11" s="1"/>
  <c r="H276" i="11"/>
  <c r="E276" i="11"/>
  <c r="C276" i="11" s="1"/>
  <c r="B276" i="11" s="1"/>
  <c r="R275" i="11"/>
  <c r="O275" i="11"/>
  <c r="M275" i="11" s="1"/>
  <c r="L275" i="11" s="1"/>
  <c r="H275" i="11"/>
  <c r="E275" i="11"/>
  <c r="C275" i="11" s="1"/>
  <c r="B275" i="11" s="1"/>
  <c r="R274" i="11"/>
  <c r="O274" i="11"/>
  <c r="M274" i="11" s="1"/>
  <c r="L274" i="11" s="1"/>
  <c r="H274" i="11"/>
  <c r="E274" i="11"/>
  <c r="C274" i="11" s="1"/>
  <c r="B274" i="11" s="1"/>
  <c r="R273" i="11"/>
  <c r="O273" i="11"/>
  <c r="M273" i="11" s="1"/>
  <c r="L273" i="11" s="1"/>
  <c r="H273" i="11"/>
  <c r="E273" i="11"/>
  <c r="C273" i="11" s="1"/>
  <c r="B273" i="11" s="1"/>
  <c r="R272" i="11"/>
  <c r="O272" i="11"/>
  <c r="M272" i="11" s="1"/>
  <c r="L272" i="11" s="1"/>
  <c r="H272" i="11"/>
  <c r="E272" i="11"/>
  <c r="C272" i="11" s="1"/>
  <c r="B272" i="11" s="1"/>
  <c r="R271" i="11"/>
  <c r="O271" i="11"/>
  <c r="M271" i="11" s="1"/>
  <c r="L271" i="11" s="1"/>
  <c r="H271" i="11"/>
  <c r="E271" i="11"/>
  <c r="C271" i="11" s="1"/>
  <c r="B271" i="11" s="1"/>
  <c r="R270" i="11"/>
  <c r="O270" i="11"/>
  <c r="M270" i="11" s="1"/>
  <c r="L270" i="11" s="1"/>
  <c r="H270" i="11"/>
  <c r="E270" i="11"/>
  <c r="C270" i="11" s="1"/>
  <c r="B270" i="11" s="1"/>
  <c r="R269" i="11"/>
  <c r="O269" i="11"/>
  <c r="M269" i="11" s="1"/>
  <c r="L269" i="11" s="1"/>
  <c r="H269" i="11"/>
  <c r="E269" i="11"/>
  <c r="C269" i="11" s="1"/>
  <c r="B269" i="11" s="1"/>
  <c r="R268" i="11"/>
  <c r="O268" i="11"/>
  <c r="M268" i="11" s="1"/>
  <c r="L268" i="11" s="1"/>
  <c r="H268" i="11"/>
  <c r="E268" i="11"/>
  <c r="C268" i="11" s="1"/>
  <c r="B268" i="11" s="1"/>
  <c r="R267" i="11"/>
  <c r="O267" i="11"/>
  <c r="M267" i="11" s="1"/>
  <c r="L267" i="11" s="1"/>
  <c r="H267" i="11"/>
  <c r="E267" i="11"/>
  <c r="C267" i="11" s="1"/>
  <c r="B267" i="11" s="1"/>
  <c r="R266" i="11"/>
  <c r="O266" i="11"/>
  <c r="M266" i="11" s="1"/>
  <c r="L266" i="11" s="1"/>
  <c r="H266" i="11"/>
  <c r="E266" i="11"/>
  <c r="C266" i="11" s="1"/>
  <c r="B266" i="11" s="1"/>
  <c r="R265" i="11"/>
  <c r="O265" i="11"/>
  <c r="M265" i="11" s="1"/>
  <c r="L265" i="11" s="1"/>
  <c r="H265" i="11"/>
  <c r="E265" i="11"/>
  <c r="C265" i="11" s="1"/>
  <c r="B265" i="11" s="1"/>
  <c r="R264" i="11"/>
  <c r="O264" i="11"/>
  <c r="M264" i="11" s="1"/>
  <c r="L264" i="11" s="1"/>
  <c r="H264" i="11"/>
  <c r="E264" i="11"/>
  <c r="C264" i="11" s="1"/>
  <c r="B264" i="11" s="1"/>
  <c r="R263" i="11"/>
  <c r="O263" i="11"/>
  <c r="M263" i="11" s="1"/>
  <c r="L263" i="11" s="1"/>
  <c r="H263" i="11"/>
  <c r="E263" i="11"/>
  <c r="C263" i="11" s="1"/>
  <c r="B263" i="11" s="1"/>
  <c r="R262" i="11"/>
  <c r="O262" i="11"/>
  <c r="M262" i="11" s="1"/>
  <c r="L262" i="11" s="1"/>
  <c r="H262" i="11"/>
  <c r="E262" i="11"/>
  <c r="C262" i="11" s="1"/>
  <c r="B262" i="11" s="1"/>
  <c r="R261" i="11"/>
  <c r="O261" i="11"/>
  <c r="M261" i="11" s="1"/>
  <c r="L261" i="11" s="1"/>
  <c r="H261" i="11"/>
  <c r="E261" i="11"/>
  <c r="C261" i="11" s="1"/>
  <c r="B261" i="11" s="1"/>
  <c r="R260" i="11"/>
  <c r="O260" i="11"/>
  <c r="M260" i="11" s="1"/>
  <c r="L260" i="11" s="1"/>
  <c r="H260" i="11"/>
  <c r="E260" i="11"/>
  <c r="C260" i="11" s="1"/>
  <c r="B260" i="11" s="1"/>
  <c r="R259" i="11"/>
  <c r="O259" i="11"/>
  <c r="M259" i="11" s="1"/>
  <c r="L259" i="11" s="1"/>
  <c r="H259" i="11"/>
  <c r="E259" i="11"/>
  <c r="C259" i="11" s="1"/>
  <c r="B259" i="11" s="1"/>
  <c r="R258" i="11"/>
  <c r="O258" i="11"/>
  <c r="M258" i="11" s="1"/>
  <c r="L258" i="11" s="1"/>
  <c r="H258" i="11"/>
  <c r="E258" i="11"/>
  <c r="C258" i="11" s="1"/>
  <c r="B258" i="11" s="1"/>
  <c r="R257" i="11"/>
  <c r="O257" i="11"/>
  <c r="M257" i="11" s="1"/>
  <c r="L257" i="11" s="1"/>
  <c r="H257" i="11"/>
  <c r="E257" i="11"/>
  <c r="C257" i="11" s="1"/>
  <c r="B257" i="11" s="1"/>
  <c r="R256" i="11"/>
  <c r="O256" i="11"/>
  <c r="M256" i="11" s="1"/>
  <c r="L256" i="11" s="1"/>
  <c r="H256" i="11"/>
  <c r="E256" i="11"/>
  <c r="C256" i="11" s="1"/>
  <c r="B256" i="11" s="1"/>
  <c r="R255" i="11"/>
  <c r="O255" i="11"/>
  <c r="M255" i="11" s="1"/>
  <c r="L255" i="11" s="1"/>
  <c r="H255" i="11"/>
  <c r="E255" i="11"/>
  <c r="C255" i="11" s="1"/>
  <c r="B255" i="11" s="1"/>
  <c r="R254" i="11"/>
  <c r="O254" i="11"/>
  <c r="M254" i="11" s="1"/>
  <c r="L254" i="11" s="1"/>
  <c r="H254" i="11"/>
  <c r="E254" i="11"/>
  <c r="C254" i="11" s="1"/>
  <c r="B254" i="11" s="1"/>
  <c r="R253" i="11"/>
  <c r="O253" i="11"/>
  <c r="M253" i="11" s="1"/>
  <c r="L253" i="11" s="1"/>
  <c r="H253" i="11"/>
  <c r="E253" i="11"/>
  <c r="C253" i="11" s="1"/>
  <c r="B253" i="11" s="1"/>
  <c r="R252" i="11"/>
  <c r="O252" i="11"/>
  <c r="M252" i="11" s="1"/>
  <c r="L252" i="11" s="1"/>
  <c r="H252" i="11"/>
  <c r="E252" i="11"/>
  <c r="C252" i="11" s="1"/>
  <c r="B252" i="11" s="1"/>
  <c r="R251" i="11"/>
  <c r="O251" i="11"/>
  <c r="M251" i="11" s="1"/>
  <c r="L251" i="11" s="1"/>
  <c r="H251" i="11"/>
  <c r="E251" i="11"/>
  <c r="C251" i="11" s="1"/>
  <c r="B251" i="11" s="1"/>
  <c r="R250" i="11"/>
  <c r="O250" i="11"/>
  <c r="M250" i="11" s="1"/>
  <c r="L250" i="11" s="1"/>
  <c r="H250" i="11"/>
  <c r="E250" i="11"/>
  <c r="C250" i="11" s="1"/>
  <c r="B250" i="11" s="1"/>
  <c r="R249" i="11"/>
  <c r="O249" i="11"/>
  <c r="M249" i="11" s="1"/>
  <c r="L249" i="11" s="1"/>
  <c r="H249" i="11"/>
  <c r="E249" i="11"/>
  <c r="C249" i="11" s="1"/>
  <c r="B249" i="11" s="1"/>
  <c r="R248" i="11"/>
  <c r="O248" i="11"/>
  <c r="M248" i="11" s="1"/>
  <c r="L248" i="11" s="1"/>
  <c r="H248" i="11"/>
  <c r="E248" i="11"/>
  <c r="C248" i="11" s="1"/>
  <c r="B248" i="11" s="1"/>
  <c r="R247" i="11"/>
  <c r="O247" i="11"/>
  <c r="M247" i="11" s="1"/>
  <c r="L247" i="11" s="1"/>
  <c r="H247" i="11"/>
  <c r="E247" i="11"/>
  <c r="C247" i="11" s="1"/>
  <c r="B247" i="11" s="1"/>
  <c r="R246" i="11"/>
  <c r="O246" i="11"/>
  <c r="M246" i="11" s="1"/>
  <c r="L246" i="11" s="1"/>
  <c r="H246" i="11"/>
  <c r="E246" i="11"/>
  <c r="C246" i="11" s="1"/>
  <c r="B246" i="11" s="1"/>
  <c r="R245" i="11"/>
  <c r="O245" i="11"/>
  <c r="M245" i="11" s="1"/>
  <c r="L245" i="11" s="1"/>
  <c r="H245" i="11"/>
  <c r="E245" i="11"/>
  <c r="C245" i="11" s="1"/>
  <c r="B245" i="11" s="1"/>
  <c r="R244" i="11"/>
  <c r="O244" i="11"/>
  <c r="M244" i="11" s="1"/>
  <c r="L244" i="11" s="1"/>
  <c r="H244" i="11"/>
  <c r="E244" i="11"/>
  <c r="C244" i="11" s="1"/>
  <c r="B244" i="11" s="1"/>
  <c r="R243" i="11"/>
  <c r="O243" i="11"/>
  <c r="M243" i="11" s="1"/>
  <c r="L243" i="11" s="1"/>
  <c r="H243" i="11"/>
  <c r="E243" i="11"/>
  <c r="C243" i="11" s="1"/>
  <c r="B243" i="11" s="1"/>
  <c r="R242" i="11"/>
  <c r="O242" i="11"/>
  <c r="M242" i="11" s="1"/>
  <c r="L242" i="11" s="1"/>
  <c r="H242" i="11"/>
  <c r="E242" i="11"/>
  <c r="C242" i="11" s="1"/>
  <c r="B242" i="11" s="1"/>
  <c r="R241" i="11"/>
  <c r="O241" i="11"/>
  <c r="M241" i="11" s="1"/>
  <c r="L241" i="11" s="1"/>
  <c r="H241" i="11"/>
  <c r="E241" i="11"/>
  <c r="C241" i="11" s="1"/>
  <c r="B241" i="11" s="1"/>
  <c r="R240" i="11"/>
  <c r="O240" i="11"/>
  <c r="M240" i="11" s="1"/>
  <c r="L240" i="11" s="1"/>
  <c r="H240" i="11"/>
  <c r="E240" i="11"/>
  <c r="C240" i="11" s="1"/>
  <c r="B240" i="11" s="1"/>
  <c r="R239" i="11"/>
  <c r="O239" i="11"/>
  <c r="M239" i="11" s="1"/>
  <c r="L239" i="11" s="1"/>
  <c r="H239" i="11"/>
  <c r="E239" i="11"/>
  <c r="C239" i="11" s="1"/>
  <c r="B239" i="11" s="1"/>
  <c r="R238" i="11"/>
  <c r="O238" i="11"/>
  <c r="M238" i="11" s="1"/>
  <c r="L238" i="11" s="1"/>
  <c r="H238" i="11"/>
  <c r="E238" i="11"/>
  <c r="C238" i="11" s="1"/>
  <c r="B238" i="11" s="1"/>
  <c r="R237" i="11"/>
  <c r="O237" i="11"/>
  <c r="M237" i="11" s="1"/>
  <c r="L237" i="11" s="1"/>
  <c r="H237" i="11"/>
  <c r="E237" i="11"/>
  <c r="C237" i="11" s="1"/>
  <c r="B237" i="11" s="1"/>
  <c r="R236" i="11"/>
  <c r="O236" i="11"/>
  <c r="M236" i="11" s="1"/>
  <c r="L236" i="11" s="1"/>
  <c r="H236" i="11"/>
  <c r="E236" i="11"/>
  <c r="C236" i="11" s="1"/>
  <c r="B236" i="11" s="1"/>
  <c r="R235" i="11"/>
  <c r="O235" i="11"/>
  <c r="M235" i="11" s="1"/>
  <c r="L235" i="11" s="1"/>
  <c r="H235" i="11"/>
  <c r="E235" i="11"/>
  <c r="C235" i="11" s="1"/>
  <c r="B235" i="11" s="1"/>
  <c r="R234" i="11"/>
  <c r="O234" i="11"/>
  <c r="M234" i="11" s="1"/>
  <c r="L234" i="11" s="1"/>
  <c r="H234" i="11"/>
  <c r="E234" i="11"/>
  <c r="C234" i="11" s="1"/>
  <c r="B234" i="11" s="1"/>
  <c r="R233" i="11"/>
  <c r="O233" i="11"/>
  <c r="M233" i="11" s="1"/>
  <c r="L233" i="11" s="1"/>
  <c r="H233" i="11"/>
  <c r="E233" i="11"/>
  <c r="C233" i="11" s="1"/>
  <c r="B233" i="11" s="1"/>
  <c r="R232" i="11"/>
  <c r="O232" i="11"/>
  <c r="M232" i="11" s="1"/>
  <c r="L232" i="11" s="1"/>
  <c r="H232" i="11"/>
  <c r="E232" i="11"/>
  <c r="C232" i="11" s="1"/>
  <c r="B232" i="11" s="1"/>
  <c r="R231" i="11"/>
  <c r="O231" i="11"/>
  <c r="M231" i="11" s="1"/>
  <c r="L231" i="11" s="1"/>
  <c r="H231" i="11"/>
  <c r="E231" i="11"/>
  <c r="C231" i="11" s="1"/>
  <c r="B231" i="11" s="1"/>
  <c r="R230" i="11"/>
  <c r="O230" i="11"/>
  <c r="M230" i="11" s="1"/>
  <c r="L230" i="11" s="1"/>
  <c r="H230" i="11"/>
  <c r="E230" i="11"/>
  <c r="C230" i="11" s="1"/>
  <c r="B230" i="11" s="1"/>
  <c r="R229" i="11"/>
  <c r="O229" i="11"/>
  <c r="M229" i="11" s="1"/>
  <c r="L229" i="11" s="1"/>
  <c r="H229" i="11"/>
  <c r="E229" i="11"/>
  <c r="C229" i="11" s="1"/>
  <c r="B229" i="11" s="1"/>
  <c r="R228" i="11"/>
  <c r="O228" i="11"/>
  <c r="M228" i="11" s="1"/>
  <c r="L228" i="11" s="1"/>
  <c r="H228" i="11"/>
  <c r="E228" i="11"/>
  <c r="C228" i="11" s="1"/>
  <c r="B228" i="11" s="1"/>
  <c r="R227" i="11"/>
  <c r="O227" i="11"/>
  <c r="M227" i="11" s="1"/>
  <c r="L227" i="11" s="1"/>
  <c r="H227" i="11"/>
  <c r="E227" i="11"/>
  <c r="C227" i="11" s="1"/>
  <c r="B227" i="11" s="1"/>
  <c r="R226" i="11"/>
  <c r="O226" i="11"/>
  <c r="M226" i="11" s="1"/>
  <c r="L226" i="11" s="1"/>
  <c r="H226" i="11"/>
  <c r="E226" i="11"/>
  <c r="C226" i="11" s="1"/>
  <c r="B226" i="11" s="1"/>
  <c r="R225" i="11"/>
  <c r="O225" i="11"/>
  <c r="M225" i="11" s="1"/>
  <c r="L225" i="11" s="1"/>
  <c r="H225" i="11"/>
  <c r="E225" i="11"/>
  <c r="C225" i="11" s="1"/>
  <c r="B225" i="11" s="1"/>
  <c r="R224" i="11"/>
  <c r="O224" i="11"/>
  <c r="M224" i="11" s="1"/>
  <c r="L224" i="11" s="1"/>
  <c r="H224" i="11"/>
  <c r="E224" i="11"/>
  <c r="C224" i="11" s="1"/>
  <c r="B224" i="11" s="1"/>
  <c r="R223" i="11"/>
  <c r="O223" i="11"/>
  <c r="M223" i="11" s="1"/>
  <c r="L223" i="11" s="1"/>
  <c r="H223" i="11"/>
  <c r="E223" i="11"/>
  <c r="C223" i="11" s="1"/>
  <c r="B223" i="11" s="1"/>
  <c r="R222" i="11"/>
  <c r="O222" i="11"/>
  <c r="M222" i="11" s="1"/>
  <c r="L222" i="11" s="1"/>
  <c r="H222" i="11"/>
  <c r="E222" i="11"/>
  <c r="C222" i="11" s="1"/>
  <c r="B222" i="11" s="1"/>
  <c r="R221" i="11"/>
  <c r="O221" i="11"/>
  <c r="M221" i="11" s="1"/>
  <c r="L221" i="11" s="1"/>
  <c r="H221" i="11"/>
  <c r="E221" i="11"/>
  <c r="C221" i="11" s="1"/>
  <c r="B221" i="11" s="1"/>
  <c r="R220" i="11"/>
  <c r="O220" i="11"/>
  <c r="M220" i="11" s="1"/>
  <c r="L220" i="11" s="1"/>
  <c r="H220" i="11"/>
  <c r="E220" i="11"/>
  <c r="C220" i="11" s="1"/>
  <c r="B220" i="11" s="1"/>
  <c r="R219" i="11"/>
  <c r="O219" i="11"/>
  <c r="M219" i="11" s="1"/>
  <c r="L219" i="11" s="1"/>
  <c r="H219" i="11"/>
  <c r="E219" i="11"/>
  <c r="C219" i="11" s="1"/>
  <c r="B219" i="11" s="1"/>
  <c r="R218" i="11"/>
  <c r="O218" i="11"/>
  <c r="M218" i="11" s="1"/>
  <c r="L218" i="11" s="1"/>
  <c r="H218" i="11"/>
  <c r="E218" i="11"/>
  <c r="C218" i="11" s="1"/>
  <c r="B218" i="11" s="1"/>
  <c r="R217" i="11"/>
  <c r="O217" i="11"/>
  <c r="M217" i="11" s="1"/>
  <c r="L217" i="11" s="1"/>
  <c r="H217" i="11"/>
  <c r="E217" i="11"/>
  <c r="C217" i="11" s="1"/>
  <c r="B217" i="11" s="1"/>
  <c r="R216" i="11"/>
  <c r="O216" i="11"/>
  <c r="M216" i="11" s="1"/>
  <c r="L216" i="11" s="1"/>
  <c r="H216" i="11"/>
  <c r="E216" i="11"/>
  <c r="C216" i="11" s="1"/>
  <c r="B216" i="11" s="1"/>
  <c r="R215" i="11"/>
  <c r="O215" i="11"/>
  <c r="M215" i="11" s="1"/>
  <c r="L215" i="11" s="1"/>
  <c r="H215" i="11"/>
  <c r="E215" i="11"/>
  <c r="C215" i="11" s="1"/>
  <c r="B215" i="11" s="1"/>
  <c r="R214" i="11"/>
  <c r="O214" i="11"/>
  <c r="M214" i="11" s="1"/>
  <c r="L214" i="11" s="1"/>
  <c r="H214" i="11"/>
  <c r="E214" i="11"/>
  <c r="C214" i="11" s="1"/>
  <c r="B214" i="11" s="1"/>
  <c r="R213" i="11"/>
  <c r="O213" i="11"/>
  <c r="M213" i="11" s="1"/>
  <c r="L213" i="11" s="1"/>
  <c r="H213" i="11"/>
  <c r="E213" i="11"/>
  <c r="C213" i="11" s="1"/>
  <c r="B213" i="11" s="1"/>
  <c r="R212" i="11"/>
  <c r="O212" i="11"/>
  <c r="M212" i="11" s="1"/>
  <c r="L212" i="11" s="1"/>
  <c r="H212" i="11"/>
  <c r="E212" i="11"/>
  <c r="C212" i="11" s="1"/>
  <c r="B212" i="11" s="1"/>
  <c r="R211" i="11"/>
  <c r="O211" i="11"/>
  <c r="M211" i="11" s="1"/>
  <c r="L211" i="11" s="1"/>
  <c r="H211" i="11"/>
  <c r="E211" i="11"/>
  <c r="C211" i="11" s="1"/>
  <c r="B211" i="11" s="1"/>
  <c r="R210" i="11"/>
  <c r="O210" i="11"/>
  <c r="M210" i="11" s="1"/>
  <c r="L210" i="11" s="1"/>
  <c r="H210" i="11"/>
  <c r="E210" i="11"/>
  <c r="C210" i="11" s="1"/>
  <c r="B210" i="11" s="1"/>
  <c r="R209" i="11"/>
  <c r="O209" i="11"/>
  <c r="M209" i="11" s="1"/>
  <c r="L209" i="11" s="1"/>
  <c r="H209" i="11"/>
  <c r="E209" i="11"/>
  <c r="C209" i="11" s="1"/>
  <c r="B209" i="11" s="1"/>
  <c r="R208" i="11"/>
  <c r="O208" i="11"/>
  <c r="M208" i="11" s="1"/>
  <c r="L208" i="11" s="1"/>
  <c r="H208" i="11"/>
  <c r="E208" i="11"/>
  <c r="C208" i="11" s="1"/>
  <c r="B208" i="11" s="1"/>
  <c r="R207" i="11"/>
  <c r="O207" i="11"/>
  <c r="M207" i="11" s="1"/>
  <c r="L207" i="11" s="1"/>
  <c r="H207" i="11"/>
  <c r="E207" i="11"/>
  <c r="C207" i="11" s="1"/>
  <c r="B207" i="11" s="1"/>
  <c r="R206" i="11"/>
  <c r="O206" i="11"/>
  <c r="M206" i="11" s="1"/>
  <c r="L206" i="11" s="1"/>
  <c r="H206" i="11"/>
  <c r="E206" i="11"/>
  <c r="C206" i="11" s="1"/>
  <c r="B206" i="11" s="1"/>
  <c r="R205" i="11"/>
  <c r="O205" i="11"/>
  <c r="M205" i="11" s="1"/>
  <c r="L205" i="11" s="1"/>
  <c r="H205" i="11"/>
  <c r="E205" i="11"/>
  <c r="C205" i="11" s="1"/>
  <c r="B205" i="11" s="1"/>
  <c r="R204" i="11"/>
  <c r="O204" i="11"/>
  <c r="M204" i="11" s="1"/>
  <c r="L204" i="11" s="1"/>
  <c r="H204" i="11"/>
  <c r="E204" i="11"/>
  <c r="C204" i="11" s="1"/>
  <c r="B204" i="11" s="1"/>
  <c r="R203" i="11"/>
  <c r="O203" i="11"/>
  <c r="M203" i="11" s="1"/>
  <c r="L203" i="11" s="1"/>
  <c r="H203" i="11"/>
  <c r="E203" i="11"/>
  <c r="C203" i="11" s="1"/>
  <c r="B203" i="11" s="1"/>
  <c r="R202" i="11"/>
  <c r="O202" i="11"/>
  <c r="M202" i="11" s="1"/>
  <c r="L202" i="11" s="1"/>
  <c r="H202" i="11"/>
  <c r="E202" i="11"/>
  <c r="C202" i="11" s="1"/>
  <c r="B202" i="11" s="1"/>
  <c r="R201" i="11"/>
  <c r="O201" i="11"/>
  <c r="M201" i="11" s="1"/>
  <c r="L201" i="11" s="1"/>
  <c r="H201" i="11"/>
  <c r="E201" i="11"/>
  <c r="C201" i="11" s="1"/>
  <c r="B201" i="11" s="1"/>
  <c r="R200" i="11"/>
  <c r="O200" i="11"/>
  <c r="M200" i="11" s="1"/>
  <c r="L200" i="11" s="1"/>
  <c r="H200" i="11"/>
  <c r="E200" i="11"/>
  <c r="C200" i="11" s="1"/>
  <c r="B200" i="11" s="1"/>
  <c r="R199" i="11"/>
  <c r="O199" i="11"/>
  <c r="M199" i="11" s="1"/>
  <c r="L199" i="11" s="1"/>
  <c r="H199" i="11"/>
  <c r="E199" i="11"/>
  <c r="C199" i="11" s="1"/>
  <c r="B199" i="11" s="1"/>
  <c r="R198" i="11"/>
  <c r="O198" i="11"/>
  <c r="M198" i="11" s="1"/>
  <c r="L198" i="11" s="1"/>
  <c r="H198" i="11"/>
  <c r="E198" i="11"/>
  <c r="C198" i="11" s="1"/>
  <c r="B198" i="11" s="1"/>
  <c r="R197" i="11"/>
  <c r="O197" i="11"/>
  <c r="M197" i="11" s="1"/>
  <c r="L197" i="11" s="1"/>
  <c r="H197" i="11"/>
  <c r="E197" i="11"/>
  <c r="C197" i="11" s="1"/>
  <c r="B197" i="11" s="1"/>
  <c r="R196" i="11"/>
  <c r="O196" i="11"/>
  <c r="M196" i="11" s="1"/>
  <c r="L196" i="11" s="1"/>
  <c r="H196" i="11"/>
  <c r="E196" i="11"/>
  <c r="C196" i="11" s="1"/>
  <c r="B196" i="11" s="1"/>
  <c r="R195" i="11"/>
  <c r="O195" i="11"/>
  <c r="M195" i="11" s="1"/>
  <c r="L195" i="11" s="1"/>
  <c r="H195" i="11"/>
  <c r="E195" i="11"/>
  <c r="C195" i="11" s="1"/>
  <c r="B195" i="11" s="1"/>
  <c r="R194" i="11"/>
  <c r="O194" i="11"/>
  <c r="M194" i="11" s="1"/>
  <c r="L194" i="11" s="1"/>
  <c r="H194" i="11"/>
  <c r="E194" i="11"/>
  <c r="C194" i="11" s="1"/>
  <c r="B194" i="11" s="1"/>
  <c r="R193" i="11"/>
  <c r="O193" i="11"/>
  <c r="M193" i="11" s="1"/>
  <c r="L193" i="11" s="1"/>
  <c r="H193" i="11"/>
  <c r="E193" i="11"/>
  <c r="C193" i="11" s="1"/>
  <c r="B193" i="11" s="1"/>
  <c r="R192" i="11"/>
  <c r="O192" i="11"/>
  <c r="M192" i="11" s="1"/>
  <c r="L192" i="11" s="1"/>
  <c r="H192" i="11"/>
  <c r="E192" i="11"/>
  <c r="C192" i="11" s="1"/>
  <c r="B192" i="11" s="1"/>
  <c r="R191" i="11"/>
  <c r="O191" i="11"/>
  <c r="M191" i="11" s="1"/>
  <c r="L191" i="11" s="1"/>
  <c r="H191" i="11"/>
  <c r="E191" i="11"/>
  <c r="C191" i="11" s="1"/>
  <c r="B191" i="11" s="1"/>
  <c r="R190" i="11"/>
  <c r="O190" i="11"/>
  <c r="M190" i="11" s="1"/>
  <c r="L190" i="11" s="1"/>
  <c r="H190" i="11"/>
  <c r="E190" i="11"/>
  <c r="C190" i="11" s="1"/>
  <c r="B190" i="11" s="1"/>
  <c r="R189" i="11"/>
  <c r="O189" i="11"/>
  <c r="M189" i="11" s="1"/>
  <c r="L189" i="11" s="1"/>
  <c r="H189" i="11"/>
  <c r="E189" i="11"/>
  <c r="C189" i="11" s="1"/>
  <c r="B189" i="11" s="1"/>
  <c r="R188" i="11"/>
  <c r="O188" i="11"/>
  <c r="M188" i="11" s="1"/>
  <c r="L188" i="11" s="1"/>
  <c r="H188" i="11"/>
  <c r="E188" i="11"/>
  <c r="C188" i="11" s="1"/>
  <c r="B188" i="11" s="1"/>
  <c r="R187" i="11"/>
  <c r="O187" i="11"/>
  <c r="M187" i="11" s="1"/>
  <c r="L187" i="11" s="1"/>
  <c r="H187" i="11"/>
  <c r="E187" i="11"/>
  <c r="C187" i="11" s="1"/>
  <c r="B187" i="11" s="1"/>
  <c r="R186" i="11"/>
  <c r="O186" i="11"/>
  <c r="M186" i="11" s="1"/>
  <c r="L186" i="11" s="1"/>
  <c r="H186" i="11"/>
  <c r="E186" i="11"/>
  <c r="C186" i="11" s="1"/>
  <c r="B186" i="11" s="1"/>
  <c r="R185" i="11"/>
  <c r="O185" i="11"/>
  <c r="M185" i="11" s="1"/>
  <c r="L185" i="11" s="1"/>
  <c r="H185" i="11"/>
  <c r="E185" i="11"/>
  <c r="C185" i="11" s="1"/>
  <c r="B185" i="11" s="1"/>
  <c r="R184" i="11"/>
  <c r="O184" i="11"/>
  <c r="M184" i="11" s="1"/>
  <c r="L184" i="11" s="1"/>
  <c r="H184" i="11"/>
  <c r="E184" i="11"/>
  <c r="C184" i="11" s="1"/>
  <c r="B184" i="11" s="1"/>
  <c r="R183" i="11"/>
  <c r="O183" i="11"/>
  <c r="M183" i="11" s="1"/>
  <c r="L183" i="11" s="1"/>
  <c r="H183" i="11"/>
  <c r="E183" i="11"/>
  <c r="C183" i="11" s="1"/>
  <c r="B183" i="11" s="1"/>
  <c r="R182" i="11"/>
  <c r="O182" i="11"/>
  <c r="M182" i="11" s="1"/>
  <c r="L182" i="11" s="1"/>
  <c r="H182" i="11"/>
  <c r="E182" i="11"/>
  <c r="C182" i="11" s="1"/>
  <c r="B182" i="11" s="1"/>
  <c r="R181" i="11"/>
  <c r="O181" i="11"/>
  <c r="M181" i="11" s="1"/>
  <c r="L181" i="11" s="1"/>
  <c r="H181" i="11"/>
  <c r="E181" i="11"/>
  <c r="C181" i="11" s="1"/>
  <c r="B181" i="11" s="1"/>
  <c r="R180" i="11"/>
  <c r="O180" i="11"/>
  <c r="M180" i="11" s="1"/>
  <c r="L180" i="11" s="1"/>
  <c r="H180" i="11"/>
  <c r="E180" i="11"/>
  <c r="C180" i="11" s="1"/>
  <c r="B180" i="11" s="1"/>
  <c r="R179" i="11"/>
  <c r="O179" i="11"/>
  <c r="M179" i="11" s="1"/>
  <c r="L179" i="11" s="1"/>
  <c r="H179" i="11"/>
  <c r="E179" i="11"/>
  <c r="C179" i="11" s="1"/>
  <c r="B179" i="11" s="1"/>
  <c r="R178" i="11"/>
  <c r="O178" i="11"/>
  <c r="M178" i="11" s="1"/>
  <c r="L178" i="11" s="1"/>
  <c r="H178" i="11"/>
  <c r="E178" i="11"/>
  <c r="C178" i="11" s="1"/>
  <c r="B178" i="11" s="1"/>
  <c r="R177" i="11"/>
  <c r="O177" i="11"/>
  <c r="M177" i="11" s="1"/>
  <c r="L177" i="11" s="1"/>
  <c r="H177" i="11"/>
  <c r="E177" i="11"/>
  <c r="C177" i="11" s="1"/>
  <c r="B177" i="11" s="1"/>
  <c r="R176" i="11"/>
  <c r="O176" i="11"/>
  <c r="M176" i="11" s="1"/>
  <c r="L176" i="11" s="1"/>
  <c r="H176" i="11"/>
  <c r="E176" i="11"/>
  <c r="C176" i="11" s="1"/>
  <c r="B176" i="11" s="1"/>
  <c r="R175" i="11"/>
  <c r="O175" i="11"/>
  <c r="M175" i="11" s="1"/>
  <c r="L175" i="11" s="1"/>
  <c r="H175" i="11"/>
  <c r="E175" i="11"/>
  <c r="C175" i="11" s="1"/>
  <c r="B175" i="11" s="1"/>
  <c r="R174" i="11"/>
  <c r="O174" i="11"/>
  <c r="M174" i="11" s="1"/>
  <c r="L174" i="11" s="1"/>
  <c r="H174" i="11"/>
  <c r="E174" i="11"/>
  <c r="C174" i="11" s="1"/>
  <c r="B174" i="11" s="1"/>
  <c r="R173" i="11"/>
  <c r="O173" i="11"/>
  <c r="M173" i="11" s="1"/>
  <c r="L173" i="11" s="1"/>
  <c r="H173" i="11"/>
  <c r="E173" i="11"/>
  <c r="C173" i="11" s="1"/>
  <c r="B173" i="11" s="1"/>
  <c r="R172" i="11"/>
  <c r="O172" i="11"/>
  <c r="M172" i="11" s="1"/>
  <c r="L172" i="11" s="1"/>
  <c r="H172" i="11"/>
  <c r="E172" i="11"/>
  <c r="C172" i="11" s="1"/>
  <c r="B172" i="11" s="1"/>
  <c r="R171" i="11"/>
  <c r="O171" i="11"/>
  <c r="M171" i="11" s="1"/>
  <c r="L171" i="11" s="1"/>
  <c r="H171" i="11"/>
  <c r="E171" i="11"/>
  <c r="C171" i="11" s="1"/>
  <c r="B171" i="11" s="1"/>
  <c r="R170" i="11"/>
  <c r="O170" i="11"/>
  <c r="M170" i="11" s="1"/>
  <c r="L170" i="11" s="1"/>
  <c r="H170" i="11"/>
  <c r="E170" i="11"/>
  <c r="C170" i="11" s="1"/>
  <c r="B170" i="11" s="1"/>
  <c r="R169" i="11"/>
  <c r="O169" i="11"/>
  <c r="M169" i="11" s="1"/>
  <c r="L169" i="11" s="1"/>
  <c r="H169" i="11"/>
  <c r="E169" i="11"/>
  <c r="C169" i="11" s="1"/>
  <c r="B169" i="11" s="1"/>
  <c r="R168" i="11"/>
  <c r="O168" i="11"/>
  <c r="M168" i="11" s="1"/>
  <c r="L168" i="11" s="1"/>
  <c r="H168" i="11"/>
  <c r="E168" i="11"/>
  <c r="C168" i="11" s="1"/>
  <c r="B168" i="11" s="1"/>
  <c r="R167" i="11"/>
  <c r="O167" i="11"/>
  <c r="M167" i="11" s="1"/>
  <c r="L167" i="11" s="1"/>
  <c r="H167" i="11"/>
  <c r="E167" i="11"/>
  <c r="C167" i="11" s="1"/>
  <c r="B167" i="11" s="1"/>
  <c r="R166" i="11"/>
  <c r="O166" i="11"/>
  <c r="M166" i="11" s="1"/>
  <c r="L166" i="11" s="1"/>
  <c r="H166" i="11"/>
  <c r="E166" i="11"/>
  <c r="C166" i="11" s="1"/>
  <c r="B166" i="11" s="1"/>
  <c r="R165" i="11"/>
  <c r="O165" i="11"/>
  <c r="M165" i="11" s="1"/>
  <c r="L165" i="11" s="1"/>
  <c r="H165" i="11"/>
  <c r="E165" i="11"/>
  <c r="C165" i="11" s="1"/>
  <c r="B165" i="11" s="1"/>
  <c r="R164" i="11"/>
  <c r="O164" i="11"/>
  <c r="M164" i="11" s="1"/>
  <c r="L164" i="11" s="1"/>
  <c r="H164" i="11"/>
  <c r="E164" i="11"/>
  <c r="C164" i="11" s="1"/>
  <c r="B164" i="11" s="1"/>
  <c r="R163" i="11"/>
  <c r="O163" i="11"/>
  <c r="M163" i="11" s="1"/>
  <c r="L163" i="11" s="1"/>
  <c r="H163" i="11"/>
  <c r="E163" i="11"/>
  <c r="C163" i="11" s="1"/>
  <c r="B163" i="11" s="1"/>
  <c r="R162" i="11"/>
  <c r="O162" i="11"/>
  <c r="M162" i="11" s="1"/>
  <c r="L162" i="11" s="1"/>
  <c r="H162" i="11"/>
  <c r="E162" i="11"/>
  <c r="C162" i="11" s="1"/>
  <c r="B162" i="11" s="1"/>
  <c r="R161" i="11"/>
  <c r="O161" i="11"/>
  <c r="M161" i="11" s="1"/>
  <c r="L161" i="11" s="1"/>
  <c r="H161" i="11"/>
  <c r="E161" i="11"/>
  <c r="C161" i="11" s="1"/>
  <c r="B161" i="11" s="1"/>
  <c r="R160" i="11"/>
  <c r="O160" i="11"/>
  <c r="M160" i="11" s="1"/>
  <c r="L160" i="11" s="1"/>
  <c r="H160" i="11"/>
  <c r="E160" i="11"/>
  <c r="C160" i="11" s="1"/>
  <c r="B160" i="11" s="1"/>
  <c r="R159" i="11"/>
  <c r="O159" i="11"/>
  <c r="M159" i="11" s="1"/>
  <c r="L159" i="11" s="1"/>
  <c r="H159" i="11"/>
  <c r="E159" i="11"/>
  <c r="C159" i="11" s="1"/>
  <c r="B159" i="11" s="1"/>
  <c r="R158" i="11"/>
  <c r="O158" i="11"/>
  <c r="M158" i="11" s="1"/>
  <c r="L158" i="11" s="1"/>
  <c r="H158" i="11"/>
  <c r="E158" i="11"/>
  <c r="C158" i="11" s="1"/>
  <c r="B158" i="11" s="1"/>
  <c r="R157" i="11"/>
  <c r="O157" i="11"/>
  <c r="M157" i="11" s="1"/>
  <c r="L157" i="11" s="1"/>
  <c r="H157" i="11"/>
  <c r="E157" i="11"/>
  <c r="C157" i="11" s="1"/>
  <c r="B157" i="11" s="1"/>
  <c r="R156" i="11"/>
  <c r="O156" i="11"/>
  <c r="M156" i="11" s="1"/>
  <c r="L156" i="11" s="1"/>
  <c r="H156" i="11"/>
  <c r="E156" i="11"/>
  <c r="C156" i="11" s="1"/>
  <c r="B156" i="11" s="1"/>
  <c r="R155" i="11"/>
  <c r="O155" i="11"/>
  <c r="M155" i="11" s="1"/>
  <c r="L155" i="11" s="1"/>
  <c r="H155" i="11"/>
  <c r="E155" i="11"/>
  <c r="C155" i="11" s="1"/>
  <c r="B155" i="11" s="1"/>
  <c r="R154" i="11"/>
  <c r="O154" i="11"/>
  <c r="M154" i="11" s="1"/>
  <c r="L154" i="11" s="1"/>
  <c r="H154" i="11"/>
  <c r="E154" i="11"/>
  <c r="C154" i="11" s="1"/>
  <c r="B154" i="11" s="1"/>
  <c r="R153" i="11"/>
  <c r="O153" i="11"/>
  <c r="M153" i="11" s="1"/>
  <c r="L153" i="11" s="1"/>
  <c r="H153" i="11"/>
  <c r="E153" i="11"/>
  <c r="C153" i="11" s="1"/>
  <c r="B153" i="11" s="1"/>
  <c r="R152" i="11"/>
  <c r="O152" i="11"/>
  <c r="M152" i="11" s="1"/>
  <c r="L152" i="11" s="1"/>
  <c r="H152" i="11"/>
  <c r="E152" i="11"/>
  <c r="C152" i="11" s="1"/>
  <c r="B152" i="11" s="1"/>
  <c r="R151" i="11"/>
  <c r="O151" i="11"/>
  <c r="M151" i="11" s="1"/>
  <c r="L151" i="11" s="1"/>
  <c r="H151" i="11"/>
  <c r="E151" i="11"/>
  <c r="C151" i="11" s="1"/>
  <c r="B151" i="11" s="1"/>
  <c r="R150" i="11"/>
  <c r="O150" i="11"/>
  <c r="M150" i="11" s="1"/>
  <c r="L150" i="11" s="1"/>
  <c r="H150" i="11"/>
  <c r="E150" i="11"/>
  <c r="C150" i="11" s="1"/>
  <c r="B150" i="11" s="1"/>
  <c r="R149" i="11"/>
  <c r="O149" i="11"/>
  <c r="M149" i="11" s="1"/>
  <c r="L149" i="11" s="1"/>
  <c r="H149" i="11"/>
  <c r="E149" i="11"/>
  <c r="C149" i="11" s="1"/>
  <c r="B149" i="11" s="1"/>
  <c r="R148" i="11"/>
  <c r="O148" i="11"/>
  <c r="M148" i="11" s="1"/>
  <c r="L148" i="11" s="1"/>
  <c r="H148" i="11"/>
  <c r="E148" i="11"/>
  <c r="C148" i="11" s="1"/>
  <c r="B148" i="11" s="1"/>
  <c r="R147" i="11"/>
  <c r="O147" i="11"/>
  <c r="M147" i="11" s="1"/>
  <c r="L147" i="11" s="1"/>
  <c r="H147" i="11"/>
  <c r="E147" i="11"/>
  <c r="C147" i="11" s="1"/>
  <c r="B147" i="11" s="1"/>
  <c r="R146" i="11"/>
  <c r="O146" i="11"/>
  <c r="M146" i="11" s="1"/>
  <c r="L146" i="11" s="1"/>
  <c r="H146" i="11"/>
  <c r="E146" i="11"/>
  <c r="C146" i="11" s="1"/>
  <c r="B146" i="11" s="1"/>
  <c r="R145" i="11"/>
  <c r="O145" i="11"/>
  <c r="M145" i="11" s="1"/>
  <c r="L145" i="11" s="1"/>
  <c r="H145" i="11"/>
  <c r="E145" i="11"/>
  <c r="C145" i="11" s="1"/>
  <c r="B145" i="11" s="1"/>
  <c r="R144" i="11"/>
  <c r="O144" i="11"/>
  <c r="M144" i="11" s="1"/>
  <c r="L144" i="11" s="1"/>
  <c r="H144" i="11"/>
  <c r="E144" i="11"/>
  <c r="C144" i="11" s="1"/>
  <c r="B144" i="11" s="1"/>
  <c r="R143" i="11"/>
  <c r="O143" i="11"/>
  <c r="M143" i="11" s="1"/>
  <c r="L143" i="11" s="1"/>
  <c r="H143" i="11"/>
  <c r="E143" i="11"/>
  <c r="C143" i="11" s="1"/>
  <c r="B143" i="11" s="1"/>
  <c r="R142" i="11"/>
  <c r="O142" i="11"/>
  <c r="M142" i="11" s="1"/>
  <c r="L142" i="11" s="1"/>
  <c r="H142" i="11"/>
  <c r="E142" i="11"/>
  <c r="C142" i="11" s="1"/>
  <c r="B142" i="11" s="1"/>
  <c r="R141" i="11"/>
  <c r="O141" i="11"/>
  <c r="M141" i="11" s="1"/>
  <c r="L141" i="11" s="1"/>
  <c r="H141" i="11"/>
  <c r="E141" i="11"/>
  <c r="C141" i="11" s="1"/>
  <c r="B141" i="11" s="1"/>
  <c r="R140" i="11"/>
  <c r="O140" i="11"/>
  <c r="M140" i="11" s="1"/>
  <c r="L140" i="11" s="1"/>
  <c r="H140" i="11"/>
  <c r="E140" i="11"/>
  <c r="C140" i="11" s="1"/>
  <c r="B140" i="11" s="1"/>
  <c r="R139" i="11"/>
  <c r="O139" i="11"/>
  <c r="M139" i="11" s="1"/>
  <c r="L139" i="11" s="1"/>
  <c r="H139" i="11"/>
  <c r="E139" i="11"/>
  <c r="C139" i="11" s="1"/>
  <c r="B139" i="11" s="1"/>
  <c r="R138" i="11"/>
  <c r="O138" i="11"/>
  <c r="M138" i="11" s="1"/>
  <c r="L138" i="11" s="1"/>
  <c r="H138" i="11"/>
  <c r="E138" i="11"/>
  <c r="C138" i="11" s="1"/>
  <c r="B138" i="11" s="1"/>
  <c r="R137" i="11"/>
  <c r="O137" i="11"/>
  <c r="M137" i="11" s="1"/>
  <c r="L137" i="11" s="1"/>
  <c r="H137" i="11"/>
  <c r="E137" i="11"/>
  <c r="C137" i="11" s="1"/>
  <c r="B137" i="11" s="1"/>
  <c r="R136" i="11"/>
  <c r="O136" i="11"/>
  <c r="M136" i="11" s="1"/>
  <c r="L136" i="11" s="1"/>
  <c r="H136" i="11"/>
  <c r="E136" i="11"/>
  <c r="C136" i="11" s="1"/>
  <c r="B136" i="11" s="1"/>
  <c r="R135" i="11"/>
  <c r="O135" i="11"/>
  <c r="M135" i="11" s="1"/>
  <c r="L135" i="11" s="1"/>
  <c r="H135" i="11"/>
  <c r="E135" i="11"/>
  <c r="C135" i="11" s="1"/>
  <c r="B135" i="11" s="1"/>
  <c r="R134" i="11"/>
  <c r="O134" i="11"/>
  <c r="M134" i="11" s="1"/>
  <c r="L134" i="11" s="1"/>
  <c r="H134" i="11"/>
  <c r="E134" i="11"/>
  <c r="C134" i="11" s="1"/>
  <c r="B134" i="11" s="1"/>
  <c r="R133" i="11"/>
  <c r="O133" i="11"/>
  <c r="M133" i="11" s="1"/>
  <c r="L133" i="11" s="1"/>
  <c r="H133" i="11"/>
  <c r="E133" i="11"/>
  <c r="C133" i="11" s="1"/>
  <c r="B133" i="11" s="1"/>
  <c r="R132" i="11"/>
  <c r="O132" i="11"/>
  <c r="M132" i="11" s="1"/>
  <c r="L132" i="11" s="1"/>
  <c r="H132" i="11"/>
  <c r="E132" i="11"/>
  <c r="C132" i="11" s="1"/>
  <c r="B132" i="11" s="1"/>
  <c r="R131" i="11"/>
  <c r="O131" i="11"/>
  <c r="M131" i="11" s="1"/>
  <c r="L131" i="11" s="1"/>
  <c r="H131" i="11"/>
  <c r="E131" i="11"/>
  <c r="C131" i="11" s="1"/>
  <c r="B131" i="11" s="1"/>
  <c r="R130" i="11"/>
  <c r="O130" i="11"/>
  <c r="M130" i="11" s="1"/>
  <c r="L130" i="11" s="1"/>
  <c r="H130" i="11"/>
  <c r="E130" i="11"/>
  <c r="C130" i="11" s="1"/>
  <c r="B130" i="11" s="1"/>
  <c r="R129" i="11"/>
  <c r="O129" i="11"/>
  <c r="M129" i="11" s="1"/>
  <c r="L129" i="11" s="1"/>
  <c r="H129" i="11"/>
  <c r="E129" i="11"/>
  <c r="C129" i="11" s="1"/>
  <c r="B129" i="11" s="1"/>
  <c r="R128" i="11"/>
  <c r="O128" i="11"/>
  <c r="M128" i="11" s="1"/>
  <c r="L128" i="11" s="1"/>
  <c r="H128" i="11"/>
  <c r="E128" i="11"/>
  <c r="C128" i="11" s="1"/>
  <c r="B128" i="11" s="1"/>
  <c r="R127" i="11"/>
  <c r="O127" i="11"/>
  <c r="M127" i="11" s="1"/>
  <c r="L127" i="11" s="1"/>
  <c r="H127" i="11"/>
  <c r="E127" i="11"/>
  <c r="C127" i="11" s="1"/>
  <c r="B127" i="11" s="1"/>
  <c r="R126" i="11"/>
  <c r="O126" i="11"/>
  <c r="M126" i="11" s="1"/>
  <c r="L126" i="11" s="1"/>
  <c r="H126" i="11"/>
  <c r="E126" i="11"/>
  <c r="C126" i="11" s="1"/>
  <c r="B126" i="11" s="1"/>
  <c r="R125" i="11"/>
  <c r="O125" i="11"/>
  <c r="M125" i="11" s="1"/>
  <c r="L125" i="11" s="1"/>
  <c r="H125" i="11"/>
  <c r="E125" i="11"/>
  <c r="C125" i="11" s="1"/>
  <c r="B125" i="11" s="1"/>
  <c r="R124" i="11"/>
  <c r="O124" i="11"/>
  <c r="M124" i="11" s="1"/>
  <c r="L124" i="11" s="1"/>
  <c r="H124" i="11"/>
  <c r="E124" i="11"/>
  <c r="C124" i="11" s="1"/>
  <c r="B124" i="11" s="1"/>
  <c r="R123" i="11"/>
  <c r="O123" i="11"/>
  <c r="M123" i="11" s="1"/>
  <c r="L123" i="11" s="1"/>
  <c r="H123" i="11"/>
  <c r="E123" i="11"/>
  <c r="C123" i="11" s="1"/>
  <c r="B123" i="11" s="1"/>
  <c r="R122" i="11"/>
  <c r="O122" i="11"/>
  <c r="M122" i="11" s="1"/>
  <c r="L122" i="11" s="1"/>
  <c r="H122" i="11"/>
  <c r="E122" i="11"/>
  <c r="C122" i="11" s="1"/>
  <c r="B122" i="11" s="1"/>
  <c r="R121" i="11"/>
  <c r="O121" i="11"/>
  <c r="M121" i="11" s="1"/>
  <c r="L121" i="11" s="1"/>
  <c r="H121" i="11"/>
  <c r="E121" i="11"/>
  <c r="C121" i="11" s="1"/>
  <c r="B121" i="11" s="1"/>
  <c r="R120" i="11"/>
  <c r="O120" i="11"/>
  <c r="M120" i="11" s="1"/>
  <c r="L120" i="11" s="1"/>
  <c r="H120" i="11"/>
  <c r="E120" i="11"/>
  <c r="C120" i="11" s="1"/>
  <c r="B120" i="11" s="1"/>
  <c r="R119" i="11"/>
  <c r="O119" i="11"/>
  <c r="M119" i="11" s="1"/>
  <c r="L119" i="11" s="1"/>
  <c r="H119" i="11"/>
  <c r="E119" i="11"/>
  <c r="C119" i="11" s="1"/>
  <c r="B119" i="11" s="1"/>
  <c r="R118" i="11"/>
  <c r="O118" i="11"/>
  <c r="M118" i="11" s="1"/>
  <c r="L118" i="11" s="1"/>
  <c r="H118" i="11"/>
  <c r="E118" i="11"/>
  <c r="C118" i="11" s="1"/>
  <c r="B118" i="11" s="1"/>
  <c r="R117" i="11"/>
  <c r="O117" i="11"/>
  <c r="M117" i="11" s="1"/>
  <c r="L117" i="11" s="1"/>
  <c r="H117" i="11"/>
  <c r="E117" i="11"/>
  <c r="C117" i="11" s="1"/>
  <c r="B117" i="11" s="1"/>
  <c r="R116" i="11"/>
  <c r="O116" i="11"/>
  <c r="M116" i="11" s="1"/>
  <c r="L116" i="11" s="1"/>
  <c r="H116" i="11"/>
  <c r="E116" i="11"/>
  <c r="C116" i="11" s="1"/>
  <c r="B116" i="11" s="1"/>
  <c r="R115" i="11"/>
  <c r="O115" i="11"/>
  <c r="M115" i="11" s="1"/>
  <c r="L115" i="11" s="1"/>
  <c r="H115" i="11"/>
  <c r="E115" i="11"/>
  <c r="C115" i="11" s="1"/>
  <c r="B115" i="11" s="1"/>
  <c r="R114" i="11"/>
  <c r="O114" i="11"/>
  <c r="M114" i="11" s="1"/>
  <c r="L114" i="11" s="1"/>
  <c r="H114" i="11"/>
  <c r="E114" i="11"/>
  <c r="C114" i="11" s="1"/>
  <c r="B114" i="11" s="1"/>
  <c r="R113" i="11"/>
  <c r="O113" i="11"/>
  <c r="M113" i="11" s="1"/>
  <c r="L113" i="11" s="1"/>
  <c r="H113" i="11"/>
  <c r="E113" i="11"/>
  <c r="C113" i="11" s="1"/>
  <c r="B113" i="11" s="1"/>
  <c r="R112" i="11"/>
  <c r="O112" i="11"/>
  <c r="M112" i="11" s="1"/>
  <c r="L112" i="11" s="1"/>
  <c r="H112" i="11"/>
  <c r="E112" i="11"/>
  <c r="C112" i="11" s="1"/>
  <c r="B112" i="11" s="1"/>
  <c r="R111" i="11"/>
  <c r="O111" i="11"/>
  <c r="M111" i="11" s="1"/>
  <c r="L111" i="11" s="1"/>
  <c r="H111" i="11"/>
  <c r="E111" i="11"/>
  <c r="C111" i="11" s="1"/>
  <c r="B111" i="11" s="1"/>
  <c r="R110" i="11"/>
  <c r="O110" i="11"/>
  <c r="M110" i="11" s="1"/>
  <c r="L110" i="11" s="1"/>
  <c r="H110" i="11"/>
  <c r="E110" i="11"/>
  <c r="C110" i="11" s="1"/>
  <c r="B110" i="11" s="1"/>
  <c r="R109" i="11"/>
  <c r="O109" i="11"/>
  <c r="M109" i="11" s="1"/>
  <c r="L109" i="11" s="1"/>
  <c r="H109" i="11"/>
  <c r="E109" i="11"/>
  <c r="C109" i="11" s="1"/>
  <c r="B109" i="11" s="1"/>
  <c r="R108" i="11"/>
  <c r="O108" i="11"/>
  <c r="M108" i="11" s="1"/>
  <c r="L108" i="11" s="1"/>
  <c r="H108" i="11"/>
  <c r="E108" i="11"/>
  <c r="C108" i="11" s="1"/>
  <c r="B108" i="11" s="1"/>
  <c r="R107" i="11"/>
  <c r="O107" i="11"/>
  <c r="M107" i="11" s="1"/>
  <c r="L107" i="11" s="1"/>
  <c r="H107" i="11"/>
  <c r="E107" i="11"/>
  <c r="C107" i="11" s="1"/>
  <c r="B107" i="11" s="1"/>
  <c r="R106" i="11"/>
  <c r="O106" i="11"/>
  <c r="M106" i="11" s="1"/>
  <c r="L106" i="11" s="1"/>
  <c r="H106" i="11"/>
  <c r="E106" i="11"/>
  <c r="C106" i="11" s="1"/>
  <c r="B106" i="11" s="1"/>
  <c r="R105" i="11"/>
  <c r="O105" i="11"/>
  <c r="M105" i="11" s="1"/>
  <c r="L105" i="11" s="1"/>
  <c r="H105" i="11"/>
  <c r="E105" i="11"/>
  <c r="C105" i="11" s="1"/>
  <c r="B105" i="11" s="1"/>
  <c r="R104" i="11"/>
  <c r="O104" i="11"/>
  <c r="M104" i="11" s="1"/>
  <c r="L104" i="11" s="1"/>
  <c r="H104" i="11"/>
  <c r="E104" i="11"/>
  <c r="C104" i="11" s="1"/>
  <c r="B104" i="11" s="1"/>
  <c r="R103" i="11"/>
  <c r="O103" i="11"/>
  <c r="M103" i="11" s="1"/>
  <c r="L103" i="11" s="1"/>
  <c r="H103" i="11"/>
  <c r="E103" i="11"/>
  <c r="C103" i="11" s="1"/>
  <c r="B103" i="11" s="1"/>
  <c r="R102" i="11"/>
  <c r="O102" i="11"/>
  <c r="M102" i="11" s="1"/>
  <c r="L102" i="11" s="1"/>
  <c r="H102" i="11"/>
  <c r="E102" i="11"/>
  <c r="C102" i="11" s="1"/>
  <c r="B102" i="11" s="1"/>
  <c r="R101" i="11"/>
  <c r="O101" i="11"/>
  <c r="M101" i="11" s="1"/>
  <c r="L101" i="11" s="1"/>
  <c r="H101" i="11"/>
  <c r="E101" i="11"/>
  <c r="C101" i="11" s="1"/>
  <c r="B101" i="11" s="1"/>
  <c r="R100" i="11"/>
  <c r="O100" i="11"/>
  <c r="M100" i="11" s="1"/>
  <c r="L100" i="11" s="1"/>
  <c r="H100" i="11"/>
  <c r="E100" i="11"/>
  <c r="C100" i="11" s="1"/>
  <c r="B100" i="11" s="1"/>
  <c r="R99" i="11"/>
  <c r="O99" i="11"/>
  <c r="M99" i="11" s="1"/>
  <c r="L99" i="11" s="1"/>
  <c r="H99" i="11"/>
  <c r="E99" i="11"/>
  <c r="C99" i="11" s="1"/>
  <c r="B99" i="11" s="1"/>
  <c r="R98" i="11"/>
  <c r="O98" i="11"/>
  <c r="M98" i="11" s="1"/>
  <c r="L98" i="11" s="1"/>
  <c r="H98" i="11"/>
  <c r="E98" i="11"/>
  <c r="C98" i="11" s="1"/>
  <c r="B98" i="11" s="1"/>
  <c r="R97" i="11"/>
  <c r="O97" i="11"/>
  <c r="M97" i="11" s="1"/>
  <c r="L97" i="11" s="1"/>
  <c r="H97" i="11"/>
  <c r="E97" i="11"/>
  <c r="C97" i="11" s="1"/>
  <c r="B97" i="11" s="1"/>
  <c r="R96" i="11"/>
  <c r="O96" i="11"/>
  <c r="M96" i="11" s="1"/>
  <c r="L96" i="11" s="1"/>
  <c r="H96" i="11"/>
  <c r="E96" i="11"/>
  <c r="C96" i="11" s="1"/>
  <c r="B96" i="11" s="1"/>
  <c r="R95" i="11"/>
  <c r="O95" i="11"/>
  <c r="M95" i="11" s="1"/>
  <c r="L95" i="11" s="1"/>
  <c r="H95" i="11"/>
  <c r="E95" i="11"/>
  <c r="C95" i="11" s="1"/>
  <c r="B95" i="11" s="1"/>
  <c r="R94" i="11"/>
  <c r="O94" i="11"/>
  <c r="M94" i="11" s="1"/>
  <c r="L94" i="11" s="1"/>
  <c r="H94" i="11"/>
  <c r="E94" i="11"/>
  <c r="C94" i="11" s="1"/>
  <c r="B94" i="11" s="1"/>
  <c r="R93" i="11"/>
  <c r="O93" i="11"/>
  <c r="M93" i="11" s="1"/>
  <c r="L93" i="11" s="1"/>
  <c r="H93" i="11"/>
  <c r="E93" i="11"/>
  <c r="C93" i="11" s="1"/>
  <c r="B93" i="11" s="1"/>
  <c r="R92" i="11"/>
  <c r="O92" i="11"/>
  <c r="M92" i="11" s="1"/>
  <c r="L92" i="11" s="1"/>
  <c r="H92" i="11"/>
  <c r="E92" i="11"/>
  <c r="C92" i="11" s="1"/>
  <c r="B92" i="11" s="1"/>
  <c r="R91" i="11"/>
  <c r="O91" i="11"/>
  <c r="M91" i="11" s="1"/>
  <c r="L91" i="11" s="1"/>
  <c r="H91" i="11"/>
  <c r="E91" i="11"/>
  <c r="C91" i="11" s="1"/>
  <c r="B91" i="11" s="1"/>
  <c r="R90" i="11"/>
  <c r="O90" i="11"/>
  <c r="M90" i="11" s="1"/>
  <c r="L90" i="11" s="1"/>
  <c r="H90" i="11"/>
  <c r="E90" i="11"/>
  <c r="C90" i="11" s="1"/>
  <c r="B90" i="11" s="1"/>
  <c r="R89" i="11"/>
  <c r="O89" i="11"/>
  <c r="M89" i="11" s="1"/>
  <c r="L89" i="11" s="1"/>
  <c r="H89" i="11"/>
  <c r="E89" i="11"/>
  <c r="C89" i="11" s="1"/>
  <c r="B89" i="11" s="1"/>
  <c r="R88" i="11"/>
  <c r="O88" i="11"/>
  <c r="M88" i="11" s="1"/>
  <c r="L88" i="11" s="1"/>
  <c r="H88" i="11"/>
  <c r="E88" i="11"/>
  <c r="C88" i="11" s="1"/>
  <c r="B88" i="11" s="1"/>
  <c r="R87" i="11"/>
  <c r="O87" i="11"/>
  <c r="M87" i="11" s="1"/>
  <c r="L87" i="11" s="1"/>
  <c r="E87" i="11"/>
  <c r="C87" i="11" s="1"/>
  <c r="B87" i="11" s="1"/>
  <c r="R86" i="11"/>
  <c r="O86" i="11"/>
  <c r="M86" i="11" s="1"/>
  <c r="L86" i="11" s="1"/>
  <c r="E86" i="11"/>
  <c r="C86" i="11" s="1"/>
  <c r="B86" i="11" s="1"/>
  <c r="R85" i="11"/>
  <c r="O85" i="11"/>
  <c r="M85" i="11" s="1"/>
  <c r="L85" i="11" s="1"/>
  <c r="E85" i="11"/>
  <c r="C85" i="11" s="1"/>
  <c r="B85" i="11" s="1"/>
  <c r="R84" i="11"/>
  <c r="O84" i="11"/>
  <c r="M84" i="11" s="1"/>
  <c r="L84" i="11" s="1"/>
  <c r="E84" i="11"/>
  <c r="C84" i="11" s="1"/>
  <c r="B84" i="11" s="1"/>
  <c r="R83" i="11"/>
  <c r="O83" i="11"/>
  <c r="M83" i="11" s="1"/>
  <c r="L83" i="11" s="1"/>
  <c r="E83" i="11"/>
  <c r="C83" i="11" s="1"/>
  <c r="B83" i="11" s="1"/>
  <c r="R82" i="11"/>
  <c r="O82" i="11"/>
  <c r="M82" i="11" s="1"/>
  <c r="L82" i="11" s="1"/>
  <c r="E82" i="11"/>
  <c r="C82" i="11" s="1"/>
  <c r="B82" i="11" s="1"/>
  <c r="R81" i="11"/>
  <c r="O81" i="11"/>
  <c r="M81" i="11" s="1"/>
  <c r="L81" i="11" s="1"/>
  <c r="E81" i="11"/>
  <c r="C81" i="11" s="1"/>
  <c r="B81" i="11" s="1"/>
  <c r="R80" i="11"/>
  <c r="O80" i="11"/>
  <c r="M80" i="11" s="1"/>
  <c r="L80" i="11" s="1"/>
  <c r="E80" i="11"/>
  <c r="C80" i="11" s="1"/>
  <c r="B80" i="11" s="1"/>
  <c r="R79" i="11"/>
  <c r="O79" i="11"/>
  <c r="M79" i="11" s="1"/>
  <c r="L79" i="11" s="1"/>
  <c r="E79" i="11"/>
  <c r="C79" i="11" s="1"/>
  <c r="B79" i="11" s="1"/>
  <c r="R78" i="11"/>
  <c r="O78" i="11"/>
  <c r="M78" i="11" s="1"/>
  <c r="L78" i="11" s="1"/>
  <c r="E78" i="11"/>
  <c r="C78" i="11" s="1"/>
  <c r="B78" i="11" s="1"/>
  <c r="R77" i="11"/>
  <c r="O77" i="11"/>
  <c r="M77" i="11" s="1"/>
  <c r="L77" i="11" s="1"/>
  <c r="E77" i="11"/>
  <c r="C77" i="11" s="1"/>
  <c r="B77" i="11" s="1"/>
  <c r="R76" i="11"/>
  <c r="O76" i="11"/>
  <c r="M76" i="11" s="1"/>
  <c r="L76" i="11" s="1"/>
  <c r="E76" i="11"/>
  <c r="C76" i="11" s="1"/>
  <c r="B76" i="11" s="1"/>
  <c r="R75" i="11"/>
  <c r="O75" i="11"/>
  <c r="M75" i="11" s="1"/>
  <c r="L75" i="11" s="1"/>
  <c r="E75" i="11"/>
  <c r="C75" i="11" s="1"/>
  <c r="B75" i="11" s="1"/>
  <c r="R74" i="11"/>
  <c r="O74" i="11"/>
  <c r="M74" i="11" s="1"/>
  <c r="L74" i="11" s="1"/>
  <c r="E74" i="11"/>
  <c r="C74" i="11" s="1"/>
  <c r="B74" i="11" s="1"/>
  <c r="R73" i="11"/>
  <c r="O73" i="11"/>
  <c r="M73" i="11" s="1"/>
  <c r="L73" i="11" s="1"/>
  <c r="H73" i="11"/>
  <c r="E73" i="11"/>
  <c r="C73" i="11" s="1"/>
  <c r="B73" i="11" s="1"/>
  <c r="R72" i="11"/>
  <c r="O72" i="11"/>
  <c r="M72" i="11" s="1"/>
  <c r="L72" i="11" s="1"/>
  <c r="H72" i="11"/>
  <c r="E72" i="11"/>
  <c r="C72" i="11" s="1"/>
  <c r="B72" i="11" s="1"/>
  <c r="R71" i="11"/>
  <c r="O71" i="11"/>
  <c r="M71" i="11" s="1"/>
  <c r="L71" i="11" s="1"/>
  <c r="H71" i="11"/>
  <c r="E71" i="11"/>
  <c r="C71" i="11" s="1"/>
  <c r="B71" i="11" s="1"/>
  <c r="R70" i="11"/>
  <c r="O70" i="11"/>
  <c r="M70" i="11" s="1"/>
  <c r="L70" i="11" s="1"/>
  <c r="H70" i="11"/>
  <c r="E70" i="11"/>
  <c r="C70" i="11" s="1"/>
  <c r="B70" i="11" s="1"/>
  <c r="R69" i="11"/>
  <c r="O69" i="11"/>
  <c r="M69" i="11" s="1"/>
  <c r="L69" i="11" s="1"/>
  <c r="H69" i="11"/>
  <c r="E69" i="11"/>
  <c r="C69" i="11" s="1"/>
  <c r="B69" i="11" s="1"/>
  <c r="M68" i="11"/>
  <c r="L68" i="11" s="1"/>
  <c r="H68" i="11"/>
  <c r="E68" i="11"/>
  <c r="C68" i="11" s="1"/>
  <c r="B68" i="11" s="1"/>
  <c r="M67" i="11"/>
  <c r="L67" i="11" s="1"/>
  <c r="H67" i="11"/>
  <c r="E67" i="11"/>
  <c r="C67" i="11" s="1"/>
  <c r="B67" i="11" s="1"/>
  <c r="M66" i="11"/>
  <c r="L66" i="11" s="1"/>
  <c r="H66" i="11"/>
  <c r="E66" i="11"/>
  <c r="C66" i="11" s="1"/>
  <c r="B66" i="11" s="1"/>
  <c r="H65" i="11"/>
  <c r="E65" i="11"/>
  <c r="C65" i="11" s="1"/>
  <c r="B65" i="11" s="1"/>
  <c r="H64" i="11"/>
  <c r="E64" i="11"/>
  <c r="C64" i="11" s="1"/>
  <c r="B64" i="11" s="1"/>
  <c r="H63" i="11"/>
  <c r="E63" i="11"/>
  <c r="C63" i="11" s="1"/>
  <c r="B63" i="11" s="1"/>
  <c r="H62" i="11"/>
  <c r="E62" i="11"/>
  <c r="C62" i="11" s="1"/>
  <c r="B62" i="11" s="1"/>
  <c r="M61" i="11"/>
  <c r="L61" i="11" s="1"/>
  <c r="H61" i="11"/>
  <c r="E61" i="11"/>
  <c r="C61" i="11" s="1"/>
  <c r="B61" i="11" s="1"/>
  <c r="H60" i="11"/>
  <c r="E60" i="11"/>
  <c r="C60" i="11" s="1"/>
  <c r="B60" i="11" s="1"/>
  <c r="R59" i="11"/>
  <c r="H59" i="11"/>
  <c r="E59" i="11"/>
  <c r="C59" i="11" s="1"/>
  <c r="B59" i="11" s="1"/>
  <c r="R58" i="11"/>
  <c r="H58" i="11"/>
  <c r="E58" i="11"/>
  <c r="C58" i="11" s="1"/>
  <c r="B58" i="11" s="1"/>
  <c r="R57" i="11"/>
  <c r="M57" i="11"/>
  <c r="L57" i="11" s="1"/>
  <c r="H57" i="11"/>
  <c r="E57" i="11"/>
  <c r="C57" i="11" s="1"/>
  <c r="B57" i="11" s="1"/>
  <c r="R56" i="11"/>
  <c r="M56" i="11"/>
  <c r="L56" i="11" s="1"/>
  <c r="H56" i="11"/>
  <c r="E56" i="11"/>
  <c r="C56" i="11" s="1"/>
  <c r="B56" i="11" s="1"/>
  <c r="R55" i="11"/>
  <c r="M55" i="11"/>
  <c r="L55" i="11" s="1"/>
  <c r="H55" i="11"/>
  <c r="E55" i="11"/>
  <c r="C55" i="11" s="1"/>
  <c r="B55" i="11" s="1"/>
  <c r="R54" i="11"/>
  <c r="M54" i="11"/>
  <c r="L54" i="11" s="1"/>
  <c r="H54" i="11"/>
  <c r="E54" i="11"/>
  <c r="C54" i="11" s="1"/>
  <c r="B54" i="11" s="1"/>
  <c r="R53" i="11"/>
  <c r="M53" i="11"/>
  <c r="L53" i="11" s="1"/>
  <c r="H53" i="11"/>
  <c r="E53" i="11"/>
  <c r="C53" i="11" s="1"/>
  <c r="B53" i="11" s="1"/>
  <c r="R52" i="11"/>
  <c r="M52" i="11"/>
  <c r="L52" i="11" s="1"/>
  <c r="H52" i="11"/>
  <c r="E52" i="11"/>
  <c r="C52" i="11" s="1"/>
  <c r="B52" i="11" s="1"/>
  <c r="R51" i="11"/>
  <c r="E51" i="11"/>
  <c r="C51" i="11" s="1"/>
  <c r="B51" i="11" s="1"/>
  <c r="M50" i="11"/>
  <c r="L50" i="11" s="1"/>
  <c r="H50" i="11"/>
  <c r="E50" i="11"/>
  <c r="C50" i="11" s="1"/>
  <c r="B50" i="11" s="1"/>
  <c r="R49" i="11"/>
  <c r="M49" i="11"/>
  <c r="L49" i="11" s="1"/>
  <c r="H49" i="11"/>
  <c r="E49" i="11"/>
  <c r="C49" i="11" s="1"/>
  <c r="B49" i="11" s="1"/>
  <c r="R48" i="11"/>
  <c r="H48" i="11"/>
  <c r="E48" i="11"/>
  <c r="C48" i="11" s="1"/>
  <c r="B48" i="11" s="1"/>
  <c r="R47" i="11"/>
  <c r="H47" i="11"/>
  <c r="E47" i="11"/>
  <c r="C47" i="11" s="1"/>
  <c r="B47" i="11" s="1"/>
  <c r="R46" i="11"/>
  <c r="H46" i="11"/>
  <c r="E46" i="11"/>
  <c r="C46" i="11" s="1"/>
  <c r="B46" i="11" s="1"/>
  <c r="R45" i="11"/>
  <c r="M45" i="11"/>
  <c r="L45" i="11" s="1"/>
  <c r="H45" i="11"/>
  <c r="E45" i="11"/>
  <c r="C45" i="11" s="1"/>
  <c r="B45" i="11" s="1"/>
  <c r="R44" i="11"/>
  <c r="M44" i="11"/>
  <c r="L44" i="11" s="1"/>
  <c r="H44" i="11"/>
  <c r="E44" i="11"/>
  <c r="C44" i="11" s="1"/>
  <c r="B44" i="11" s="1"/>
  <c r="R43" i="11"/>
  <c r="M43" i="11"/>
  <c r="L43" i="11" s="1"/>
  <c r="H43" i="11"/>
  <c r="E43" i="11"/>
  <c r="C43" i="11" s="1"/>
  <c r="B43" i="11" s="1"/>
  <c r="R42" i="11"/>
  <c r="M42" i="11"/>
  <c r="L42" i="11" s="1"/>
  <c r="H42" i="11"/>
  <c r="E42" i="11"/>
  <c r="C42" i="11" s="1"/>
  <c r="B42" i="11" s="1"/>
  <c r="R41" i="11"/>
  <c r="H41" i="11"/>
  <c r="E41" i="11"/>
  <c r="C41" i="11" s="1"/>
  <c r="B41" i="11" s="1"/>
  <c r="R40" i="11"/>
  <c r="H40" i="11"/>
  <c r="E40" i="11"/>
  <c r="C40" i="11" s="1"/>
  <c r="B40" i="11" s="1"/>
  <c r="R39" i="11"/>
  <c r="H39" i="11"/>
  <c r="E39" i="11"/>
  <c r="C39" i="11" s="1"/>
  <c r="B39" i="11" s="1"/>
  <c r="R38" i="11"/>
  <c r="H38" i="11"/>
  <c r="E38" i="11"/>
  <c r="C38" i="11" s="1"/>
  <c r="B38" i="11" s="1"/>
  <c r="R37" i="11"/>
  <c r="M37" i="11"/>
  <c r="L37" i="11" s="1"/>
  <c r="H37" i="11"/>
  <c r="E37" i="11"/>
  <c r="C37" i="11" s="1"/>
  <c r="B37" i="11" s="1"/>
  <c r="R36" i="11"/>
  <c r="H36" i="11"/>
  <c r="E36" i="11"/>
  <c r="C36" i="11" s="1"/>
  <c r="B36" i="11" s="1"/>
  <c r="R35" i="11"/>
  <c r="H35" i="11"/>
  <c r="E35" i="11"/>
  <c r="C35" i="11" s="1"/>
  <c r="B35" i="11" s="1"/>
  <c r="R34" i="11"/>
  <c r="H34" i="11"/>
  <c r="E34" i="11"/>
  <c r="C34" i="11" s="1"/>
  <c r="B34" i="11" s="1"/>
  <c r="R33" i="11"/>
  <c r="M33" i="11"/>
  <c r="L33" i="11" s="1"/>
  <c r="H33" i="11"/>
  <c r="E33" i="11"/>
  <c r="C33" i="11" s="1"/>
  <c r="B33" i="11" s="1"/>
  <c r="R32" i="11"/>
  <c r="M32" i="11"/>
  <c r="L32" i="11" s="1"/>
  <c r="H32" i="11"/>
  <c r="E32" i="11"/>
  <c r="C32" i="11" s="1"/>
  <c r="B32" i="11" s="1"/>
  <c r="R31" i="11"/>
  <c r="M31" i="11"/>
  <c r="L31" i="11" s="1"/>
  <c r="H31" i="11"/>
  <c r="E31" i="11"/>
  <c r="C31" i="11" s="1"/>
  <c r="B31" i="11" s="1"/>
  <c r="R30" i="11"/>
  <c r="M30" i="11"/>
  <c r="L30" i="11" s="1"/>
  <c r="H30" i="11"/>
  <c r="E30" i="11"/>
  <c r="C30" i="11" s="1"/>
  <c r="B30" i="11" s="1"/>
  <c r="R29" i="11"/>
  <c r="H29" i="11"/>
  <c r="E29" i="11"/>
  <c r="C29" i="11" s="1"/>
  <c r="B29" i="11" s="1"/>
  <c r="R28" i="11"/>
  <c r="H28" i="11"/>
  <c r="E28" i="11"/>
  <c r="C28" i="11" s="1"/>
  <c r="B28" i="11" s="1"/>
  <c r="R27" i="11"/>
  <c r="H27" i="11"/>
  <c r="E27" i="11"/>
  <c r="C27" i="11" s="1"/>
  <c r="B27" i="11" s="1"/>
  <c r="R26" i="11"/>
  <c r="H26" i="11"/>
  <c r="E26" i="11"/>
  <c r="C26" i="11" s="1"/>
  <c r="B26" i="11" s="1"/>
  <c r="M25" i="11"/>
  <c r="L25" i="11" s="1"/>
  <c r="H25" i="11"/>
  <c r="E25" i="11"/>
  <c r="C25" i="11" s="1"/>
  <c r="R24" i="11"/>
  <c r="H24" i="11"/>
  <c r="E24" i="11"/>
  <c r="C24" i="11" s="1"/>
  <c r="R23" i="11"/>
  <c r="H23" i="11"/>
  <c r="E23" i="11"/>
  <c r="C23" i="11" s="1"/>
  <c r="R22" i="11"/>
  <c r="H22" i="11"/>
  <c r="E22" i="11"/>
  <c r="C22" i="11" s="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V5" i="11"/>
  <c r="R5" i="11"/>
  <c r="R4" i="11"/>
  <c r="R667" i="10"/>
  <c r="R666" i="10"/>
  <c r="R665" i="10"/>
  <c r="R664" i="10"/>
  <c r="R661" i="10"/>
  <c r="R658" i="10"/>
  <c r="R657" i="10"/>
  <c r="R655" i="10"/>
  <c r="R653" i="10"/>
  <c r="R652" i="10"/>
  <c r="R651" i="10"/>
  <c r="R648" i="10"/>
  <c r="R647" i="10"/>
  <c r="R644" i="10"/>
  <c r="R643" i="10"/>
  <c r="R641" i="10"/>
  <c r="R640" i="10"/>
  <c r="R639" i="10"/>
  <c r="R638" i="10"/>
  <c r="R637" i="10"/>
  <c r="R635" i="10"/>
  <c r="R634" i="10"/>
  <c r="R633" i="10"/>
  <c r="R632" i="10"/>
  <c r="R631" i="10"/>
  <c r="R630" i="10"/>
  <c r="R629" i="10"/>
  <c r="R627" i="10"/>
  <c r="R626" i="10"/>
  <c r="R625" i="10"/>
  <c r="R624" i="10"/>
  <c r="R623" i="10"/>
  <c r="R622" i="10"/>
  <c r="R621" i="10"/>
  <c r="R620" i="10"/>
  <c r="R619" i="10"/>
  <c r="R617" i="10"/>
  <c r="R616" i="10"/>
  <c r="R615" i="10"/>
  <c r="R612" i="10"/>
  <c r="R610" i="10"/>
  <c r="R608" i="10"/>
  <c r="R607" i="10"/>
  <c r="R606" i="10"/>
  <c r="R601" i="10"/>
  <c r="R600" i="10"/>
  <c r="R598" i="10"/>
  <c r="R597" i="10"/>
  <c r="R596" i="10"/>
  <c r="R594" i="10"/>
  <c r="R593" i="10"/>
  <c r="R592" i="10"/>
  <c r="R591" i="10"/>
  <c r="R590" i="10"/>
  <c r="R589" i="10"/>
  <c r="R588" i="10"/>
  <c r="R586" i="10"/>
  <c r="R585" i="10"/>
  <c r="R583" i="10"/>
  <c r="R580" i="10"/>
  <c r="R578" i="10"/>
  <c r="R577" i="10"/>
  <c r="R576" i="10"/>
  <c r="R575" i="10"/>
  <c r="R574" i="10"/>
  <c r="R573" i="10"/>
  <c r="R572" i="10"/>
  <c r="R571" i="10"/>
  <c r="R570" i="10"/>
  <c r="R568" i="10"/>
  <c r="R567" i="10"/>
  <c r="R566" i="10"/>
  <c r="R565" i="10"/>
  <c r="R564" i="10"/>
  <c r="R563" i="10"/>
  <c r="R562" i="10"/>
  <c r="R560" i="10"/>
  <c r="R559" i="10"/>
  <c r="R558" i="10"/>
  <c r="R557" i="10"/>
  <c r="R554" i="10"/>
  <c r="R553" i="10"/>
  <c r="R552" i="10"/>
  <c r="R551" i="10"/>
  <c r="R550" i="10"/>
  <c r="R547" i="10"/>
  <c r="R546" i="10"/>
  <c r="R544" i="10"/>
  <c r="R543" i="10"/>
  <c r="R542" i="10"/>
  <c r="R539" i="10"/>
  <c r="R537" i="10"/>
  <c r="R536" i="10"/>
  <c r="R535" i="10"/>
  <c r="R534" i="10"/>
  <c r="R533" i="10"/>
  <c r="R532" i="10"/>
  <c r="R531" i="10"/>
  <c r="R528" i="10"/>
  <c r="R527" i="10"/>
  <c r="R523" i="10"/>
  <c r="R522" i="10"/>
  <c r="R520" i="10"/>
  <c r="R519" i="10"/>
  <c r="R518" i="10"/>
  <c r="R517" i="10"/>
  <c r="R516" i="10"/>
  <c r="R515" i="10"/>
  <c r="R514" i="10"/>
  <c r="R512" i="10"/>
  <c r="R511" i="10"/>
  <c r="R508" i="10"/>
  <c r="R505" i="10"/>
  <c r="R502" i="10"/>
  <c r="R501" i="10"/>
  <c r="R499" i="10"/>
  <c r="R498" i="10"/>
  <c r="R495" i="10"/>
  <c r="R494" i="10"/>
  <c r="R493" i="10"/>
  <c r="R492" i="10"/>
  <c r="R491" i="10"/>
  <c r="R490" i="10"/>
  <c r="R489" i="10"/>
  <c r="R487" i="10"/>
  <c r="R486" i="10"/>
  <c r="R485" i="10"/>
  <c r="R484" i="10"/>
  <c r="R483" i="10"/>
  <c r="R482" i="10"/>
  <c r="R481" i="10"/>
  <c r="R479" i="10"/>
  <c r="R478" i="10"/>
  <c r="R477" i="10"/>
  <c r="R475" i="10"/>
  <c r="R474" i="10"/>
  <c r="R473" i="10"/>
  <c r="R472" i="10"/>
  <c r="R471" i="10"/>
  <c r="R470" i="10"/>
  <c r="R468" i="10"/>
  <c r="R467" i="10"/>
  <c r="R466" i="10"/>
  <c r="R465" i="10"/>
  <c r="R464" i="10"/>
  <c r="R463" i="10"/>
  <c r="R462" i="10"/>
  <c r="R461" i="10"/>
  <c r="R460" i="10"/>
  <c r="R459" i="10"/>
  <c r="R458" i="10"/>
  <c r="R456" i="10"/>
  <c r="R455" i="10"/>
  <c r="R454" i="10"/>
  <c r="R452" i="10"/>
  <c r="R450" i="10"/>
  <c r="R449" i="10"/>
  <c r="R446" i="10"/>
  <c r="R445" i="10"/>
  <c r="R443" i="10"/>
  <c r="R441" i="10"/>
  <c r="R440" i="10"/>
  <c r="R438" i="10"/>
  <c r="R436" i="10"/>
  <c r="R433" i="10"/>
  <c r="R432" i="10"/>
  <c r="R431" i="10"/>
  <c r="R430" i="10"/>
  <c r="R428" i="10"/>
  <c r="R427" i="10"/>
  <c r="R426" i="10"/>
  <c r="R425" i="10"/>
  <c r="R423" i="10"/>
  <c r="R422" i="10"/>
  <c r="R420" i="10"/>
  <c r="R419" i="10"/>
  <c r="R418" i="10"/>
  <c r="R417" i="10"/>
  <c r="R416" i="10"/>
  <c r="R415" i="10"/>
  <c r="R414" i="10"/>
  <c r="R412" i="10"/>
  <c r="R410" i="10"/>
  <c r="R408" i="10"/>
  <c r="R406" i="10"/>
  <c r="R405" i="10"/>
  <c r="R404" i="10"/>
  <c r="R403" i="10"/>
  <c r="R402" i="10"/>
  <c r="R401" i="10"/>
  <c r="R400" i="10"/>
  <c r="R399" i="10"/>
  <c r="R398" i="10"/>
  <c r="R397" i="10"/>
  <c r="R394" i="10"/>
  <c r="R391" i="10"/>
  <c r="R390" i="10"/>
  <c r="R386" i="10"/>
  <c r="R384" i="10"/>
  <c r="R383" i="10"/>
  <c r="R381" i="10"/>
  <c r="R380" i="10"/>
  <c r="R379" i="10"/>
  <c r="R378" i="10"/>
  <c r="R377" i="10"/>
  <c r="R376" i="10"/>
  <c r="R375" i="10"/>
  <c r="R373" i="10"/>
  <c r="R372" i="10"/>
  <c r="R369" i="10"/>
  <c r="R368" i="10"/>
  <c r="R367" i="10"/>
  <c r="R366" i="10"/>
  <c r="R364" i="10"/>
  <c r="R363" i="10"/>
  <c r="R362" i="10"/>
  <c r="R360" i="10"/>
  <c r="R358" i="10"/>
  <c r="R357" i="10"/>
  <c r="R356" i="10"/>
  <c r="R354" i="10"/>
  <c r="R353" i="10"/>
  <c r="R352" i="10"/>
  <c r="R351" i="10"/>
  <c r="R350" i="10"/>
  <c r="R348" i="10"/>
  <c r="R347" i="10"/>
  <c r="R346" i="10"/>
  <c r="R345" i="10"/>
  <c r="R344" i="10"/>
  <c r="R343" i="10"/>
  <c r="R342" i="10"/>
  <c r="R340" i="10"/>
  <c r="R339" i="10"/>
  <c r="R337" i="10"/>
  <c r="R336" i="10"/>
  <c r="R335" i="10"/>
  <c r="R334" i="10"/>
  <c r="R333" i="10"/>
  <c r="R332" i="10"/>
  <c r="R331" i="10"/>
  <c r="R330" i="10"/>
  <c r="R328" i="10"/>
  <c r="R327" i="10"/>
  <c r="R326" i="10"/>
  <c r="R325" i="10"/>
  <c r="R324" i="10"/>
  <c r="R323" i="10"/>
  <c r="R318" i="10"/>
  <c r="R317" i="10"/>
  <c r="R316" i="10"/>
  <c r="R313" i="10"/>
  <c r="R312" i="10"/>
  <c r="R310" i="10"/>
  <c r="R307" i="10"/>
  <c r="R306" i="10"/>
  <c r="R304" i="10"/>
  <c r="R303" i="10"/>
  <c r="R301" i="10"/>
  <c r="R300" i="10"/>
  <c r="R299" i="10"/>
  <c r="R298" i="10"/>
  <c r="R296" i="10"/>
  <c r="R294" i="10"/>
  <c r="R290" i="10"/>
  <c r="R288" i="10"/>
  <c r="R287" i="10"/>
  <c r="R286" i="10"/>
  <c r="R285" i="10"/>
  <c r="R283" i="10"/>
  <c r="R282" i="10"/>
  <c r="R281" i="10"/>
  <c r="R280" i="10"/>
  <c r="R279" i="10"/>
  <c r="R276" i="10"/>
  <c r="R271" i="10"/>
  <c r="R269" i="10"/>
  <c r="R267" i="10"/>
  <c r="R266" i="10"/>
  <c r="R265" i="10"/>
  <c r="R263" i="10"/>
  <c r="R261" i="10"/>
  <c r="R259" i="10"/>
  <c r="R258" i="10"/>
  <c r="R257" i="10"/>
  <c r="R256" i="10"/>
  <c r="R255" i="10"/>
  <c r="R254" i="10"/>
  <c r="R253" i="10"/>
  <c r="R252" i="10"/>
  <c r="R251" i="10"/>
  <c r="R250" i="10"/>
  <c r="R248" i="10"/>
  <c r="R247" i="10"/>
  <c r="R246" i="10"/>
  <c r="R245" i="10"/>
  <c r="R244" i="10"/>
  <c r="R243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7" i="10"/>
  <c r="R206" i="10"/>
  <c r="R205" i="10"/>
  <c r="R204" i="10"/>
  <c r="R203" i="10"/>
  <c r="R202" i="10"/>
  <c r="R201" i="10"/>
  <c r="R200" i="10"/>
  <c r="R199" i="10"/>
  <c r="R198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1" i="10"/>
  <c r="R130" i="10"/>
  <c r="R129" i="10"/>
  <c r="R128" i="10"/>
  <c r="R127" i="10"/>
  <c r="R126" i="10"/>
  <c r="R125" i="10"/>
  <c r="R123" i="10"/>
  <c r="R122" i="10"/>
  <c r="R121" i="10"/>
  <c r="R120" i="10"/>
  <c r="R119" i="10"/>
  <c r="R118" i="10"/>
  <c r="R117" i="10"/>
  <c r="R116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69" i="10"/>
  <c r="R68" i="10"/>
  <c r="R67" i="10"/>
  <c r="R66" i="10"/>
  <c r="R65" i="10"/>
  <c r="R64" i="10"/>
  <c r="R63" i="10"/>
  <c r="R61" i="10"/>
  <c r="R60" i="10"/>
  <c r="R59" i="10"/>
  <c r="R58" i="10"/>
  <c r="R57" i="10"/>
  <c r="R56" i="10"/>
  <c r="R55" i="10"/>
  <c r="R54" i="10"/>
  <c r="R53" i="10"/>
  <c r="R52" i="10"/>
  <c r="R50" i="10"/>
  <c r="R49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7" i="10"/>
  <c r="R26" i="10"/>
  <c r="R25" i="10"/>
  <c r="R24" i="10"/>
  <c r="R23" i="10"/>
  <c r="C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V5" i="10"/>
  <c r="R5" i="10"/>
  <c r="R4" i="10"/>
  <c r="R667" i="9"/>
  <c r="R666" i="9"/>
  <c r="R665" i="9"/>
  <c r="R664" i="9"/>
  <c r="R663" i="9"/>
  <c r="R662" i="9"/>
  <c r="R661" i="9"/>
  <c r="R660" i="9"/>
  <c r="R659" i="9"/>
  <c r="R658" i="9"/>
  <c r="R657" i="9"/>
  <c r="R655" i="9"/>
  <c r="R654" i="9"/>
  <c r="R652" i="9"/>
  <c r="R651" i="9"/>
  <c r="R650" i="9"/>
  <c r="R649" i="9"/>
  <c r="R648" i="9"/>
  <c r="R647" i="9"/>
  <c r="R646" i="9"/>
  <c r="R645" i="9"/>
  <c r="R643" i="9"/>
  <c r="R641" i="9"/>
  <c r="R640" i="9"/>
  <c r="R639" i="9"/>
  <c r="R638" i="9"/>
  <c r="R637" i="9"/>
  <c r="R636" i="9"/>
  <c r="R635" i="9"/>
  <c r="R634" i="9"/>
  <c r="R633" i="9"/>
  <c r="R632" i="9"/>
  <c r="R631" i="9"/>
  <c r="R626" i="9"/>
  <c r="R623" i="9"/>
  <c r="R622" i="9"/>
  <c r="R621" i="9"/>
  <c r="R620" i="9"/>
  <c r="R619" i="9"/>
  <c r="R618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7" i="9"/>
  <c r="R596" i="9"/>
  <c r="R594" i="9"/>
  <c r="R593" i="9"/>
  <c r="R592" i="9"/>
  <c r="R591" i="9"/>
  <c r="R590" i="9"/>
  <c r="R589" i="9"/>
  <c r="R588" i="9"/>
  <c r="R587" i="9"/>
  <c r="R585" i="9"/>
  <c r="R584" i="9"/>
  <c r="R583" i="9"/>
  <c r="R582" i="9"/>
  <c r="R581" i="9"/>
  <c r="R579" i="9"/>
  <c r="R575" i="9"/>
  <c r="R573" i="9"/>
  <c r="R572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3" i="9"/>
  <c r="R522" i="9"/>
  <c r="R521" i="9"/>
  <c r="R520" i="9"/>
  <c r="R519" i="9"/>
  <c r="R518" i="9"/>
  <c r="R517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57" i="9"/>
  <c r="R444" i="9"/>
  <c r="R443" i="9"/>
  <c r="R442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7" i="9"/>
  <c r="R428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M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V5" i="9"/>
  <c r="R5" i="9"/>
  <c r="R4" i="9"/>
  <c r="Q458" i="8"/>
  <c r="Q459" i="8" s="1"/>
  <c r="Q445" i="8"/>
  <c r="Q446" i="8" s="1"/>
  <c r="Q441" i="8"/>
  <c r="Q427" i="8"/>
  <c r="Q428" i="8" s="1"/>
  <c r="R428" i="8" s="1"/>
  <c r="Q415" i="8"/>
  <c r="R415" i="8" s="1"/>
  <c r="Q413" i="8"/>
  <c r="R413" i="8" s="1"/>
  <c r="Q380" i="8"/>
  <c r="R380" i="8" s="1"/>
  <c r="Q345" i="8"/>
  <c r="Q310" i="8"/>
  <c r="Q275" i="8"/>
  <c r="Q240" i="8"/>
  <c r="R240" i="8" s="1"/>
  <c r="Q205" i="8"/>
  <c r="R205" i="8" s="1"/>
  <c r="Q170" i="8"/>
  <c r="R170" i="8" s="1"/>
  <c r="Q135" i="8"/>
  <c r="Q100" i="8"/>
  <c r="Q94" i="8"/>
  <c r="R94" i="8" s="1"/>
  <c r="Q65" i="8"/>
  <c r="R65" i="8" s="1"/>
  <c r="Q61" i="8"/>
  <c r="R61" i="8" s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2" i="8"/>
  <c r="R63" i="8"/>
  <c r="R64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4" i="8"/>
  <c r="R416" i="8"/>
  <c r="R417" i="8"/>
  <c r="R418" i="8"/>
  <c r="R419" i="8"/>
  <c r="R420" i="8"/>
  <c r="R421" i="8"/>
  <c r="R422" i="8"/>
  <c r="R423" i="8"/>
  <c r="R424" i="8"/>
  <c r="R425" i="8"/>
  <c r="R426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57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O25" i="8"/>
  <c r="M25" i="8" s="1"/>
  <c r="L25" i="8" s="1"/>
  <c r="O26" i="8"/>
  <c r="M26" i="8" s="1"/>
  <c r="L26" i="8" s="1"/>
  <c r="O27" i="8"/>
  <c r="M27" i="8" s="1"/>
  <c r="L27" i="8" s="1"/>
  <c r="O28" i="8"/>
  <c r="M28" i="8" s="1"/>
  <c r="L28" i="8" s="1"/>
  <c r="O29" i="8"/>
  <c r="M29" i="8" s="1"/>
  <c r="L29" i="8" s="1"/>
  <c r="O30" i="8"/>
  <c r="M30" i="8" s="1"/>
  <c r="L30" i="8" s="1"/>
  <c r="O31" i="8"/>
  <c r="M31" i="8" s="1"/>
  <c r="L31" i="8" s="1"/>
  <c r="O32" i="8"/>
  <c r="M32" i="8" s="1"/>
  <c r="L32" i="8" s="1"/>
  <c r="O33" i="8"/>
  <c r="M33" i="8" s="1"/>
  <c r="L33" i="8" s="1"/>
  <c r="O34" i="8"/>
  <c r="M34" i="8" s="1"/>
  <c r="L34" i="8" s="1"/>
  <c r="O35" i="8"/>
  <c r="M35" i="8" s="1"/>
  <c r="L35" i="8" s="1"/>
  <c r="O36" i="8"/>
  <c r="M36" i="8" s="1"/>
  <c r="L36" i="8" s="1"/>
  <c r="O37" i="8"/>
  <c r="M37" i="8" s="1"/>
  <c r="L37" i="8" s="1"/>
  <c r="O38" i="8"/>
  <c r="M38" i="8" s="1"/>
  <c r="L38" i="8" s="1"/>
  <c r="O39" i="8"/>
  <c r="M39" i="8" s="1"/>
  <c r="L39" i="8" s="1"/>
  <c r="O40" i="8"/>
  <c r="M40" i="8" s="1"/>
  <c r="L40" i="8" s="1"/>
  <c r="O41" i="8"/>
  <c r="M41" i="8" s="1"/>
  <c r="L41" i="8" s="1"/>
  <c r="O42" i="8"/>
  <c r="M42" i="8" s="1"/>
  <c r="L42" i="8" s="1"/>
  <c r="O43" i="8"/>
  <c r="M43" i="8" s="1"/>
  <c r="L43" i="8" s="1"/>
  <c r="O44" i="8"/>
  <c r="M44" i="8" s="1"/>
  <c r="L44" i="8" s="1"/>
  <c r="O45" i="8"/>
  <c r="M45" i="8" s="1"/>
  <c r="L45" i="8" s="1"/>
  <c r="O46" i="8"/>
  <c r="M46" i="8" s="1"/>
  <c r="L46" i="8" s="1"/>
  <c r="O47" i="8"/>
  <c r="M47" i="8" s="1"/>
  <c r="L47" i="8" s="1"/>
  <c r="O48" i="8"/>
  <c r="M48" i="8" s="1"/>
  <c r="L48" i="8" s="1"/>
  <c r="O49" i="8"/>
  <c r="M49" i="8" s="1"/>
  <c r="L49" i="8" s="1"/>
  <c r="O50" i="8"/>
  <c r="M50" i="8" s="1"/>
  <c r="L50" i="8" s="1"/>
  <c r="O51" i="8"/>
  <c r="M51" i="8" s="1"/>
  <c r="L51" i="8" s="1"/>
  <c r="O52" i="8"/>
  <c r="M52" i="8" s="1"/>
  <c r="L52" i="8" s="1"/>
  <c r="O53" i="8"/>
  <c r="M53" i="8" s="1"/>
  <c r="L53" i="8" s="1"/>
  <c r="O54" i="8"/>
  <c r="M54" i="8" s="1"/>
  <c r="L54" i="8" s="1"/>
  <c r="O55" i="8"/>
  <c r="M55" i="8" s="1"/>
  <c r="L55" i="8" s="1"/>
  <c r="O56" i="8"/>
  <c r="M56" i="8" s="1"/>
  <c r="L56" i="8" s="1"/>
  <c r="O57" i="8"/>
  <c r="M57" i="8" s="1"/>
  <c r="L57" i="8" s="1"/>
  <c r="O58" i="8"/>
  <c r="M58" i="8" s="1"/>
  <c r="L58" i="8" s="1"/>
  <c r="O59" i="8"/>
  <c r="M59" i="8" s="1"/>
  <c r="L59" i="8" s="1"/>
  <c r="O60" i="8"/>
  <c r="M60" i="8" s="1"/>
  <c r="L60" i="8" s="1"/>
  <c r="O61" i="8"/>
  <c r="M61" i="8" s="1"/>
  <c r="L61" i="8" s="1"/>
  <c r="O62" i="8"/>
  <c r="M62" i="8" s="1"/>
  <c r="L62" i="8" s="1"/>
  <c r="O63" i="8"/>
  <c r="M63" i="8" s="1"/>
  <c r="L63" i="8" s="1"/>
  <c r="O64" i="8"/>
  <c r="M64" i="8" s="1"/>
  <c r="L64" i="8" s="1"/>
  <c r="O65" i="8"/>
  <c r="M65" i="8" s="1"/>
  <c r="L65" i="8" s="1"/>
  <c r="O66" i="8"/>
  <c r="M66" i="8" s="1"/>
  <c r="L66" i="8" s="1"/>
  <c r="O67" i="8"/>
  <c r="M67" i="8" s="1"/>
  <c r="L67" i="8" s="1"/>
  <c r="O68" i="8"/>
  <c r="M68" i="8" s="1"/>
  <c r="L68" i="8" s="1"/>
  <c r="O69" i="8"/>
  <c r="M69" i="8" s="1"/>
  <c r="L69" i="8" s="1"/>
  <c r="O70" i="8"/>
  <c r="M70" i="8" s="1"/>
  <c r="L70" i="8" s="1"/>
  <c r="O71" i="8"/>
  <c r="M71" i="8" s="1"/>
  <c r="L71" i="8" s="1"/>
  <c r="O72" i="8"/>
  <c r="M72" i="8" s="1"/>
  <c r="L72" i="8" s="1"/>
  <c r="O73" i="8"/>
  <c r="M73" i="8" s="1"/>
  <c r="L73" i="8" s="1"/>
  <c r="O74" i="8"/>
  <c r="M74" i="8" s="1"/>
  <c r="L74" i="8" s="1"/>
  <c r="O75" i="8"/>
  <c r="M75" i="8" s="1"/>
  <c r="L75" i="8" s="1"/>
  <c r="O76" i="8"/>
  <c r="M76" i="8" s="1"/>
  <c r="L76" i="8" s="1"/>
  <c r="O77" i="8"/>
  <c r="M77" i="8" s="1"/>
  <c r="L77" i="8" s="1"/>
  <c r="O78" i="8"/>
  <c r="M78" i="8" s="1"/>
  <c r="L78" i="8" s="1"/>
  <c r="O79" i="8"/>
  <c r="M79" i="8" s="1"/>
  <c r="L79" i="8" s="1"/>
  <c r="O80" i="8"/>
  <c r="M80" i="8" s="1"/>
  <c r="L80" i="8" s="1"/>
  <c r="O81" i="8"/>
  <c r="M81" i="8" s="1"/>
  <c r="L81" i="8" s="1"/>
  <c r="O82" i="8"/>
  <c r="M82" i="8" s="1"/>
  <c r="L82" i="8" s="1"/>
  <c r="O83" i="8"/>
  <c r="M83" i="8" s="1"/>
  <c r="L83" i="8" s="1"/>
  <c r="O84" i="8"/>
  <c r="M84" i="8" s="1"/>
  <c r="L84" i="8" s="1"/>
  <c r="O85" i="8"/>
  <c r="M85" i="8" s="1"/>
  <c r="L85" i="8" s="1"/>
  <c r="O86" i="8"/>
  <c r="M86" i="8" s="1"/>
  <c r="L86" i="8" s="1"/>
  <c r="O87" i="8"/>
  <c r="M87" i="8" s="1"/>
  <c r="L87" i="8" s="1"/>
  <c r="O88" i="8"/>
  <c r="M88" i="8" s="1"/>
  <c r="L88" i="8" s="1"/>
  <c r="O89" i="8"/>
  <c r="M89" i="8" s="1"/>
  <c r="L89" i="8" s="1"/>
  <c r="O90" i="8"/>
  <c r="M90" i="8" s="1"/>
  <c r="L90" i="8" s="1"/>
  <c r="O91" i="8"/>
  <c r="M91" i="8" s="1"/>
  <c r="L91" i="8" s="1"/>
  <c r="O92" i="8"/>
  <c r="M92" i="8" s="1"/>
  <c r="L92" i="8" s="1"/>
  <c r="O93" i="8"/>
  <c r="M93" i="8" s="1"/>
  <c r="L93" i="8" s="1"/>
  <c r="O94" i="8"/>
  <c r="M94" i="8" s="1"/>
  <c r="L94" i="8" s="1"/>
  <c r="O95" i="8"/>
  <c r="M95" i="8" s="1"/>
  <c r="L95" i="8" s="1"/>
  <c r="O96" i="8"/>
  <c r="M96" i="8" s="1"/>
  <c r="L96" i="8" s="1"/>
  <c r="O97" i="8"/>
  <c r="M97" i="8" s="1"/>
  <c r="L97" i="8" s="1"/>
  <c r="O98" i="8"/>
  <c r="M98" i="8" s="1"/>
  <c r="L98" i="8" s="1"/>
  <c r="O99" i="8"/>
  <c r="M99" i="8" s="1"/>
  <c r="L99" i="8" s="1"/>
  <c r="O100" i="8"/>
  <c r="M100" i="8" s="1"/>
  <c r="L100" i="8" s="1"/>
  <c r="O101" i="8"/>
  <c r="M101" i="8" s="1"/>
  <c r="L101" i="8" s="1"/>
  <c r="O102" i="8"/>
  <c r="M102" i="8" s="1"/>
  <c r="L102" i="8" s="1"/>
  <c r="O103" i="8"/>
  <c r="M103" i="8" s="1"/>
  <c r="L103" i="8" s="1"/>
  <c r="O104" i="8"/>
  <c r="M104" i="8" s="1"/>
  <c r="L104" i="8" s="1"/>
  <c r="O105" i="8"/>
  <c r="M105" i="8" s="1"/>
  <c r="L105" i="8" s="1"/>
  <c r="O106" i="8"/>
  <c r="M106" i="8" s="1"/>
  <c r="L106" i="8" s="1"/>
  <c r="O107" i="8"/>
  <c r="M107" i="8" s="1"/>
  <c r="L107" i="8" s="1"/>
  <c r="O108" i="8"/>
  <c r="M108" i="8" s="1"/>
  <c r="L108" i="8" s="1"/>
  <c r="O109" i="8"/>
  <c r="M109" i="8" s="1"/>
  <c r="L109" i="8" s="1"/>
  <c r="O110" i="8"/>
  <c r="M110" i="8" s="1"/>
  <c r="L110" i="8" s="1"/>
  <c r="O111" i="8"/>
  <c r="M111" i="8" s="1"/>
  <c r="L111" i="8" s="1"/>
  <c r="O112" i="8"/>
  <c r="M112" i="8" s="1"/>
  <c r="L112" i="8" s="1"/>
  <c r="O113" i="8"/>
  <c r="M113" i="8" s="1"/>
  <c r="L113" i="8" s="1"/>
  <c r="O114" i="8"/>
  <c r="M114" i="8" s="1"/>
  <c r="L114" i="8" s="1"/>
  <c r="O115" i="8"/>
  <c r="M115" i="8" s="1"/>
  <c r="L115" i="8" s="1"/>
  <c r="O116" i="8"/>
  <c r="M116" i="8" s="1"/>
  <c r="L116" i="8" s="1"/>
  <c r="O117" i="8"/>
  <c r="M117" i="8" s="1"/>
  <c r="L117" i="8" s="1"/>
  <c r="O118" i="8"/>
  <c r="M118" i="8" s="1"/>
  <c r="L118" i="8" s="1"/>
  <c r="O119" i="8"/>
  <c r="M119" i="8" s="1"/>
  <c r="L119" i="8" s="1"/>
  <c r="O120" i="8"/>
  <c r="M120" i="8" s="1"/>
  <c r="L120" i="8" s="1"/>
  <c r="O121" i="8"/>
  <c r="M121" i="8" s="1"/>
  <c r="L121" i="8" s="1"/>
  <c r="O122" i="8"/>
  <c r="M122" i="8" s="1"/>
  <c r="L122" i="8" s="1"/>
  <c r="O123" i="8"/>
  <c r="M123" i="8" s="1"/>
  <c r="L123" i="8" s="1"/>
  <c r="O124" i="8"/>
  <c r="M124" i="8" s="1"/>
  <c r="L124" i="8" s="1"/>
  <c r="O125" i="8"/>
  <c r="M125" i="8" s="1"/>
  <c r="L125" i="8" s="1"/>
  <c r="O126" i="8"/>
  <c r="M126" i="8" s="1"/>
  <c r="L126" i="8" s="1"/>
  <c r="O127" i="8"/>
  <c r="M127" i="8" s="1"/>
  <c r="L127" i="8" s="1"/>
  <c r="O128" i="8"/>
  <c r="M128" i="8" s="1"/>
  <c r="L128" i="8" s="1"/>
  <c r="O129" i="8"/>
  <c r="M129" i="8" s="1"/>
  <c r="L129" i="8" s="1"/>
  <c r="O130" i="8"/>
  <c r="M130" i="8" s="1"/>
  <c r="L130" i="8" s="1"/>
  <c r="O131" i="8"/>
  <c r="M131" i="8" s="1"/>
  <c r="L131" i="8" s="1"/>
  <c r="O132" i="8"/>
  <c r="M132" i="8" s="1"/>
  <c r="L132" i="8" s="1"/>
  <c r="O133" i="8"/>
  <c r="M133" i="8" s="1"/>
  <c r="L133" i="8" s="1"/>
  <c r="O134" i="8"/>
  <c r="M134" i="8" s="1"/>
  <c r="L134" i="8" s="1"/>
  <c r="O135" i="8"/>
  <c r="M135" i="8" s="1"/>
  <c r="L135" i="8" s="1"/>
  <c r="O136" i="8"/>
  <c r="M136" i="8" s="1"/>
  <c r="L136" i="8" s="1"/>
  <c r="O137" i="8"/>
  <c r="M137" i="8" s="1"/>
  <c r="L137" i="8" s="1"/>
  <c r="O138" i="8"/>
  <c r="M138" i="8" s="1"/>
  <c r="L138" i="8" s="1"/>
  <c r="O139" i="8"/>
  <c r="M139" i="8" s="1"/>
  <c r="L139" i="8" s="1"/>
  <c r="O140" i="8"/>
  <c r="M140" i="8" s="1"/>
  <c r="L140" i="8" s="1"/>
  <c r="O141" i="8"/>
  <c r="M141" i="8" s="1"/>
  <c r="L141" i="8" s="1"/>
  <c r="O142" i="8"/>
  <c r="M142" i="8" s="1"/>
  <c r="L142" i="8" s="1"/>
  <c r="O143" i="8"/>
  <c r="M143" i="8" s="1"/>
  <c r="L143" i="8" s="1"/>
  <c r="O144" i="8"/>
  <c r="M144" i="8" s="1"/>
  <c r="L144" i="8" s="1"/>
  <c r="O145" i="8"/>
  <c r="M145" i="8" s="1"/>
  <c r="L145" i="8" s="1"/>
  <c r="O146" i="8"/>
  <c r="M146" i="8" s="1"/>
  <c r="L146" i="8" s="1"/>
  <c r="O147" i="8"/>
  <c r="M147" i="8" s="1"/>
  <c r="L147" i="8" s="1"/>
  <c r="O148" i="8"/>
  <c r="M148" i="8" s="1"/>
  <c r="L148" i="8" s="1"/>
  <c r="O149" i="8"/>
  <c r="M149" i="8" s="1"/>
  <c r="L149" i="8" s="1"/>
  <c r="O150" i="8"/>
  <c r="M150" i="8" s="1"/>
  <c r="L150" i="8" s="1"/>
  <c r="O151" i="8"/>
  <c r="M151" i="8" s="1"/>
  <c r="L151" i="8" s="1"/>
  <c r="O152" i="8"/>
  <c r="M152" i="8" s="1"/>
  <c r="L152" i="8" s="1"/>
  <c r="O153" i="8"/>
  <c r="M153" i="8" s="1"/>
  <c r="L153" i="8" s="1"/>
  <c r="O154" i="8"/>
  <c r="M154" i="8" s="1"/>
  <c r="L154" i="8" s="1"/>
  <c r="O155" i="8"/>
  <c r="M155" i="8" s="1"/>
  <c r="L155" i="8" s="1"/>
  <c r="O156" i="8"/>
  <c r="M156" i="8" s="1"/>
  <c r="L156" i="8" s="1"/>
  <c r="O157" i="8"/>
  <c r="M157" i="8" s="1"/>
  <c r="L157" i="8" s="1"/>
  <c r="O158" i="8"/>
  <c r="M158" i="8" s="1"/>
  <c r="L158" i="8" s="1"/>
  <c r="O159" i="8"/>
  <c r="M159" i="8" s="1"/>
  <c r="L159" i="8" s="1"/>
  <c r="O160" i="8"/>
  <c r="M160" i="8" s="1"/>
  <c r="L160" i="8" s="1"/>
  <c r="O161" i="8"/>
  <c r="M161" i="8" s="1"/>
  <c r="L161" i="8" s="1"/>
  <c r="O162" i="8"/>
  <c r="M162" i="8" s="1"/>
  <c r="L162" i="8" s="1"/>
  <c r="O163" i="8"/>
  <c r="M163" i="8" s="1"/>
  <c r="L163" i="8" s="1"/>
  <c r="O164" i="8"/>
  <c r="M164" i="8" s="1"/>
  <c r="L164" i="8" s="1"/>
  <c r="O165" i="8"/>
  <c r="M165" i="8" s="1"/>
  <c r="L165" i="8" s="1"/>
  <c r="O166" i="8"/>
  <c r="M166" i="8" s="1"/>
  <c r="L166" i="8" s="1"/>
  <c r="O167" i="8"/>
  <c r="M167" i="8" s="1"/>
  <c r="L167" i="8" s="1"/>
  <c r="O168" i="8"/>
  <c r="M168" i="8" s="1"/>
  <c r="L168" i="8" s="1"/>
  <c r="O169" i="8"/>
  <c r="M169" i="8" s="1"/>
  <c r="L169" i="8" s="1"/>
  <c r="O170" i="8"/>
  <c r="M170" i="8" s="1"/>
  <c r="L170" i="8" s="1"/>
  <c r="O171" i="8"/>
  <c r="M171" i="8" s="1"/>
  <c r="L171" i="8" s="1"/>
  <c r="O172" i="8"/>
  <c r="M172" i="8" s="1"/>
  <c r="L172" i="8" s="1"/>
  <c r="O173" i="8"/>
  <c r="M173" i="8" s="1"/>
  <c r="L173" i="8" s="1"/>
  <c r="O174" i="8"/>
  <c r="M174" i="8" s="1"/>
  <c r="L174" i="8" s="1"/>
  <c r="O175" i="8"/>
  <c r="M175" i="8" s="1"/>
  <c r="L175" i="8" s="1"/>
  <c r="O176" i="8"/>
  <c r="M176" i="8" s="1"/>
  <c r="L176" i="8" s="1"/>
  <c r="O177" i="8"/>
  <c r="M177" i="8" s="1"/>
  <c r="L177" i="8" s="1"/>
  <c r="O178" i="8"/>
  <c r="M178" i="8" s="1"/>
  <c r="L178" i="8" s="1"/>
  <c r="O179" i="8"/>
  <c r="M179" i="8" s="1"/>
  <c r="L179" i="8" s="1"/>
  <c r="O180" i="8"/>
  <c r="M180" i="8" s="1"/>
  <c r="L180" i="8" s="1"/>
  <c r="O181" i="8"/>
  <c r="M181" i="8" s="1"/>
  <c r="L181" i="8" s="1"/>
  <c r="O182" i="8"/>
  <c r="M182" i="8" s="1"/>
  <c r="L182" i="8" s="1"/>
  <c r="O183" i="8"/>
  <c r="M183" i="8" s="1"/>
  <c r="L183" i="8" s="1"/>
  <c r="O184" i="8"/>
  <c r="M184" i="8" s="1"/>
  <c r="L184" i="8" s="1"/>
  <c r="O185" i="8"/>
  <c r="M185" i="8" s="1"/>
  <c r="L185" i="8" s="1"/>
  <c r="O186" i="8"/>
  <c r="M186" i="8" s="1"/>
  <c r="L186" i="8" s="1"/>
  <c r="O187" i="8"/>
  <c r="M187" i="8" s="1"/>
  <c r="L187" i="8" s="1"/>
  <c r="O188" i="8"/>
  <c r="M188" i="8" s="1"/>
  <c r="L188" i="8" s="1"/>
  <c r="O189" i="8"/>
  <c r="M189" i="8" s="1"/>
  <c r="L189" i="8" s="1"/>
  <c r="O190" i="8"/>
  <c r="M190" i="8" s="1"/>
  <c r="L190" i="8" s="1"/>
  <c r="O191" i="8"/>
  <c r="M191" i="8" s="1"/>
  <c r="L191" i="8" s="1"/>
  <c r="O192" i="8"/>
  <c r="M192" i="8" s="1"/>
  <c r="L192" i="8" s="1"/>
  <c r="O193" i="8"/>
  <c r="M193" i="8" s="1"/>
  <c r="L193" i="8" s="1"/>
  <c r="O194" i="8"/>
  <c r="M194" i="8" s="1"/>
  <c r="L194" i="8" s="1"/>
  <c r="O195" i="8"/>
  <c r="M195" i="8" s="1"/>
  <c r="L195" i="8" s="1"/>
  <c r="O196" i="8"/>
  <c r="M196" i="8" s="1"/>
  <c r="L196" i="8" s="1"/>
  <c r="O197" i="8"/>
  <c r="M197" i="8" s="1"/>
  <c r="L197" i="8" s="1"/>
  <c r="O198" i="8"/>
  <c r="M198" i="8" s="1"/>
  <c r="L198" i="8" s="1"/>
  <c r="O199" i="8"/>
  <c r="M199" i="8" s="1"/>
  <c r="L199" i="8" s="1"/>
  <c r="O200" i="8"/>
  <c r="M200" i="8" s="1"/>
  <c r="L200" i="8" s="1"/>
  <c r="O201" i="8"/>
  <c r="M201" i="8" s="1"/>
  <c r="L201" i="8" s="1"/>
  <c r="O202" i="8"/>
  <c r="M202" i="8" s="1"/>
  <c r="L202" i="8" s="1"/>
  <c r="O203" i="8"/>
  <c r="M203" i="8" s="1"/>
  <c r="L203" i="8" s="1"/>
  <c r="O204" i="8"/>
  <c r="M204" i="8" s="1"/>
  <c r="L204" i="8" s="1"/>
  <c r="O205" i="8"/>
  <c r="M205" i="8" s="1"/>
  <c r="L205" i="8" s="1"/>
  <c r="O206" i="8"/>
  <c r="M206" i="8" s="1"/>
  <c r="L206" i="8" s="1"/>
  <c r="O207" i="8"/>
  <c r="M207" i="8" s="1"/>
  <c r="L207" i="8" s="1"/>
  <c r="O208" i="8"/>
  <c r="M208" i="8" s="1"/>
  <c r="L208" i="8" s="1"/>
  <c r="O209" i="8"/>
  <c r="M209" i="8" s="1"/>
  <c r="L209" i="8" s="1"/>
  <c r="O210" i="8"/>
  <c r="M210" i="8" s="1"/>
  <c r="L210" i="8" s="1"/>
  <c r="O211" i="8"/>
  <c r="M211" i="8" s="1"/>
  <c r="L211" i="8" s="1"/>
  <c r="O212" i="8"/>
  <c r="M212" i="8" s="1"/>
  <c r="L212" i="8" s="1"/>
  <c r="O213" i="8"/>
  <c r="M213" i="8" s="1"/>
  <c r="L213" i="8" s="1"/>
  <c r="O214" i="8"/>
  <c r="M214" i="8" s="1"/>
  <c r="L214" i="8" s="1"/>
  <c r="O215" i="8"/>
  <c r="M215" i="8" s="1"/>
  <c r="L215" i="8" s="1"/>
  <c r="O216" i="8"/>
  <c r="M216" i="8" s="1"/>
  <c r="L216" i="8" s="1"/>
  <c r="O217" i="8"/>
  <c r="M217" i="8" s="1"/>
  <c r="L217" i="8" s="1"/>
  <c r="O218" i="8"/>
  <c r="M218" i="8" s="1"/>
  <c r="L218" i="8" s="1"/>
  <c r="O219" i="8"/>
  <c r="M219" i="8" s="1"/>
  <c r="L219" i="8" s="1"/>
  <c r="O220" i="8"/>
  <c r="M220" i="8" s="1"/>
  <c r="L220" i="8" s="1"/>
  <c r="O221" i="8"/>
  <c r="M221" i="8" s="1"/>
  <c r="L221" i="8" s="1"/>
  <c r="O222" i="8"/>
  <c r="M222" i="8" s="1"/>
  <c r="L222" i="8" s="1"/>
  <c r="O223" i="8"/>
  <c r="M223" i="8" s="1"/>
  <c r="L223" i="8" s="1"/>
  <c r="O224" i="8"/>
  <c r="M224" i="8" s="1"/>
  <c r="L224" i="8" s="1"/>
  <c r="O225" i="8"/>
  <c r="M225" i="8" s="1"/>
  <c r="L225" i="8" s="1"/>
  <c r="O226" i="8"/>
  <c r="M226" i="8" s="1"/>
  <c r="L226" i="8" s="1"/>
  <c r="O227" i="8"/>
  <c r="M227" i="8" s="1"/>
  <c r="L227" i="8" s="1"/>
  <c r="O228" i="8"/>
  <c r="M228" i="8" s="1"/>
  <c r="L228" i="8" s="1"/>
  <c r="O229" i="8"/>
  <c r="M229" i="8" s="1"/>
  <c r="L229" i="8" s="1"/>
  <c r="O230" i="8"/>
  <c r="M230" i="8" s="1"/>
  <c r="L230" i="8" s="1"/>
  <c r="O231" i="8"/>
  <c r="M231" i="8" s="1"/>
  <c r="L231" i="8" s="1"/>
  <c r="O232" i="8"/>
  <c r="M232" i="8" s="1"/>
  <c r="L232" i="8" s="1"/>
  <c r="O233" i="8"/>
  <c r="M233" i="8" s="1"/>
  <c r="L233" i="8" s="1"/>
  <c r="O234" i="8"/>
  <c r="M234" i="8" s="1"/>
  <c r="L234" i="8" s="1"/>
  <c r="O235" i="8"/>
  <c r="M235" i="8" s="1"/>
  <c r="L235" i="8" s="1"/>
  <c r="O236" i="8"/>
  <c r="M236" i="8" s="1"/>
  <c r="L236" i="8" s="1"/>
  <c r="O237" i="8"/>
  <c r="M237" i="8" s="1"/>
  <c r="L237" i="8" s="1"/>
  <c r="O238" i="8"/>
  <c r="M238" i="8" s="1"/>
  <c r="L238" i="8" s="1"/>
  <c r="O239" i="8"/>
  <c r="M239" i="8" s="1"/>
  <c r="L239" i="8" s="1"/>
  <c r="O240" i="8"/>
  <c r="M240" i="8" s="1"/>
  <c r="L240" i="8" s="1"/>
  <c r="O241" i="8"/>
  <c r="M241" i="8" s="1"/>
  <c r="L241" i="8" s="1"/>
  <c r="O242" i="8"/>
  <c r="M242" i="8" s="1"/>
  <c r="L242" i="8" s="1"/>
  <c r="O243" i="8"/>
  <c r="M243" i="8" s="1"/>
  <c r="L243" i="8" s="1"/>
  <c r="O244" i="8"/>
  <c r="M244" i="8" s="1"/>
  <c r="L244" i="8" s="1"/>
  <c r="O245" i="8"/>
  <c r="M245" i="8" s="1"/>
  <c r="L245" i="8" s="1"/>
  <c r="O246" i="8"/>
  <c r="M246" i="8" s="1"/>
  <c r="L246" i="8" s="1"/>
  <c r="O247" i="8"/>
  <c r="M247" i="8" s="1"/>
  <c r="L247" i="8" s="1"/>
  <c r="O248" i="8"/>
  <c r="M248" i="8" s="1"/>
  <c r="L248" i="8" s="1"/>
  <c r="O249" i="8"/>
  <c r="M249" i="8" s="1"/>
  <c r="L249" i="8" s="1"/>
  <c r="O250" i="8"/>
  <c r="M250" i="8" s="1"/>
  <c r="L250" i="8" s="1"/>
  <c r="O251" i="8"/>
  <c r="M251" i="8" s="1"/>
  <c r="L251" i="8" s="1"/>
  <c r="O252" i="8"/>
  <c r="M252" i="8" s="1"/>
  <c r="L252" i="8" s="1"/>
  <c r="O253" i="8"/>
  <c r="M253" i="8" s="1"/>
  <c r="L253" i="8" s="1"/>
  <c r="O254" i="8"/>
  <c r="M254" i="8" s="1"/>
  <c r="L254" i="8" s="1"/>
  <c r="O255" i="8"/>
  <c r="M255" i="8" s="1"/>
  <c r="L255" i="8" s="1"/>
  <c r="O256" i="8"/>
  <c r="M256" i="8" s="1"/>
  <c r="L256" i="8" s="1"/>
  <c r="O257" i="8"/>
  <c r="M257" i="8" s="1"/>
  <c r="L257" i="8" s="1"/>
  <c r="O258" i="8"/>
  <c r="M258" i="8" s="1"/>
  <c r="L258" i="8" s="1"/>
  <c r="O259" i="8"/>
  <c r="M259" i="8" s="1"/>
  <c r="L259" i="8" s="1"/>
  <c r="O260" i="8"/>
  <c r="M260" i="8" s="1"/>
  <c r="L260" i="8" s="1"/>
  <c r="O261" i="8"/>
  <c r="M261" i="8" s="1"/>
  <c r="L261" i="8" s="1"/>
  <c r="O262" i="8"/>
  <c r="M262" i="8" s="1"/>
  <c r="L262" i="8" s="1"/>
  <c r="O263" i="8"/>
  <c r="M263" i="8" s="1"/>
  <c r="L263" i="8" s="1"/>
  <c r="O264" i="8"/>
  <c r="M264" i="8" s="1"/>
  <c r="L264" i="8" s="1"/>
  <c r="O265" i="8"/>
  <c r="M265" i="8" s="1"/>
  <c r="L265" i="8" s="1"/>
  <c r="O266" i="8"/>
  <c r="M266" i="8" s="1"/>
  <c r="L266" i="8" s="1"/>
  <c r="O267" i="8"/>
  <c r="M267" i="8" s="1"/>
  <c r="L267" i="8" s="1"/>
  <c r="O268" i="8"/>
  <c r="M268" i="8" s="1"/>
  <c r="L268" i="8" s="1"/>
  <c r="O269" i="8"/>
  <c r="M269" i="8" s="1"/>
  <c r="L269" i="8" s="1"/>
  <c r="O270" i="8"/>
  <c r="M270" i="8" s="1"/>
  <c r="L270" i="8" s="1"/>
  <c r="O271" i="8"/>
  <c r="M271" i="8" s="1"/>
  <c r="L271" i="8" s="1"/>
  <c r="O272" i="8"/>
  <c r="M272" i="8" s="1"/>
  <c r="L272" i="8" s="1"/>
  <c r="O273" i="8"/>
  <c r="M273" i="8" s="1"/>
  <c r="L273" i="8" s="1"/>
  <c r="O274" i="8"/>
  <c r="M274" i="8" s="1"/>
  <c r="L274" i="8" s="1"/>
  <c r="O275" i="8"/>
  <c r="M275" i="8" s="1"/>
  <c r="L275" i="8" s="1"/>
  <c r="O276" i="8"/>
  <c r="M276" i="8" s="1"/>
  <c r="L276" i="8" s="1"/>
  <c r="O277" i="8"/>
  <c r="M277" i="8" s="1"/>
  <c r="L277" i="8" s="1"/>
  <c r="O278" i="8"/>
  <c r="M278" i="8" s="1"/>
  <c r="L278" i="8" s="1"/>
  <c r="O279" i="8"/>
  <c r="M279" i="8" s="1"/>
  <c r="L279" i="8" s="1"/>
  <c r="O280" i="8"/>
  <c r="M280" i="8" s="1"/>
  <c r="L280" i="8" s="1"/>
  <c r="O281" i="8"/>
  <c r="M281" i="8" s="1"/>
  <c r="L281" i="8" s="1"/>
  <c r="O282" i="8"/>
  <c r="M282" i="8" s="1"/>
  <c r="L282" i="8" s="1"/>
  <c r="O283" i="8"/>
  <c r="M283" i="8" s="1"/>
  <c r="L283" i="8" s="1"/>
  <c r="O284" i="8"/>
  <c r="M284" i="8" s="1"/>
  <c r="L284" i="8" s="1"/>
  <c r="O285" i="8"/>
  <c r="M285" i="8" s="1"/>
  <c r="L285" i="8" s="1"/>
  <c r="O286" i="8"/>
  <c r="M286" i="8" s="1"/>
  <c r="L286" i="8" s="1"/>
  <c r="O287" i="8"/>
  <c r="M287" i="8" s="1"/>
  <c r="L287" i="8" s="1"/>
  <c r="O288" i="8"/>
  <c r="M288" i="8" s="1"/>
  <c r="L288" i="8" s="1"/>
  <c r="O289" i="8"/>
  <c r="M289" i="8" s="1"/>
  <c r="L289" i="8" s="1"/>
  <c r="O290" i="8"/>
  <c r="M290" i="8" s="1"/>
  <c r="L290" i="8" s="1"/>
  <c r="O291" i="8"/>
  <c r="M291" i="8" s="1"/>
  <c r="L291" i="8" s="1"/>
  <c r="O292" i="8"/>
  <c r="M292" i="8" s="1"/>
  <c r="L292" i="8" s="1"/>
  <c r="O293" i="8"/>
  <c r="M293" i="8" s="1"/>
  <c r="L293" i="8" s="1"/>
  <c r="O294" i="8"/>
  <c r="M294" i="8" s="1"/>
  <c r="L294" i="8" s="1"/>
  <c r="O295" i="8"/>
  <c r="M295" i="8" s="1"/>
  <c r="L295" i="8" s="1"/>
  <c r="O296" i="8"/>
  <c r="M296" i="8" s="1"/>
  <c r="L296" i="8" s="1"/>
  <c r="O297" i="8"/>
  <c r="M297" i="8" s="1"/>
  <c r="L297" i="8" s="1"/>
  <c r="O298" i="8"/>
  <c r="M298" i="8" s="1"/>
  <c r="L298" i="8" s="1"/>
  <c r="O299" i="8"/>
  <c r="M299" i="8" s="1"/>
  <c r="L299" i="8" s="1"/>
  <c r="O300" i="8"/>
  <c r="M300" i="8" s="1"/>
  <c r="L300" i="8" s="1"/>
  <c r="O301" i="8"/>
  <c r="M301" i="8" s="1"/>
  <c r="L301" i="8" s="1"/>
  <c r="O302" i="8"/>
  <c r="M302" i="8" s="1"/>
  <c r="L302" i="8" s="1"/>
  <c r="O303" i="8"/>
  <c r="M303" i="8" s="1"/>
  <c r="L303" i="8" s="1"/>
  <c r="O304" i="8"/>
  <c r="M304" i="8" s="1"/>
  <c r="L304" i="8" s="1"/>
  <c r="O305" i="8"/>
  <c r="M305" i="8" s="1"/>
  <c r="L305" i="8" s="1"/>
  <c r="O306" i="8"/>
  <c r="M306" i="8" s="1"/>
  <c r="L306" i="8" s="1"/>
  <c r="O307" i="8"/>
  <c r="M307" i="8" s="1"/>
  <c r="L307" i="8" s="1"/>
  <c r="O308" i="8"/>
  <c r="M308" i="8" s="1"/>
  <c r="L308" i="8" s="1"/>
  <c r="O309" i="8"/>
  <c r="M309" i="8" s="1"/>
  <c r="L309" i="8" s="1"/>
  <c r="O310" i="8"/>
  <c r="M310" i="8" s="1"/>
  <c r="L310" i="8" s="1"/>
  <c r="O311" i="8"/>
  <c r="M311" i="8" s="1"/>
  <c r="L311" i="8" s="1"/>
  <c r="O312" i="8"/>
  <c r="M312" i="8" s="1"/>
  <c r="L312" i="8" s="1"/>
  <c r="O313" i="8"/>
  <c r="M313" i="8" s="1"/>
  <c r="L313" i="8" s="1"/>
  <c r="O314" i="8"/>
  <c r="M314" i="8" s="1"/>
  <c r="L314" i="8" s="1"/>
  <c r="O315" i="8"/>
  <c r="M315" i="8" s="1"/>
  <c r="L315" i="8" s="1"/>
  <c r="O316" i="8"/>
  <c r="M316" i="8" s="1"/>
  <c r="L316" i="8" s="1"/>
  <c r="O317" i="8"/>
  <c r="M317" i="8" s="1"/>
  <c r="L317" i="8" s="1"/>
  <c r="O318" i="8"/>
  <c r="M318" i="8" s="1"/>
  <c r="L318" i="8" s="1"/>
  <c r="O319" i="8"/>
  <c r="M319" i="8" s="1"/>
  <c r="L319" i="8" s="1"/>
  <c r="O320" i="8"/>
  <c r="M320" i="8" s="1"/>
  <c r="L320" i="8" s="1"/>
  <c r="O321" i="8"/>
  <c r="M321" i="8" s="1"/>
  <c r="L321" i="8" s="1"/>
  <c r="O322" i="8"/>
  <c r="M322" i="8" s="1"/>
  <c r="L322" i="8" s="1"/>
  <c r="O323" i="8"/>
  <c r="M323" i="8" s="1"/>
  <c r="L323" i="8" s="1"/>
  <c r="O324" i="8"/>
  <c r="M324" i="8" s="1"/>
  <c r="L324" i="8" s="1"/>
  <c r="O325" i="8"/>
  <c r="M325" i="8" s="1"/>
  <c r="L325" i="8" s="1"/>
  <c r="O326" i="8"/>
  <c r="M326" i="8" s="1"/>
  <c r="L326" i="8" s="1"/>
  <c r="O327" i="8"/>
  <c r="M327" i="8" s="1"/>
  <c r="L327" i="8" s="1"/>
  <c r="O328" i="8"/>
  <c r="M328" i="8" s="1"/>
  <c r="L328" i="8" s="1"/>
  <c r="O329" i="8"/>
  <c r="M329" i="8" s="1"/>
  <c r="L329" i="8" s="1"/>
  <c r="O330" i="8"/>
  <c r="M330" i="8" s="1"/>
  <c r="L330" i="8" s="1"/>
  <c r="O331" i="8"/>
  <c r="M331" i="8" s="1"/>
  <c r="L331" i="8" s="1"/>
  <c r="O332" i="8"/>
  <c r="M332" i="8" s="1"/>
  <c r="L332" i="8" s="1"/>
  <c r="O333" i="8"/>
  <c r="M333" i="8" s="1"/>
  <c r="L333" i="8" s="1"/>
  <c r="O334" i="8"/>
  <c r="M334" i="8" s="1"/>
  <c r="L334" i="8" s="1"/>
  <c r="O335" i="8"/>
  <c r="M335" i="8" s="1"/>
  <c r="L335" i="8" s="1"/>
  <c r="O336" i="8"/>
  <c r="M336" i="8" s="1"/>
  <c r="L336" i="8" s="1"/>
  <c r="O337" i="8"/>
  <c r="M337" i="8" s="1"/>
  <c r="L337" i="8" s="1"/>
  <c r="O338" i="8"/>
  <c r="M338" i="8" s="1"/>
  <c r="L338" i="8" s="1"/>
  <c r="O339" i="8"/>
  <c r="M339" i="8" s="1"/>
  <c r="L339" i="8" s="1"/>
  <c r="O340" i="8"/>
  <c r="M340" i="8" s="1"/>
  <c r="L340" i="8" s="1"/>
  <c r="O341" i="8"/>
  <c r="M341" i="8" s="1"/>
  <c r="L341" i="8" s="1"/>
  <c r="O342" i="8"/>
  <c r="M342" i="8" s="1"/>
  <c r="L342" i="8" s="1"/>
  <c r="O343" i="8"/>
  <c r="M343" i="8" s="1"/>
  <c r="L343" i="8" s="1"/>
  <c r="O344" i="8"/>
  <c r="M344" i="8" s="1"/>
  <c r="L344" i="8" s="1"/>
  <c r="O345" i="8"/>
  <c r="M345" i="8" s="1"/>
  <c r="L345" i="8" s="1"/>
  <c r="O346" i="8"/>
  <c r="M346" i="8" s="1"/>
  <c r="L346" i="8" s="1"/>
  <c r="O347" i="8"/>
  <c r="M347" i="8" s="1"/>
  <c r="L347" i="8" s="1"/>
  <c r="O348" i="8"/>
  <c r="M348" i="8" s="1"/>
  <c r="L348" i="8" s="1"/>
  <c r="O349" i="8"/>
  <c r="M349" i="8" s="1"/>
  <c r="L349" i="8" s="1"/>
  <c r="O350" i="8"/>
  <c r="M350" i="8" s="1"/>
  <c r="L350" i="8" s="1"/>
  <c r="O351" i="8"/>
  <c r="M351" i="8" s="1"/>
  <c r="L351" i="8" s="1"/>
  <c r="O352" i="8"/>
  <c r="M352" i="8" s="1"/>
  <c r="L352" i="8" s="1"/>
  <c r="O353" i="8"/>
  <c r="M353" i="8" s="1"/>
  <c r="L353" i="8" s="1"/>
  <c r="O354" i="8"/>
  <c r="M354" i="8" s="1"/>
  <c r="L354" i="8" s="1"/>
  <c r="O355" i="8"/>
  <c r="M355" i="8" s="1"/>
  <c r="L355" i="8" s="1"/>
  <c r="O356" i="8"/>
  <c r="M356" i="8" s="1"/>
  <c r="L356" i="8" s="1"/>
  <c r="O357" i="8"/>
  <c r="M357" i="8" s="1"/>
  <c r="L357" i="8" s="1"/>
  <c r="O358" i="8"/>
  <c r="M358" i="8" s="1"/>
  <c r="L358" i="8" s="1"/>
  <c r="O359" i="8"/>
  <c r="M359" i="8" s="1"/>
  <c r="L359" i="8" s="1"/>
  <c r="O360" i="8"/>
  <c r="M360" i="8" s="1"/>
  <c r="L360" i="8" s="1"/>
  <c r="O361" i="8"/>
  <c r="M361" i="8" s="1"/>
  <c r="L361" i="8" s="1"/>
  <c r="O362" i="8"/>
  <c r="M362" i="8" s="1"/>
  <c r="L362" i="8" s="1"/>
  <c r="O363" i="8"/>
  <c r="M363" i="8" s="1"/>
  <c r="L363" i="8" s="1"/>
  <c r="O364" i="8"/>
  <c r="M364" i="8" s="1"/>
  <c r="L364" i="8" s="1"/>
  <c r="O365" i="8"/>
  <c r="M365" i="8" s="1"/>
  <c r="L365" i="8" s="1"/>
  <c r="O366" i="8"/>
  <c r="M366" i="8" s="1"/>
  <c r="L366" i="8" s="1"/>
  <c r="O367" i="8"/>
  <c r="M367" i="8" s="1"/>
  <c r="L367" i="8" s="1"/>
  <c r="O368" i="8"/>
  <c r="M368" i="8" s="1"/>
  <c r="L368" i="8" s="1"/>
  <c r="O369" i="8"/>
  <c r="M369" i="8" s="1"/>
  <c r="L369" i="8" s="1"/>
  <c r="O370" i="8"/>
  <c r="M370" i="8" s="1"/>
  <c r="L370" i="8" s="1"/>
  <c r="O371" i="8"/>
  <c r="M371" i="8" s="1"/>
  <c r="L371" i="8" s="1"/>
  <c r="O372" i="8"/>
  <c r="M372" i="8" s="1"/>
  <c r="L372" i="8" s="1"/>
  <c r="O373" i="8"/>
  <c r="M373" i="8" s="1"/>
  <c r="L373" i="8" s="1"/>
  <c r="O374" i="8"/>
  <c r="M374" i="8" s="1"/>
  <c r="L374" i="8" s="1"/>
  <c r="O375" i="8"/>
  <c r="M375" i="8" s="1"/>
  <c r="L375" i="8" s="1"/>
  <c r="O376" i="8"/>
  <c r="M376" i="8" s="1"/>
  <c r="L376" i="8" s="1"/>
  <c r="O377" i="8"/>
  <c r="M377" i="8" s="1"/>
  <c r="L377" i="8" s="1"/>
  <c r="O378" i="8"/>
  <c r="M378" i="8" s="1"/>
  <c r="L378" i="8" s="1"/>
  <c r="O379" i="8"/>
  <c r="M379" i="8" s="1"/>
  <c r="L379" i="8" s="1"/>
  <c r="O380" i="8"/>
  <c r="M380" i="8" s="1"/>
  <c r="L380" i="8" s="1"/>
  <c r="O381" i="8"/>
  <c r="M381" i="8" s="1"/>
  <c r="L381" i="8" s="1"/>
  <c r="O382" i="8"/>
  <c r="M382" i="8" s="1"/>
  <c r="L382" i="8" s="1"/>
  <c r="O383" i="8"/>
  <c r="M383" i="8" s="1"/>
  <c r="L383" i="8" s="1"/>
  <c r="O384" i="8"/>
  <c r="M384" i="8" s="1"/>
  <c r="L384" i="8" s="1"/>
  <c r="O385" i="8"/>
  <c r="M385" i="8" s="1"/>
  <c r="L385" i="8" s="1"/>
  <c r="O386" i="8"/>
  <c r="M386" i="8" s="1"/>
  <c r="L386" i="8" s="1"/>
  <c r="O387" i="8"/>
  <c r="M387" i="8" s="1"/>
  <c r="L387" i="8" s="1"/>
  <c r="O388" i="8"/>
  <c r="M388" i="8" s="1"/>
  <c r="L388" i="8" s="1"/>
  <c r="O389" i="8"/>
  <c r="M389" i="8" s="1"/>
  <c r="L389" i="8" s="1"/>
  <c r="O390" i="8"/>
  <c r="M390" i="8" s="1"/>
  <c r="L390" i="8" s="1"/>
  <c r="O391" i="8"/>
  <c r="M391" i="8" s="1"/>
  <c r="L391" i="8" s="1"/>
  <c r="O392" i="8"/>
  <c r="M392" i="8" s="1"/>
  <c r="L392" i="8" s="1"/>
  <c r="O393" i="8"/>
  <c r="M393" i="8" s="1"/>
  <c r="L393" i="8" s="1"/>
  <c r="O394" i="8"/>
  <c r="M394" i="8" s="1"/>
  <c r="L394" i="8" s="1"/>
  <c r="O395" i="8"/>
  <c r="M395" i="8" s="1"/>
  <c r="L395" i="8" s="1"/>
  <c r="O396" i="8"/>
  <c r="M396" i="8" s="1"/>
  <c r="L396" i="8" s="1"/>
  <c r="O397" i="8"/>
  <c r="M397" i="8" s="1"/>
  <c r="L397" i="8" s="1"/>
  <c r="O398" i="8"/>
  <c r="M398" i="8" s="1"/>
  <c r="L398" i="8" s="1"/>
  <c r="O399" i="8"/>
  <c r="M399" i="8" s="1"/>
  <c r="L399" i="8" s="1"/>
  <c r="O400" i="8"/>
  <c r="M400" i="8" s="1"/>
  <c r="L400" i="8" s="1"/>
  <c r="O401" i="8"/>
  <c r="M401" i="8" s="1"/>
  <c r="L401" i="8" s="1"/>
  <c r="O402" i="8"/>
  <c r="M402" i="8" s="1"/>
  <c r="L402" i="8" s="1"/>
  <c r="O403" i="8"/>
  <c r="M403" i="8" s="1"/>
  <c r="L403" i="8" s="1"/>
  <c r="O404" i="8"/>
  <c r="M404" i="8" s="1"/>
  <c r="L404" i="8" s="1"/>
  <c r="O405" i="8"/>
  <c r="M405" i="8" s="1"/>
  <c r="L405" i="8" s="1"/>
  <c r="O406" i="8"/>
  <c r="M406" i="8" s="1"/>
  <c r="L406" i="8" s="1"/>
  <c r="O407" i="8"/>
  <c r="M407" i="8" s="1"/>
  <c r="L407" i="8" s="1"/>
  <c r="O408" i="8"/>
  <c r="M408" i="8" s="1"/>
  <c r="L408" i="8" s="1"/>
  <c r="O409" i="8"/>
  <c r="M409" i="8" s="1"/>
  <c r="L409" i="8" s="1"/>
  <c r="O410" i="8"/>
  <c r="M410" i="8" s="1"/>
  <c r="L410" i="8" s="1"/>
  <c r="O411" i="8"/>
  <c r="M411" i="8" s="1"/>
  <c r="L411" i="8" s="1"/>
  <c r="O412" i="8"/>
  <c r="M412" i="8" s="1"/>
  <c r="L412" i="8" s="1"/>
  <c r="O413" i="8"/>
  <c r="M413" i="8" s="1"/>
  <c r="L413" i="8" s="1"/>
  <c r="O414" i="8"/>
  <c r="M414" i="8" s="1"/>
  <c r="L414" i="8" s="1"/>
  <c r="O415" i="8"/>
  <c r="M415" i="8" s="1"/>
  <c r="L415" i="8" s="1"/>
  <c r="O416" i="8"/>
  <c r="M416" i="8" s="1"/>
  <c r="L416" i="8" s="1"/>
  <c r="O417" i="8"/>
  <c r="M417" i="8" s="1"/>
  <c r="L417" i="8" s="1"/>
  <c r="O418" i="8"/>
  <c r="M418" i="8" s="1"/>
  <c r="L418" i="8" s="1"/>
  <c r="O419" i="8"/>
  <c r="M419" i="8" s="1"/>
  <c r="L419" i="8" s="1"/>
  <c r="O420" i="8"/>
  <c r="M420" i="8" s="1"/>
  <c r="L420" i="8" s="1"/>
  <c r="O421" i="8"/>
  <c r="M421" i="8" s="1"/>
  <c r="L421" i="8" s="1"/>
  <c r="O422" i="8"/>
  <c r="M422" i="8" s="1"/>
  <c r="L422" i="8" s="1"/>
  <c r="O423" i="8"/>
  <c r="M423" i="8" s="1"/>
  <c r="L423" i="8" s="1"/>
  <c r="O424" i="8"/>
  <c r="M424" i="8" s="1"/>
  <c r="L424" i="8" s="1"/>
  <c r="O425" i="8"/>
  <c r="M425" i="8" s="1"/>
  <c r="L425" i="8" s="1"/>
  <c r="O426" i="8"/>
  <c r="M426" i="8" s="1"/>
  <c r="L426" i="8" s="1"/>
  <c r="O427" i="8"/>
  <c r="M427" i="8" s="1"/>
  <c r="L427" i="8" s="1"/>
  <c r="O428" i="8"/>
  <c r="M428" i="8" s="1"/>
  <c r="L428" i="8" s="1"/>
  <c r="O429" i="8"/>
  <c r="M429" i="8" s="1"/>
  <c r="L429" i="8" s="1"/>
  <c r="O430" i="8"/>
  <c r="M430" i="8" s="1"/>
  <c r="L430" i="8" s="1"/>
  <c r="O431" i="8"/>
  <c r="M431" i="8" s="1"/>
  <c r="L431" i="8" s="1"/>
  <c r="O432" i="8"/>
  <c r="M432" i="8" s="1"/>
  <c r="L432" i="8" s="1"/>
  <c r="O433" i="8"/>
  <c r="M433" i="8" s="1"/>
  <c r="L433" i="8" s="1"/>
  <c r="O434" i="8"/>
  <c r="M434" i="8" s="1"/>
  <c r="L434" i="8" s="1"/>
  <c r="O435" i="8"/>
  <c r="M435" i="8" s="1"/>
  <c r="L435" i="8" s="1"/>
  <c r="O436" i="8"/>
  <c r="M436" i="8" s="1"/>
  <c r="L436" i="8" s="1"/>
  <c r="O437" i="8"/>
  <c r="M437" i="8" s="1"/>
  <c r="L437" i="8" s="1"/>
  <c r="O438" i="8"/>
  <c r="M438" i="8" s="1"/>
  <c r="L438" i="8" s="1"/>
  <c r="O439" i="8"/>
  <c r="M439" i="8" s="1"/>
  <c r="L439" i="8" s="1"/>
  <c r="O440" i="8"/>
  <c r="M440" i="8" s="1"/>
  <c r="L440" i="8" s="1"/>
  <c r="O441" i="8"/>
  <c r="M441" i="8" s="1"/>
  <c r="L441" i="8" s="1"/>
  <c r="O442" i="8"/>
  <c r="M442" i="8" s="1"/>
  <c r="L442" i="8" s="1"/>
  <c r="O443" i="8"/>
  <c r="M443" i="8" s="1"/>
  <c r="L443" i="8" s="1"/>
  <c r="O444" i="8"/>
  <c r="M444" i="8" s="1"/>
  <c r="L444" i="8" s="1"/>
  <c r="O445" i="8"/>
  <c r="M445" i="8" s="1"/>
  <c r="L445" i="8" s="1"/>
  <c r="O446" i="8"/>
  <c r="M446" i="8" s="1"/>
  <c r="L446" i="8" s="1"/>
  <c r="O447" i="8"/>
  <c r="M447" i="8" s="1"/>
  <c r="L447" i="8" s="1"/>
  <c r="O448" i="8"/>
  <c r="M448" i="8" s="1"/>
  <c r="L448" i="8" s="1"/>
  <c r="O449" i="8"/>
  <c r="M449" i="8" s="1"/>
  <c r="L449" i="8" s="1"/>
  <c r="O450" i="8"/>
  <c r="M450" i="8" s="1"/>
  <c r="L450" i="8" s="1"/>
  <c r="O451" i="8"/>
  <c r="M451" i="8" s="1"/>
  <c r="L451" i="8" s="1"/>
  <c r="O452" i="8"/>
  <c r="M452" i="8" s="1"/>
  <c r="L452" i="8" s="1"/>
  <c r="O453" i="8"/>
  <c r="M453" i="8" s="1"/>
  <c r="L453" i="8" s="1"/>
  <c r="O454" i="8"/>
  <c r="M454" i="8" s="1"/>
  <c r="L454" i="8" s="1"/>
  <c r="O455" i="8"/>
  <c r="M455" i="8" s="1"/>
  <c r="L455" i="8" s="1"/>
  <c r="O456" i="8"/>
  <c r="M456" i="8" s="1"/>
  <c r="L456" i="8" s="1"/>
  <c r="O457" i="8"/>
  <c r="M457" i="8" s="1"/>
  <c r="L457" i="8" s="1"/>
  <c r="O458" i="8"/>
  <c r="M458" i="8" s="1"/>
  <c r="L458" i="8" s="1"/>
  <c r="O459" i="8"/>
  <c r="M459" i="8" s="1"/>
  <c r="L459" i="8" s="1"/>
  <c r="O460" i="8"/>
  <c r="M460" i="8" s="1"/>
  <c r="L460" i="8" s="1"/>
  <c r="O461" i="8"/>
  <c r="M461" i="8" s="1"/>
  <c r="L461" i="8" s="1"/>
  <c r="O462" i="8"/>
  <c r="M462" i="8" s="1"/>
  <c r="L462" i="8" s="1"/>
  <c r="O463" i="8"/>
  <c r="M463" i="8" s="1"/>
  <c r="L463" i="8" s="1"/>
  <c r="O464" i="8"/>
  <c r="M464" i="8" s="1"/>
  <c r="L464" i="8" s="1"/>
  <c r="O465" i="8"/>
  <c r="M465" i="8" s="1"/>
  <c r="L465" i="8" s="1"/>
  <c r="O466" i="8"/>
  <c r="M466" i="8" s="1"/>
  <c r="L466" i="8" s="1"/>
  <c r="O467" i="8"/>
  <c r="M467" i="8" s="1"/>
  <c r="L467" i="8" s="1"/>
  <c r="O468" i="8"/>
  <c r="M468" i="8" s="1"/>
  <c r="L468" i="8" s="1"/>
  <c r="O469" i="8"/>
  <c r="M469" i="8" s="1"/>
  <c r="L469" i="8" s="1"/>
  <c r="O470" i="8"/>
  <c r="M470" i="8" s="1"/>
  <c r="L470" i="8" s="1"/>
  <c r="O471" i="8"/>
  <c r="M471" i="8" s="1"/>
  <c r="L471" i="8" s="1"/>
  <c r="E22" i="8"/>
  <c r="C22" i="8" s="1"/>
  <c r="B22" i="8" s="1"/>
  <c r="E23" i="8"/>
  <c r="C23" i="8" s="1"/>
  <c r="B23" i="8" s="1"/>
  <c r="E24" i="8"/>
  <c r="C24" i="8" s="1"/>
  <c r="B24" i="8" s="1"/>
  <c r="E25" i="8"/>
  <c r="C25" i="8" s="1"/>
  <c r="B25" i="8" s="1"/>
  <c r="E26" i="8"/>
  <c r="C26" i="8" s="1"/>
  <c r="B26" i="8" s="1"/>
  <c r="E27" i="8"/>
  <c r="C27" i="8" s="1"/>
  <c r="B27" i="8" s="1"/>
  <c r="E28" i="8"/>
  <c r="C28" i="8" s="1"/>
  <c r="B28" i="8" s="1"/>
  <c r="E29" i="8"/>
  <c r="C29" i="8" s="1"/>
  <c r="B29" i="8" s="1"/>
  <c r="E30" i="8"/>
  <c r="C30" i="8" s="1"/>
  <c r="B30" i="8" s="1"/>
  <c r="E31" i="8"/>
  <c r="C31" i="8" s="1"/>
  <c r="B31" i="8" s="1"/>
  <c r="E32" i="8"/>
  <c r="C32" i="8" s="1"/>
  <c r="B32" i="8" s="1"/>
  <c r="E33" i="8"/>
  <c r="C33" i="8" s="1"/>
  <c r="B33" i="8" s="1"/>
  <c r="E34" i="8"/>
  <c r="C34" i="8" s="1"/>
  <c r="B34" i="8" s="1"/>
  <c r="E35" i="8"/>
  <c r="C35" i="8" s="1"/>
  <c r="B35" i="8" s="1"/>
  <c r="E36" i="8"/>
  <c r="C36" i="8" s="1"/>
  <c r="B36" i="8" s="1"/>
  <c r="E37" i="8"/>
  <c r="C37" i="8" s="1"/>
  <c r="B37" i="8" s="1"/>
  <c r="E38" i="8"/>
  <c r="C38" i="8" s="1"/>
  <c r="B38" i="8" s="1"/>
  <c r="E39" i="8"/>
  <c r="C39" i="8" s="1"/>
  <c r="B39" i="8" s="1"/>
  <c r="E40" i="8"/>
  <c r="C40" i="8" s="1"/>
  <c r="B40" i="8" s="1"/>
  <c r="E41" i="8"/>
  <c r="C41" i="8" s="1"/>
  <c r="B41" i="8" s="1"/>
  <c r="E42" i="8"/>
  <c r="C42" i="8" s="1"/>
  <c r="B42" i="8" s="1"/>
  <c r="E43" i="8"/>
  <c r="C43" i="8" s="1"/>
  <c r="B43" i="8" s="1"/>
  <c r="E44" i="8"/>
  <c r="C44" i="8" s="1"/>
  <c r="B44" i="8" s="1"/>
  <c r="E45" i="8"/>
  <c r="C45" i="8" s="1"/>
  <c r="B45" i="8" s="1"/>
  <c r="E46" i="8"/>
  <c r="C46" i="8" s="1"/>
  <c r="B46" i="8" s="1"/>
  <c r="E47" i="8"/>
  <c r="C47" i="8" s="1"/>
  <c r="B47" i="8" s="1"/>
  <c r="E48" i="8"/>
  <c r="C48" i="8" s="1"/>
  <c r="B48" i="8" s="1"/>
  <c r="E49" i="8"/>
  <c r="C49" i="8" s="1"/>
  <c r="B49" i="8" s="1"/>
  <c r="E50" i="8"/>
  <c r="C50" i="8" s="1"/>
  <c r="B50" i="8" s="1"/>
  <c r="E51" i="8"/>
  <c r="C51" i="8" s="1"/>
  <c r="B51" i="8" s="1"/>
  <c r="E52" i="8"/>
  <c r="C52" i="8" s="1"/>
  <c r="B52" i="8" s="1"/>
  <c r="E53" i="8"/>
  <c r="C53" i="8" s="1"/>
  <c r="B53" i="8" s="1"/>
  <c r="E54" i="8"/>
  <c r="C54" i="8" s="1"/>
  <c r="B54" i="8" s="1"/>
  <c r="E55" i="8"/>
  <c r="C55" i="8" s="1"/>
  <c r="B55" i="8" s="1"/>
  <c r="E56" i="8"/>
  <c r="C56" i="8" s="1"/>
  <c r="B56" i="8" s="1"/>
  <c r="E57" i="8"/>
  <c r="C57" i="8" s="1"/>
  <c r="B57" i="8" s="1"/>
  <c r="E58" i="8"/>
  <c r="C58" i="8" s="1"/>
  <c r="B58" i="8" s="1"/>
  <c r="E59" i="8"/>
  <c r="C59" i="8" s="1"/>
  <c r="B59" i="8" s="1"/>
  <c r="E60" i="8"/>
  <c r="C60" i="8" s="1"/>
  <c r="B60" i="8" s="1"/>
  <c r="E61" i="8"/>
  <c r="C61" i="8" s="1"/>
  <c r="B61" i="8" s="1"/>
  <c r="E62" i="8"/>
  <c r="C62" i="8" s="1"/>
  <c r="B62" i="8" s="1"/>
  <c r="E63" i="8"/>
  <c r="C63" i="8" s="1"/>
  <c r="B63" i="8" s="1"/>
  <c r="E64" i="8"/>
  <c r="C64" i="8" s="1"/>
  <c r="B64" i="8" s="1"/>
  <c r="E65" i="8"/>
  <c r="C65" i="8" s="1"/>
  <c r="B65" i="8" s="1"/>
  <c r="E66" i="8"/>
  <c r="C66" i="8" s="1"/>
  <c r="B66" i="8" s="1"/>
  <c r="E67" i="8"/>
  <c r="C67" i="8" s="1"/>
  <c r="B67" i="8" s="1"/>
  <c r="E68" i="8"/>
  <c r="C68" i="8" s="1"/>
  <c r="B68" i="8" s="1"/>
  <c r="E69" i="8"/>
  <c r="C69" i="8" s="1"/>
  <c r="B69" i="8" s="1"/>
  <c r="E70" i="8"/>
  <c r="C70" i="8" s="1"/>
  <c r="B70" i="8" s="1"/>
  <c r="E71" i="8"/>
  <c r="C71" i="8" s="1"/>
  <c r="B71" i="8" s="1"/>
  <c r="E72" i="8"/>
  <c r="C72" i="8" s="1"/>
  <c r="B72" i="8" s="1"/>
  <c r="E73" i="8"/>
  <c r="C73" i="8" s="1"/>
  <c r="B73" i="8" s="1"/>
  <c r="E74" i="8"/>
  <c r="C74" i="8" s="1"/>
  <c r="B74" i="8" s="1"/>
  <c r="E75" i="8"/>
  <c r="C75" i="8" s="1"/>
  <c r="B75" i="8" s="1"/>
  <c r="E76" i="8"/>
  <c r="C76" i="8" s="1"/>
  <c r="B76" i="8" s="1"/>
  <c r="E77" i="8"/>
  <c r="C77" i="8" s="1"/>
  <c r="B77" i="8" s="1"/>
  <c r="E78" i="8"/>
  <c r="C78" i="8" s="1"/>
  <c r="B78" i="8" s="1"/>
  <c r="E79" i="8"/>
  <c r="C79" i="8" s="1"/>
  <c r="B79" i="8" s="1"/>
  <c r="E80" i="8"/>
  <c r="C80" i="8" s="1"/>
  <c r="B80" i="8" s="1"/>
  <c r="E81" i="8"/>
  <c r="C81" i="8" s="1"/>
  <c r="B81" i="8" s="1"/>
  <c r="E82" i="8"/>
  <c r="C82" i="8" s="1"/>
  <c r="B82" i="8" s="1"/>
  <c r="E83" i="8"/>
  <c r="C83" i="8" s="1"/>
  <c r="B83" i="8" s="1"/>
  <c r="E84" i="8"/>
  <c r="C84" i="8" s="1"/>
  <c r="B84" i="8" s="1"/>
  <c r="E85" i="8"/>
  <c r="C85" i="8" s="1"/>
  <c r="B85" i="8" s="1"/>
  <c r="E86" i="8"/>
  <c r="C86" i="8" s="1"/>
  <c r="B86" i="8" s="1"/>
  <c r="E87" i="8"/>
  <c r="C87" i="8" s="1"/>
  <c r="B87" i="8" s="1"/>
  <c r="E88" i="8"/>
  <c r="C88" i="8" s="1"/>
  <c r="B88" i="8" s="1"/>
  <c r="E89" i="8"/>
  <c r="C89" i="8" s="1"/>
  <c r="B89" i="8" s="1"/>
  <c r="E90" i="8"/>
  <c r="C90" i="8" s="1"/>
  <c r="B90" i="8" s="1"/>
  <c r="E91" i="8"/>
  <c r="C91" i="8" s="1"/>
  <c r="B91" i="8" s="1"/>
  <c r="E92" i="8"/>
  <c r="C92" i="8" s="1"/>
  <c r="B92" i="8" s="1"/>
  <c r="E93" i="8"/>
  <c r="C93" i="8" s="1"/>
  <c r="B93" i="8" s="1"/>
  <c r="E94" i="8"/>
  <c r="C94" i="8" s="1"/>
  <c r="B94" i="8" s="1"/>
  <c r="E95" i="8"/>
  <c r="C95" i="8" s="1"/>
  <c r="B95" i="8" s="1"/>
  <c r="E96" i="8"/>
  <c r="C96" i="8" s="1"/>
  <c r="B96" i="8" s="1"/>
  <c r="E97" i="8"/>
  <c r="C97" i="8" s="1"/>
  <c r="B97" i="8" s="1"/>
  <c r="E98" i="8"/>
  <c r="C98" i="8" s="1"/>
  <c r="B98" i="8" s="1"/>
  <c r="E99" i="8"/>
  <c r="C99" i="8" s="1"/>
  <c r="B99" i="8" s="1"/>
  <c r="E100" i="8"/>
  <c r="C100" i="8" s="1"/>
  <c r="B100" i="8" s="1"/>
  <c r="E101" i="8"/>
  <c r="C101" i="8" s="1"/>
  <c r="B101" i="8" s="1"/>
  <c r="E102" i="8"/>
  <c r="C102" i="8" s="1"/>
  <c r="B102" i="8" s="1"/>
  <c r="E103" i="8"/>
  <c r="C103" i="8" s="1"/>
  <c r="B103" i="8" s="1"/>
  <c r="E104" i="8"/>
  <c r="C104" i="8" s="1"/>
  <c r="B104" i="8" s="1"/>
  <c r="E105" i="8"/>
  <c r="C105" i="8" s="1"/>
  <c r="B105" i="8" s="1"/>
  <c r="E106" i="8"/>
  <c r="C106" i="8" s="1"/>
  <c r="B106" i="8" s="1"/>
  <c r="E107" i="8"/>
  <c r="C107" i="8" s="1"/>
  <c r="B107" i="8" s="1"/>
  <c r="E108" i="8"/>
  <c r="C108" i="8" s="1"/>
  <c r="B108" i="8" s="1"/>
  <c r="E109" i="8"/>
  <c r="C109" i="8" s="1"/>
  <c r="B109" i="8" s="1"/>
  <c r="E110" i="8"/>
  <c r="C110" i="8" s="1"/>
  <c r="B110" i="8" s="1"/>
  <c r="E111" i="8"/>
  <c r="C111" i="8" s="1"/>
  <c r="B111" i="8" s="1"/>
  <c r="E112" i="8"/>
  <c r="C112" i="8" s="1"/>
  <c r="B112" i="8" s="1"/>
  <c r="E113" i="8"/>
  <c r="C113" i="8" s="1"/>
  <c r="B113" i="8" s="1"/>
  <c r="E114" i="8"/>
  <c r="C114" i="8" s="1"/>
  <c r="B114" i="8" s="1"/>
  <c r="E115" i="8"/>
  <c r="C115" i="8" s="1"/>
  <c r="B115" i="8" s="1"/>
  <c r="E116" i="8"/>
  <c r="C116" i="8" s="1"/>
  <c r="B116" i="8" s="1"/>
  <c r="E117" i="8"/>
  <c r="C117" i="8" s="1"/>
  <c r="B117" i="8" s="1"/>
  <c r="E118" i="8"/>
  <c r="C118" i="8" s="1"/>
  <c r="B118" i="8" s="1"/>
  <c r="E119" i="8"/>
  <c r="C119" i="8" s="1"/>
  <c r="B119" i="8" s="1"/>
  <c r="E120" i="8"/>
  <c r="C120" i="8" s="1"/>
  <c r="B120" i="8" s="1"/>
  <c r="E121" i="8"/>
  <c r="C121" i="8" s="1"/>
  <c r="B121" i="8" s="1"/>
  <c r="E122" i="8"/>
  <c r="C122" i="8" s="1"/>
  <c r="B122" i="8" s="1"/>
  <c r="E123" i="8"/>
  <c r="C123" i="8" s="1"/>
  <c r="B123" i="8" s="1"/>
  <c r="E124" i="8"/>
  <c r="C124" i="8" s="1"/>
  <c r="B124" i="8" s="1"/>
  <c r="E125" i="8"/>
  <c r="C125" i="8" s="1"/>
  <c r="B125" i="8" s="1"/>
  <c r="E126" i="8"/>
  <c r="C126" i="8" s="1"/>
  <c r="B126" i="8" s="1"/>
  <c r="E127" i="8"/>
  <c r="C127" i="8" s="1"/>
  <c r="B127" i="8" s="1"/>
  <c r="E128" i="8"/>
  <c r="C128" i="8" s="1"/>
  <c r="B128" i="8" s="1"/>
  <c r="E129" i="8"/>
  <c r="C129" i="8" s="1"/>
  <c r="B129" i="8" s="1"/>
  <c r="E130" i="8"/>
  <c r="C130" i="8" s="1"/>
  <c r="B130" i="8" s="1"/>
  <c r="E131" i="8"/>
  <c r="C131" i="8" s="1"/>
  <c r="B131" i="8" s="1"/>
  <c r="E132" i="8"/>
  <c r="C132" i="8" s="1"/>
  <c r="B132" i="8" s="1"/>
  <c r="E133" i="8"/>
  <c r="C133" i="8" s="1"/>
  <c r="B133" i="8" s="1"/>
  <c r="E134" i="8"/>
  <c r="C134" i="8" s="1"/>
  <c r="B134" i="8" s="1"/>
  <c r="E135" i="8"/>
  <c r="C135" i="8" s="1"/>
  <c r="B135" i="8" s="1"/>
  <c r="E136" i="8"/>
  <c r="C136" i="8" s="1"/>
  <c r="B136" i="8" s="1"/>
  <c r="E137" i="8"/>
  <c r="C137" i="8" s="1"/>
  <c r="B137" i="8" s="1"/>
  <c r="E138" i="8"/>
  <c r="C138" i="8" s="1"/>
  <c r="B138" i="8" s="1"/>
  <c r="E139" i="8"/>
  <c r="C139" i="8" s="1"/>
  <c r="B139" i="8" s="1"/>
  <c r="E140" i="8"/>
  <c r="C140" i="8" s="1"/>
  <c r="B140" i="8" s="1"/>
  <c r="E141" i="8"/>
  <c r="C141" i="8" s="1"/>
  <c r="B141" i="8" s="1"/>
  <c r="E142" i="8"/>
  <c r="C142" i="8" s="1"/>
  <c r="B142" i="8" s="1"/>
  <c r="E143" i="8"/>
  <c r="C143" i="8" s="1"/>
  <c r="B143" i="8" s="1"/>
  <c r="E144" i="8"/>
  <c r="C144" i="8" s="1"/>
  <c r="B144" i="8" s="1"/>
  <c r="E145" i="8"/>
  <c r="C145" i="8" s="1"/>
  <c r="B145" i="8" s="1"/>
  <c r="E146" i="8"/>
  <c r="C146" i="8" s="1"/>
  <c r="B146" i="8" s="1"/>
  <c r="E147" i="8"/>
  <c r="C147" i="8" s="1"/>
  <c r="B147" i="8" s="1"/>
  <c r="E148" i="8"/>
  <c r="C148" i="8" s="1"/>
  <c r="B148" i="8" s="1"/>
  <c r="E149" i="8"/>
  <c r="C149" i="8" s="1"/>
  <c r="B149" i="8" s="1"/>
  <c r="E150" i="8"/>
  <c r="C150" i="8" s="1"/>
  <c r="B150" i="8" s="1"/>
  <c r="E151" i="8"/>
  <c r="C151" i="8" s="1"/>
  <c r="B151" i="8" s="1"/>
  <c r="E152" i="8"/>
  <c r="C152" i="8" s="1"/>
  <c r="B152" i="8" s="1"/>
  <c r="E153" i="8"/>
  <c r="C153" i="8" s="1"/>
  <c r="B153" i="8" s="1"/>
  <c r="E154" i="8"/>
  <c r="C154" i="8" s="1"/>
  <c r="B154" i="8" s="1"/>
  <c r="E155" i="8"/>
  <c r="C155" i="8" s="1"/>
  <c r="B155" i="8" s="1"/>
  <c r="E156" i="8"/>
  <c r="C156" i="8" s="1"/>
  <c r="B156" i="8" s="1"/>
  <c r="E157" i="8"/>
  <c r="C157" i="8" s="1"/>
  <c r="B157" i="8" s="1"/>
  <c r="E158" i="8"/>
  <c r="C158" i="8" s="1"/>
  <c r="B158" i="8" s="1"/>
  <c r="E159" i="8"/>
  <c r="C159" i="8" s="1"/>
  <c r="B159" i="8" s="1"/>
  <c r="E160" i="8"/>
  <c r="C160" i="8" s="1"/>
  <c r="B160" i="8" s="1"/>
  <c r="E161" i="8"/>
  <c r="C161" i="8" s="1"/>
  <c r="B161" i="8" s="1"/>
  <c r="E162" i="8"/>
  <c r="C162" i="8" s="1"/>
  <c r="B162" i="8" s="1"/>
  <c r="E163" i="8"/>
  <c r="C163" i="8" s="1"/>
  <c r="B163" i="8" s="1"/>
  <c r="E164" i="8"/>
  <c r="C164" i="8" s="1"/>
  <c r="B164" i="8" s="1"/>
  <c r="E165" i="8"/>
  <c r="C165" i="8" s="1"/>
  <c r="B165" i="8" s="1"/>
  <c r="E166" i="8"/>
  <c r="C166" i="8" s="1"/>
  <c r="B166" i="8" s="1"/>
  <c r="E167" i="8"/>
  <c r="C167" i="8" s="1"/>
  <c r="B167" i="8" s="1"/>
  <c r="E168" i="8"/>
  <c r="C168" i="8" s="1"/>
  <c r="B168" i="8" s="1"/>
  <c r="E169" i="8"/>
  <c r="C169" i="8" s="1"/>
  <c r="B169" i="8" s="1"/>
  <c r="E170" i="8"/>
  <c r="C170" i="8" s="1"/>
  <c r="B170" i="8" s="1"/>
  <c r="E171" i="8"/>
  <c r="C171" i="8" s="1"/>
  <c r="B171" i="8" s="1"/>
  <c r="E172" i="8"/>
  <c r="C172" i="8" s="1"/>
  <c r="B172" i="8" s="1"/>
  <c r="E173" i="8"/>
  <c r="C173" i="8" s="1"/>
  <c r="B173" i="8" s="1"/>
  <c r="E174" i="8"/>
  <c r="C174" i="8" s="1"/>
  <c r="B174" i="8" s="1"/>
  <c r="E175" i="8"/>
  <c r="C175" i="8" s="1"/>
  <c r="B175" i="8" s="1"/>
  <c r="E176" i="8"/>
  <c r="C176" i="8" s="1"/>
  <c r="B176" i="8" s="1"/>
  <c r="E177" i="8"/>
  <c r="C177" i="8" s="1"/>
  <c r="B177" i="8" s="1"/>
  <c r="E178" i="8"/>
  <c r="C178" i="8" s="1"/>
  <c r="B178" i="8" s="1"/>
  <c r="E179" i="8"/>
  <c r="C179" i="8" s="1"/>
  <c r="B179" i="8" s="1"/>
  <c r="E180" i="8"/>
  <c r="C180" i="8" s="1"/>
  <c r="B180" i="8" s="1"/>
  <c r="E181" i="8"/>
  <c r="C181" i="8" s="1"/>
  <c r="B181" i="8" s="1"/>
  <c r="E182" i="8"/>
  <c r="C182" i="8" s="1"/>
  <c r="B182" i="8" s="1"/>
  <c r="E183" i="8"/>
  <c r="C183" i="8" s="1"/>
  <c r="B183" i="8" s="1"/>
  <c r="E184" i="8"/>
  <c r="C184" i="8" s="1"/>
  <c r="B184" i="8" s="1"/>
  <c r="E185" i="8"/>
  <c r="C185" i="8" s="1"/>
  <c r="B185" i="8" s="1"/>
  <c r="E186" i="8"/>
  <c r="C186" i="8" s="1"/>
  <c r="B186" i="8" s="1"/>
  <c r="E187" i="8"/>
  <c r="C187" i="8" s="1"/>
  <c r="B187" i="8" s="1"/>
  <c r="E188" i="8"/>
  <c r="C188" i="8" s="1"/>
  <c r="B188" i="8" s="1"/>
  <c r="E189" i="8"/>
  <c r="C189" i="8" s="1"/>
  <c r="B189" i="8" s="1"/>
  <c r="E190" i="8"/>
  <c r="C190" i="8" s="1"/>
  <c r="B190" i="8" s="1"/>
  <c r="E191" i="8"/>
  <c r="C191" i="8" s="1"/>
  <c r="B191" i="8" s="1"/>
  <c r="E192" i="8"/>
  <c r="C192" i="8" s="1"/>
  <c r="B192" i="8" s="1"/>
  <c r="E193" i="8"/>
  <c r="C193" i="8" s="1"/>
  <c r="B193" i="8" s="1"/>
  <c r="E194" i="8"/>
  <c r="C194" i="8" s="1"/>
  <c r="B194" i="8" s="1"/>
  <c r="E195" i="8"/>
  <c r="C195" i="8" s="1"/>
  <c r="B195" i="8" s="1"/>
  <c r="E196" i="8"/>
  <c r="C196" i="8" s="1"/>
  <c r="B196" i="8" s="1"/>
  <c r="E197" i="8"/>
  <c r="C197" i="8" s="1"/>
  <c r="B197" i="8" s="1"/>
  <c r="E198" i="8"/>
  <c r="C198" i="8" s="1"/>
  <c r="B198" i="8" s="1"/>
  <c r="E199" i="8"/>
  <c r="C199" i="8" s="1"/>
  <c r="B199" i="8" s="1"/>
  <c r="E200" i="8"/>
  <c r="C200" i="8" s="1"/>
  <c r="B200" i="8" s="1"/>
  <c r="E201" i="8"/>
  <c r="C201" i="8" s="1"/>
  <c r="B201" i="8" s="1"/>
  <c r="E202" i="8"/>
  <c r="C202" i="8" s="1"/>
  <c r="B202" i="8" s="1"/>
  <c r="E203" i="8"/>
  <c r="C203" i="8" s="1"/>
  <c r="B203" i="8" s="1"/>
  <c r="E204" i="8"/>
  <c r="C204" i="8" s="1"/>
  <c r="B204" i="8" s="1"/>
  <c r="E205" i="8"/>
  <c r="C205" i="8" s="1"/>
  <c r="B205" i="8" s="1"/>
  <c r="E206" i="8"/>
  <c r="C206" i="8" s="1"/>
  <c r="B206" i="8" s="1"/>
  <c r="E207" i="8"/>
  <c r="C207" i="8" s="1"/>
  <c r="B207" i="8" s="1"/>
  <c r="E208" i="8"/>
  <c r="C208" i="8" s="1"/>
  <c r="B208" i="8" s="1"/>
  <c r="E209" i="8"/>
  <c r="C209" i="8" s="1"/>
  <c r="B209" i="8" s="1"/>
  <c r="E210" i="8"/>
  <c r="C210" i="8" s="1"/>
  <c r="B210" i="8" s="1"/>
  <c r="E211" i="8"/>
  <c r="C211" i="8" s="1"/>
  <c r="B211" i="8" s="1"/>
  <c r="E212" i="8"/>
  <c r="C212" i="8" s="1"/>
  <c r="B212" i="8" s="1"/>
  <c r="E213" i="8"/>
  <c r="C213" i="8" s="1"/>
  <c r="B213" i="8" s="1"/>
  <c r="E214" i="8"/>
  <c r="C214" i="8" s="1"/>
  <c r="B214" i="8" s="1"/>
  <c r="E215" i="8"/>
  <c r="C215" i="8" s="1"/>
  <c r="B215" i="8" s="1"/>
  <c r="E216" i="8"/>
  <c r="C216" i="8" s="1"/>
  <c r="B216" i="8" s="1"/>
  <c r="E217" i="8"/>
  <c r="C217" i="8" s="1"/>
  <c r="B217" i="8" s="1"/>
  <c r="E218" i="8"/>
  <c r="C218" i="8" s="1"/>
  <c r="B218" i="8" s="1"/>
  <c r="E219" i="8"/>
  <c r="C219" i="8" s="1"/>
  <c r="B219" i="8" s="1"/>
  <c r="E220" i="8"/>
  <c r="C220" i="8" s="1"/>
  <c r="B220" i="8" s="1"/>
  <c r="E221" i="8"/>
  <c r="C221" i="8" s="1"/>
  <c r="B221" i="8" s="1"/>
  <c r="E222" i="8"/>
  <c r="C222" i="8" s="1"/>
  <c r="B222" i="8" s="1"/>
  <c r="E223" i="8"/>
  <c r="C223" i="8" s="1"/>
  <c r="B223" i="8" s="1"/>
  <c r="E224" i="8"/>
  <c r="C224" i="8" s="1"/>
  <c r="B224" i="8" s="1"/>
  <c r="E225" i="8"/>
  <c r="C225" i="8" s="1"/>
  <c r="B225" i="8" s="1"/>
  <c r="E226" i="8"/>
  <c r="C226" i="8" s="1"/>
  <c r="B226" i="8" s="1"/>
  <c r="E227" i="8"/>
  <c r="C227" i="8" s="1"/>
  <c r="B227" i="8" s="1"/>
  <c r="E228" i="8"/>
  <c r="C228" i="8" s="1"/>
  <c r="B228" i="8" s="1"/>
  <c r="E229" i="8"/>
  <c r="C229" i="8" s="1"/>
  <c r="B229" i="8" s="1"/>
  <c r="E230" i="8"/>
  <c r="C230" i="8" s="1"/>
  <c r="B230" i="8" s="1"/>
  <c r="E231" i="8"/>
  <c r="C231" i="8" s="1"/>
  <c r="B231" i="8" s="1"/>
  <c r="E232" i="8"/>
  <c r="C232" i="8" s="1"/>
  <c r="B232" i="8" s="1"/>
  <c r="E233" i="8"/>
  <c r="C233" i="8" s="1"/>
  <c r="B233" i="8" s="1"/>
  <c r="E234" i="8"/>
  <c r="C234" i="8" s="1"/>
  <c r="B234" i="8" s="1"/>
  <c r="E235" i="8"/>
  <c r="C235" i="8" s="1"/>
  <c r="B235" i="8" s="1"/>
  <c r="E236" i="8"/>
  <c r="C236" i="8" s="1"/>
  <c r="B236" i="8" s="1"/>
  <c r="E237" i="8"/>
  <c r="C237" i="8" s="1"/>
  <c r="B237" i="8" s="1"/>
  <c r="E238" i="8"/>
  <c r="C238" i="8" s="1"/>
  <c r="B238" i="8" s="1"/>
  <c r="E239" i="8"/>
  <c r="C239" i="8" s="1"/>
  <c r="B239" i="8" s="1"/>
  <c r="E240" i="8"/>
  <c r="C240" i="8" s="1"/>
  <c r="B240" i="8" s="1"/>
  <c r="E241" i="8"/>
  <c r="C241" i="8" s="1"/>
  <c r="B241" i="8" s="1"/>
  <c r="E242" i="8"/>
  <c r="C242" i="8" s="1"/>
  <c r="B242" i="8" s="1"/>
  <c r="E243" i="8"/>
  <c r="C243" i="8" s="1"/>
  <c r="B243" i="8" s="1"/>
  <c r="E244" i="8"/>
  <c r="C244" i="8" s="1"/>
  <c r="B244" i="8" s="1"/>
  <c r="E245" i="8"/>
  <c r="C245" i="8" s="1"/>
  <c r="B245" i="8" s="1"/>
  <c r="E246" i="8"/>
  <c r="C246" i="8" s="1"/>
  <c r="B246" i="8" s="1"/>
  <c r="E247" i="8"/>
  <c r="C247" i="8" s="1"/>
  <c r="B247" i="8" s="1"/>
  <c r="E248" i="8"/>
  <c r="C248" i="8" s="1"/>
  <c r="B248" i="8" s="1"/>
  <c r="E249" i="8"/>
  <c r="C249" i="8" s="1"/>
  <c r="B249" i="8" s="1"/>
  <c r="E250" i="8"/>
  <c r="C250" i="8" s="1"/>
  <c r="B250" i="8" s="1"/>
  <c r="E251" i="8"/>
  <c r="C251" i="8" s="1"/>
  <c r="B251" i="8" s="1"/>
  <c r="E252" i="8"/>
  <c r="C252" i="8" s="1"/>
  <c r="B252" i="8" s="1"/>
  <c r="E253" i="8"/>
  <c r="C253" i="8" s="1"/>
  <c r="B253" i="8" s="1"/>
  <c r="E254" i="8"/>
  <c r="C254" i="8" s="1"/>
  <c r="B254" i="8" s="1"/>
  <c r="E255" i="8"/>
  <c r="C255" i="8" s="1"/>
  <c r="B255" i="8" s="1"/>
  <c r="E256" i="8"/>
  <c r="C256" i="8" s="1"/>
  <c r="B256" i="8" s="1"/>
  <c r="E257" i="8"/>
  <c r="C257" i="8" s="1"/>
  <c r="B257" i="8" s="1"/>
  <c r="E258" i="8"/>
  <c r="C258" i="8" s="1"/>
  <c r="B258" i="8" s="1"/>
  <c r="E259" i="8"/>
  <c r="C259" i="8" s="1"/>
  <c r="B259" i="8" s="1"/>
  <c r="E260" i="8"/>
  <c r="C260" i="8" s="1"/>
  <c r="B260" i="8" s="1"/>
  <c r="E261" i="8"/>
  <c r="C261" i="8" s="1"/>
  <c r="B261" i="8" s="1"/>
  <c r="E262" i="8"/>
  <c r="C262" i="8" s="1"/>
  <c r="B262" i="8" s="1"/>
  <c r="E263" i="8"/>
  <c r="C263" i="8" s="1"/>
  <c r="B263" i="8" s="1"/>
  <c r="E264" i="8"/>
  <c r="C264" i="8" s="1"/>
  <c r="B264" i="8" s="1"/>
  <c r="E265" i="8"/>
  <c r="C265" i="8" s="1"/>
  <c r="B265" i="8" s="1"/>
  <c r="E266" i="8"/>
  <c r="C266" i="8" s="1"/>
  <c r="B266" i="8" s="1"/>
  <c r="E267" i="8"/>
  <c r="C267" i="8" s="1"/>
  <c r="B267" i="8" s="1"/>
  <c r="E268" i="8"/>
  <c r="C268" i="8" s="1"/>
  <c r="B268" i="8" s="1"/>
  <c r="E269" i="8"/>
  <c r="C269" i="8" s="1"/>
  <c r="B269" i="8" s="1"/>
  <c r="E270" i="8"/>
  <c r="C270" i="8" s="1"/>
  <c r="B270" i="8" s="1"/>
  <c r="E271" i="8"/>
  <c r="C271" i="8" s="1"/>
  <c r="B271" i="8" s="1"/>
  <c r="E272" i="8"/>
  <c r="C272" i="8" s="1"/>
  <c r="B272" i="8" s="1"/>
  <c r="E273" i="8"/>
  <c r="C273" i="8" s="1"/>
  <c r="B273" i="8" s="1"/>
  <c r="E274" i="8"/>
  <c r="C274" i="8" s="1"/>
  <c r="B274" i="8" s="1"/>
  <c r="E275" i="8"/>
  <c r="C275" i="8" s="1"/>
  <c r="B275" i="8" s="1"/>
  <c r="E276" i="8"/>
  <c r="C276" i="8" s="1"/>
  <c r="B276" i="8" s="1"/>
  <c r="E277" i="8"/>
  <c r="C277" i="8" s="1"/>
  <c r="B277" i="8" s="1"/>
  <c r="E278" i="8"/>
  <c r="C278" i="8" s="1"/>
  <c r="B278" i="8" s="1"/>
  <c r="E279" i="8"/>
  <c r="C279" i="8" s="1"/>
  <c r="B279" i="8" s="1"/>
  <c r="E280" i="8"/>
  <c r="C280" i="8" s="1"/>
  <c r="B280" i="8" s="1"/>
  <c r="E281" i="8"/>
  <c r="C281" i="8" s="1"/>
  <c r="B281" i="8" s="1"/>
  <c r="E282" i="8"/>
  <c r="C282" i="8" s="1"/>
  <c r="B282" i="8" s="1"/>
  <c r="E283" i="8"/>
  <c r="C283" i="8" s="1"/>
  <c r="B283" i="8" s="1"/>
  <c r="E284" i="8"/>
  <c r="C284" i="8" s="1"/>
  <c r="B284" i="8" s="1"/>
  <c r="E285" i="8"/>
  <c r="C285" i="8" s="1"/>
  <c r="B285" i="8" s="1"/>
  <c r="E286" i="8"/>
  <c r="C286" i="8" s="1"/>
  <c r="B286" i="8" s="1"/>
  <c r="E287" i="8"/>
  <c r="C287" i="8" s="1"/>
  <c r="B287" i="8" s="1"/>
  <c r="E288" i="8"/>
  <c r="C288" i="8" s="1"/>
  <c r="B288" i="8" s="1"/>
  <c r="E289" i="8"/>
  <c r="C289" i="8" s="1"/>
  <c r="B289" i="8" s="1"/>
  <c r="E290" i="8"/>
  <c r="C290" i="8" s="1"/>
  <c r="B290" i="8" s="1"/>
  <c r="E291" i="8"/>
  <c r="C291" i="8" s="1"/>
  <c r="B291" i="8" s="1"/>
  <c r="E292" i="8"/>
  <c r="C292" i="8" s="1"/>
  <c r="B292" i="8" s="1"/>
  <c r="E293" i="8"/>
  <c r="C293" i="8" s="1"/>
  <c r="B293" i="8" s="1"/>
  <c r="E294" i="8"/>
  <c r="C294" i="8" s="1"/>
  <c r="B294" i="8" s="1"/>
  <c r="E295" i="8"/>
  <c r="C295" i="8" s="1"/>
  <c r="B295" i="8" s="1"/>
  <c r="E296" i="8"/>
  <c r="C296" i="8" s="1"/>
  <c r="B296" i="8" s="1"/>
  <c r="E297" i="8"/>
  <c r="C297" i="8" s="1"/>
  <c r="B297" i="8" s="1"/>
  <c r="E298" i="8"/>
  <c r="C298" i="8" s="1"/>
  <c r="B298" i="8" s="1"/>
  <c r="E299" i="8"/>
  <c r="C299" i="8" s="1"/>
  <c r="B299" i="8" s="1"/>
  <c r="E300" i="8"/>
  <c r="C300" i="8" s="1"/>
  <c r="B300" i="8" s="1"/>
  <c r="E301" i="8"/>
  <c r="C301" i="8" s="1"/>
  <c r="B301" i="8" s="1"/>
  <c r="E302" i="8"/>
  <c r="C302" i="8" s="1"/>
  <c r="B302" i="8" s="1"/>
  <c r="E303" i="8"/>
  <c r="C303" i="8" s="1"/>
  <c r="B303" i="8" s="1"/>
  <c r="E304" i="8"/>
  <c r="C304" i="8" s="1"/>
  <c r="B304" i="8" s="1"/>
  <c r="E305" i="8"/>
  <c r="C305" i="8" s="1"/>
  <c r="B305" i="8" s="1"/>
  <c r="E306" i="8"/>
  <c r="C306" i="8" s="1"/>
  <c r="B306" i="8" s="1"/>
  <c r="E307" i="8"/>
  <c r="C307" i="8" s="1"/>
  <c r="B307" i="8" s="1"/>
  <c r="E308" i="8"/>
  <c r="C308" i="8" s="1"/>
  <c r="B308" i="8" s="1"/>
  <c r="E309" i="8"/>
  <c r="C309" i="8" s="1"/>
  <c r="B309" i="8" s="1"/>
  <c r="E310" i="8"/>
  <c r="C310" i="8" s="1"/>
  <c r="B310" i="8" s="1"/>
  <c r="E311" i="8"/>
  <c r="C311" i="8" s="1"/>
  <c r="B311" i="8" s="1"/>
  <c r="E312" i="8"/>
  <c r="C312" i="8" s="1"/>
  <c r="B312" i="8" s="1"/>
  <c r="E313" i="8"/>
  <c r="C313" i="8" s="1"/>
  <c r="B313" i="8" s="1"/>
  <c r="E314" i="8"/>
  <c r="C314" i="8" s="1"/>
  <c r="B314" i="8" s="1"/>
  <c r="E315" i="8"/>
  <c r="C315" i="8" s="1"/>
  <c r="B315" i="8" s="1"/>
  <c r="E316" i="8"/>
  <c r="C316" i="8" s="1"/>
  <c r="B316" i="8" s="1"/>
  <c r="E317" i="8"/>
  <c r="C317" i="8" s="1"/>
  <c r="B317" i="8" s="1"/>
  <c r="E318" i="8"/>
  <c r="C318" i="8" s="1"/>
  <c r="B318" i="8" s="1"/>
  <c r="E319" i="8"/>
  <c r="C319" i="8" s="1"/>
  <c r="B319" i="8" s="1"/>
  <c r="E320" i="8"/>
  <c r="C320" i="8" s="1"/>
  <c r="B320" i="8" s="1"/>
  <c r="E321" i="8"/>
  <c r="C321" i="8" s="1"/>
  <c r="B321" i="8" s="1"/>
  <c r="E322" i="8"/>
  <c r="C322" i="8" s="1"/>
  <c r="B322" i="8" s="1"/>
  <c r="E323" i="8"/>
  <c r="C323" i="8" s="1"/>
  <c r="B323" i="8" s="1"/>
  <c r="E324" i="8"/>
  <c r="C324" i="8" s="1"/>
  <c r="B324" i="8" s="1"/>
  <c r="E325" i="8"/>
  <c r="C325" i="8" s="1"/>
  <c r="B325" i="8" s="1"/>
  <c r="E326" i="8"/>
  <c r="C326" i="8" s="1"/>
  <c r="B326" i="8" s="1"/>
  <c r="E327" i="8"/>
  <c r="C327" i="8" s="1"/>
  <c r="B327" i="8" s="1"/>
  <c r="E328" i="8"/>
  <c r="C328" i="8" s="1"/>
  <c r="B328" i="8" s="1"/>
  <c r="E329" i="8"/>
  <c r="C329" i="8" s="1"/>
  <c r="B329" i="8" s="1"/>
  <c r="E330" i="8"/>
  <c r="C330" i="8" s="1"/>
  <c r="B330" i="8" s="1"/>
  <c r="E331" i="8"/>
  <c r="C331" i="8" s="1"/>
  <c r="B331" i="8" s="1"/>
  <c r="E332" i="8"/>
  <c r="C332" i="8" s="1"/>
  <c r="B332" i="8" s="1"/>
  <c r="E333" i="8"/>
  <c r="C333" i="8" s="1"/>
  <c r="B333" i="8" s="1"/>
  <c r="E334" i="8"/>
  <c r="C334" i="8" s="1"/>
  <c r="B334" i="8" s="1"/>
  <c r="E335" i="8"/>
  <c r="C335" i="8" s="1"/>
  <c r="B335" i="8" s="1"/>
  <c r="E336" i="8"/>
  <c r="C336" i="8" s="1"/>
  <c r="B336" i="8" s="1"/>
  <c r="E337" i="8"/>
  <c r="C337" i="8" s="1"/>
  <c r="B337" i="8" s="1"/>
  <c r="E338" i="8"/>
  <c r="C338" i="8" s="1"/>
  <c r="B338" i="8" s="1"/>
  <c r="E339" i="8"/>
  <c r="C339" i="8" s="1"/>
  <c r="B339" i="8" s="1"/>
  <c r="E340" i="8"/>
  <c r="C340" i="8" s="1"/>
  <c r="B340" i="8" s="1"/>
  <c r="E341" i="8"/>
  <c r="C341" i="8" s="1"/>
  <c r="B341" i="8" s="1"/>
  <c r="E342" i="8"/>
  <c r="C342" i="8" s="1"/>
  <c r="B342" i="8" s="1"/>
  <c r="E343" i="8"/>
  <c r="C343" i="8" s="1"/>
  <c r="B343" i="8" s="1"/>
  <c r="E344" i="8"/>
  <c r="C344" i="8" s="1"/>
  <c r="B344" i="8" s="1"/>
  <c r="E345" i="8"/>
  <c r="C345" i="8" s="1"/>
  <c r="B345" i="8" s="1"/>
  <c r="E346" i="8"/>
  <c r="C346" i="8" s="1"/>
  <c r="B346" i="8" s="1"/>
  <c r="E347" i="8"/>
  <c r="C347" i="8" s="1"/>
  <c r="B347" i="8" s="1"/>
  <c r="E348" i="8"/>
  <c r="C348" i="8" s="1"/>
  <c r="B348" i="8" s="1"/>
  <c r="E349" i="8"/>
  <c r="C349" i="8" s="1"/>
  <c r="B349" i="8" s="1"/>
  <c r="E350" i="8"/>
  <c r="C350" i="8" s="1"/>
  <c r="B350" i="8" s="1"/>
  <c r="E351" i="8"/>
  <c r="C351" i="8" s="1"/>
  <c r="B351" i="8" s="1"/>
  <c r="E352" i="8"/>
  <c r="C352" i="8" s="1"/>
  <c r="B352" i="8" s="1"/>
  <c r="E353" i="8"/>
  <c r="C353" i="8" s="1"/>
  <c r="B353" i="8" s="1"/>
  <c r="E354" i="8"/>
  <c r="C354" i="8" s="1"/>
  <c r="B354" i="8" s="1"/>
  <c r="E355" i="8"/>
  <c r="C355" i="8" s="1"/>
  <c r="B355" i="8" s="1"/>
  <c r="E356" i="8"/>
  <c r="C356" i="8" s="1"/>
  <c r="B356" i="8" s="1"/>
  <c r="E357" i="8"/>
  <c r="C357" i="8" s="1"/>
  <c r="B357" i="8" s="1"/>
  <c r="E358" i="8"/>
  <c r="C358" i="8" s="1"/>
  <c r="B358" i="8" s="1"/>
  <c r="E359" i="8"/>
  <c r="C359" i="8" s="1"/>
  <c r="B359" i="8" s="1"/>
  <c r="E360" i="8"/>
  <c r="C360" i="8" s="1"/>
  <c r="B360" i="8" s="1"/>
  <c r="E361" i="8"/>
  <c r="C361" i="8" s="1"/>
  <c r="B361" i="8" s="1"/>
  <c r="E362" i="8"/>
  <c r="C362" i="8" s="1"/>
  <c r="B362" i="8" s="1"/>
  <c r="E363" i="8"/>
  <c r="C363" i="8" s="1"/>
  <c r="B363" i="8" s="1"/>
  <c r="E364" i="8"/>
  <c r="C364" i="8" s="1"/>
  <c r="B364" i="8" s="1"/>
  <c r="E365" i="8"/>
  <c r="C365" i="8" s="1"/>
  <c r="B365" i="8" s="1"/>
  <c r="E366" i="8"/>
  <c r="C366" i="8" s="1"/>
  <c r="B366" i="8" s="1"/>
  <c r="E367" i="8"/>
  <c r="C367" i="8" s="1"/>
  <c r="B367" i="8" s="1"/>
  <c r="E368" i="8"/>
  <c r="C368" i="8" s="1"/>
  <c r="B368" i="8" s="1"/>
  <c r="E369" i="8"/>
  <c r="C369" i="8" s="1"/>
  <c r="B369" i="8" s="1"/>
  <c r="E370" i="8"/>
  <c r="C370" i="8" s="1"/>
  <c r="B370" i="8" s="1"/>
  <c r="E371" i="8"/>
  <c r="C371" i="8" s="1"/>
  <c r="B371" i="8" s="1"/>
  <c r="E372" i="8"/>
  <c r="C372" i="8" s="1"/>
  <c r="B372" i="8" s="1"/>
  <c r="E373" i="8"/>
  <c r="C373" i="8" s="1"/>
  <c r="B373" i="8" s="1"/>
  <c r="E374" i="8"/>
  <c r="C374" i="8" s="1"/>
  <c r="B374" i="8" s="1"/>
  <c r="E375" i="8"/>
  <c r="C375" i="8" s="1"/>
  <c r="B375" i="8" s="1"/>
  <c r="E376" i="8"/>
  <c r="C376" i="8" s="1"/>
  <c r="B376" i="8" s="1"/>
  <c r="E377" i="8"/>
  <c r="C377" i="8" s="1"/>
  <c r="B377" i="8" s="1"/>
  <c r="E378" i="8"/>
  <c r="C378" i="8" s="1"/>
  <c r="B378" i="8" s="1"/>
  <c r="E379" i="8"/>
  <c r="C379" i="8" s="1"/>
  <c r="B379" i="8" s="1"/>
  <c r="E380" i="8"/>
  <c r="C380" i="8" s="1"/>
  <c r="B380" i="8" s="1"/>
  <c r="E381" i="8"/>
  <c r="C381" i="8" s="1"/>
  <c r="B381" i="8" s="1"/>
  <c r="E382" i="8"/>
  <c r="C382" i="8" s="1"/>
  <c r="B382" i="8" s="1"/>
  <c r="E383" i="8"/>
  <c r="C383" i="8" s="1"/>
  <c r="B383" i="8" s="1"/>
  <c r="E384" i="8"/>
  <c r="C384" i="8" s="1"/>
  <c r="B384" i="8" s="1"/>
  <c r="E385" i="8"/>
  <c r="C385" i="8" s="1"/>
  <c r="B385" i="8" s="1"/>
  <c r="E386" i="8"/>
  <c r="C386" i="8" s="1"/>
  <c r="B386" i="8" s="1"/>
  <c r="E387" i="8"/>
  <c r="C387" i="8" s="1"/>
  <c r="B387" i="8" s="1"/>
  <c r="E388" i="8"/>
  <c r="C388" i="8" s="1"/>
  <c r="B388" i="8" s="1"/>
  <c r="E389" i="8"/>
  <c r="C389" i="8" s="1"/>
  <c r="B389" i="8" s="1"/>
  <c r="E390" i="8"/>
  <c r="C390" i="8" s="1"/>
  <c r="B390" i="8" s="1"/>
  <c r="E391" i="8"/>
  <c r="C391" i="8" s="1"/>
  <c r="B391" i="8" s="1"/>
  <c r="E392" i="8"/>
  <c r="C392" i="8" s="1"/>
  <c r="B392" i="8" s="1"/>
  <c r="E393" i="8"/>
  <c r="C393" i="8" s="1"/>
  <c r="B393" i="8" s="1"/>
  <c r="E394" i="8"/>
  <c r="C394" i="8" s="1"/>
  <c r="B394" i="8" s="1"/>
  <c r="E395" i="8"/>
  <c r="C395" i="8" s="1"/>
  <c r="B395" i="8" s="1"/>
  <c r="E396" i="8"/>
  <c r="C396" i="8" s="1"/>
  <c r="B396" i="8" s="1"/>
  <c r="E397" i="8"/>
  <c r="C397" i="8" s="1"/>
  <c r="B397" i="8" s="1"/>
  <c r="E398" i="8"/>
  <c r="C398" i="8" s="1"/>
  <c r="B398" i="8" s="1"/>
  <c r="E399" i="8"/>
  <c r="C399" i="8" s="1"/>
  <c r="B399" i="8" s="1"/>
  <c r="E400" i="8"/>
  <c r="C400" i="8" s="1"/>
  <c r="B400" i="8" s="1"/>
  <c r="E401" i="8"/>
  <c r="C401" i="8" s="1"/>
  <c r="B401" i="8" s="1"/>
  <c r="E402" i="8"/>
  <c r="C402" i="8" s="1"/>
  <c r="B402" i="8" s="1"/>
  <c r="E403" i="8"/>
  <c r="C403" i="8" s="1"/>
  <c r="B403" i="8" s="1"/>
  <c r="E404" i="8"/>
  <c r="C404" i="8" s="1"/>
  <c r="B404" i="8" s="1"/>
  <c r="E405" i="8"/>
  <c r="C405" i="8" s="1"/>
  <c r="B405" i="8" s="1"/>
  <c r="E406" i="8"/>
  <c r="C406" i="8" s="1"/>
  <c r="B406" i="8" s="1"/>
  <c r="E407" i="8"/>
  <c r="C407" i="8" s="1"/>
  <c r="B407" i="8" s="1"/>
  <c r="E408" i="8"/>
  <c r="C408" i="8" s="1"/>
  <c r="B408" i="8" s="1"/>
  <c r="E409" i="8"/>
  <c r="C409" i="8" s="1"/>
  <c r="B409" i="8" s="1"/>
  <c r="E410" i="8"/>
  <c r="C410" i="8" s="1"/>
  <c r="B410" i="8" s="1"/>
  <c r="E411" i="8"/>
  <c r="C411" i="8" s="1"/>
  <c r="B411" i="8" s="1"/>
  <c r="E412" i="8"/>
  <c r="C412" i="8" s="1"/>
  <c r="B412" i="8" s="1"/>
  <c r="E413" i="8"/>
  <c r="C413" i="8" s="1"/>
  <c r="B413" i="8" s="1"/>
  <c r="E414" i="8"/>
  <c r="C414" i="8" s="1"/>
  <c r="B414" i="8" s="1"/>
  <c r="E415" i="8"/>
  <c r="C415" i="8" s="1"/>
  <c r="B415" i="8" s="1"/>
  <c r="E416" i="8"/>
  <c r="C416" i="8" s="1"/>
  <c r="B416" i="8" s="1"/>
  <c r="E417" i="8"/>
  <c r="C417" i="8" s="1"/>
  <c r="B417" i="8" s="1"/>
  <c r="E418" i="8"/>
  <c r="C418" i="8" s="1"/>
  <c r="B418" i="8" s="1"/>
  <c r="E419" i="8"/>
  <c r="C419" i="8" s="1"/>
  <c r="B419" i="8" s="1"/>
  <c r="E420" i="8"/>
  <c r="C420" i="8" s="1"/>
  <c r="B420" i="8" s="1"/>
  <c r="E421" i="8"/>
  <c r="C421" i="8" s="1"/>
  <c r="B421" i="8" s="1"/>
  <c r="E422" i="8"/>
  <c r="C422" i="8" s="1"/>
  <c r="B422" i="8" s="1"/>
  <c r="E423" i="8"/>
  <c r="C423" i="8" s="1"/>
  <c r="B423" i="8" s="1"/>
  <c r="E424" i="8"/>
  <c r="C424" i="8" s="1"/>
  <c r="B424" i="8" s="1"/>
  <c r="E425" i="8"/>
  <c r="C425" i="8" s="1"/>
  <c r="B425" i="8" s="1"/>
  <c r="E426" i="8"/>
  <c r="C426" i="8" s="1"/>
  <c r="B426" i="8" s="1"/>
  <c r="E427" i="8"/>
  <c r="C427" i="8" s="1"/>
  <c r="B427" i="8" s="1"/>
  <c r="E428" i="8"/>
  <c r="C428" i="8" s="1"/>
  <c r="B428" i="8" s="1"/>
  <c r="E429" i="8"/>
  <c r="C429" i="8" s="1"/>
  <c r="B429" i="8" s="1"/>
  <c r="E430" i="8"/>
  <c r="C430" i="8" s="1"/>
  <c r="B430" i="8" s="1"/>
  <c r="E431" i="8"/>
  <c r="C431" i="8" s="1"/>
  <c r="B431" i="8" s="1"/>
  <c r="E432" i="8"/>
  <c r="C432" i="8" s="1"/>
  <c r="B432" i="8" s="1"/>
  <c r="E433" i="8"/>
  <c r="C433" i="8" s="1"/>
  <c r="B433" i="8" s="1"/>
  <c r="E434" i="8"/>
  <c r="C434" i="8" s="1"/>
  <c r="B434" i="8" s="1"/>
  <c r="E435" i="8"/>
  <c r="C435" i="8" s="1"/>
  <c r="B435" i="8" s="1"/>
  <c r="E436" i="8"/>
  <c r="C436" i="8" s="1"/>
  <c r="B436" i="8" s="1"/>
  <c r="E437" i="8"/>
  <c r="C437" i="8" s="1"/>
  <c r="B437" i="8" s="1"/>
  <c r="E438" i="8"/>
  <c r="C438" i="8" s="1"/>
  <c r="B438" i="8" s="1"/>
  <c r="E439" i="8"/>
  <c r="C439" i="8" s="1"/>
  <c r="B439" i="8" s="1"/>
  <c r="E440" i="8"/>
  <c r="C440" i="8" s="1"/>
  <c r="B440" i="8" s="1"/>
  <c r="E441" i="8"/>
  <c r="C441" i="8" s="1"/>
  <c r="B441" i="8" s="1"/>
  <c r="E442" i="8"/>
  <c r="C442" i="8" s="1"/>
  <c r="B442" i="8" s="1"/>
  <c r="E443" i="8"/>
  <c r="C443" i="8" s="1"/>
  <c r="B443" i="8" s="1"/>
  <c r="E444" i="8"/>
  <c r="C444" i="8" s="1"/>
  <c r="B444" i="8" s="1"/>
  <c r="E445" i="8"/>
  <c r="C445" i="8" s="1"/>
  <c r="B445" i="8" s="1"/>
  <c r="E446" i="8"/>
  <c r="C446" i="8" s="1"/>
  <c r="B446" i="8" s="1"/>
  <c r="E447" i="8"/>
  <c r="C447" i="8" s="1"/>
  <c r="B447" i="8" s="1"/>
  <c r="E448" i="8"/>
  <c r="C448" i="8" s="1"/>
  <c r="B448" i="8" s="1"/>
  <c r="E449" i="8"/>
  <c r="C449" i="8" s="1"/>
  <c r="B449" i="8" s="1"/>
  <c r="E450" i="8"/>
  <c r="C450" i="8" s="1"/>
  <c r="B450" i="8" s="1"/>
  <c r="E451" i="8"/>
  <c r="C451" i="8" s="1"/>
  <c r="B451" i="8" s="1"/>
  <c r="E452" i="8"/>
  <c r="C452" i="8" s="1"/>
  <c r="B452" i="8" s="1"/>
  <c r="E453" i="8"/>
  <c r="C453" i="8" s="1"/>
  <c r="B453" i="8" s="1"/>
  <c r="E454" i="8"/>
  <c r="C454" i="8" s="1"/>
  <c r="B454" i="8" s="1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V5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50" i="1"/>
  <c r="O651" i="1" s="1"/>
  <c r="O648" i="1"/>
  <c r="O644" i="1"/>
  <c r="O634" i="1"/>
  <c r="O630" i="1"/>
  <c r="O621" i="1"/>
  <c r="O617" i="1"/>
  <c r="O611" i="1"/>
  <c r="O605" i="1"/>
  <c r="O598" i="1"/>
  <c r="O595" i="1"/>
  <c r="O587" i="1"/>
  <c r="O579" i="1"/>
  <c r="O570" i="1"/>
  <c r="O568" i="1"/>
  <c r="O566" i="1"/>
  <c r="O560" i="1"/>
  <c r="O557" i="1"/>
  <c r="O558" i="1" s="1"/>
  <c r="O548" i="1"/>
  <c r="O544" i="1"/>
  <c r="O542" i="1"/>
  <c r="O526" i="1"/>
  <c r="O523" i="1"/>
  <c r="O518" i="1"/>
  <c r="O501" i="1"/>
  <c r="O502" i="1" s="1"/>
  <c r="O498" i="1"/>
  <c r="O491" i="1"/>
  <c r="O484" i="1"/>
  <c r="O485" i="1" s="1"/>
  <c r="O480" i="1"/>
  <c r="O468" i="1"/>
  <c r="O463" i="1"/>
  <c r="O464" i="1" s="1"/>
  <c r="O455" i="1"/>
  <c r="O443" i="1"/>
  <c r="O437" i="1"/>
  <c r="O428" i="1"/>
  <c r="O421" i="1"/>
  <c r="O416" i="1"/>
  <c r="O412" i="1"/>
  <c r="O400" i="1"/>
  <c r="O401" i="1" s="1"/>
  <c r="O394" i="1"/>
  <c r="O390" i="1"/>
  <c r="O378" i="1"/>
  <c r="O373" i="1"/>
  <c r="O369" i="1"/>
  <c r="O361" i="1"/>
  <c r="O351" i="1"/>
  <c r="O348" i="1"/>
  <c r="O349" i="1" s="1"/>
  <c r="O344" i="1"/>
  <c r="O328" i="1"/>
  <c r="O329" i="1" s="1"/>
  <c r="O311" i="1"/>
  <c r="O307" i="1"/>
  <c r="O308" i="1" s="1"/>
  <c r="O305" i="1"/>
  <c r="O293" i="1"/>
  <c r="O287" i="1"/>
  <c r="O278" i="1"/>
  <c r="O266" i="1"/>
  <c r="O262" i="1"/>
  <c r="O244" i="1"/>
  <c r="O236" i="1"/>
  <c r="O237" i="1" s="1"/>
  <c r="O223" i="1"/>
  <c r="O200" i="1"/>
  <c r="O201" i="1" s="1"/>
  <c r="O196" i="1"/>
  <c r="O189" i="1"/>
  <c r="O184" i="1"/>
  <c r="O180" i="1"/>
  <c r="O174" i="1"/>
  <c r="O171" i="1"/>
  <c r="O158" i="1"/>
  <c r="O159" i="1" s="1"/>
  <c r="O155" i="1"/>
  <c r="O148" i="1"/>
  <c r="O149" i="1" s="1"/>
  <c r="O137" i="1"/>
  <c r="O116" i="1"/>
  <c r="O112" i="1"/>
  <c r="O105" i="1"/>
  <c r="O94" i="1"/>
  <c r="O95" i="1" s="1"/>
  <c r="O73" i="1"/>
  <c r="O51" i="1"/>
  <c r="O45" i="1"/>
  <c r="O43" i="1"/>
  <c r="O30" i="1"/>
  <c r="O28" i="1"/>
  <c r="O26" i="1"/>
  <c r="O19" i="1"/>
  <c r="C4" i="1"/>
  <c r="B4" i="1" s="1"/>
  <c r="C5" i="1"/>
  <c r="B5" i="1" s="1"/>
  <c r="C6" i="1"/>
  <c r="B6" i="1" s="1"/>
  <c r="C7" i="1"/>
  <c r="B7" i="1" s="1"/>
  <c r="C8" i="1"/>
  <c r="B8" i="1" s="1"/>
  <c r="C9" i="1"/>
  <c r="B9" i="1" s="1"/>
  <c r="C10" i="1"/>
  <c r="B10" i="1" s="1"/>
  <c r="C11" i="1"/>
  <c r="B11" i="1" s="1"/>
  <c r="C12" i="1"/>
  <c r="B12" i="1" s="1"/>
  <c r="C13" i="1"/>
  <c r="B13" i="1" s="1"/>
  <c r="C14" i="1"/>
  <c r="B14" i="1" s="1"/>
  <c r="C15" i="1"/>
  <c r="B15" i="1" s="1"/>
  <c r="C16" i="1"/>
  <c r="B16" i="1" s="1"/>
  <c r="C17" i="1"/>
  <c r="B17" i="1" s="1"/>
  <c r="C18" i="1"/>
  <c r="B18" i="1" s="1"/>
  <c r="C19" i="1"/>
  <c r="B19" i="1" s="1"/>
  <c r="C20" i="1"/>
  <c r="B20" i="1" s="1"/>
  <c r="C21" i="1"/>
  <c r="B21" i="1" s="1"/>
  <c r="C22" i="1"/>
  <c r="B22" i="1" s="1"/>
  <c r="C23" i="1"/>
  <c r="B23" i="1" s="1"/>
  <c r="C24" i="1"/>
  <c r="B24" i="1" s="1"/>
  <c r="C25" i="1"/>
  <c r="B25" i="1" s="1"/>
  <c r="C26" i="1"/>
  <c r="B26" i="1" s="1"/>
  <c r="C27" i="1"/>
  <c r="B27" i="1" s="1"/>
  <c r="C28" i="1"/>
  <c r="B28" i="1" s="1"/>
  <c r="C29" i="1"/>
  <c r="B29" i="1" s="1"/>
  <c r="C30" i="1"/>
  <c r="B30" i="1" s="1"/>
  <c r="C31" i="1"/>
  <c r="B31" i="1" s="1"/>
  <c r="C32" i="1"/>
  <c r="B32" i="1" s="1"/>
  <c r="C33" i="1"/>
  <c r="B33" i="1" s="1"/>
  <c r="C34" i="1"/>
  <c r="B34" i="1" s="1"/>
  <c r="C35" i="1"/>
  <c r="B35" i="1" s="1"/>
  <c r="C36" i="1"/>
  <c r="B36" i="1" s="1"/>
  <c r="C37" i="1"/>
  <c r="B37" i="1" s="1"/>
  <c r="C38" i="1"/>
  <c r="B38" i="1" s="1"/>
  <c r="C39" i="1"/>
  <c r="B39" i="1" s="1"/>
  <c r="C40" i="1"/>
  <c r="B40" i="1" s="1"/>
  <c r="C41" i="1"/>
  <c r="B41" i="1" s="1"/>
  <c r="C42" i="1"/>
  <c r="B42" i="1" s="1"/>
  <c r="C43" i="1"/>
  <c r="B43" i="1" s="1"/>
  <c r="C44" i="1"/>
  <c r="B44" i="1" s="1"/>
  <c r="C45" i="1"/>
  <c r="B45" i="1" s="1"/>
  <c r="C46" i="1"/>
  <c r="B46" i="1" s="1"/>
  <c r="C47" i="1"/>
  <c r="B47" i="1" s="1"/>
  <c r="C48" i="1"/>
  <c r="B48" i="1" s="1"/>
  <c r="C49" i="1"/>
  <c r="B49" i="1" s="1"/>
  <c r="C50" i="1"/>
  <c r="B50" i="1" s="1"/>
  <c r="C51" i="1"/>
  <c r="B51" i="1" s="1"/>
  <c r="C52" i="1"/>
  <c r="B52" i="1" s="1"/>
  <c r="C53" i="1"/>
  <c r="B53" i="1" s="1"/>
  <c r="C54" i="1"/>
  <c r="B54" i="1" s="1"/>
  <c r="C55" i="1"/>
  <c r="B55" i="1" s="1"/>
  <c r="C56" i="1"/>
  <c r="B56" i="1" s="1"/>
  <c r="C57" i="1"/>
  <c r="B57" i="1" s="1"/>
  <c r="C58" i="1"/>
  <c r="B58" i="1" s="1"/>
  <c r="C59" i="1"/>
  <c r="B59" i="1" s="1"/>
  <c r="C60" i="1"/>
  <c r="B60" i="1" s="1"/>
  <c r="C61" i="1"/>
  <c r="B61" i="1" s="1"/>
  <c r="C62" i="1"/>
  <c r="B62" i="1" s="1"/>
  <c r="C63" i="1"/>
  <c r="B63" i="1" s="1"/>
  <c r="C64" i="1"/>
  <c r="B64" i="1" s="1"/>
  <c r="C65" i="1"/>
  <c r="B65" i="1" s="1"/>
  <c r="C66" i="1"/>
  <c r="B66" i="1" s="1"/>
  <c r="C67" i="1"/>
  <c r="B67" i="1" s="1"/>
  <c r="C68" i="1"/>
  <c r="B68" i="1" s="1"/>
  <c r="C69" i="1"/>
  <c r="B69" i="1" s="1"/>
  <c r="C70" i="1"/>
  <c r="B70" i="1" s="1"/>
  <c r="C71" i="1"/>
  <c r="B71" i="1" s="1"/>
  <c r="C72" i="1"/>
  <c r="B72" i="1" s="1"/>
  <c r="C73" i="1"/>
  <c r="B73" i="1" s="1"/>
  <c r="C74" i="1"/>
  <c r="B74" i="1" s="1"/>
  <c r="C75" i="1"/>
  <c r="B75" i="1" s="1"/>
  <c r="C76" i="1"/>
  <c r="B76" i="1" s="1"/>
  <c r="C77" i="1"/>
  <c r="B77" i="1" s="1"/>
  <c r="C78" i="1"/>
  <c r="B78" i="1" s="1"/>
  <c r="C79" i="1"/>
  <c r="B79" i="1" s="1"/>
  <c r="C80" i="1"/>
  <c r="B80" i="1" s="1"/>
  <c r="C81" i="1"/>
  <c r="B81" i="1" s="1"/>
  <c r="C82" i="1"/>
  <c r="B82" i="1" s="1"/>
  <c r="C83" i="1"/>
  <c r="B83" i="1" s="1"/>
  <c r="C84" i="1"/>
  <c r="B84" i="1" s="1"/>
  <c r="C85" i="1"/>
  <c r="B85" i="1" s="1"/>
  <c r="C86" i="1"/>
  <c r="B86" i="1" s="1"/>
  <c r="C87" i="1"/>
  <c r="B87" i="1" s="1"/>
  <c r="C88" i="1"/>
  <c r="B88" i="1" s="1"/>
  <c r="C89" i="1"/>
  <c r="B89" i="1" s="1"/>
  <c r="C90" i="1"/>
  <c r="B90" i="1" s="1"/>
  <c r="C91" i="1"/>
  <c r="B91" i="1" s="1"/>
  <c r="C92" i="1"/>
  <c r="B92" i="1" s="1"/>
  <c r="C93" i="1"/>
  <c r="B93" i="1" s="1"/>
  <c r="C94" i="1"/>
  <c r="B94" i="1" s="1"/>
  <c r="C95" i="1"/>
  <c r="B95" i="1" s="1"/>
  <c r="C96" i="1"/>
  <c r="B96" i="1" s="1"/>
  <c r="C97" i="1"/>
  <c r="B97" i="1" s="1"/>
  <c r="C98" i="1"/>
  <c r="B98" i="1" s="1"/>
  <c r="C99" i="1"/>
  <c r="B99" i="1" s="1"/>
  <c r="C100" i="1"/>
  <c r="B100" i="1" s="1"/>
  <c r="C101" i="1"/>
  <c r="B101" i="1" s="1"/>
  <c r="C102" i="1"/>
  <c r="B102" i="1" s="1"/>
  <c r="C103" i="1"/>
  <c r="B103" i="1" s="1"/>
  <c r="C104" i="1"/>
  <c r="B104" i="1" s="1"/>
  <c r="C105" i="1"/>
  <c r="B105" i="1" s="1"/>
  <c r="C106" i="1"/>
  <c r="B106" i="1" s="1"/>
  <c r="C107" i="1"/>
  <c r="B107" i="1" s="1"/>
  <c r="C108" i="1"/>
  <c r="B108" i="1" s="1"/>
  <c r="C109" i="1"/>
  <c r="B109" i="1" s="1"/>
  <c r="C110" i="1"/>
  <c r="B110" i="1" s="1"/>
  <c r="C111" i="1"/>
  <c r="B111" i="1" s="1"/>
  <c r="C112" i="1"/>
  <c r="B112" i="1" s="1"/>
  <c r="C113" i="1"/>
  <c r="B113" i="1" s="1"/>
  <c r="C114" i="1"/>
  <c r="B114" i="1" s="1"/>
  <c r="C115" i="1"/>
  <c r="B115" i="1" s="1"/>
  <c r="C116" i="1"/>
  <c r="B116" i="1" s="1"/>
  <c r="C117" i="1"/>
  <c r="B117" i="1" s="1"/>
  <c r="C118" i="1"/>
  <c r="B118" i="1" s="1"/>
  <c r="C119" i="1"/>
  <c r="B119" i="1" s="1"/>
  <c r="C120" i="1"/>
  <c r="B120" i="1" s="1"/>
  <c r="C121" i="1"/>
  <c r="B121" i="1" s="1"/>
  <c r="C122" i="1"/>
  <c r="B122" i="1" s="1"/>
  <c r="C123" i="1"/>
  <c r="B123" i="1" s="1"/>
  <c r="C124" i="1"/>
  <c r="B124" i="1" s="1"/>
  <c r="C125" i="1"/>
  <c r="B125" i="1" s="1"/>
  <c r="C126" i="1"/>
  <c r="B126" i="1" s="1"/>
  <c r="C127" i="1"/>
  <c r="B127" i="1" s="1"/>
  <c r="C128" i="1"/>
  <c r="B128" i="1" s="1"/>
  <c r="C129" i="1"/>
  <c r="B129" i="1" s="1"/>
  <c r="C130" i="1"/>
  <c r="B130" i="1" s="1"/>
  <c r="C131" i="1"/>
  <c r="B131" i="1" s="1"/>
  <c r="C132" i="1"/>
  <c r="B132" i="1" s="1"/>
  <c r="C133" i="1"/>
  <c r="B133" i="1" s="1"/>
  <c r="C134" i="1"/>
  <c r="B134" i="1" s="1"/>
  <c r="C135" i="1"/>
  <c r="B135" i="1" s="1"/>
  <c r="C136" i="1"/>
  <c r="B136" i="1" s="1"/>
  <c r="C137" i="1"/>
  <c r="B137" i="1" s="1"/>
  <c r="C138" i="1"/>
  <c r="B138" i="1" s="1"/>
  <c r="C139" i="1"/>
  <c r="B139" i="1" s="1"/>
  <c r="C140" i="1"/>
  <c r="B140" i="1" s="1"/>
  <c r="C141" i="1"/>
  <c r="B141" i="1" s="1"/>
  <c r="C142" i="1"/>
  <c r="B142" i="1" s="1"/>
  <c r="C143" i="1"/>
  <c r="B143" i="1" s="1"/>
  <c r="C144" i="1"/>
  <c r="B144" i="1" s="1"/>
  <c r="C145" i="1"/>
  <c r="B145" i="1" s="1"/>
  <c r="C146" i="1"/>
  <c r="B146" i="1" s="1"/>
  <c r="C147" i="1"/>
  <c r="B147" i="1" s="1"/>
  <c r="C148" i="1"/>
  <c r="B148" i="1" s="1"/>
  <c r="C149" i="1"/>
  <c r="B149" i="1" s="1"/>
  <c r="C150" i="1"/>
  <c r="B150" i="1" s="1"/>
  <c r="C151" i="1"/>
  <c r="B151" i="1" s="1"/>
  <c r="C152" i="1"/>
  <c r="B152" i="1" s="1"/>
  <c r="C153" i="1"/>
  <c r="B153" i="1" s="1"/>
  <c r="C154" i="1"/>
  <c r="B154" i="1" s="1"/>
  <c r="C155" i="1"/>
  <c r="B155" i="1" s="1"/>
  <c r="C156" i="1"/>
  <c r="B156" i="1" s="1"/>
  <c r="C157" i="1"/>
  <c r="B157" i="1" s="1"/>
  <c r="C158" i="1"/>
  <c r="B158" i="1" s="1"/>
  <c r="C159" i="1"/>
  <c r="B159" i="1" s="1"/>
  <c r="C160" i="1"/>
  <c r="B160" i="1" s="1"/>
  <c r="C161" i="1"/>
  <c r="B161" i="1" s="1"/>
  <c r="C162" i="1"/>
  <c r="B162" i="1" s="1"/>
  <c r="C163" i="1"/>
  <c r="B163" i="1" s="1"/>
  <c r="C164" i="1"/>
  <c r="B164" i="1" s="1"/>
  <c r="C165" i="1"/>
  <c r="B165" i="1" s="1"/>
  <c r="C166" i="1"/>
  <c r="B166" i="1" s="1"/>
  <c r="C167" i="1"/>
  <c r="B167" i="1" s="1"/>
  <c r="C168" i="1"/>
  <c r="B168" i="1" s="1"/>
  <c r="C169" i="1"/>
  <c r="B169" i="1" s="1"/>
  <c r="C170" i="1"/>
  <c r="B170" i="1" s="1"/>
  <c r="C171" i="1"/>
  <c r="B171" i="1" s="1"/>
  <c r="C172" i="1"/>
  <c r="B172" i="1" s="1"/>
  <c r="C173" i="1"/>
  <c r="B173" i="1" s="1"/>
  <c r="C174" i="1"/>
  <c r="B174" i="1" s="1"/>
  <c r="C175" i="1"/>
  <c r="B175" i="1" s="1"/>
  <c r="C176" i="1"/>
  <c r="B176" i="1" s="1"/>
  <c r="C177" i="1"/>
  <c r="B177" i="1" s="1"/>
  <c r="C178" i="1"/>
  <c r="B178" i="1" s="1"/>
  <c r="C179" i="1"/>
  <c r="B179" i="1" s="1"/>
  <c r="C180" i="1"/>
  <c r="B180" i="1" s="1"/>
  <c r="C181" i="1"/>
  <c r="B181" i="1" s="1"/>
  <c r="C182" i="1"/>
  <c r="B182" i="1" s="1"/>
  <c r="C183" i="1"/>
  <c r="B183" i="1" s="1"/>
  <c r="C184" i="1"/>
  <c r="B184" i="1" s="1"/>
  <c r="C185" i="1"/>
  <c r="B185" i="1" s="1"/>
  <c r="C186" i="1"/>
  <c r="B186" i="1" s="1"/>
  <c r="C187" i="1"/>
  <c r="B187" i="1" s="1"/>
  <c r="C188" i="1"/>
  <c r="B188" i="1" s="1"/>
  <c r="C189" i="1"/>
  <c r="B189" i="1" s="1"/>
  <c r="C190" i="1"/>
  <c r="B190" i="1" s="1"/>
  <c r="C191" i="1"/>
  <c r="B191" i="1" s="1"/>
  <c r="C192" i="1"/>
  <c r="B192" i="1" s="1"/>
  <c r="C193" i="1"/>
  <c r="B193" i="1" s="1"/>
  <c r="C194" i="1"/>
  <c r="B194" i="1" s="1"/>
  <c r="C195" i="1"/>
  <c r="B195" i="1" s="1"/>
  <c r="C196" i="1"/>
  <c r="B196" i="1" s="1"/>
  <c r="C197" i="1"/>
  <c r="B197" i="1" s="1"/>
  <c r="C198" i="1"/>
  <c r="B198" i="1" s="1"/>
  <c r="C199" i="1"/>
  <c r="B199" i="1" s="1"/>
  <c r="C200" i="1"/>
  <c r="B200" i="1" s="1"/>
  <c r="C201" i="1"/>
  <c r="B201" i="1" s="1"/>
  <c r="C202" i="1"/>
  <c r="B202" i="1" s="1"/>
  <c r="C203" i="1"/>
  <c r="B203" i="1" s="1"/>
  <c r="C204" i="1"/>
  <c r="B204" i="1" s="1"/>
  <c r="C205" i="1"/>
  <c r="B205" i="1" s="1"/>
  <c r="C206" i="1"/>
  <c r="B206" i="1" s="1"/>
  <c r="C207" i="1"/>
  <c r="B207" i="1" s="1"/>
  <c r="C208" i="1"/>
  <c r="B208" i="1" s="1"/>
  <c r="C209" i="1"/>
  <c r="B209" i="1" s="1"/>
  <c r="C210" i="1"/>
  <c r="B210" i="1" s="1"/>
  <c r="C211" i="1"/>
  <c r="B211" i="1" s="1"/>
  <c r="C212" i="1"/>
  <c r="B212" i="1" s="1"/>
  <c r="C213" i="1"/>
  <c r="B213" i="1" s="1"/>
  <c r="C214" i="1"/>
  <c r="B214" i="1" s="1"/>
  <c r="C215" i="1"/>
  <c r="B215" i="1" s="1"/>
  <c r="C216" i="1"/>
  <c r="B216" i="1" s="1"/>
  <c r="C217" i="1"/>
  <c r="B217" i="1" s="1"/>
  <c r="C218" i="1"/>
  <c r="B218" i="1" s="1"/>
  <c r="C219" i="1"/>
  <c r="B219" i="1" s="1"/>
  <c r="C220" i="1"/>
  <c r="B220" i="1" s="1"/>
  <c r="C221" i="1"/>
  <c r="B221" i="1" s="1"/>
  <c r="C222" i="1"/>
  <c r="B222" i="1" s="1"/>
  <c r="C223" i="1"/>
  <c r="B223" i="1" s="1"/>
  <c r="C224" i="1"/>
  <c r="B224" i="1" s="1"/>
  <c r="C225" i="1"/>
  <c r="B225" i="1" s="1"/>
  <c r="C226" i="1"/>
  <c r="B226" i="1" s="1"/>
  <c r="C227" i="1"/>
  <c r="B227" i="1" s="1"/>
  <c r="C228" i="1"/>
  <c r="B228" i="1" s="1"/>
  <c r="C229" i="1"/>
  <c r="B229" i="1" s="1"/>
  <c r="C230" i="1"/>
  <c r="B230" i="1" s="1"/>
  <c r="C231" i="1"/>
  <c r="B231" i="1" s="1"/>
  <c r="C232" i="1"/>
  <c r="B232" i="1" s="1"/>
  <c r="C233" i="1"/>
  <c r="B233" i="1" s="1"/>
  <c r="C234" i="1"/>
  <c r="B234" i="1" s="1"/>
  <c r="C235" i="1"/>
  <c r="B235" i="1" s="1"/>
  <c r="C236" i="1"/>
  <c r="B236" i="1" s="1"/>
  <c r="C237" i="1"/>
  <c r="B237" i="1" s="1"/>
  <c r="C238" i="1"/>
  <c r="B238" i="1" s="1"/>
  <c r="C239" i="1"/>
  <c r="B239" i="1" s="1"/>
  <c r="C240" i="1"/>
  <c r="B240" i="1" s="1"/>
  <c r="C241" i="1"/>
  <c r="B241" i="1" s="1"/>
  <c r="C242" i="1"/>
  <c r="B242" i="1" s="1"/>
  <c r="C243" i="1"/>
  <c r="B243" i="1" s="1"/>
  <c r="C244" i="1"/>
  <c r="B244" i="1" s="1"/>
  <c r="C245" i="1"/>
  <c r="B245" i="1" s="1"/>
  <c r="C246" i="1"/>
  <c r="B246" i="1" s="1"/>
  <c r="C247" i="1"/>
  <c r="B247" i="1" s="1"/>
  <c r="C248" i="1"/>
  <c r="B248" i="1" s="1"/>
  <c r="C249" i="1"/>
  <c r="B249" i="1" s="1"/>
  <c r="C250" i="1"/>
  <c r="B250" i="1" s="1"/>
  <c r="C251" i="1"/>
  <c r="B251" i="1" s="1"/>
  <c r="C252" i="1"/>
  <c r="B252" i="1" s="1"/>
  <c r="C253" i="1"/>
  <c r="B253" i="1" s="1"/>
  <c r="C254" i="1"/>
  <c r="B254" i="1" s="1"/>
  <c r="C255" i="1"/>
  <c r="B255" i="1" s="1"/>
  <c r="C256" i="1"/>
  <c r="B256" i="1" s="1"/>
  <c r="C257" i="1"/>
  <c r="B257" i="1" s="1"/>
  <c r="C258" i="1"/>
  <c r="B258" i="1" s="1"/>
  <c r="C259" i="1"/>
  <c r="B259" i="1" s="1"/>
  <c r="C260" i="1"/>
  <c r="B260" i="1" s="1"/>
  <c r="C261" i="1"/>
  <c r="B261" i="1" s="1"/>
  <c r="C262" i="1"/>
  <c r="B262" i="1" s="1"/>
  <c r="C263" i="1"/>
  <c r="B263" i="1" s="1"/>
  <c r="C264" i="1"/>
  <c r="B264" i="1" s="1"/>
  <c r="C265" i="1"/>
  <c r="B265" i="1" s="1"/>
  <c r="C266" i="1"/>
  <c r="B266" i="1" s="1"/>
  <c r="C267" i="1"/>
  <c r="B267" i="1" s="1"/>
  <c r="C268" i="1"/>
  <c r="B268" i="1" s="1"/>
  <c r="C269" i="1"/>
  <c r="B269" i="1" s="1"/>
  <c r="C270" i="1"/>
  <c r="B270" i="1" s="1"/>
  <c r="C271" i="1"/>
  <c r="B271" i="1" s="1"/>
  <c r="C272" i="1"/>
  <c r="B272" i="1" s="1"/>
  <c r="C273" i="1"/>
  <c r="B273" i="1" s="1"/>
  <c r="C274" i="1"/>
  <c r="B274" i="1" s="1"/>
  <c r="C275" i="1"/>
  <c r="B275" i="1" s="1"/>
  <c r="C276" i="1"/>
  <c r="B276" i="1" s="1"/>
  <c r="C277" i="1"/>
  <c r="B277" i="1" s="1"/>
  <c r="C278" i="1"/>
  <c r="B278" i="1" s="1"/>
  <c r="C279" i="1"/>
  <c r="B279" i="1" s="1"/>
  <c r="C280" i="1"/>
  <c r="B280" i="1" s="1"/>
  <c r="C281" i="1"/>
  <c r="B281" i="1" s="1"/>
  <c r="C282" i="1"/>
  <c r="B282" i="1" s="1"/>
  <c r="C283" i="1"/>
  <c r="B283" i="1" s="1"/>
  <c r="C284" i="1"/>
  <c r="B284" i="1" s="1"/>
  <c r="C285" i="1"/>
  <c r="B285" i="1" s="1"/>
  <c r="C286" i="1"/>
  <c r="B286" i="1" s="1"/>
  <c r="C287" i="1"/>
  <c r="B287" i="1" s="1"/>
  <c r="C288" i="1"/>
  <c r="B288" i="1" s="1"/>
  <c r="C289" i="1"/>
  <c r="B289" i="1" s="1"/>
  <c r="C290" i="1"/>
  <c r="B290" i="1" s="1"/>
  <c r="C291" i="1"/>
  <c r="B291" i="1" s="1"/>
  <c r="C292" i="1"/>
  <c r="B292" i="1" s="1"/>
  <c r="C293" i="1"/>
  <c r="B293" i="1" s="1"/>
  <c r="C294" i="1"/>
  <c r="B294" i="1" s="1"/>
  <c r="C295" i="1"/>
  <c r="B295" i="1" s="1"/>
  <c r="C296" i="1"/>
  <c r="B296" i="1" s="1"/>
  <c r="C297" i="1"/>
  <c r="B297" i="1" s="1"/>
  <c r="C298" i="1"/>
  <c r="B298" i="1" s="1"/>
  <c r="C299" i="1"/>
  <c r="B299" i="1" s="1"/>
  <c r="C300" i="1"/>
  <c r="B300" i="1" s="1"/>
  <c r="C301" i="1"/>
  <c r="B301" i="1" s="1"/>
  <c r="C302" i="1"/>
  <c r="B302" i="1" s="1"/>
  <c r="C303" i="1"/>
  <c r="B303" i="1" s="1"/>
  <c r="C304" i="1"/>
  <c r="B304" i="1" s="1"/>
  <c r="C305" i="1"/>
  <c r="B305" i="1" s="1"/>
  <c r="C306" i="1"/>
  <c r="B306" i="1" s="1"/>
  <c r="C307" i="1"/>
  <c r="B307" i="1" s="1"/>
  <c r="C308" i="1"/>
  <c r="B308" i="1" s="1"/>
  <c r="C309" i="1"/>
  <c r="B309" i="1" s="1"/>
  <c r="C310" i="1"/>
  <c r="B310" i="1" s="1"/>
  <c r="C311" i="1"/>
  <c r="B311" i="1" s="1"/>
  <c r="C312" i="1"/>
  <c r="B312" i="1" s="1"/>
  <c r="C313" i="1"/>
  <c r="B313" i="1" s="1"/>
  <c r="C314" i="1"/>
  <c r="B314" i="1" s="1"/>
  <c r="C315" i="1"/>
  <c r="B315" i="1" s="1"/>
  <c r="C316" i="1"/>
  <c r="B316" i="1" s="1"/>
  <c r="C317" i="1"/>
  <c r="B317" i="1" s="1"/>
  <c r="C318" i="1"/>
  <c r="B318" i="1" s="1"/>
  <c r="C319" i="1"/>
  <c r="B319" i="1" s="1"/>
  <c r="C320" i="1"/>
  <c r="B320" i="1" s="1"/>
  <c r="C321" i="1"/>
  <c r="B321" i="1" s="1"/>
  <c r="C322" i="1"/>
  <c r="B322" i="1" s="1"/>
  <c r="C323" i="1"/>
  <c r="B323" i="1" s="1"/>
  <c r="C324" i="1"/>
  <c r="B324" i="1" s="1"/>
  <c r="C325" i="1"/>
  <c r="B325" i="1" s="1"/>
  <c r="C326" i="1"/>
  <c r="B326" i="1" s="1"/>
  <c r="C327" i="1"/>
  <c r="B327" i="1" s="1"/>
  <c r="C328" i="1"/>
  <c r="B328" i="1" s="1"/>
  <c r="C329" i="1"/>
  <c r="B329" i="1" s="1"/>
  <c r="C330" i="1"/>
  <c r="B330" i="1" s="1"/>
  <c r="C331" i="1"/>
  <c r="B331" i="1" s="1"/>
  <c r="C332" i="1"/>
  <c r="B332" i="1" s="1"/>
  <c r="C333" i="1"/>
  <c r="B333" i="1" s="1"/>
  <c r="C334" i="1"/>
  <c r="B334" i="1" s="1"/>
  <c r="C335" i="1"/>
  <c r="B335" i="1" s="1"/>
  <c r="C336" i="1"/>
  <c r="B336" i="1" s="1"/>
  <c r="C337" i="1"/>
  <c r="B337" i="1" s="1"/>
  <c r="C338" i="1"/>
  <c r="B338" i="1" s="1"/>
  <c r="C339" i="1"/>
  <c r="B339" i="1" s="1"/>
  <c r="C340" i="1"/>
  <c r="B340" i="1" s="1"/>
  <c r="C341" i="1"/>
  <c r="B341" i="1" s="1"/>
  <c r="C342" i="1"/>
  <c r="B342" i="1" s="1"/>
  <c r="C343" i="1"/>
  <c r="B343" i="1" s="1"/>
  <c r="C344" i="1"/>
  <c r="B344" i="1" s="1"/>
  <c r="C345" i="1"/>
  <c r="B345" i="1" s="1"/>
  <c r="C346" i="1"/>
  <c r="B346" i="1" s="1"/>
  <c r="C347" i="1"/>
  <c r="B347" i="1" s="1"/>
  <c r="C348" i="1"/>
  <c r="B348" i="1" s="1"/>
  <c r="C349" i="1"/>
  <c r="B349" i="1" s="1"/>
  <c r="C350" i="1"/>
  <c r="B350" i="1" s="1"/>
  <c r="C351" i="1"/>
  <c r="B351" i="1" s="1"/>
  <c r="C352" i="1"/>
  <c r="B352" i="1" s="1"/>
  <c r="C353" i="1"/>
  <c r="B353" i="1" s="1"/>
  <c r="C354" i="1"/>
  <c r="B354" i="1" s="1"/>
  <c r="C355" i="1"/>
  <c r="B355" i="1" s="1"/>
  <c r="C356" i="1"/>
  <c r="B356" i="1" s="1"/>
  <c r="C357" i="1"/>
  <c r="B357" i="1" s="1"/>
  <c r="C358" i="1"/>
  <c r="B358" i="1" s="1"/>
  <c r="C359" i="1"/>
  <c r="B359" i="1" s="1"/>
  <c r="C360" i="1"/>
  <c r="B360" i="1" s="1"/>
  <c r="C361" i="1"/>
  <c r="B361" i="1" s="1"/>
  <c r="C362" i="1"/>
  <c r="B362" i="1" s="1"/>
  <c r="C363" i="1"/>
  <c r="B363" i="1" s="1"/>
  <c r="C364" i="1"/>
  <c r="B364" i="1" s="1"/>
  <c r="C365" i="1"/>
  <c r="B365" i="1" s="1"/>
  <c r="C366" i="1"/>
  <c r="B366" i="1" s="1"/>
  <c r="C367" i="1"/>
  <c r="B367" i="1" s="1"/>
  <c r="C368" i="1"/>
  <c r="B368" i="1" s="1"/>
  <c r="C369" i="1"/>
  <c r="B369" i="1" s="1"/>
  <c r="C370" i="1"/>
  <c r="B370" i="1" s="1"/>
  <c r="C371" i="1"/>
  <c r="B371" i="1" s="1"/>
  <c r="C372" i="1"/>
  <c r="B372" i="1" s="1"/>
  <c r="C373" i="1"/>
  <c r="B373" i="1" s="1"/>
  <c r="C374" i="1"/>
  <c r="B374" i="1" s="1"/>
  <c r="C375" i="1"/>
  <c r="B375" i="1" s="1"/>
  <c r="C376" i="1"/>
  <c r="B376" i="1" s="1"/>
  <c r="C377" i="1"/>
  <c r="B377" i="1" s="1"/>
  <c r="C378" i="1"/>
  <c r="B378" i="1" s="1"/>
  <c r="C379" i="1"/>
  <c r="B379" i="1" s="1"/>
  <c r="C380" i="1"/>
  <c r="B380" i="1" s="1"/>
  <c r="C381" i="1"/>
  <c r="B381" i="1" s="1"/>
  <c r="C382" i="1"/>
  <c r="B382" i="1" s="1"/>
  <c r="C383" i="1"/>
  <c r="B383" i="1" s="1"/>
  <c r="C384" i="1"/>
  <c r="B384" i="1" s="1"/>
  <c r="C385" i="1"/>
  <c r="B385" i="1" s="1"/>
  <c r="C386" i="1"/>
  <c r="B386" i="1" s="1"/>
  <c r="C387" i="1"/>
  <c r="B387" i="1" s="1"/>
  <c r="C388" i="1"/>
  <c r="B388" i="1" s="1"/>
  <c r="C389" i="1"/>
  <c r="B389" i="1" s="1"/>
  <c r="C390" i="1"/>
  <c r="B390" i="1" s="1"/>
  <c r="C391" i="1"/>
  <c r="B391" i="1" s="1"/>
  <c r="C392" i="1"/>
  <c r="B392" i="1" s="1"/>
  <c r="C393" i="1"/>
  <c r="B393" i="1" s="1"/>
  <c r="C394" i="1"/>
  <c r="B394" i="1" s="1"/>
  <c r="C395" i="1"/>
  <c r="B395" i="1" s="1"/>
  <c r="C396" i="1"/>
  <c r="B396" i="1" s="1"/>
  <c r="C397" i="1"/>
  <c r="B397" i="1" s="1"/>
  <c r="C398" i="1"/>
  <c r="B398" i="1" s="1"/>
  <c r="C399" i="1"/>
  <c r="B399" i="1" s="1"/>
  <c r="C400" i="1"/>
  <c r="B400" i="1" s="1"/>
  <c r="C401" i="1"/>
  <c r="B401" i="1" s="1"/>
  <c r="C402" i="1"/>
  <c r="B402" i="1" s="1"/>
  <c r="C403" i="1"/>
  <c r="B403" i="1" s="1"/>
  <c r="C404" i="1"/>
  <c r="B404" i="1" s="1"/>
  <c r="C405" i="1"/>
  <c r="B405" i="1" s="1"/>
  <c r="C406" i="1"/>
  <c r="B406" i="1" s="1"/>
  <c r="C407" i="1"/>
  <c r="B407" i="1" s="1"/>
  <c r="C408" i="1"/>
  <c r="B408" i="1" s="1"/>
  <c r="C409" i="1"/>
  <c r="B409" i="1" s="1"/>
  <c r="C410" i="1"/>
  <c r="B410" i="1" s="1"/>
  <c r="C411" i="1"/>
  <c r="B411" i="1" s="1"/>
  <c r="C412" i="1"/>
  <c r="B412" i="1" s="1"/>
  <c r="C413" i="1"/>
  <c r="B413" i="1" s="1"/>
  <c r="C414" i="1"/>
  <c r="B414" i="1" s="1"/>
  <c r="C415" i="1"/>
  <c r="B415" i="1" s="1"/>
  <c r="C416" i="1"/>
  <c r="B416" i="1" s="1"/>
  <c r="C417" i="1"/>
  <c r="B417" i="1" s="1"/>
  <c r="C418" i="1"/>
  <c r="B418" i="1" s="1"/>
  <c r="C419" i="1"/>
  <c r="B419" i="1" s="1"/>
  <c r="C420" i="1"/>
  <c r="B420" i="1" s="1"/>
  <c r="C421" i="1"/>
  <c r="B421" i="1" s="1"/>
  <c r="C422" i="1"/>
  <c r="B422" i="1" s="1"/>
  <c r="C423" i="1"/>
  <c r="B423" i="1" s="1"/>
  <c r="C424" i="1"/>
  <c r="B424" i="1" s="1"/>
  <c r="C425" i="1"/>
  <c r="B425" i="1" s="1"/>
  <c r="C426" i="1"/>
  <c r="B426" i="1" s="1"/>
  <c r="C427" i="1"/>
  <c r="B427" i="1" s="1"/>
  <c r="C428" i="1"/>
  <c r="B428" i="1" s="1"/>
  <c r="C429" i="1"/>
  <c r="B429" i="1" s="1"/>
  <c r="C430" i="1"/>
  <c r="B430" i="1" s="1"/>
  <c r="C431" i="1"/>
  <c r="B431" i="1" s="1"/>
  <c r="C432" i="1"/>
  <c r="B432" i="1" s="1"/>
  <c r="C433" i="1"/>
  <c r="B433" i="1" s="1"/>
  <c r="C434" i="1"/>
  <c r="B434" i="1" s="1"/>
  <c r="C435" i="1"/>
  <c r="B435" i="1" s="1"/>
  <c r="C436" i="1"/>
  <c r="B436" i="1" s="1"/>
  <c r="C437" i="1"/>
  <c r="B437" i="1" s="1"/>
  <c r="C438" i="1"/>
  <c r="B438" i="1" s="1"/>
  <c r="C439" i="1"/>
  <c r="B439" i="1" s="1"/>
  <c r="C440" i="1"/>
  <c r="B440" i="1" s="1"/>
  <c r="C441" i="1"/>
  <c r="B441" i="1" s="1"/>
  <c r="C442" i="1"/>
  <c r="B442" i="1" s="1"/>
  <c r="C443" i="1"/>
  <c r="B443" i="1" s="1"/>
  <c r="C444" i="1"/>
  <c r="B444" i="1" s="1"/>
  <c r="C445" i="1"/>
  <c r="B445" i="1" s="1"/>
  <c r="C446" i="1"/>
  <c r="B446" i="1" s="1"/>
  <c r="C447" i="1"/>
  <c r="B447" i="1" s="1"/>
  <c r="C448" i="1"/>
  <c r="B448" i="1" s="1"/>
  <c r="C449" i="1"/>
  <c r="B449" i="1" s="1"/>
  <c r="C450" i="1"/>
  <c r="B450" i="1" s="1"/>
  <c r="C451" i="1"/>
  <c r="B451" i="1" s="1"/>
  <c r="C452" i="1"/>
  <c r="B452" i="1" s="1"/>
  <c r="C453" i="1"/>
  <c r="B453" i="1" s="1"/>
  <c r="C454" i="1"/>
  <c r="B454" i="1" s="1"/>
  <c r="C455" i="1"/>
  <c r="B455" i="1" s="1"/>
  <c r="C456" i="1"/>
  <c r="B456" i="1" s="1"/>
  <c r="C457" i="1"/>
  <c r="B457" i="1" s="1"/>
  <c r="C458" i="1"/>
  <c r="B458" i="1" s="1"/>
  <c r="C459" i="1"/>
  <c r="B459" i="1" s="1"/>
  <c r="C460" i="1"/>
  <c r="B460" i="1" s="1"/>
  <c r="C461" i="1"/>
  <c r="B461" i="1" s="1"/>
  <c r="C462" i="1"/>
  <c r="B462" i="1" s="1"/>
  <c r="C463" i="1"/>
  <c r="B463" i="1" s="1"/>
  <c r="C464" i="1"/>
  <c r="B464" i="1" s="1"/>
  <c r="C465" i="1"/>
  <c r="B465" i="1" s="1"/>
  <c r="C466" i="1"/>
  <c r="B466" i="1" s="1"/>
  <c r="C467" i="1"/>
  <c r="B467" i="1" s="1"/>
  <c r="C468" i="1"/>
  <c r="B468" i="1" s="1"/>
  <c r="C469" i="1"/>
  <c r="B469" i="1" s="1"/>
  <c r="C470" i="1"/>
  <c r="B470" i="1" s="1"/>
  <c r="C471" i="1"/>
  <c r="B471" i="1" s="1"/>
  <c r="C472" i="1"/>
  <c r="B472" i="1" s="1"/>
  <c r="C473" i="1"/>
  <c r="B473" i="1" s="1"/>
  <c r="C474" i="1"/>
  <c r="B474" i="1" s="1"/>
  <c r="C475" i="1"/>
  <c r="B475" i="1" s="1"/>
  <c r="C476" i="1"/>
  <c r="B476" i="1" s="1"/>
  <c r="C477" i="1"/>
  <c r="B477" i="1" s="1"/>
  <c r="C478" i="1"/>
  <c r="B478" i="1" s="1"/>
  <c r="C479" i="1"/>
  <c r="B479" i="1" s="1"/>
  <c r="C480" i="1"/>
  <c r="B480" i="1" s="1"/>
  <c r="C481" i="1"/>
  <c r="B481" i="1" s="1"/>
  <c r="C482" i="1"/>
  <c r="B482" i="1" s="1"/>
  <c r="C483" i="1"/>
  <c r="B483" i="1" s="1"/>
  <c r="C484" i="1"/>
  <c r="B484" i="1" s="1"/>
  <c r="C485" i="1"/>
  <c r="B485" i="1" s="1"/>
  <c r="C486" i="1"/>
  <c r="B486" i="1" s="1"/>
  <c r="C487" i="1"/>
  <c r="B487" i="1" s="1"/>
  <c r="C488" i="1"/>
  <c r="B488" i="1" s="1"/>
  <c r="C489" i="1"/>
  <c r="B489" i="1" s="1"/>
  <c r="C490" i="1"/>
  <c r="B490" i="1" s="1"/>
  <c r="C491" i="1"/>
  <c r="B491" i="1" s="1"/>
  <c r="C492" i="1"/>
  <c r="B492" i="1" s="1"/>
  <c r="C493" i="1"/>
  <c r="B493" i="1" s="1"/>
  <c r="C494" i="1"/>
  <c r="B494" i="1" s="1"/>
  <c r="C495" i="1"/>
  <c r="B495" i="1" s="1"/>
  <c r="C496" i="1"/>
  <c r="B496" i="1" s="1"/>
  <c r="C497" i="1"/>
  <c r="B497" i="1" s="1"/>
  <c r="C498" i="1"/>
  <c r="B498" i="1" s="1"/>
  <c r="C499" i="1"/>
  <c r="B499" i="1" s="1"/>
  <c r="C500" i="1"/>
  <c r="B500" i="1" s="1"/>
  <c r="C501" i="1"/>
  <c r="B501" i="1" s="1"/>
  <c r="C502" i="1"/>
  <c r="B502" i="1" s="1"/>
  <c r="C503" i="1"/>
  <c r="B503" i="1" s="1"/>
  <c r="C504" i="1"/>
  <c r="B504" i="1" s="1"/>
  <c r="C505" i="1"/>
  <c r="B505" i="1" s="1"/>
  <c r="C506" i="1"/>
  <c r="B506" i="1" s="1"/>
  <c r="C507" i="1"/>
  <c r="B507" i="1" s="1"/>
  <c r="C508" i="1"/>
  <c r="B508" i="1" s="1"/>
  <c r="C509" i="1"/>
  <c r="B509" i="1" s="1"/>
  <c r="C510" i="1"/>
  <c r="B510" i="1" s="1"/>
  <c r="C511" i="1"/>
  <c r="B511" i="1" s="1"/>
  <c r="C512" i="1"/>
  <c r="B512" i="1" s="1"/>
  <c r="C513" i="1"/>
  <c r="B513" i="1" s="1"/>
  <c r="C514" i="1"/>
  <c r="B514" i="1" s="1"/>
  <c r="C515" i="1"/>
  <c r="B515" i="1" s="1"/>
  <c r="C516" i="1"/>
  <c r="B516" i="1" s="1"/>
  <c r="C517" i="1"/>
  <c r="B517" i="1" s="1"/>
  <c r="C518" i="1"/>
  <c r="B518" i="1" s="1"/>
  <c r="C519" i="1"/>
  <c r="B519" i="1" s="1"/>
  <c r="C520" i="1"/>
  <c r="B520" i="1" s="1"/>
  <c r="C521" i="1"/>
  <c r="B521" i="1" s="1"/>
  <c r="C522" i="1"/>
  <c r="B522" i="1" s="1"/>
  <c r="C523" i="1"/>
  <c r="B523" i="1" s="1"/>
  <c r="C524" i="1"/>
  <c r="B524" i="1" s="1"/>
  <c r="C525" i="1"/>
  <c r="B525" i="1" s="1"/>
  <c r="C526" i="1"/>
  <c r="B526" i="1" s="1"/>
  <c r="C527" i="1"/>
  <c r="B527" i="1" s="1"/>
  <c r="C528" i="1"/>
  <c r="B528" i="1" s="1"/>
  <c r="C529" i="1"/>
  <c r="B529" i="1" s="1"/>
  <c r="C530" i="1"/>
  <c r="B530" i="1" s="1"/>
  <c r="C531" i="1"/>
  <c r="B531" i="1" s="1"/>
  <c r="C532" i="1"/>
  <c r="B532" i="1" s="1"/>
  <c r="C533" i="1"/>
  <c r="B533" i="1" s="1"/>
  <c r="C534" i="1"/>
  <c r="B534" i="1" s="1"/>
  <c r="C535" i="1"/>
  <c r="B535" i="1" s="1"/>
  <c r="C536" i="1"/>
  <c r="B536" i="1" s="1"/>
  <c r="C537" i="1"/>
  <c r="B537" i="1" s="1"/>
  <c r="C538" i="1"/>
  <c r="B538" i="1" s="1"/>
  <c r="C539" i="1"/>
  <c r="B539" i="1" s="1"/>
  <c r="C540" i="1"/>
  <c r="B540" i="1" s="1"/>
  <c r="C541" i="1"/>
  <c r="B541" i="1" s="1"/>
  <c r="C542" i="1"/>
  <c r="B542" i="1" s="1"/>
  <c r="C543" i="1"/>
  <c r="B543" i="1" s="1"/>
  <c r="C544" i="1"/>
  <c r="B544" i="1" s="1"/>
  <c r="C545" i="1"/>
  <c r="B545" i="1" s="1"/>
  <c r="C546" i="1"/>
  <c r="B546" i="1" s="1"/>
  <c r="C547" i="1"/>
  <c r="B547" i="1" s="1"/>
  <c r="C548" i="1"/>
  <c r="B548" i="1" s="1"/>
  <c r="C549" i="1"/>
  <c r="B549" i="1" s="1"/>
  <c r="C550" i="1"/>
  <c r="B550" i="1" s="1"/>
  <c r="C551" i="1"/>
  <c r="B551" i="1" s="1"/>
  <c r="C552" i="1"/>
  <c r="B552" i="1" s="1"/>
  <c r="C553" i="1"/>
  <c r="B553" i="1" s="1"/>
  <c r="C554" i="1"/>
  <c r="B554" i="1" s="1"/>
  <c r="C555" i="1"/>
  <c r="B555" i="1" s="1"/>
  <c r="C556" i="1"/>
  <c r="B556" i="1" s="1"/>
  <c r="C557" i="1"/>
  <c r="B557" i="1" s="1"/>
  <c r="C558" i="1"/>
  <c r="B558" i="1" s="1"/>
  <c r="C559" i="1"/>
  <c r="B559" i="1" s="1"/>
  <c r="C560" i="1"/>
  <c r="B560" i="1" s="1"/>
  <c r="C561" i="1"/>
  <c r="B561" i="1" s="1"/>
  <c r="C562" i="1"/>
  <c r="B562" i="1" s="1"/>
  <c r="C563" i="1"/>
  <c r="B563" i="1" s="1"/>
  <c r="C564" i="1"/>
  <c r="B564" i="1" s="1"/>
  <c r="C565" i="1"/>
  <c r="B565" i="1" s="1"/>
  <c r="C566" i="1"/>
  <c r="B566" i="1" s="1"/>
  <c r="C567" i="1"/>
  <c r="B567" i="1" s="1"/>
  <c r="C568" i="1"/>
  <c r="B568" i="1" s="1"/>
  <c r="C569" i="1"/>
  <c r="B569" i="1" s="1"/>
  <c r="C570" i="1"/>
  <c r="B570" i="1" s="1"/>
  <c r="C571" i="1"/>
  <c r="B571" i="1" s="1"/>
  <c r="C572" i="1"/>
  <c r="B572" i="1" s="1"/>
  <c r="C573" i="1"/>
  <c r="B573" i="1" s="1"/>
  <c r="C574" i="1"/>
  <c r="B574" i="1" s="1"/>
  <c r="C575" i="1"/>
  <c r="B575" i="1" s="1"/>
  <c r="C576" i="1"/>
  <c r="B576" i="1" s="1"/>
  <c r="C577" i="1"/>
  <c r="B577" i="1" s="1"/>
  <c r="C578" i="1"/>
  <c r="B578" i="1" s="1"/>
  <c r="C579" i="1"/>
  <c r="B579" i="1" s="1"/>
  <c r="C580" i="1"/>
  <c r="B580" i="1" s="1"/>
  <c r="C581" i="1"/>
  <c r="B581" i="1" s="1"/>
  <c r="C582" i="1"/>
  <c r="B582" i="1" s="1"/>
  <c r="C583" i="1"/>
  <c r="B583" i="1" s="1"/>
  <c r="C584" i="1"/>
  <c r="B584" i="1" s="1"/>
  <c r="C585" i="1"/>
  <c r="B585" i="1" s="1"/>
  <c r="C586" i="1"/>
  <c r="B586" i="1" s="1"/>
  <c r="C587" i="1"/>
  <c r="B587" i="1" s="1"/>
  <c r="C588" i="1"/>
  <c r="B588" i="1" s="1"/>
  <c r="C589" i="1"/>
  <c r="B589" i="1" s="1"/>
  <c r="C590" i="1"/>
  <c r="B590" i="1" s="1"/>
  <c r="C591" i="1"/>
  <c r="B591" i="1" s="1"/>
  <c r="C592" i="1"/>
  <c r="B592" i="1" s="1"/>
  <c r="C593" i="1"/>
  <c r="B593" i="1" s="1"/>
  <c r="C594" i="1"/>
  <c r="B594" i="1" s="1"/>
  <c r="C595" i="1"/>
  <c r="B595" i="1" s="1"/>
  <c r="C596" i="1"/>
  <c r="B596" i="1" s="1"/>
  <c r="C597" i="1"/>
  <c r="B597" i="1" s="1"/>
  <c r="C598" i="1"/>
  <c r="B598" i="1" s="1"/>
  <c r="C599" i="1"/>
  <c r="B599" i="1" s="1"/>
  <c r="C600" i="1"/>
  <c r="B600" i="1" s="1"/>
  <c r="C601" i="1"/>
  <c r="B601" i="1" s="1"/>
  <c r="C602" i="1"/>
  <c r="B602" i="1" s="1"/>
  <c r="C603" i="1"/>
  <c r="B603" i="1" s="1"/>
  <c r="C604" i="1"/>
  <c r="B604" i="1" s="1"/>
  <c r="C605" i="1"/>
  <c r="B605" i="1" s="1"/>
  <c r="C606" i="1"/>
  <c r="B606" i="1" s="1"/>
  <c r="C607" i="1"/>
  <c r="B607" i="1" s="1"/>
  <c r="C608" i="1"/>
  <c r="B608" i="1" s="1"/>
  <c r="C609" i="1"/>
  <c r="B609" i="1" s="1"/>
  <c r="C610" i="1"/>
  <c r="B610" i="1" s="1"/>
  <c r="C611" i="1"/>
  <c r="B611" i="1" s="1"/>
  <c r="C612" i="1"/>
  <c r="B612" i="1" s="1"/>
  <c r="C613" i="1"/>
  <c r="B613" i="1" s="1"/>
  <c r="C614" i="1"/>
  <c r="B614" i="1" s="1"/>
  <c r="C615" i="1"/>
  <c r="B615" i="1" s="1"/>
  <c r="C616" i="1"/>
  <c r="B616" i="1" s="1"/>
  <c r="C617" i="1"/>
  <c r="B617" i="1" s="1"/>
  <c r="C618" i="1"/>
  <c r="B618" i="1" s="1"/>
  <c r="C619" i="1"/>
  <c r="B619" i="1" s="1"/>
  <c r="C620" i="1"/>
  <c r="B620" i="1" s="1"/>
  <c r="C621" i="1"/>
  <c r="B621" i="1" s="1"/>
  <c r="C622" i="1"/>
  <c r="B622" i="1" s="1"/>
  <c r="C623" i="1"/>
  <c r="B623" i="1" s="1"/>
  <c r="C624" i="1"/>
  <c r="B624" i="1" s="1"/>
  <c r="C625" i="1"/>
  <c r="B625" i="1" s="1"/>
  <c r="C626" i="1"/>
  <c r="B626" i="1" s="1"/>
  <c r="C627" i="1"/>
  <c r="B627" i="1" s="1"/>
  <c r="C628" i="1"/>
  <c r="B628" i="1" s="1"/>
  <c r="C629" i="1"/>
  <c r="B629" i="1" s="1"/>
  <c r="C630" i="1"/>
  <c r="B630" i="1" s="1"/>
  <c r="C631" i="1"/>
  <c r="B631" i="1" s="1"/>
  <c r="C632" i="1"/>
  <c r="B632" i="1" s="1"/>
  <c r="C633" i="1"/>
  <c r="B633" i="1" s="1"/>
  <c r="C634" i="1"/>
  <c r="B634" i="1" s="1"/>
  <c r="C635" i="1"/>
  <c r="B635" i="1" s="1"/>
  <c r="C636" i="1"/>
  <c r="B636" i="1" s="1"/>
  <c r="C637" i="1"/>
  <c r="B637" i="1" s="1"/>
  <c r="C638" i="1"/>
  <c r="B638" i="1" s="1"/>
  <c r="C639" i="1"/>
  <c r="B639" i="1" s="1"/>
  <c r="C640" i="1"/>
  <c r="B640" i="1" s="1"/>
  <c r="C641" i="1"/>
  <c r="B641" i="1" s="1"/>
  <c r="C642" i="1"/>
  <c r="B642" i="1" s="1"/>
  <c r="C643" i="1"/>
  <c r="B643" i="1" s="1"/>
  <c r="C644" i="1"/>
  <c r="B644" i="1" s="1"/>
  <c r="C645" i="1"/>
  <c r="B645" i="1" s="1"/>
  <c r="C646" i="1"/>
  <c r="B646" i="1" s="1"/>
  <c r="C647" i="1"/>
  <c r="B647" i="1" s="1"/>
  <c r="C648" i="1"/>
  <c r="B648" i="1" s="1"/>
  <c r="C649" i="1"/>
  <c r="B649" i="1" s="1"/>
  <c r="C650" i="1"/>
  <c r="B650" i="1" s="1"/>
  <c r="C651" i="1"/>
  <c r="B651" i="1" s="1"/>
  <c r="C652" i="1"/>
  <c r="B652" i="1" s="1"/>
  <c r="C653" i="1"/>
  <c r="B653" i="1" s="1"/>
  <c r="C654" i="1"/>
  <c r="B654" i="1" s="1"/>
  <c r="C655" i="1"/>
  <c r="B655" i="1" s="1"/>
  <c r="C656" i="1"/>
  <c r="B656" i="1" s="1"/>
  <c r="C657" i="1"/>
  <c r="C658" i="1"/>
  <c r="C659" i="1"/>
  <c r="C660" i="1"/>
  <c r="C661" i="1"/>
  <c r="C662" i="1"/>
  <c r="C663" i="1"/>
  <c r="C664" i="1"/>
  <c r="C665" i="1"/>
  <c r="C666" i="1"/>
  <c r="C667" i="1"/>
  <c r="L4" i="1"/>
  <c r="K4" i="1" s="1"/>
  <c r="L5" i="1"/>
  <c r="K5" i="1" s="1"/>
  <c r="L6" i="1"/>
  <c r="K6" i="1" s="1"/>
  <c r="L7" i="1"/>
  <c r="K7" i="1" s="1"/>
  <c r="L8" i="1"/>
  <c r="K8" i="1" s="1"/>
  <c r="L9" i="1"/>
  <c r="K9" i="1" s="1"/>
  <c r="L10" i="1"/>
  <c r="K10" i="1" s="1"/>
  <c r="L11" i="1"/>
  <c r="K11" i="1" s="1"/>
  <c r="L12" i="1"/>
  <c r="K12" i="1" s="1"/>
  <c r="L13" i="1"/>
  <c r="K13" i="1" s="1"/>
  <c r="L14" i="1"/>
  <c r="K14" i="1" s="1"/>
  <c r="L15" i="1"/>
  <c r="K15" i="1" s="1"/>
  <c r="L16" i="1"/>
  <c r="K16" i="1" s="1"/>
  <c r="L17" i="1"/>
  <c r="K17" i="1" s="1"/>
  <c r="L18" i="1"/>
  <c r="K18" i="1" s="1"/>
  <c r="L19" i="1"/>
  <c r="K19" i="1" s="1"/>
  <c r="L20" i="1"/>
  <c r="K20" i="1" s="1"/>
  <c r="L21" i="1"/>
  <c r="K21" i="1" s="1"/>
  <c r="L22" i="1"/>
  <c r="K22" i="1" s="1"/>
  <c r="L23" i="1"/>
  <c r="K23" i="1" s="1"/>
  <c r="L24" i="1"/>
  <c r="K24" i="1" s="1"/>
  <c r="L25" i="1"/>
  <c r="K25" i="1" s="1"/>
  <c r="L26" i="1"/>
  <c r="K26" i="1" s="1"/>
  <c r="L27" i="1"/>
  <c r="K27" i="1" s="1"/>
  <c r="L28" i="1"/>
  <c r="K28" i="1" s="1"/>
  <c r="L29" i="1"/>
  <c r="K29" i="1" s="1"/>
  <c r="L30" i="1"/>
  <c r="K30" i="1" s="1"/>
  <c r="L31" i="1"/>
  <c r="K31" i="1" s="1"/>
  <c r="L32" i="1"/>
  <c r="K32" i="1" s="1"/>
  <c r="L33" i="1"/>
  <c r="K33" i="1" s="1"/>
  <c r="L34" i="1"/>
  <c r="K34" i="1" s="1"/>
  <c r="L35" i="1"/>
  <c r="K35" i="1" s="1"/>
  <c r="L36" i="1"/>
  <c r="K36" i="1" s="1"/>
  <c r="L37" i="1"/>
  <c r="K37" i="1" s="1"/>
  <c r="L38" i="1"/>
  <c r="K38" i="1" s="1"/>
  <c r="L39" i="1"/>
  <c r="K39" i="1" s="1"/>
  <c r="L40" i="1"/>
  <c r="K40" i="1" s="1"/>
  <c r="L41" i="1"/>
  <c r="K41" i="1" s="1"/>
  <c r="L42" i="1"/>
  <c r="K42" i="1" s="1"/>
  <c r="L43" i="1"/>
  <c r="K43" i="1" s="1"/>
  <c r="L44" i="1"/>
  <c r="K44" i="1" s="1"/>
  <c r="L45" i="1"/>
  <c r="K45" i="1" s="1"/>
  <c r="L46" i="1"/>
  <c r="K46" i="1" s="1"/>
  <c r="L47" i="1"/>
  <c r="K47" i="1" s="1"/>
  <c r="L48" i="1"/>
  <c r="K48" i="1" s="1"/>
  <c r="L49" i="1"/>
  <c r="K49" i="1" s="1"/>
  <c r="L50" i="1"/>
  <c r="K50" i="1" s="1"/>
  <c r="L51" i="1"/>
  <c r="K51" i="1" s="1"/>
  <c r="L52" i="1"/>
  <c r="K52" i="1" s="1"/>
  <c r="L53" i="1"/>
  <c r="K53" i="1" s="1"/>
  <c r="L54" i="1"/>
  <c r="K54" i="1" s="1"/>
  <c r="L55" i="1"/>
  <c r="K55" i="1" s="1"/>
  <c r="L56" i="1"/>
  <c r="K56" i="1" s="1"/>
  <c r="L57" i="1"/>
  <c r="K57" i="1" s="1"/>
  <c r="L58" i="1"/>
  <c r="K58" i="1" s="1"/>
  <c r="L59" i="1"/>
  <c r="K59" i="1" s="1"/>
  <c r="L60" i="1"/>
  <c r="K60" i="1" s="1"/>
  <c r="L61" i="1"/>
  <c r="K61" i="1" s="1"/>
  <c r="L62" i="1"/>
  <c r="K62" i="1" s="1"/>
  <c r="L63" i="1"/>
  <c r="K63" i="1" s="1"/>
  <c r="L64" i="1"/>
  <c r="K64" i="1" s="1"/>
  <c r="L65" i="1"/>
  <c r="K65" i="1" s="1"/>
  <c r="L66" i="1"/>
  <c r="K66" i="1" s="1"/>
  <c r="L67" i="1"/>
  <c r="K67" i="1" s="1"/>
  <c r="L68" i="1"/>
  <c r="K68" i="1" s="1"/>
  <c r="L69" i="1"/>
  <c r="K69" i="1" s="1"/>
  <c r="L70" i="1"/>
  <c r="K70" i="1" s="1"/>
  <c r="L71" i="1"/>
  <c r="K71" i="1" s="1"/>
  <c r="L72" i="1"/>
  <c r="K72" i="1" s="1"/>
  <c r="L73" i="1"/>
  <c r="K73" i="1" s="1"/>
  <c r="L74" i="1"/>
  <c r="K74" i="1" s="1"/>
  <c r="L75" i="1"/>
  <c r="K75" i="1" s="1"/>
  <c r="L76" i="1"/>
  <c r="K76" i="1" s="1"/>
  <c r="L77" i="1"/>
  <c r="K77" i="1" s="1"/>
  <c r="L78" i="1"/>
  <c r="K78" i="1" s="1"/>
  <c r="L79" i="1"/>
  <c r="K79" i="1" s="1"/>
  <c r="L80" i="1"/>
  <c r="K80" i="1" s="1"/>
  <c r="L81" i="1"/>
  <c r="K81" i="1" s="1"/>
  <c r="L82" i="1"/>
  <c r="K82" i="1" s="1"/>
  <c r="L83" i="1"/>
  <c r="K83" i="1" s="1"/>
  <c r="L84" i="1"/>
  <c r="K84" i="1" s="1"/>
  <c r="L85" i="1"/>
  <c r="K85" i="1" s="1"/>
  <c r="L86" i="1"/>
  <c r="K86" i="1" s="1"/>
  <c r="L87" i="1"/>
  <c r="K87" i="1" s="1"/>
  <c r="L88" i="1"/>
  <c r="K88" i="1" s="1"/>
  <c r="L89" i="1"/>
  <c r="K89" i="1" s="1"/>
  <c r="L90" i="1"/>
  <c r="K90" i="1" s="1"/>
  <c r="L91" i="1"/>
  <c r="K91" i="1" s="1"/>
  <c r="L92" i="1"/>
  <c r="K92" i="1" s="1"/>
  <c r="L93" i="1"/>
  <c r="K93" i="1" s="1"/>
  <c r="L94" i="1"/>
  <c r="K94" i="1" s="1"/>
  <c r="L95" i="1"/>
  <c r="K95" i="1" s="1"/>
  <c r="L96" i="1"/>
  <c r="K96" i="1" s="1"/>
  <c r="L97" i="1"/>
  <c r="K97" i="1" s="1"/>
  <c r="L98" i="1"/>
  <c r="K98" i="1" s="1"/>
  <c r="L99" i="1"/>
  <c r="K99" i="1" s="1"/>
  <c r="L100" i="1"/>
  <c r="K100" i="1" s="1"/>
  <c r="L101" i="1"/>
  <c r="K101" i="1" s="1"/>
  <c r="L102" i="1"/>
  <c r="K102" i="1" s="1"/>
  <c r="L103" i="1"/>
  <c r="K103" i="1" s="1"/>
  <c r="L104" i="1"/>
  <c r="K104" i="1" s="1"/>
  <c r="L105" i="1"/>
  <c r="K105" i="1" s="1"/>
  <c r="L106" i="1"/>
  <c r="K106" i="1" s="1"/>
  <c r="L107" i="1"/>
  <c r="K107" i="1" s="1"/>
  <c r="L108" i="1"/>
  <c r="K108" i="1" s="1"/>
  <c r="L109" i="1"/>
  <c r="K109" i="1" s="1"/>
  <c r="L110" i="1"/>
  <c r="K110" i="1" s="1"/>
  <c r="L111" i="1"/>
  <c r="K111" i="1" s="1"/>
  <c r="L112" i="1"/>
  <c r="K112" i="1" s="1"/>
  <c r="L113" i="1"/>
  <c r="K113" i="1" s="1"/>
  <c r="L114" i="1"/>
  <c r="K114" i="1" s="1"/>
  <c r="L115" i="1"/>
  <c r="K115" i="1" s="1"/>
  <c r="L116" i="1"/>
  <c r="K116" i="1" s="1"/>
  <c r="L117" i="1"/>
  <c r="K117" i="1" s="1"/>
  <c r="L118" i="1"/>
  <c r="K118" i="1" s="1"/>
  <c r="L119" i="1"/>
  <c r="K119" i="1" s="1"/>
  <c r="L120" i="1"/>
  <c r="K120" i="1" s="1"/>
  <c r="L121" i="1"/>
  <c r="K121" i="1" s="1"/>
  <c r="L122" i="1"/>
  <c r="K122" i="1" s="1"/>
  <c r="L123" i="1"/>
  <c r="K123" i="1" s="1"/>
  <c r="L124" i="1"/>
  <c r="K124" i="1" s="1"/>
  <c r="L125" i="1"/>
  <c r="K125" i="1" s="1"/>
  <c r="L126" i="1"/>
  <c r="K126" i="1" s="1"/>
  <c r="L127" i="1"/>
  <c r="K127" i="1" s="1"/>
  <c r="L128" i="1"/>
  <c r="K128" i="1" s="1"/>
  <c r="L129" i="1"/>
  <c r="K129" i="1" s="1"/>
  <c r="L130" i="1"/>
  <c r="K130" i="1" s="1"/>
  <c r="L131" i="1"/>
  <c r="K131" i="1" s="1"/>
  <c r="L132" i="1"/>
  <c r="K132" i="1" s="1"/>
  <c r="L133" i="1"/>
  <c r="K133" i="1" s="1"/>
  <c r="L134" i="1"/>
  <c r="K134" i="1" s="1"/>
  <c r="L135" i="1"/>
  <c r="K135" i="1" s="1"/>
  <c r="L136" i="1"/>
  <c r="K136" i="1" s="1"/>
  <c r="L137" i="1"/>
  <c r="K137" i="1" s="1"/>
  <c r="L138" i="1"/>
  <c r="K138" i="1" s="1"/>
  <c r="L139" i="1"/>
  <c r="K139" i="1" s="1"/>
  <c r="L140" i="1"/>
  <c r="K140" i="1" s="1"/>
  <c r="L141" i="1"/>
  <c r="K141" i="1" s="1"/>
  <c r="L142" i="1"/>
  <c r="K142" i="1" s="1"/>
  <c r="L143" i="1"/>
  <c r="K143" i="1" s="1"/>
  <c r="L144" i="1"/>
  <c r="K144" i="1" s="1"/>
  <c r="L145" i="1"/>
  <c r="K145" i="1" s="1"/>
  <c r="L146" i="1"/>
  <c r="K146" i="1" s="1"/>
  <c r="L147" i="1"/>
  <c r="K147" i="1" s="1"/>
  <c r="L148" i="1"/>
  <c r="K148" i="1" s="1"/>
  <c r="L149" i="1"/>
  <c r="K149" i="1" s="1"/>
  <c r="L150" i="1"/>
  <c r="K150" i="1" s="1"/>
  <c r="L151" i="1"/>
  <c r="K151" i="1" s="1"/>
  <c r="L152" i="1"/>
  <c r="K152" i="1" s="1"/>
  <c r="L153" i="1"/>
  <c r="K153" i="1" s="1"/>
  <c r="L154" i="1"/>
  <c r="K154" i="1" s="1"/>
  <c r="L155" i="1"/>
  <c r="K155" i="1" s="1"/>
  <c r="L156" i="1"/>
  <c r="K156" i="1" s="1"/>
  <c r="L157" i="1"/>
  <c r="K157" i="1" s="1"/>
  <c r="L158" i="1"/>
  <c r="K158" i="1" s="1"/>
  <c r="L159" i="1"/>
  <c r="K159" i="1" s="1"/>
  <c r="L160" i="1"/>
  <c r="K160" i="1" s="1"/>
  <c r="L161" i="1"/>
  <c r="K161" i="1" s="1"/>
  <c r="L162" i="1"/>
  <c r="K162" i="1" s="1"/>
  <c r="L163" i="1"/>
  <c r="K163" i="1" s="1"/>
  <c r="L164" i="1"/>
  <c r="K164" i="1" s="1"/>
  <c r="L165" i="1"/>
  <c r="K165" i="1" s="1"/>
  <c r="L166" i="1"/>
  <c r="K166" i="1" s="1"/>
  <c r="L167" i="1"/>
  <c r="K167" i="1" s="1"/>
  <c r="L168" i="1"/>
  <c r="K168" i="1" s="1"/>
  <c r="L169" i="1"/>
  <c r="K169" i="1" s="1"/>
  <c r="L170" i="1"/>
  <c r="K170" i="1" s="1"/>
  <c r="L171" i="1"/>
  <c r="K171" i="1" s="1"/>
  <c r="L172" i="1"/>
  <c r="K172" i="1" s="1"/>
  <c r="L173" i="1"/>
  <c r="K173" i="1" s="1"/>
  <c r="L174" i="1"/>
  <c r="K174" i="1" s="1"/>
  <c r="L175" i="1"/>
  <c r="K175" i="1" s="1"/>
  <c r="L176" i="1"/>
  <c r="K176" i="1" s="1"/>
  <c r="L177" i="1"/>
  <c r="K177" i="1" s="1"/>
  <c r="L178" i="1"/>
  <c r="K178" i="1" s="1"/>
  <c r="L179" i="1"/>
  <c r="K179" i="1" s="1"/>
  <c r="L180" i="1"/>
  <c r="K180" i="1" s="1"/>
  <c r="L181" i="1"/>
  <c r="K181" i="1" s="1"/>
  <c r="L182" i="1"/>
  <c r="K182" i="1" s="1"/>
  <c r="L183" i="1"/>
  <c r="K183" i="1" s="1"/>
  <c r="L184" i="1"/>
  <c r="K184" i="1" s="1"/>
  <c r="L185" i="1"/>
  <c r="K185" i="1" s="1"/>
  <c r="L186" i="1"/>
  <c r="K186" i="1" s="1"/>
  <c r="L187" i="1"/>
  <c r="K187" i="1" s="1"/>
  <c r="L188" i="1"/>
  <c r="K188" i="1" s="1"/>
  <c r="L189" i="1"/>
  <c r="K189" i="1" s="1"/>
  <c r="L190" i="1"/>
  <c r="K190" i="1" s="1"/>
  <c r="L191" i="1"/>
  <c r="K191" i="1" s="1"/>
  <c r="L192" i="1"/>
  <c r="K192" i="1" s="1"/>
  <c r="L193" i="1"/>
  <c r="K193" i="1" s="1"/>
  <c r="L194" i="1"/>
  <c r="K194" i="1" s="1"/>
  <c r="L195" i="1"/>
  <c r="K195" i="1" s="1"/>
  <c r="L196" i="1"/>
  <c r="K196" i="1" s="1"/>
  <c r="L197" i="1"/>
  <c r="K197" i="1" s="1"/>
  <c r="L198" i="1"/>
  <c r="K198" i="1" s="1"/>
  <c r="L199" i="1"/>
  <c r="K199" i="1" s="1"/>
  <c r="L200" i="1"/>
  <c r="K200" i="1" s="1"/>
  <c r="L201" i="1"/>
  <c r="K201" i="1" s="1"/>
  <c r="L202" i="1"/>
  <c r="K202" i="1" s="1"/>
  <c r="L203" i="1"/>
  <c r="K203" i="1" s="1"/>
  <c r="L204" i="1"/>
  <c r="K204" i="1" s="1"/>
  <c r="L205" i="1"/>
  <c r="K205" i="1" s="1"/>
  <c r="L206" i="1"/>
  <c r="K206" i="1" s="1"/>
  <c r="L207" i="1"/>
  <c r="K207" i="1" s="1"/>
  <c r="L208" i="1"/>
  <c r="K208" i="1" s="1"/>
  <c r="L209" i="1"/>
  <c r="K209" i="1" s="1"/>
  <c r="L210" i="1"/>
  <c r="K210" i="1" s="1"/>
  <c r="L211" i="1"/>
  <c r="K211" i="1" s="1"/>
  <c r="L212" i="1"/>
  <c r="K212" i="1" s="1"/>
  <c r="L213" i="1"/>
  <c r="K213" i="1" s="1"/>
  <c r="L214" i="1"/>
  <c r="K214" i="1" s="1"/>
  <c r="L215" i="1"/>
  <c r="K215" i="1" s="1"/>
  <c r="L216" i="1"/>
  <c r="K216" i="1" s="1"/>
  <c r="L217" i="1"/>
  <c r="K217" i="1" s="1"/>
  <c r="L218" i="1"/>
  <c r="K218" i="1" s="1"/>
  <c r="L219" i="1"/>
  <c r="K219" i="1" s="1"/>
  <c r="L220" i="1"/>
  <c r="K220" i="1" s="1"/>
  <c r="L221" i="1"/>
  <c r="K221" i="1" s="1"/>
  <c r="L222" i="1"/>
  <c r="K222" i="1" s="1"/>
  <c r="L223" i="1"/>
  <c r="K223" i="1" s="1"/>
  <c r="L224" i="1"/>
  <c r="K224" i="1" s="1"/>
  <c r="L225" i="1"/>
  <c r="K225" i="1" s="1"/>
  <c r="L226" i="1"/>
  <c r="K226" i="1" s="1"/>
  <c r="L227" i="1"/>
  <c r="K227" i="1" s="1"/>
  <c r="L228" i="1"/>
  <c r="K228" i="1" s="1"/>
  <c r="L229" i="1"/>
  <c r="K229" i="1" s="1"/>
  <c r="L230" i="1"/>
  <c r="K230" i="1" s="1"/>
  <c r="L231" i="1"/>
  <c r="K231" i="1" s="1"/>
  <c r="L232" i="1"/>
  <c r="K232" i="1" s="1"/>
  <c r="L233" i="1"/>
  <c r="K233" i="1" s="1"/>
  <c r="L234" i="1"/>
  <c r="K234" i="1" s="1"/>
  <c r="L235" i="1"/>
  <c r="K235" i="1" s="1"/>
  <c r="L236" i="1"/>
  <c r="K236" i="1" s="1"/>
  <c r="L237" i="1"/>
  <c r="K237" i="1" s="1"/>
  <c r="L238" i="1"/>
  <c r="K238" i="1" s="1"/>
  <c r="L239" i="1"/>
  <c r="K239" i="1" s="1"/>
  <c r="L240" i="1"/>
  <c r="K240" i="1" s="1"/>
  <c r="L241" i="1"/>
  <c r="K241" i="1" s="1"/>
  <c r="L242" i="1"/>
  <c r="K242" i="1" s="1"/>
  <c r="L243" i="1"/>
  <c r="K243" i="1" s="1"/>
  <c r="L244" i="1"/>
  <c r="K244" i="1" s="1"/>
  <c r="L245" i="1"/>
  <c r="K245" i="1" s="1"/>
  <c r="L246" i="1"/>
  <c r="K246" i="1" s="1"/>
  <c r="L247" i="1"/>
  <c r="K247" i="1" s="1"/>
  <c r="L248" i="1"/>
  <c r="K248" i="1" s="1"/>
  <c r="L249" i="1"/>
  <c r="K249" i="1" s="1"/>
  <c r="L250" i="1"/>
  <c r="K250" i="1" s="1"/>
  <c r="L251" i="1"/>
  <c r="K251" i="1" s="1"/>
  <c r="L252" i="1"/>
  <c r="K252" i="1" s="1"/>
  <c r="L253" i="1"/>
  <c r="K253" i="1" s="1"/>
  <c r="L254" i="1"/>
  <c r="K254" i="1" s="1"/>
  <c r="L255" i="1"/>
  <c r="K255" i="1" s="1"/>
  <c r="L256" i="1"/>
  <c r="K256" i="1" s="1"/>
  <c r="L257" i="1"/>
  <c r="K257" i="1" s="1"/>
  <c r="L258" i="1"/>
  <c r="K258" i="1" s="1"/>
  <c r="L259" i="1"/>
  <c r="K259" i="1" s="1"/>
  <c r="L260" i="1"/>
  <c r="K260" i="1" s="1"/>
  <c r="L261" i="1"/>
  <c r="K261" i="1" s="1"/>
  <c r="L262" i="1"/>
  <c r="K262" i="1" s="1"/>
  <c r="L263" i="1"/>
  <c r="K263" i="1" s="1"/>
  <c r="L264" i="1"/>
  <c r="K264" i="1" s="1"/>
  <c r="L265" i="1"/>
  <c r="K265" i="1" s="1"/>
  <c r="L266" i="1"/>
  <c r="K266" i="1" s="1"/>
  <c r="L267" i="1"/>
  <c r="K267" i="1" s="1"/>
  <c r="L268" i="1"/>
  <c r="K268" i="1" s="1"/>
  <c r="L269" i="1"/>
  <c r="K269" i="1" s="1"/>
  <c r="L270" i="1"/>
  <c r="K270" i="1" s="1"/>
  <c r="L271" i="1"/>
  <c r="K271" i="1" s="1"/>
  <c r="L272" i="1"/>
  <c r="K272" i="1" s="1"/>
  <c r="L273" i="1"/>
  <c r="K273" i="1" s="1"/>
  <c r="L274" i="1"/>
  <c r="K274" i="1" s="1"/>
  <c r="L275" i="1"/>
  <c r="K275" i="1" s="1"/>
  <c r="L276" i="1"/>
  <c r="K276" i="1" s="1"/>
  <c r="L277" i="1"/>
  <c r="K277" i="1" s="1"/>
  <c r="L278" i="1"/>
  <c r="K278" i="1" s="1"/>
  <c r="L279" i="1"/>
  <c r="K279" i="1" s="1"/>
  <c r="L280" i="1"/>
  <c r="K280" i="1" s="1"/>
  <c r="L281" i="1"/>
  <c r="K281" i="1" s="1"/>
  <c r="L282" i="1"/>
  <c r="K282" i="1" s="1"/>
  <c r="L283" i="1"/>
  <c r="K283" i="1" s="1"/>
  <c r="L284" i="1"/>
  <c r="K284" i="1" s="1"/>
  <c r="L285" i="1"/>
  <c r="K285" i="1" s="1"/>
  <c r="L286" i="1"/>
  <c r="K286" i="1" s="1"/>
  <c r="L287" i="1"/>
  <c r="K287" i="1" s="1"/>
  <c r="L288" i="1"/>
  <c r="K288" i="1" s="1"/>
  <c r="L289" i="1"/>
  <c r="K289" i="1" s="1"/>
  <c r="L290" i="1"/>
  <c r="K290" i="1" s="1"/>
  <c r="L291" i="1"/>
  <c r="K291" i="1" s="1"/>
  <c r="L292" i="1"/>
  <c r="K292" i="1" s="1"/>
  <c r="L293" i="1"/>
  <c r="K293" i="1" s="1"/>
  <c r="L294" i="1"/>
  <c r="K294" i="1" s="1"/>
  <c r="L295" i="1"/>
  <c r="K295" i="1" s="1"/>
  <c r="L296" i="1"/>
  <c r="K296" i="1" s="1"/>
  <c r="L297" i="1"/>
  <c r="K297" i="1" s="1"/>
  <c r="L298" i="1"/>
  <c r="K298" i="1" s="1"/>
  <c r="L299" i="1"/>
  <c r="K299" i="1" s="1"/>
  <c r="L300" i="1"/>
  <c r="K300" i="1" s="1"/>
  <c r="L301" i="1"/>
  <c r="K301" i="1" s="1"/>
  <c r="L302" i="1"/>
  <c r="K302" i="1" s="1"/>
  <c r="L303" i="1"/>
  <c r="K303" i="1" s="1"/>
  <c r="L304" i="1"/>
  <c r="K304" i="1" s="1"/>
  <c r="L305" i="1"/>
  <c r="K305" i="1" s="1"/>
  <c r="L306" i="1"/>
  <c r="K306" i="1" s="1"/>
  <c r="L307" i="1"/>
  <c r="K307" i="1" s="1"/>
  <c r="L308" i="1"/>
  <c r="K308" i="1" s="1"/>
  <c r="L309" i="1"/>
  <c r="K309" i="1" s="1"/>
  <c r="L310" i="1"/>
  <c r="K310" i="1" s="1"/>
  <c r="L311" i="1"/>
  <c r="K311" i="1" s="1"/>
  <c r="L312" i="1"/>
  <c r="K312" i="1" s="1"/>
  <c r="L313" i="1"/>
  <c r="K313" i="1" s="1"/>
  <c r="L314" i="1"/>
  <c r="K314" i="1" s="1"/>
  <c r="L315" i="1"/>
  <c r="K315" i="1" s="1"/>
  <c r="L316" i="1"/>
  <c r="K316" i="1" s="1"/>
  <c r="L317" i="1"/>
  <c r="K317" i="1" s="1"/>
  <c r="L318" i="1"/>
  <c r="K318" i="1" s="1"/>
  <c r="L319" i="1"/>
  <c r="K319" i="1" s="1"/>
  <c r="L320" i="1"/>
  <c r="K320" i="1" s="1"/>
  <c r="L321" i="1"/>
  <c r="K321" i="1" s="1"/>
  <c r="L322" i="1"/>
  <c r="K322" i="1" s="1"/>
  <c r="L323" i="1"/>
  <c r="K323" i="1" s="1"/>
  <c r="L324" i="1"/>
  <c r="K324" i="1" s="1"/>
  <c r="L325" i="1"/>
  <c r="K325" i="1" s="1"/>
  <c r="L326" i="1"/>
  <c r="K326" i="1" s="1"/>
  <c r="L327" i="1"/>
  <c r="K327" i="1" s="1"/>
  <c r="L328" i="1"/>
  <c r="K328" i="1" s="1"/>
  <c r="L329" i="1"/>
  <c r="K329" i="1" s="1"/>
  <c r="L330" i="1"/>
  <c r="K330" i="1" s="1"/>
  <c r="L331" i="1"/>
  <c r="K331" i="1" s="1"/>
  <c r="L332" i="1"/>
  <c r="K332" i="1" s="1"/>
  <c r="L333" i="1"/>
  <c r="K333" i="1" s="1"/>
  <c r="L334" i="1"/>
  <c r="K334" i="1" s="1"/>
  <c r="L335" i="1"/>
  <c r="K335" i="1" s="1"/>
  <c r="L336" i="1"/>
  <c r="K336" i="1" s="1"/>
  <c r="L337" i="1"/>
  <c r="K337" i="1" s="1"/>
  <c r="L338" i="1"/>
  <c r="K338" i="1" s="1"/>
  <c r="L339" i="1"/>
  <c r="K339" i="1" s="1"/>
  <c r="L340" i="1"/>
  <c r="K340" i="1" s="1"/>
  <c r="L341" i="1"/>
  <c r="K341" i="1" s="1"/>
  <c r="L342" i="1"/>
  <c r="K342" i="1" s="1"/>
  <c r="L343" i="1"/>
  <c r="K343" i="1" s="1"/>
  <c r="L344" i="1"/>
  <c r="K344" i="1" s="1"/>
  <c r="L345" i="1"/>
  <c r="K345" i="1" s="1"/>
  <c r="L346" i="1"/>
  <c r="K346" i="1" s="1"/>
  <c r="L347" i="1"/>
  <c r="K347" i="1" s="1"/>
  <c r="L348" i="1"/>
  <c r="K348" i="1" s="1"/>
  <c r="L349" i="1"/>
  <c r="K349" i="1" s="1"/>
  <c r="L350" i="1"/>
  <c r="K350" i="1" s="1"/>
  <c r="L351" i="1"/>
  <c r="K351" i="1" s="1"/>
  <c r="L352" i="1"/>
  <c r="K352" i="1" s="1"/>
  <c r="L353" i="1"/>
  <c r="K353" i="1" s="1"/>
  <c r="L354" i="1"/>
  <c r="K354" i="1" s="1"/>
  <c r="L355" i="1"/>
  <c r="K355" i="1" s="1"/>
  <c r="L356" i="1"/>
  <c r="K356" i="1" s="1"/>
  <c r="L357" i="1"/>
  <c r="K357" i="1" s="1"/>
  <c r="L358" i="1"/>
  <c r="K358" i="1" s="1"/>
  <c r="L359" i="1"/>
  <c r="K359" i="1" s="1"/>
  <c r="L360" i="1"/>
  <c r="K360" i="1" s="1"/>
  <c r="L361" i="1"/>
  <c r="K361" i="1" s="1"/>
  <c r="L362" i="1"/>
  <c r="K362" i="1" s="1"/>
  <c r="L363" i="1"/>
  <c r="K363" i="1" s="1"/>
  <c r="L364" i="1"/>
  <c r="K364" i="1" s="1"/>
  <c r="L365" i="1"/>
  <c r="K365" i="1" s="1"/>
  <c r="L366" i="1"/>
  <c r="K366" i="1" s="1"/>
  <c r="L367" i="1"/>
  <c r="K367" i="1" s="1"/>
  <c r="L368" i="1"/>
  <c r="K368" i="1" s="1"/>
  <c r="L369" i="1"/>
  <c r="K369" i="1" s="1"/>
  <c r="L370" i="1"/>
  <c r="K370" i="1" s="1"/>
  <c r="L371" i="1"/>
  <c r="K371" i="1" s="1"/>
  <c r="L372" i="1"/>
  <c r="K372" i="1" s="1"/>
  <c r="L373" i="1"/>
  <c r="K373" i="1" s="1"/>
  <c r="L374" i="1"/>
  <c r="K374" i="1" s="1"/>
  <c r="L375" i="1"/>
  <c r="K375" i="1" s="1"/>
  <c r="L376" i="1"/>
  <c r="K376" i="1" s="1"/>
  <c r="L377" i="1"/>
  <c r="K377" i="1" s="1"/>
  <c r="L378" i="1"/>
  <c r="K378" i="1" s="1"/>
  <c r="L379" i="1"/>
  <c r="K379" i="1" s="1"/>
  <c r="L380" i="1"/>
  <c r="K380" i="1" s="1"/>
  <c r="L381" i="1"/>
  <c r="K381" i="1" s="1"/>
  <c r="L382" i="1"/>
  <c r="K382" i="1" s="1"/>
  <c r="L383" i="1"/>
  <c r="K383" i="1" s="1"/>
  <c r="L384" i="1"/>
  <c r="K384" i="1" s="1"/>
  <c r="L385" i="1"/>
  <c r="K385" i="1" s="1"/>
  <c r="L386" i="1"/>
  <c r="K386" i="1" s="1"/>
  <c r="L387" i="1"/>
  <c r="K387" i="1" s="1"/>
  <c r="L388" i="1"/>
  <c r="K388" i="1" s="1"/>
  <c r="L389" i="1"/>
  <c r="K389" i="1" s="1"/>
  <c r="L390" i="1"/>
  <c r="K390" i="1" s="1"/>
  <c r="L391" i="1"/>
  <c r="K391" i="1" s="1"/>
  <c r="L392" i="1"/>
  <c r="K392" i="1" s="1"/>
  <c r="L393" i="1"/>
  <c r="K393" i="1" s="1"/>
  <c r="L394" i="1"/>
  <c r="K394" i="1" s="1"/>
  <c r="L395" i="1"/>
  <c r="K395" i="1" s="1"/>
  <c r="L396" i="1"/>
  <c r="K396" i="1" s="1"/>
  <c r="L397" i="1"/>
  <c r="K397" i="1" s="1"/>
  <c r="L398" i="1"/>
  <c r="K398" i="1" s="1"/>
  <c r="L399" i="1"/>
  <c r="K399" i="1" s="1"/>
  <c r="L400" i="1"/>
  <c r="K400" i="1" s="1"/>
  <c r="L401" i="1"/>
  <c r="K401" i="1" s="1"/>
  <c r="L402" i="1"/>
  <c r="K402" i="1" s="1"/>
  <c r="L403" i="1"/>
  <c r="K403" i="1" s="1"/>
  <c r="L404" i="1"/>
  <c r="K404" i="1" s="1"/>
  <c r="L405" i="1"/>
  <c r="K405" i="1" s="1"/>
  <c r="L406" i="1"/>
  <c r="K406" i="1" s="1"/>
  <c r="L407" i="1"/>
  <c r="K407" i="1" s="1"/>
  <c r="L408" i="1"/>
  <c r="K408" i="1" s="1"/>
  <c r="L409" i="1"/>
  <c r="K409" i="1" s="1"/>
  <c r="L410" i="1"/>
  <c r="K410" i="1" s="1"/>
  <c r="L411" i="1"/>
  <c r="K411" i="1" s="1"/>
  <c r="L412" i="1"/>
  <c r="K412" i="1" s="1"/>
  <c r="L413" i="1"/>
  <c r="K413" i="1" s="1"/>
  <c r="L414" i="1"/>
  <c r="K414" i="1" s="1"/>
  <c r="L415" i="1"/>
  <c r="K415" i="1" s="1"/>
  <c r="L416" i="1"/>
  <c r="K416" i="1" s="1"/>
  <c r="L417" i="1"/>
  <c r="K417" i="1" s="1"/>
  <c r="L418" i="1"/>
  <c r="K418" i="1" s="1"/>
  <c r="L419" i="1"/>
  <c r="K419" i="1" s="1"/>
  <c r="L420" i="1"/>
  <c r="K420" i="1" s="1"/>
  <c r="L421" i="1"/>
  <c r="K421" i="1" s="1"/>
  <c r="L422" i="1"/>
  <c r="K422" i="1" s="1"/>
  <c r="L423" i="1"/>
  <c r="K423" i="1" s="1"/>
  <c r="L424" i="1"/>
  <c r="K424" i="1" s="1"/>
  <c r="L425" i="1"/>
  <c r="K425" i="1" s="1"/>
  <c r="L426" i="1"/>
  <c r="K426" i="1" s="1"/>
  <c r="L427" i="1"/>
  <c r="K427" i="1" s="1"/>
  <c r="L428" i="1"/>
  <c r="K428" i="1" s="1"/>
  <c r="L429" i="1"/>
  <c r="K429" i="1" s="1"/>
  <c r="L430" i="1"/>
  <c r="K430" i="1" s="1"/>
  <c r="L431" i="1"/>
  <c r="K431" i="1" s="1"/>
  <c r="L432" i="1"/>
  <c r="K432" i="1" s="1"/>
  <c r="L433" i="1"/>
  <c r="K433" i="1" s="1"/>
  <c r="L434" i="1"/>
  <c r="K434" i="1" s="1"/>
  <c r="L435" i="1"/>
  <c r="K435" i="1" s="1"/>
  <c r="L436" i="1"/>
  <c r="K436" i="1" s="1"/>
  <c r="L437" i="1"/>
  <c r="K437" i="1" s="1"/>
  <c r="L438" i="1"/>
  <c r="K438" i="1" s="1"/>
  <c r="L439" i="1"/>
  <c r="K439" i="1" s="1"/>
  <c r="L440" i="1"/>
  <c r="K440" i="1" s="1"/>
  <c r="L441" i="1"/>
  <c r="K441" i="1" s="1"/>
  <c r="L442" i="1"/>
  <c r="K442" i="1" s="1"/>
  <c r="L443" i="1"/>
  <c r="K443" i="1" s="1"/>
  <c r="L444" i="1"/>
  <c r="K444" i="1" s="1"/>
  <c r="L445" i="1"/>
  <c r="K445" i="1" s="1"/>
  <c r="L446" i="1"/>
  <c r="K446" i="1" s="1"/>
  <c r="L447" i="1"/>
  <c r="K447" i="1" s="1"/>
  <c r="L448" i="1"/>
  <c r="K448" i="1" s="1"/>
  <c r="L449" i="1"/>
  <c r="K449" i="1" s="1"/>
  <c r="L450" i="1"/>
  <c r="K450" i="1" s="1"/>
  <c r="L451" i="1"/>
  <c r="K451" i="1" s="1"/>
  <c r="L452" i="1"/>
  <c r="K452" i="1" s="1"/>
  <c r="L453" i="1"/>
  <c r="K453" i="1" s="1"/>
  <c r="L454" i="1"/>
  <c r="K454" i="1" s="1"/>
  <c r="L455" i="1"/>
  <c r="K455" i="1" s="1"/>
  <c r="L456" i="1"/>
  <c r="K456" i="1" s="1"/>
  <c r="L457" i="1"/>
  <c r="K457" i="1" s="1"/>
  <c r="L458" i="1"/>
  <c r="K458" i="1" s="1"/>
  <c r="L459" i="1"/>
  <c r="K459" i="1" s="1"/>
  <c r="L460" i="1"/>
  <c r="K460" i="1" s="1"/>
  <c r="L461" i="1"/>
  <c r="K461" i="1" s="1"/>
  <c r="L462" i="1"/>
  <c r="K462" i="1" s="1"/>
  <c r="L463" i="1"/>
  <c r="K463" i="1" s="1"/>
  <c r="L464" i="1"/>
  <c r="K464" i="1" s="1"/>
  <c r="L465" i="1"/>
  <c r="K465" i="1" s="1"/>
  <c r="L466" i="1"/>
  <c r="K466" i="1" s="1"/>
  <c r="L467" i="1"/>
  <c r="K467" i="1" s="1"/>
  <c r="L468" i="1"/>
  <c r="K468" i="1" s="1"/>
  <c r="L469" i="1"/>
  <c r="K469" i="1" s="1"/>
  <c r="L470" i="1"/>
  <c r="K470" i="1" s="1"/>
  <c r="L471" i="1"/>
  <c r="K471" i="1" s="1"/>
  <c r="L472" i="1"/>
  <c r="K472" i="1" s="1"/>
  <c r="L473" i="1"/>
  <c r="K473" i="1" s="1"/>
  <c r="L474" i="1"/>
  <c r="K474" i="1" s="1"/>
  <c r="L475" i="1"/>
  <c r="K475" i="1" s="1"/>
  <c r="L476" i="1"/>
  <c r="K476" i="1" s="1"/>
  <c r="L477" i="1"/>
  <c r="K477" i="1" s="1"/>
  <c r="L478" i="1"/>
  <c r="K478" i="1" s="1"/>
  <c r="L479" i="1"/>
  <c r="K479" i="1" s="1"/>
  <c r="L480" i="1"/>
  <c r="K480" i="1" s="1"/>
  <c r="L481" i="1"/>
  <c r="K481" i="1" s="1"/>
  <c r="L482" i="1"/>
  <c r="K482" i="1" s="1"/>
  <c r="L483" i="1"/>
  <c r="K483" i="1" s="1"/>
  <c r="L484" i="1"/>
  <c r="K484" i="1" s="1"/>
  <c r="L485" i="1"/>
  <c r="K485" i="1" s="1"/>
  <c r="L486" i="1"/>
  <c r="K486" i="1" s="1"/>
  <c r="L487" i="1"/>
  <c r="K487" i="1" s="1"/>
  <c r="L488" i="1"/>
  <c r="K488" i="1" s="1"/>
  <c r="L489" i="1"/>
  <c r="K489" i="1" s="1"/>
  <c r="L490" i="1"/>
  <c r="K490" i="1" s="1"/>
  <c r="L491" i="1"/>
  <c r="K491" i="1" s="1"/>
  <c r="L492" i="1"/>
  <c r="K492" i="1" s="1"/>
  <c r="L493" i="1"/>
  <c r="K493" i="1" s="1"/>
  <c r="L494" i="1"/>
  <c r="K494" i="1" s="1"/>
  <c r="L495" i="1"/>
  <c r="K495" i="1" s="1"/>
  <c r="L496" i="1"/>
  <c r="K496" i="1" s="1"/>
  <c r="L497" i="1"/>
  <c r="K497" i="1" s="1"/>
  <c r="L498" i="1"/>
  <c r="K498" i="1" s="1"/>
  <c r="L499" i="1"/>
  <c r="K499" i="1" s="1"/>
  <c r="L500" i="1"/>
  <c r="K500" i="1" s="1"/>
  <c r="L501" i="1"/>
  <c r="K501" i="1" s="1"/>
  <c r="L502" i="1"/>
  <c r="K502" i="1" s="1"/>
  <c r="L503" i="1"/>
  <c r="K503" i="1" s="1"/>
  <c r="L504" i="1"/>
  <c r="K504" i="1" s="1"/>
  <c r="L505" i="1"/>
  <c r="K505" i="1" s="1"/>
  <c r="L506" i="1"/>
  <c r="K506" i="1" s="1"/>
  <c r="L507" i="1"/>
  <c r="K507" i="1" s="1"/>
  <c r="L508" i="1"/>
  <c r="K508" i="1" s="1"/>
  <c r="L509" i="1"/>
  <c r="K509" i="1" s="1"/>
  <c r="L510" i="1"/>
  <c r="K510" i="1" s="1"/>
  <c r="L511" i="1"/>
  <c r="K511" i="1" s="1"/>
  <c r="L512" i="1"/>
  <c r="K512" i="1" s="1"/>
  <c r="L513" i="1"/>
  <c r="K513" i="1" s="1"/>
  <c r="L514" i="1"/>
  <c r="K514" i="1" s="1"/>
  <c r="L515" i="1"/>
  <c r="K515" i="1" s="1"/>
  <c r="L516" i="1"/>
  <c r="K516" i="1" s="1"/>
  <c r="L517" i="1"/>
  <c r="K517" i="1" s="1"/>
  <c r="L518" i="1"/>
  <c r="K518" i="1" s="1"/>
  <c r="L519" i="1"/>
  <c r="K519" i="1" s="1"/>
  <c r="L520" i="1"/>
  <c r="K520" i="1" s="1"/>
  <c r="L521" i="1"/>
  <c r="K521" i="1" s="1"/>
  <c r="L522" i="1"/>
  <c r="K522" i="1" s="1"/>
  <c r="L523" i="1"/>
  <c r="K523" i="1" s="1"/>
  <c r="L524" i="1"/>
  <c r="K524" i="1" s="1"/>
  <c r="L525" i="1"/>
  <c r="K525" i="1" s="1"/>
  <c r="L526" i="1"/>
  <c r="K526" i="1" s="1"/>
  <c r="L527" i="1"/>
  <c r="K527" i="1" s="1"/>
  <c r="L528" i="1"/>
  <c r="K528" i="1" s="1"/>
  <c r="L529" i="1"/>
  <c r="K529" i="1" s="1"/>
  <c r="L530" i="1"/>
  <c r="K530" i="1" s="1"/>
  <c r="L531" i="1"/>
  <c r="K531" i="1" s="1"/>
  <c r="L532" i="1"/>
  <c r="K532" i="1" s="1"/>
  <c r="L533" i="1"/>
  <c r="K533" i="1" s="1"/>
  <c r="L534" i="1"/>
  <c r="K534" i="1" s="1"/>
  <c r="L535" i="1"/>
  <c r="K535" i="1" s="1"/>
  <c r="L536" i="1"/>
  <c r="K536" i="1" s="1"/>
  <c r="L537" i="1"/>
  <c r="K537" i="1" s="1"/>
  <c r="L538" i="1"/>
  <c r="K538" i="1" s="1"/>
  <c r="L539" i="1"/>
  <c r="K539" i="1" s="1"/>
  <c r="L540" i="1"/>
  <c r="K540" i="1" s="1"/>
  <c r="L541" i="1"/>
  <c r="K541" i="1" s="1"/>
  <c r="L542" i="1"/>
  <c r="K542" i="1" s="1"/>
  <c r="L543" i="1"/>
  <c r="K543" i="1" s="1"/>
  <c r="L544" i="1"/>
  <c r="K544" i="1" s="1"/>
  <c r="L545" i="1"/>
  <c r="K545" i="1" s="1"/>
  <c r="L546" i="1"/>
  <c r="K546" i="1" s="1"/>
  <c r="L547" i="1"/>
  <c r="K547" i="1" s="1"/>
  <c r="L548" i="1"/>
  <c r="K548" i="1" s="1"/>
  <c r="L549" i="1"/>
  <c r="K549" i="1" s="1"/>
  <c r="L550" i="1"/>
  <c r="K550" i="1" s="1"/>
  <c r="L551" i="1"/>
  <c r="K551" i="1" s="1"/>
  <c r="L552" i="1"/>
  <c r="K552" i="1" s="1"/>
  <c r="L553" i="1"/>
  <c r="K553" i="1" s="1"/>
  <c r="L554" i="1"/>
  <c r="K554" i="1" s="1"/>
  <c r="L555" i="1"/>
  <c r="K555" i="1" s="1"/>
  <c r="L556" i="1"/>
  <c r="K556" i="1" s="1"/>
  <c r="L557" i="1"/>
  <c r="K557" i="1" s="1"/>
  <c r="L558" i="1"/>
  <c r="K558" i="1" s="1"/>
  <c r="L559" i="1"/>
  <c r="K559" i="1" s="1"/>
  <c r="L560" i="1"/>
  <c r="K560" i="1" s="1"/>
  <c r="L561" i="1"/>
  <c r="K561" i="1" s="1"/>
  <c r="L562" i="1"/>
  <c r="K562" i="1" s="1"/>
  <c r="L563" i="1"/>
  <c r="K563" i="1" s="1"/>
  <c r="L564" i="1"/>
  <c r="K564" i="1" s="1"/>
  <c r="L565" i="1"/>
  <c r="K565" i="1" s="1"/>
  <c r="L566" i="1"/>
  <c r="K566" i="1" s="1"/>
  <c r="L567" i="1"/>
  <c r="K567" i="1" s="1"/>
  <c r="L568" i="1"/>
  <c r="K568" i="1" s="1"/>
  <c r="L569" i="1"/>
  <c r="K569" i="1" s="1"/>
  <c r="L570" i="1"/>
  <c r="K570" i="1" s="1"/>
  <c r="L571" i="1"/>
  <c r="K571" i="1" s="1"/>
  <c r="L572" i="1"/>
  <c r="K572" i="1" s="1"/>
  <c r="L573" i="1"/>
  <c r="K573" i="1" s="1"/>
  <c r="L574" i="1"/>
  <c r="K574" i="1" s="1"/>
  <c r="L575" i="1"/>
  <c r="K575" i="1" s="1"/>
  <c r="L576" i="1"/>
  <c r="K576" i="1" s="1"/>
  <c r="L577" i="1"/>
  <c r="K577" i="1" s="1"/>
  <c r="L578" i="1"/>
  <c r="K578" i="1" s="1"/>
  <c r="L579" i="1"/>
  <c r="K579" i="1" s="1"/>
  <c r="L580" i="1"/>
  <c r="K580" i="1" s="1"/>
  <c r="L581" i="1"/>
  <c r="K581" i="1" s="1"/>
  <c r="L582" i="1"/>
  <c r="K582" i="1" s="1"/>
  <c r="L583" i="1"/>
  <c r="K583" i="1" s="1"/>
  <c r="L584" i="1"/>
  <c r="K584" i="1" s="1"/>
  <c r="L585" i="1"/>
  <c r="K585" i="1" s="1"/>
  <c r="L586" i="1"/>
  <c r="K586" i="1" s="1"/>
  <c r="L587" i="1"/>
  <c r="K587" i="1" s="1"/>
  <c r="L588" i="1"/>
  <c r="K588" i="1" s="1"/>
  <c r="L589" i="1"/>
  <c r="K589" i="1" s="1"/>
  <c r="L590" i="1"/>
  <c r="K590" i="1" s="1"/>
  <c r="L591" i="1"/>
  <c r="K591" i="1" s="1"/>
  <c r="L592" i="1"/>
  <c r="K592" i="1" s="1"/>
  <c r="L593" i="1"/>
  <c r="K593" i="1" s="1"/>
  <c r="L594" i="1"/>
  <c r="K594" i="1" s="1"/>
  <c r="L595" i="1"/>
  <c r="K595" i="1" s="1"/>
  <c r="L596" i="1"/>
  <c r="K596" i="1" s="1"/>
  <c r="L597" i="1"/>
  <c r="K597" i="1" s="1"/>
  <c r="L598" i="1"/>
  <c r="K598" i="1" s="1"/>
  <c r="L599" i="1"/>
  <c r="K599" i="1" s="1"/>
  <c r="L600" i="1"/>
  <c r="K600" i="1" s="1"/>
  <c r="L601" i="1"/>
  <c r="K601" i="1" s="1"/>
  <c r="L602" i="1"/>
  <c r="K602" i="1" s="1"/>
  <c r="L603" i="1"/>
  <c r="K603" i="1" s="1"/>
  <c r="L604" i="1"/>
  <c r="K604" i="1" s="1"/>
  <c r="L605" i="1"/>
  <c r="K605" i="1" s="1"/>
  <c r="L606" i="1"/>
  <c r="K606" i="1" s="1"/>
  <c r="L607" i="1"/>
  <c r="K607" i="1" s="1"/>
  <c r="L608" i="1"/>
  <c r="K608" i="1" s="1"/>
  <c r="L609" i="1"/>
  <c r="K609" i="1" s="1"/>
  <c r="L610" i="1"/>
  <c r="K610" i="1" s="1"/>
  <c r="L611" i="1"/>
  <c r="K611" i="1" s="1"/>
  <c r="L612" i="1"/>
  <c r="K612" i="1" s="1"/>
  <c r="L613" i="1"/>
  <c r="K613" i="1" s="1"/>
  <c r="L614" i="1"/>
  <c r="K614" i="1" s="1"/>
  <c r="L615" i="1"/>
  <c r="K615" i="1" s="1"/>
  <c r="L616" i="1"/>
  <c r="K616" i="1" s="1"/>
  <c r="L617" i="1"/>
  <c r="K617" i="1" s="1"/>
  <c r="L618" i="1"/>
  <c r="K618" i="1" s="1"/>
  <c r="L619" i="1"/>
  <c r="K619" i="1" s="1"/>
  <c r="L620" i="1"/>
  <c r="K620" i="1" s="1"/>
  <c r="L621" i="1"/>
  <c r="K621" i="1" s="1"/>
  <c r="L622" i="1"/>
  <c r="K622" i="1" s="1"/>
  <c r="L623" i="1"/>
  <c r="K623" i="1" s="1"/>
  <c r="L624" i="1"/>
  <c r="K624" i="1" s="1"/>
  <c r="L625" i="1"/>
  <c r="K625" i="1" s="1"/>
  <c r="L626" i="1"/>
  <c r="K626" i="1" s="1"/>
  <c r="L627" i="1"/>
  <c r="K627" i="1" s="1"/>
  <c r="L628" i="1"/>
  <c r="K628" i="1" s="1"/>
  <c r="L629" i="1"/>
  <c r="K629" i="1" s="1"/>
  <c r="L630" i="1"/>
  <c r="K630" i="1" s="1"/>
  <c r="L631" i="1"/>
  <c r="K631" i="1" s="1"/>
  <c r="L632" i="1"/>
  <c r="K632" i="1" s="1"/>
  <c r="L633" i="1"/>
  <c r="K633" i="1" s="1"/>
  <c r="L634" i="1"/>
  <c r="K634" i="1" s="1"/>
  <c r="L635" i="1"/>
  <c r="K635" i="1" s="1"/>
  <c r="L636" i="1"/>
  <c r="K636" i="1" s="1"/>
  <c r="L637" i="1"/>
  <c r="K637" i="1" s="1"/>
  <c r="L638" i="1"/>
  <c r="K638" i="1" s="1"/>
  <c r="L639" i="1"/>
  <c r="K639" i="1" s="1"/>
  <c r="L640" i="1"/>
  <c r="K640" i="1" s="1"/>
  <c r="L641" i="1"/>
  <c r="K641" i="1" s="1"/>
  <c r="L642" i="1"/>
  <c r="K642" i="1" s="1"/>
  <c r="L643" i="1"/>
  <c r="K643" i="1" s="1"/>
  <c r="L644" i="1"/>
  <c r="K644" i="1" s="1"/>
  <c r="L645" i="1"/>
  <c r="K645" i="1" s="1"/>
  <c r="L646" i="1"/>
  <c r="K646" i="1" s="1"/>
  <c r="L647" i="1"/>
  <c r="K647" i="1" s="1"/>
  <c r="L648" i="1"/>
  <c r="K648" i="1" s="1"/>
  <c r="L649" i="1"/>
  <c r="K649" i="1" s="1"/>
  <c r="L650" i="1"/>
  <c r="K650" i="1" s="1"/>
  <c r="L651" i="1"/>
  <c r="K651" i="1" s="1"/>
  <c r="L652" i="1"/>
  <c r="K652" i="1" s="1"/>
  <c r="L653" i="1"/>
  <c r="K653" i="1" s="1"/>
  <c r="L654" i="1"/>
  <c r="K654" i="1" s="1"/>
  <c r="L655" i="1"/>
  <c r="K655" i="1" s="1"/>
  <c r="L656" i="1"/>
  <c r="K656" i="1" s="1"/>
  <c r="R458" i="8" l="1"/>
  <c r="H22" i="8"/>
  <c r="R427" i="8"/>
  <c r="AB22" i="1"/>
  <c r="AA27" i="1"/>
  <c r="AA8" i="1"/>
  <c r="AA15" i="1"/>
  <c r="AA10" i="1"/>
  <c r="AA33" i="1"/>
  <c r="AA21" i="1"/>
  <c r="AA9" i="1"/>
  <c r="AA7" i="1"/>
  <c r="AB11" i="1"/>
  <c r="AA30" i="1"/>
  <c r="AA18" i="1"/>
  <c r="AA6" i="1"/>
  <c r="AA19" i="1"/>
  <c r="AA29" i="1"/>
  <c r="AA17" i="1"/>
  <c r="AA5" i="1"/>
  <c r="AA31" i="1"/>
  <c r="AB8" i="1"/>
  <c r="AA28" i="1"/>
  <c r="AA16" i="1"/>
  <c r="AA32" i="1"/>
  <c r="AA26" i="1"/>
  <c r="AA14" i="1"/>
  <c r="AA20" i="1"/>
  <c r="AA25" i="1"/>
  <c r="AA13" i="1"/>
  <c r="AA24" i="1"/>
  <c r="AA12" i="1"/>
  <c r="AA4" i="1"/>
  <c r="AA23" i="1"/>
  <c r="AA11" i="1"/>
  <c r="AA34" i="1"/>
  <c r="AA22" i="1"/>
  <c r="H453" i="12"/>
  <c r="R420" i="12"/>
  <c r="Q421" i="12"/>
  <c r="H179" i="12"/>
  <c r="H321" i="12"/>
  <c r="H432" i="12"/>
  <c r="H454" i="12"/>
  <c r="G455" i="12"/>
  <c r="G450" i="12"/>
  <c r="H449" i="12"/>
  <c r="G434" i="12"/>
  <c r="H433" i="12"/>
  <c r="H74" i="11"/>
  <c r="R60" i="11"/>
  <c r="R61" i="11"/>
  <c r="H75" i="11"/>
  <c r="G76" i="11"/>
  <c r="R370" i="10"/>
  <c r="R277" i="10"/>
  <c r="R509" i="10"/>
  <c r="R613" i="10"/>
  <c r="R319" i="10"/>
  <c r="H962" i="10"/>
  <c r="H314" i="10"/>
  <c r="H921" i="10"/>
  <c r="H590" i="10"/>
  <c r="H393" i="10"/>
  <c r="H326" i="10"/>
  <c r="H213" i="10"/>
  <c r="H870" i="10"/>
  <c r="H830" i="10"/>
  <c r="H165" i="10"/>
  <c r="R447" i="10"/>
  <c r="H932" i="10"/>
  <c r="H836" i="10"/>
  <c r="H812" i="10"/>
  <c r="H344" i="10"/>
  <c r="H787" i="10"/>
  <c r="H918" i="10"/>
  <c r="H906" i="10"/>
  <c r="H594" i="10"/>
  <c r="H378" i="10"/>
  <c r="H366" i="10"/>
  <c r="H953" i="10"/>
  <c r="H941" i="10"/>
  <c r="H929" i="10"/>
  <c r="H269" i="10"/>
  <c r="R308" i="10"/>
  <c r="H856" i="10"/>
  <c r="H844" i="10"/>
  <c r="H820" i="10"/>
  <c r="H796" i="10"/>
  <c r="H616" i="10"/>
  <c r="H544" i="10"/>
  <c r="H280" i="10"/>
  <c r="H879" i="10"/>
  <c r="H447" i="10"/>
  <c r="H913" i="10"/>
  <c r="H721" i="10"/>
  <c r="H289" i="10"/>
  <c r="H241" i="10"/>
  <c r="H852" i="10"/>
  <c r="H672" i="10"/>
  <c r="H456" i="10"/>
  <c r="H863" i="10"/>
  <c r="H791" i="10"/>
  <c r="H371" i="10"/>
  <c r="R602" i="10"/>
  <c r="H946" i="10"/>
  <c r="H874" i="10"/>
  <c r="H634" i="10"/>
  <c r="H598" i="10"/>
  <c r="R529" i="10"/>
  <c r="R387" i="10"/>
  <c r="G955" i="10"/>
  <c r="H955" i="10" s="1"/>
  <c r="G948" i="10"/>
  <c r="H948" i="10" s="1"/>
  <c r="G943" i="10"/>
  <c r="H943" i="10" s="1"/>
  <c r="G934" i="10"/>
  <c r="H934" i="10" s="1"/>
  <c r="G923" i="10"/>
  <c r="H923" i="10" s="1"/>
  <c r="G915" i="10"/>
  <c r="H915" i="10" s="1"/>
  <c r="G908" i="10"/>
  <c r="H908" i="10" s="1"/>
  <c r="G894" i="10"/>
  <c r="H894" i="10" s="1"/>
  <c r="G881" i="10"/>
  <c r="H881" i="10" s="1"/>
  <c r="G876" i="10"/>
  <c r="H876" i="10" s="1"/>
  <c r="G872" i="10"/>
  <c r="H872" i="10" s="1"/>
  <c r="G865" i="10"/>
  <c r="H865" i="10" s="1"/>
  <c r="G858" i="10"/>
  <c r="H858" i="10" s="1"/>
  <c r="G854" i="10"/>
  <c r="H854" i="10" s="1"/>
  <c r="G846" i="10"/>
  <c r="H846" i="10" s="1"/>
  <c r="G838" i="10"/>
  <c r="H838" i="10" s="1"/>
  <c r="G822" i="10"/>
  <c r="H822" i="10" s="1"/>
  <c r="G814" i="10"/>
  <c r="H814" i="10" s="1"/>
  <c r="G798" i="10"/>
  <c r="H798" i="10" s="1"/>
  <c r="G789" i="10"/>
  <c r="H789" i="10" s="1"/>
  <c r="G767" i="10"/>
  <c r="H767" i="10" s="1"/>
  <c r="G754" i="10"/>
  <c r="H754" i="10" s="1"/>
  <c r="G741" i="10"/>
  <c r="H741" i="10" s="1"/>
  <c r="G730" i="10"/>
  <c r="H730" i="10" s="1"/>
  <c r="G592" i="10"/>
  <c r="H592" i="10" s="1"/>
  <c r="G395" i="10"/>
  <c r="H395" i="10" s="1"/>
  <c r="G368" i="10"/>
  <c r="H368" i="10" s="1"/>
  <c r="G316" i="10"/>
  <c r="H316" i="10" s="1"/>
  <c r="G271" i="10"/>
  <c r="H271" i="10" s="1"/>
  <c r="R555" i="10"/>
  <c r="R314" i="10"/>
  <c r="R272" i="10"/>
  <c r="R506" i="10"/>
  <c r="R662" i="10"/>
  <c r="R763" i="10"/>
  <c r="R776" i="10"/>
  <c r="R871" i="10"/>
  <c r="R392" i="10"/>
  <c r="R890" i="10"/>
  <c r="R887" i="10"/>
  <c r="R882" i="10"/>
  <c r="R860" i="10"/>
  <c r="R581" i="10"/>
  <c r="R719" i="10"/>
  <c r="R524" i="10"/>
  <c r="R434" i="10"/>
  <c r="R815" i="10"/>
  <c r="R685" i="10"/>
  <c r="R291" i="10"/>
  <c r="R767" i="10"/>
  <c r="R659" i="10"/>
  <c r="R830" i="10"/>
  <c r="R896" i="10"/>
  <c r="R787" i="10"/>
  <c r="R826" i="10"/>
  <c r="B195" i="9"/>
  <c r="B183" i="9"/>
  <c r="B171" i="9"/>
  <c r="B159" i="9"/>
  <c r="B147" i="9"/>
  <c r="B135" i="9"/>
  <c r="B123" i="9"/>
  <c r="B111" i="9"/>
  <c r="B99" i="9"/>
  <c r="B87" i="9"/>
  <c r="B75" i="9"/>
  <c r="B63" i="9"/>
  <c r="B51" i="9"/>
  <c r="B39" i="9"/>
  <c r="R496" i="10"/>
  <c r="Q834" i="10"/>
  <c r="R672" i="10"/>
  <c r="R903" i="10"/>
  <c r="R395" i="10"/>
  <c r="R857" i="10"/>
  <c r="R540" i="10"/>
  <c r="R645" i="10"/>
  <c r="Q828" i="10"/>
  <c r="R828" i="10" s="1"/>
  <c r="R827" i="10"/>
  <c r="R649" i="10"/>
  <c r="Q604" i="10"/>
  <c r="R703" i="10"/>
  <c r="R503" i="10"/>
  <c r="R779" i="10"/>
  <c r="R851" i="10"/>
  <c r="R548" i="10"/>
  <c r="Q927" i="10"/>
  <c r="R904" i="10"/>
  <c r="Q905" i="10"/>
  <c r="Q898" i="10"/>
  <c r="R897" i="10"/>
  <c r="Q892" i="10"/>
  <c r="R891" i="10"/>
  <c r="Q884" i="10"/>
  <c r="R883" i="10"/>
  <c r="Q873" i="10"/>
  <c r="R872" i="10"/>
  <c r="Q862" i="10"/>
  <c r="R861" i="10"/>
  <c r="Q853" i="10"/>
  <c r="R852" i="10"/>
  <c r="Q789" i="10"/>
  <c r="R789" i="10" s="1"/>
  <c r="R788" i="10"/>
  <c r="Q781" i="10"/>
  <c r="R781" i="10" s="1"/>
  <c r="R780" i="10"/>
  <c r="Q769" i="10"/>
  <c r="R769" i="10" s="1"/>
  <c r="R768" i="10"/>
  <c r="Q765" i="10"/>
  <c r="R765" i="10" s="1"/>
  <c r="R764" i="10"/>
  <c r="Q721" i="10"/>
  <c r="R721" i="10" s="1"/>
  <c r="R720" i="10"/>
  <c r="Q526" i="10"/>
  <c r="R526" i="10" s="1"/>
  <c r="R525" i="10"/>
  <c r="Q389" i="10"/>
  <c r="R389" i="10" s="1"/>
  <c r="R388" i="10"/>
  <c r="Q321" i="10"/>
  <c r="R320" i="10"/>
  <c r="Q293" i="10"/>
  <c r="R293" i="10" s="1"/>
  <c r="R292" i="10"/>
  <c r="Q274" i="10"/>
  <c r="R273" i="10"/>
  <c r="Q1157" i="9"/>
  <c r="R1156" i="9"/>
  <c r="Q946" i="9"/>
  <c r="R945" i="9"/>
  <c r="Q942" i="9"/>
  <c r="R942" i="9" s="1"/>
  <c r="R941" i="9"/>
  <c r="Q1145" i="9"/>
  <c r="R1145" i="9" s="1"/>
  <c r="R1144" i="9"/>
  <c r="Q1121" i="9"/>
  <c r="R1121" i="9" s="1"/>
  <c r="R1120" i="9"/>
  <c r="Q1110" i="9"/>
  <c r="R1109" i="9"/>
  <c r="Q1054" i="9"/>
  <c r="R1053" i="9"/>
  <c r="Q1015" i="9"/>
  <c r="R1015" i="9" s="1"/>
  <c r="R1014" i="9"/>
  <c r="Q1005" i="9"/>
  <c r="R1005" i="9" s="1"/>
  <c r="R1004" i="9"/>
  <c r="Q998" i="9"/>
  <c r="R997" i="9"/>
  <c r="Q985" i="9"/>
  <c r="R984" i="9"/>
  <c r="Q628" i="9"/>
  <c r="R627" i="9"/>
  <c r="Q625" i="9"/>
  <c r="R625" i="9" s="1"/>
  <c r="R624" i="9"/>
  <c r="Q577" i="9"/>
  <c r="R576" i="9"/>
  <c r="Q571" i="9"/>
  <c r="R571" i="9" s="1"/>
  <c r="R570" i="9"/>
  <c r="Q1640" i="9"/>
  <c r="R1639" i="9"/>
  <c r="Q1589" i="9"/>
  <c r="R1589" i="9" s="1"/>
  <c r="R1588" i="9"/>
  <c r="Q1583" i="9"/>
  <c r="R1582" i="9"/>
  <c r="Q1569" i="9"/>
  <c r="R1569" i="9" s="1"/>
  <c r="R1568" i="9"/>
  <c r="Q1559" i="9"/>
  <c r="R1558" i="9"/>
  <c r="Q1537" i="9"/>
  <c r="R1537" i="9" s="1"/>
  <c r="R1536" i="9"/>
  <c r="Q1530" i="9"/>
  <c r="R1529" i="9"/>
  <c r="Q1518" i="9"/>
  <c r="R1518" i="9" s="1"/>
  <c r="R1517" i="9"/>
  <c r="Q1486" i="9"/>
  <c r="R1486" i="9" s="1"/>
  <c r="R1485" i="9"/>
  <c r="Q1482" i="9"/>
  <c r="R1482" i="9" s="1"/>
  <c r="R1481" i="9"/>
  <c r="Q1477" i="9"/>
  <c r="R1476" i="9"/>
  <c r="Q1447" i="9"/>
  <c r="R1446" i="9"/>
  <c r="Q1430" i="9"/>
  <c r="R1430" i="9" s="1"/>
  <c r="R1429" i="9"/>
  <c r="Q1426" i="9"/>
  <c r="R1425" i="9"/>
  <c r="Q1377" i="9"/>
  <c r="R1377" i="9" s="1"/>
  <c r="R1376" i="9"/>
  <c r="Q1284" i="9"/>
  <c r="R1283" i="9"/>
  <c r="Q1266" i="9"/>
  <c r="R1265" i="9"/>
  <c r="Q1217" i="9"/>
  <c r="R1216" i="9"/>
  <c r="Q1211" i="9"/>
  <c r="R1211" i="9" s="1"/>
  <c r="R1210" i="9"/>
  <c r="Q1189" i="9"/>
  <c r="R1189" i="9" s="1"/>
  <c r="R1188" i="9"/>
  <c r="Q1158" i="9"/>
  <c r="R1158" i="9" s="1"/>
  <c r="R1157" i="9"/>
  <c r="Q1111" i="9"/>
  <c r="R1111" i="9" s="1"/>
  <c r="R1110" i="9"/>
  <c r="Q1055" i="9"/>
  <c r="R1055" i="9" s="1"/>
  <c r="R1054" i="9"/>
  <c r="Q999" i="9"/>
  <c r="R998" i="9"/>
  <c r="Q986" i="9"/>
  <c r="R985" i="9"/>
  <c r="Q947" i="9"/>
  <c r="R946" i="9"/>
  <c r="Q894" i="9"/>
  <c r="R894" i="9" s="1"/>
  <c r="R893" i="9"/>
  <c r="Q785" i="9"/>
  <c r="R784" i="9"/>
  <c r="Q774" i="9"/>
  <c r="R774" i="9" s="1"/>
  <c r="R773" i="9"/>
  <c r="Q737" i="9"/>
  <c r="R736" i="9"/>
  <c r="Q731" i="9"/>
  <c r="R730" i="9"/>
  <c r="Q200" i="9"/>
  <c r="R200" i="9" s="1"/>
  <c r="R199" i="9"/>
  <c r="Q147" i="9"/>
  <c r="R147" i="9" s="1"/>
  <c r="R146" i="9"/>
  <c r="G1635" i="9"/>
  <c r="H1634" i="9"/>
  <c r="G1629" i="9"/>
  <c r="H1628" i="9"/>
  <c r="G1618" i="9"/>
  <c r="H1618" i="9" s="1"/>
  <c r="H1617" i="9"/>
  <c r="G1604" i="9"/>
  <c r="H1604" i="9" s="1"/>
  <c r="H1603" i="9"/>
  <c r="G1593" i="9"/>
  <c r="H1593" i="9" s="1"/>
  <c r="H1592" i="9"/>
  <c r="G1581" i="9"/>
  <c r="H1580" i="9"/>
  <c r="G1543" i="9"/>
  <c r="H1543" i="9" s="1"/>
  <c r="H1542" i="9"/>
  <c r="G1528" i="9"/>
  <c r="H1527" i="9"/>
  <c r="G1523" i="9"/>
  <c r="H1522" i="9"/>
  <c r="G1514" i="9"/>
  <c r="H1513" i="9"/>
  <c r="G1509" i="9"/>
  <c r="H1509" i="9" s="1"/>
  <c r="H1508" i="9"/>
  <c r="G1469" i="9"/>
  <c r="H1468" i="9"/>
  <c r="G1462" i="9"/>
  <c r="H1462" i="9" s="1"/>
  <c r="H1461" i="9"/>
  <c r="G1420" i="9"/>
  <c r="H1419" i="9"/>
  <c r="G1416" i="9"/>
  <c r="H1415" i="9"/>
  <c r="G1408" i="9"/>
  <c r="H1407" i="9"/>
  <c r="G1401" i="9"/>
  <c r="H1401" i="9" s="1"/>
  <c r="H1400" i="9"/>
  <c r="G1374" i="9"/>
  <c r="H1374" i="9" s="1"/>
  <c r="H1373" i="9"/>
  <c r="G1365" i="9"/>
  <c r="H1364" i="9"/>
  <c r="G1320" i="9"/>
  <c r="H1320" i="9" s="1"/>
  <c r="H1319" i="9"/>
  <c r="G1313" i="9"/>
  <c r="H1312" i="9"/>
  <c r="G1309" i="9"/>
  <c r="H1309" i="9" s="1"/>
  <c r="H1308" i="9"/>
  <c r="G1264" i="9"/>
  <c r="H1263" i="9"/>
  <c r="G1258" i="9"/>
  <c r="H1257" i="9"/>
  <c r="G1243" i="9"/>
  <c r="H1243" i="9" s="1"/>
  <c r="H1242" i="9"/>
  <c r="G1214" i="9"/>
  <c r="H1214" i="9" s="1"/>
  <c r="H1213" i="9"/>
  <c r="G1211" i="9"/>
  <c r="H1211" i="9" s="1"/>
  <c r="H1210" i="9"/>
  <c r="G1194" i="9"/>
  <c r="H1194" i="9" s="1"/>
  <c r="H1193" i="9"/>
  <c r="G1157" i="9"/>
  <c r="H1157" i="9" s="1"/>
  <c r="H1156" i="9"/>
  <c r="G1154" i="9"/>
  <c r="H1154" i="9" s="1"/>
  <c r="H1153" i="9"/>
  <c r="G1150" i="9"/>
  <c r="H1149" i="9"/>
  <c r="G1145" i="9"/>
  <c r="H1145" i="9" s="1"/>
  <c r="H1144" i="9"/>
  <c r="G1099" i="9"/>
  <c r="H1098" i="9"/>
  <c r="G1094" i="9"/>
  <c r="H1093" i="9"/>
  <c r="G1075" i="9"/>
  <c r="H1075" i="9" s="1"/>
  <c r="H1074" i="9"/>
  <c r="G1068" i="9"/>
  <c r="H1067" i="9"/>
  <c r="G1042" i="9"/>
  <c r="H1041" i="9"/>
  <c r="G1008" i="9"/>
  <c r="H1007" i="9"/>
  <c r="G990" i="9"/>
  <c r="H989" i="9"/>
  <c r="G966" i="9"/>
  <c r="H965" i="9"/>
  <c r="G952" i="9"/>
  <c r="H951" i="9"/>
  <c r="G948" i="9"/>
  <c r="H948" i="9" s="1"/>
  <c r="H947" i="9"/>
  <c r="G944" i="9"/>
  <c r="H944" i="9" s="1"/>
  <c r="H943" i="9"/>
  <c r="G936" i="9"/>
  <c r="H936" i="9" s="1"/>
  <c r="H935" i="9"/>
  <c r="G891" i="9"/>
  <c r="H891" i="9" s="1"/>
  <c r="H890" i="9"/>
  <c r="G881" i="9"/>
  <c r="H880" i="9"/>
  <c r="G854" i="9"/>
  <c r="H854" i="9" s="1"/>
  <c r="H853" i="9"/>
  <c r="G836" i="9"/>
  <c r="H835" i="9"/>
  <c r="G832" i="9"/>
  <c r="H831" i="9"/>
  <c r="G789" i="9"/>
  <c r="H788" i="9"/>
  <c r="G781" i="9"/>
  <c r="H780" i="9"/>
  <c r="G777" i="9"/>
  <c r="H777" i="9" s="1"/>
  <c r="H776" i="9"/>
  <c r="G768" i="9"/>
  <c r="H768" i="9" s="1"/>
  <c r="H767" i="9"/>
  <c r="G734" i="9"/>
  <c r="H733" i="9"/>
  <c r="G727" i="9"/>
  <c r="H726" i="9"/>
  <c r="G723" i="9"/>
  <c r="H722" i="9"/>
  <c r="G718" i="9"/>
  <c r="H718" i="9" s="1"/>
  <c r="H717" i="9"/>
  <c r="G707" i="9"/>
  <c r="H707" i="9" s="1"/>
  <c r="H706" i="9"/>
  <c r="G690" i="9"/>
  <c r="H690" i="9" s="1"/>
  <c r="H689" i="9"/>
  <c r="G687" i="9"/>
  <c r="H687" i="9" s="1"/>
  <c r="H686" i="9"/>
  <c r="G684" i="9"/>
  <c r="H684" i="9" s="1"/>
  <c r="H683" i="9"/>
  <c r="G679" i="9"/>
  <c r="H679" i="9" s="1"/>
  <c r="H678" i="9"/>
  <c r="G667" i="9"/>
  <c r="H666" i="9"/>
  <c r="G661" i="9"/>
  <c r="H661" i="9" s="1"/>
  <c r="H660" i="9"/>
  <c r="G647" i="9"/>
  <c r="H647" i="9" s="1"/>
  <c r="H646" i="9"/>
  <c r="G622" i="9"/>
  <c r="H622" i="9" s="1"/>
  <c r="H621" i="9"/>
  <c r="G617" i="9"/>
  <c r="H616" i="9"/>
  <c r="G612" i="9"/>
  <c r="H612" i="9" s="1"/>
  <c r="H611" i="9"/>
  <c r="G594" i="9"/>
  <c r="H594" i="9" s="1"/>
  <c r="H593" i="9"/>
  <c r="G584" i="9"/>
  <c r="H584" i="9" s="1"/>
  <c r="H583" i="9"/>
  <c r="G456" i="9"/>
  <c r="H455" i="9"/>
  <c r="G1636" i="9"/>
  <c r="H1635" i="9"/>
  <c r="G1630" i="9"/>
  <c r="H1629" i="9"/>
  <c r="G197" i="9"/>
  <c r="H197" i="9" s="1"/>
  <c r="H196" i="9"/>
  <c r="G90" i="9"/>
  <c r="H89" i="9"/>
  <c r="AD4" i="12"/>
  <c r="AA4" i="12"/>
  <c r="AB4" i="12"/>
  <c r="AC4" i="12"/>
  <c r="X4" i="12"/>
  <c r="Z4" i="12"/>
  <c r="Y4" i="12"/>
  <c r="W4" i="12"/>
  <c r="X5" i="12"/>
  <c r="V6" i="12"/>
  <c r="AB5" i="12"/>
  <c r="AC5" i="12"/>
  <c r="AA5" i="12"/>
  <c r="AD5" i="12"/>
  <c r="Z5" i="12"/>
  <c r="W5" i="12"/>
  <c r="Y5" i="12"/>
  <c r="AC4" i="11"/>
  <c r="AD4" i="11"/>
  <c r="AB4" i="11"/>
  <c r="AA4" i="11"/>
  <c r="Y4" i="11"/>
  <c r="X4" i="11"/>
  <c r="Z4" i="11"/>
  <c r="W4" i="11"/>
  <c r="V6" i="11"/>
  <c r="Y5" i="11"/>
  <c r="AD5" i="11"/>
  <c r="X5" i="11"/>
  <c r="W5" i="11"/>
  <c r="AB5" i="11"/>
  <c r="AA5" i="11"/>
  <c r="Z5" i="11"/>
  <c r="AA4" i="10"/>
  <c r="AC4" i="10"/>
  <c r="AD4" i="10"/>
  <c r="AB4" i="10"/>
  <c r="X4" i="10"/>
  <c r="Y4" i="10"/>
  <c r="Z4" i="10"/>
  <c r="W4" i="10"/>
  <c r="AD5" i="10"/>
  <c r="X5" i="10"/>
  <c r="Y5" i="10"/>
  <c r="AA5" i="10"/>
  <c r="W5" i="10"/>
  <c r="V6" i="10"/>
  <c r="AC5" i="10"/>
  <c r="AB5" i="10"/>
  <c r="Z5" i="10"/>
  <c r="R458" i="9"/>
  <c r="R445" i="9"/>
  <c r="W4" i="9"/>
  <c r="X4" i="9"/>
  <c r="Y4" i="9"/>
  <c r="Z4" i="9"/>
  <c r="AA4" i="9"/>
  <c r="AB4" i="9"/>
  <c r="AC4" i="9"/>
  <c r="AD4" i="9"/>
  <c r="AD5" i="9"/>
  <c r="AC5" i="9"/>
  <c r="AB5" i="9"/>
  <c r="AA5" i="9"/>
  <c r="Z5" i="9"/>
  <c r="W5" i="9"/>
  <c r="X5" i="9"/>
  <c r="V6" i="9"/>
  <c r="AD5" i="8"/>
  <c r="Q460" i="8"/>
  <c r="R459" i="8"/>
  <c r="Q447" i="8"/>
  <c r="R446" i="8"/>
  <c r="AC5" i="8"/>
  <c r="AC4" i="8"/>
  <c r="AD4" i="8"/>
  <c r="V6" i="8"/>
  <c r="X6" i="8" s="1"/>
  <c r="W4" i="8"/>
  <c r="X4" i="8"/>
  <c r="X5" i="8"/>
  <c r="AB6" i="8"/>
  <c r="AB4" i="8"/>
  <c r="AB5" i="8"/>
  <c r="AA6" i="8"/>
  <c r="AA5" i="8"/>
  <c r="Z4" i="8"/>
  <c r="Z5" i="8"/>
  <c r="Z6" i="8"/>
  <c r="W5" i="8"/>
  <c r="W6" i="8"/>
  <c r="AA4" i="8"/>
  <c r="W21" i="1"/>
  <c r="W5" i="1"/>
  <c r="W16" i="1"/>
  <c r="W22" i="1"/>
  <c r="W28" i="1"/>
  <c r="W33" i="1"/>
  <c r="W8" i="1"/>
  <c r="W25" i="1"/>
  <c r="W13" i="1"/>
  <c r="W14" i="1"/>
  <c r="W20" i="1"/>
  <c r="W29" i="1"/>
  <c r="W12" i="1"/>
  <c r="W18" i="1"/>
  <c r="W23" i="1"/>
  <c r="W30" i="1"/>
  <c r="W6" i="1"/>
  <c r="W17" i="1"/>
  <c r="W19" i="1"/>
  <c r="W31" i="1"/>
  <c r="W10" i="1"/>
  <c r="W24" i="1"/>
  <c r="W32" i="1"/>
  <c r="W9" i="1"/>
  <c r="W26" i="1"/>
  <c r="W34" i="1"/>
  <c r="W11" i="1"/>
  <c r="W27" i="1"/>
  <c r="W7" i="1"/>
  <c r="W15" i="1"/>
  <c r="W4" i="1"/>
  <c r="V24" i="1"/>
  <c r="V10" i="1"/>
  <c r="V26" i="1"/>
  <c r="V9" i="1"/>
  <c r="V14" i="1"/>
  <c r="V18" i="1"/>
  <c r="V21" i="1"/>
  <c r="V32" i="1"/>
  <c r="V31" i="1"/>
  <c r="V8" i="1"/>
  <c r="V22" i="1"/>
  <c r="V33" i="1"/>
  <c r="V27" i="1"/>
  <c r="V4" i="1"/>
  <c r="V7" i="1"/>
  <c r="V17" i="1"/>
  <c r="V12" i="1"/>
  <c r="V15" i="1"/>
  <c r="V6" i="1"/>
  <c r="V20" i="1"/>
  <c r="V30" i="1"/>
  <c r="V11" i="1"/>
  <c r="V19" i="1"/>
  <c r="V25" i="1"/>
  <c r="V28" i="1"/>
  <c r="V34" i="1"/>
  <c r="V5" i="1"/>
  <c r="V13" i="1"/>
  <c r="V16" i="1"/>
  <c r="V23" i="1"/>
  <c r="V29" i="1"/>
  <c r="Z8" i="1"/>
  <c r="Z22" i="1"/>
  <c r="Z29" i="1"/>
  <c r="Z9" i="1"/>
  <c r="Z16" i="1"/>
  <c r="Z23" i="1"/>
  <c r="Z31" i="1"/>
  <c r="AB10" i="1"/>
  <c r="AB17" i="1"/>
  <c r="AB24" i="1"/>
  <c r="Z12" i="1"/>
  <c r="Z18" i="1"/>
  <c r="Z26" i="1"/>
  <c r="Z33" i="1"/>
  <c r="Z5" i="1"/>
  <c r="Z14" i="1"/>
  <c r="Z6" i="1"/>
  <c r="Z21" i="1"/>
  <c r="Z7" i="1"/>
  <c r="Z20" i="1"/>
  <c r="Z27" i="1"/>
  <c r="Z30" i="1"/>
  <c r="AB7" i="1"/>
  <c r="AB21" i="1"/>
  <c r="Z11" i="1"/>
  <c r="Z15" i="1"/>
  <c r="Z28" i="1"/>
  <c r="Z4" i="1"/>
  <c r="AB23" i="1"/>
  <c r="AB28" i="1"/>
  <c r="Z13" i="1"/>
  <c r="Z17" i="1"/>
  <c r="AB9" i="1"/>
  <c r="AB15" i="1"/>
  <c r="AB4" i="1"/>
  <c r="Z10" i="1"/>
  <c r="Z19" i="1"/>
  <c r="Z24" i="1"/>
  <c r="Z32" i="1"/>
  <c r="Z25" i="1"/>
  <c r="Z34" i="1"/>
  <c r="AB6" i="1"/>
  <c r="AB12" i="1"/>
  <c r="AB20" i="1"/>
  <c r="AB5" i="1"/>
  <c r="AB13" i="1"/>
  <c r="O330" i="1"/>
  <c r="O309" i="1"/>
  <c r="X34" i="1"/>
  <c r="Y28" i="1"/>
  <c r="X24" i="1"/>
  <c r="Y30" i="1"/>
  <c r="X25" i="1"/>
  <c r="X32" i="1"/>
  <c r="Y25" i="1"/>
  <c r="Y31" i="1"/>
  <c r="Y24" i="1"/>
  <c r="Y32" i="1"/>
  <c r="X27" i="1"/>
  <c r="X28" i="1"/>
  <c r="Y23" i="1"/>
  <c r="Y33" i="1"/>
  <c r="X26" i="1"/>
  <c r="X33" i="1"/>
  <c r="Y27" i="1"/>
  <c r="Y34" i="1"/>
  <c r="X29" i="1"/>
  <c r="X31" i="1"/>
  <c r="Y26" i="1"/>
  <c r="X22" i="1"/>
  <c r="X30" i="1"/>
  <c r="X4" i="1"/>
  <c r="Y22" i="1"/>
  <c r="Y29" i="1"/>
  <c r="X23" i="1"/>
  <c r="AC7" i="1"/>
  <c r="AC23" i="1"/>
  <c r="AC34" i="1"/>
  <c r="AC6" i="1"/>
  <c r="AC14" i="1"/>
  <c r="AC18" i="1"/>
  <c r="AC25" i="1"/>
  <c r="AC31" i="1"/>
  <c r="AC11" i="1"/>
  <c r="AC17" i="1"/>
  <c r="AC20" i="1"/>
  <c r="AC29" i="1"/>
  <c r="AC16" i="1"/>
  <c r="AC26" i="1"/>
  <c r="AC32" i="1"/>
  <c r="AC9" i="1"/>
  <c r="AC22" i="1"/>
  <c r="AC33" i="1"/>
  <c r="AC10" i="1"/>
  <c r="AC5" i="1"/>
  <c r="AC4" i="1"/>
  <c r="AC12" i="1"/>
  <c r="AC13" i="1"/>
  <c r="AC21" i="1"/>
  <c r="AC8" i="1"/>
  <c r="AC15" i="1"/>
  <c r="AC24" i="1"/>
  <c r="AC27" i="1"/>
  <c r="AC30" i="1"/>
  <c r="AC28" i="1"/>
  <c r="AC19" i="1"/>
  <c r="X6" i="1"/>
  <c r="X14" i="1"/>
  <c r="Y12" i="1"/>
  <c r="Y19" i="1"/>
  <c r="X11" i="1"/>
  <c r="X17" i="1"/>
  <c r="Y7" i="1"/>
  <c r="Y13" i="1"/>
  <c r="Y20" i="1"/>
  <c r="X8" i="1"/>
  <c r="X16" i="1"/>
  <c r="Y6" i="1"/>
  <c r="Y14" i="1"/>
  <c r="X9" i="1"/>
  <c r="X13" i="1"/>
  <c r="Y8" i="1"/>
  <c r="Y15" i="1"/>
  <c r="X7" i="1"/>
  <c r="X19" i="1"/>
  <c r="Y10" i="1"/>
  <c r="Y18" i="1"/>
  <c r="X10" i="1"/>
  <c r="X15" i="1"/>
  <c r="Y5" i="1"/>
  <c r="Y21" i="1"/>
  <c r="X12" i="1"/>
  <c r="X18" i="1"/>
  <c r="Y9" i="1"/>
  <c r="Y17" i="1"/>
  <c r="Y4" i="1"/>
  <c r="X21" i="1"/>
  <c r="X5" i="1"/>
  <c r="X20" i="1"/>
  <c r="Y11" i="1"/>
  <c r="Y16" i="1"/>
  <c r="H23" i="8" l="1"/>
  <c r="AB16" i="1"/>
  <c r="AB34" i="1"/>
  <c r="AB29" i="1"/>
  <c r="AB33" i="1"/>
  <c r="AB26" i="1"/>
  <c r="AB30" i="1"/>
  <c r="AB25" i="1"/>
  <c r="AB31" i="1"/>
  <c r="AB27" i="1"/>
  <c r="AB32" i="1"/>
  <c r="AB14" i="1"/>
  <c r="AB19" i="1"/>
  <c r="AB18" i="1"/>
  <c r="Q422" i="12"/>
  <c r="R421" i="12"/>
  <c r="G456" i="12"/>
  <c r="H455" i="12"/>
  <c r="G451" i="12"/>
  <c r="H451" i="12" s="1"/>
  <c r="H450" i="12"/>
  <c r="G435" i="12"/>
  <c r="H434" i="12"/>
  <c r="R62" i="11"/>
  <c r="G77" i="11"/>
  <c r="H76" i="11"/>
  <c r="G956" i="10"/>
  <c r="H956" i="10" s="1"/>
  <c r="G949" i="10"/>
  <c r="H949" i="10" s="1"/>
  <c r="G935" i="10"/>
  <c r="H935" i="10" s="1"/>
  <c r="G924" i="10"/>
  <c r="H924" i="10" s="1"/>
  <c r="G916" i="10"/>
  <c r="H916" i="10" s="1"/>
  <c r="G909" i="10"/>
  <c r="H909" i="10" s="1"/>
  <c r="G895" i="10"/>
  <c r="H895" i="10" s="1"/>
  <c r="G882" i="10"/>
  <c r="H882" i="10" s="1"/>
  <c r="G877" i="10"/>
  <c r="H877" i="10" s="1"/>
  <c r="G866" i="10"/>
  <c r="H866" i="10" s="1"/>
  <c r="G859" i="10"/>
  <c r="H859" i="10" s="1"/>
  <c r="G847" i="10"/>
  <c r="H847" i="10" s="1"/>
  <c r="G839" i="10"/>
  <c r="H839" i="10" s="1"/>
  <c r="G823" i="10"/>
  <c r="H823" i="10" s="1"/>
  <c r="G815" i="10"/>
  <c r="H815" i="10" s="1"/>
  <c r="G799" i="10"/>
  <c r="H799" i="10" s="1"/>
  <c r="G768" i="10"/>
  <c r="H768" i="10" s="1"/>
  <c r="G755" i="10"/>
  <c r="H755" i="10" s="1"/>
  <c r="G742" i="10"/>
  <c r="H742" i="10" s="1"/>
  <c r="G731" i="10"/>
  <c r="H731" i="10" s="1"/>
  <c r="G369" i="10"/>
  <c r="H369" i="10" s="1"/>
  <c r="G272" i="10"/>
  <c r="H272" i="10" s="1"/>
  <c r="Q835" i="10"/>
  <c r="R834" i="10"/>
  <c r="Q605" i="10"/>
  <c r="R605" i="10" s="1"/>
  <c r="R604" i="10"/>
  <c r="R927" i="10"/>
  <c r="Q928" i="10"/>
  <c r="R905" i="10"/>
  <c r="Q906" i="10"/>
  <c r="Q899" i="10"/>
  <c r="R898" i="10"/>
  <c r="Q893" i="10"/>
  <c r="R892" i="10"/>
  <c r="Q885" i="10"/>
  <c r="R885" i="10" s="1"/>
  <c r="R884" i="10"/>
  <c r="Q874" i="10"/>
  <c r="R873" i="10"/>
  <c r="Q863" i="10"/>
  <c r="R862" i="10"/>
  <c r="Q854" i="10"/>
  <c r="R853" i="10"/>
  <c r="Q322" i="10"/>
  <c r="R322" i="10" s="1"/>
  <c r="R321" i="10"/>
  <c r="Q275" i="10"/>
  <c r="R275" i="10" s="1"/>
  <c r="R274" i="10"/>
  <c r="AC6" i="10" s="1"/>
  <c r="G1582" i="9"/>
  <c r="H1582" i="9" s="1"/>
  <c r="H1581" i="9"/>
  <c r="H1528" i="9"/>
  <c r="G1529" i="9"/>
  <c r="H1523" i="9"/>
  <c r="G1524" i="9"/>
  <c r="G1515" i="9"/>
  <c r="H1515" i="9" s="1"/>
  <c r="H1514" i="9"/>
  <c r="H1469" i="9"/>
  <c r="G1470" i="9"/>
  <c r="H1420" i="9"/>
  <c r="G1421" i="9"/>
  <c r="Q629" i="9"/>
  <c r="R628" i="9"/>
  <c r="Q578" i="9"/>
  <c r="R578" i="9" s="1"/>
  <c r="R577" i="9"/>
  <c r="G1314" i="9"/>
  <c r="H1313" i="9"/>
  <c r="G1265" i="9"/>
  <c r="H1265" i="9" s="1"/>
  <c r="H1264" i="9"/>
  <c r="G1259" i="9"/>
  <c r="H1258" i="9"/>
  <c r="Q1641" i="9"/>
  <c r="R1640" i="9"/>
  <c r="Q1584" i="9"/>
  <c r="R1584" i="9" s="1"/>
  <c r="R1583" i="9"/>
  <c r="Q1560" i="9"/>
  <c r="R1559" i="9"/>
  <c r="Q1531" i="9"/>
  <c r="R1530" i="9"/>
  <c r="Q1478" i="9"/>
  <c r="R1477" i="9"/>
  <c r="Q1448" i="9"/>
  <c r="R1448" i="9" s="1"/>
  <c r="R1447" i="9"/>
  <c r="Q1427" i="9"/>
  <c r="R1427" i="9" s="1"/>
  <c r="R1426" i="9"/>
  <c r="Q1285" i="9"/>
  <c r="R1284" i="9"/>
  <c r="Q1267" i="9"/>
  <c r="R1266" i="9"/>
  <c r="Q1218" i="9"/>
  <c r="R1217" i="9"/>
  <c r="Q1000" i="9"/>
  <c r="R1000" i="9" s="1"/>
  <c r="R999" i="9"/>
  <c r="Q987" i="9"/>
  <c r="R986" i="9"/>
  <c r="Q948" i="9"/>
  <c r="R947" i="9"/>
  <c r="Q786" i="9"/>
  <c r="R786" i="9" s="1"/>
  <c r="R785" i="9"/>
  <c r="Q738" i="9"/>
  <c r="R738" i="9" s="1"/>
  <c r="R737" i="9"/>
  <c r="Q732" i="9"/>
  <c r="R732" i="9" s="1"/>
  <c r="R731" i="9"/>
  <c r="G953" i="9"/>
  <c r="H953" i="9" s="1"/>
  <c r="H952" i="9"/>
  <c r="G724" i="9"/>
  <c r="H724" i="9" s="1"/>
  <c r="H723" i="9"/>
  <c r="G1417" i="9"/>
  <c r="H1417" i="9" s="1"/>
  <c r="H1416" i="9"/>
  <c r="G1409" i="9"/>
  <c r="H1409" i="9" s="1"/>
  <c r="H1408" i="9"/>
  <c r="G1366" i="9"/>
  <c r="H1365" i="9"/>
  <c r="G1151" i="9"/>
  <c r="H1151" i="9" s="1"/>
  <c r="H1150" i="9"/>
  <c r="G1100" i="9"/>
  <c r="H1099" i="9"/>
  <c r="G1095" i="9"/>
  <c r="H1095" i="9" s="1"/>
  <c r="H1094" i="9"/>
  <c r="G1069" i="9"/>
  <c r="H1069" i="9" s="1"/>
  <c r="H1068" i="9"/>
  <c r="G1043" i="9"/>
  <c r="H1042" i="9"/>
  <c r="G1009" i="9"/>
  <c r="H1009" i="9" s="1"/>
  <c r="H1008" i="9"/>
  <c r="G991" i="9"/>
  <c r="H990" i="9"/>
  <c r="G967" i="9"/>
  <c r="H967" i="9" s="1"/>
  <c r="H966" i="9"/>
  <c r="G882" i="9"/>
  <c r="H881" i="9"/>
  <c r="G837" i="9"/>
  <c r="H837" i="9" s="1"/>
  <c r="H836" i="9"/>
  <c r="G833" i="9"/>
  <c r="H833" i="9" s="1"/>
  <c r="H832" i="9"/>
  <c r="G790" i="9"/>
  <c r="H790" i="9" s="1"/>
  <c r="H789" i="9"/>
  <c r="G782" i="9"/>
  <c r="H782" i="9" s="1"/>
  <c r="H781" i="9"/>
  <c r="G735" i="9"/>
  <c r="H735" i="9" s="1"/>
  <c r="H734" i="9"/>
  <c r="G728" i="9"/>
  <c r="H727" i="9"/>
  <c r="G668" i="9"/>
  <c r="H667" i="9"/>
  <c r="G618" i="9"/>
  <c r="H617" i="9"/>
  <c r="G457" i="9"/>
  <c r="H457" i="9" s="1"/>
  <c r="H456" i="9"/>
  <c r="G1637" i="9"/>
  <c r="H1637" i="9" s="1"/>
  <c r="H1636" i="9"/>
  <c r="G1631" i="9"/>
  <c r="H1630" i="9"/>
  <c r="G1530" i="9"/>
  <c r="H1529" i="9"/>
  <c r="G1525" i="9"/>
  <c r="H1525" i="9" s="1"/>
  <c r="H1524" i="9"/>
  <c r="G1471" i="9"/>
  <c r="H1470" i="9"/>
  <c r="G1422" i="9"/>
  <c r="H1422" i="9" s="1"/>
  <c r="H1421" i="9"/>
  <c r="G91" i="9"/>
  <c r="H91" i="9" s="1"/>
  <c r="H90" i="9"/>
  <c r="Y5" i="9" s="1"/>
  <c r="AA6" i="12"/>
  <c r="AD6" i="12"/>
  <c r="AC6" i="12"/>
  <c r="Y6" i="12"/>
  <c r="X6" i="12"/>
  <c r="AB6" i="12"/>
  <c r="Z6" i="12"/>
  <c r="V7" i="12"/>
  <c r="W6" i="12"/>
  <c r="X6" i="11"/>
  <c r="V7" i="11"/>
  <c r="AB6" i="11"/>
  <c r="AD6" i="11"/>
  <c r="Y6" i="11"/>
  <c r="AA6" i="11"/>
  <c r="W6" i="11"/>
  <c r="AC6" i="11"/>
  <c r="Z6" i="11"/>
  <c r="AB6" i="10"/>
  <c r="W6" i="10"/>
  <c r="AD6" i="10"/>
  <c r="X6" i="10"/>
  <c r="V7" i="10"/>
  <c r="Y6" i="10"/>
  <c r="AA6" i="10"/>
  <c r="Z6" i="10"/>
  <c r="R459" i="9"/>
  <c r="R446" i="9"/>
  <c r="W6" i="9"/>
  <c r="X6" i="9"/>
  <c r="Y6" i="9"/>
  <c r="Z6" i="9"/>
  <c r="AA6" i="9"/>
  <c r="AB6" i="9"/>
  <c r="AC6" i="9"/>
  <c r="AD6" i="9"/>
  <c r="V7" i="9"/>
  <c r="Q461" i="8"/>
  <c r="R460" i="8"/>
  <c r="Q448" i="8"/>
  <c r="R447" i="8"/>
  <c r="AD6" i="8"/>
  <c r="AC6" i="8"/>
  <c r="V7" i="8"/>
  <c r="H24" i="8" l="1"/>
  <c r="Q423" i="12"/>
  <c r="R422" i="12"/>
  <c r="H456" i="12"/>
  <c r="G457" i="12"/>
  <c r="H435" i="12"/>
  <c r="G436" i="12"/>
  <c r="R63" i="11"/>
  <c r="H77" i="11"/>
  <c r="G78" i="11"/>
  <c r="G957" i="10"/>
  <c r="H957" i="10" s="1"/>
  <c r="G950" i="10"/>
  <c r="H950" i="10" s="1"/>
  <c r="G936" i="10"/>
  <c r="H936" i="10" s="1"/>
  <c r="G925" i="10"/>
  <c r="H925" i="10" s="1"/>
  <c r="G910" i="10"/>
  <c r="H910" i="10" s="1"/>
  <c r="G896" i="10"/>
  <c r="H896" i="10" s="1"/>
  <c r="G883" i="10"/>
  <c r="H883" i="10" s="1"/>
  <c r="G867" i="10"/>
  <c r="H867" i="10" s="1"/>
  <c r="G848" i="10"/>
  <c r="H848" i="10" s="1"/>
  <c r="G840" i="10"/>
  <c r="H840" i="10" s="1"/>
  <c r="G824" i="10"/>
  <c r="H824" i="10" s="1"/>
  <c r="G816" i="10"/>
  <c r="H816" i="10" s="1"/>
  <c r="G800" i="10"/>
  <c r="H800" i="10" s="1"/>
  <c r="G769" i="10"/>
  <c r="H769" i="10" s="1"/>
  <c r="G756" i="10"/>
  <c r="H756" i="10" s="1"/>
  <c r="G743" i="10"/>
  <c r="H743" i="10" s="1"/>
  <c r="G732" i="10"/>
  <c r="H732" i="10" s="1"/>
  <c r="G273" i="10"/>
  <c r="H273" i="10" s="1"/>
  <c r="Q836" i="10"/>
  <c r="R835" i="10"/>
  <c r="R928" i="10"/>
  <c r="Q929" i="10"/>
  <c r="R906" i="10"/>
  <c r="Q907" i="10"/>
  <c r="Q900" i="10"/>
  <c r="R899" i="10"/>
  <c r="Q894" i="10"/>
  <c r="R894" i="10" s="1"/>
  <c r="R893" i="10"/>
  <c r="R874" i="10"/>
  <c r="Q875" i="10"/>
  <c r="Q864" i="10"/>
  <c r="R863" i="10"/>
  <c r="Q855" i="10"/>
  <c r="R855" i="10" s="1"/>
  <c r="R854" i="10"/>
  <c r="Q630" i="9"/>
  <c r="R630" i="9" s="1"/>
  <c r="R629" i="9"/>
  <c r="G1315" i="9"/>
  <c r="H1315" i="9" s="1"/>
  <c r="H1314" i="9"/>
  <c r="G1260" i="9"/>
  <c r="H1259" i="9"/>
  <c r="Q1642" i="9"/>
  <c r="R1641" i="9"/>
  <c r="Q1561" i="9"/>
  <c r="R1561" i="9" s="1"/>
  <c r="R1560" i="9"/>
  <c r="Q1532" i="9"/>
  <c r="R1531" i="9"/>
  <c r="Q1479" i="9"/>
  <c r="R1479" i="9" s="1"/>
  <c r="R1478" i="9"/>
  <c r="Q1286" i="9"/>
  <c r="R1285" i="9"/>
  <c r="Q1268" i="9"/>
  <c r="R1267" i="9"/>
  <c r="Q1219" i="9"/>
  <c r="R1219" i="9" s="1"/>
  <c r="R1218" i="9"/>
  <c r="Q988" i="9"/>
  <c r="R987" i="9"/>
  <c r="Q949" i="9"/>
  <c r="R948" i="9"/>
  <c r="G1044" i="9"/>
  <c r="H1043" i="9"/>
  <c r="G992" i="9"/>
  <c r="H991" i="9"/>
  <c r="H882" i="9"/>
  <c r="G883" i="9"/>
  <c r="H883" i="9" s="1"/>
  <c r="H1366" i="9"/>
  <c r="G1367" i="9"/>
  <c r="H1367" i="9" s="1"/>
  <c r="G1101" i="9"/>
  <c r="H1100" i="9"/>
  <c r="G729" i="9"/>
  <c r="H728" i="9"/>
  <c r="G669" i="9"/>
  <c r="H668" i="9"/>
  <c r="G619" i="9"/>
  <c r="H619" i="9" s="1"/>
  <c r="H618" i="9"/>
  <c r="G1632" i="9"/>
  <c r="H1632" i="9" s="1"/>
  <c r="H1631" i="9"/>
  <c r="G1531" i="9"/>
  <c r="H1531" i="9" s="1"/>
  <c r="H1530" i="9"/>
  <c r="G1472" i="9"/>
  <c r="H1472" i="9" s="1"/>
  <c r="H1471" i="9"/>
  <c r="AD7" i="12"/>
  <c r="AC7" i="12"/>
  <c r="AA7" i="12"/>
  <c r="AB7" i="12"/>
  <c r="Y7" i="12"/>
  <c r="X7" i="12"/>
  <c r="W7" i="12"/>
  <c r="Z7" i="12"/>
  <c r="V8" i="12"/>
  <c r="X7" i="11"/>
  <c r="AC7" i="11"/>
  <c r="V8" i="11"/>
  <c r="Y7" i="11"/>
  <c r="AB7" i="11"/>
  <c r="W7" i="11"/>
  <c r="AD7" i="11"/>
  <c r="AA7" i="11"/>
  <c r="Z7" i="11"/>
  <c r="AA7" i="10"/>
  <c r="Y7" i="10"/>
  <c r="X7" i="10"/>
  <c r="Z7" i="10"/>
  <c r="AB7" i="10"/>
  <c r="W7" i="10"/>
  <c r="AC7" i="10"/>
  <c r="AD7" i="10"/>
  <c r="V8" i="10"/>
  <c r="R460" i="9"/>
  <c r="R447" i="9"/>
  <c r="W7" i="9"/>
  <c r="X7" i="9"/>
  <c r="Y7" i="9"/>
  <c r="Z7" i="9"/>
  <c r="AA7" i="9"/>
  <c r="AB7" i="9"/>
  <c r="AC7" i="9"/>
  <c r="AD7" i="9"/>
  <c r="V8" i="9"/>
  <c r="Q462" i="8"/>
  <c r="R461" i="8"/>
  <c r="Q449" i="8"/>
  <c r="R448" i="8"/>
  <c r="AD7" i="8"/>
  <c r="AC7" i="8"/>
  <c r="AB7" i="8"/>
  <c r="W7" i="8"/>
  <c r="AA7" i="8"/>
  <c r="Z7" i="8"/>
  <c r="X7" i="8"/>
  <c r="V8" i="8"/>
  <c r="H25" i="8" l="1"/>
  <c r="Q424" i="12"/>
  <c r="R423" i="12"/>
  <c r="H457" i="12"/>
  <c r="G458" i="12"/>
  <c r="H436" i="12"/>
  <c r="G437" i="12"/>
  <c r="R64" i="11"/>
  <c r="H78" i="11"/>
  <c r="G79" i="11"/>
  <c r="G958" i="10"/>
  <c r="H958" i="10" s="1"/>
  <c r="G951" i="10"/>
  <c r="H951" i="10" s="1"/>
  <c r="G937" i="10"/>
  <c r="H937" i="10" s="1"/>
  <c r="G926" i="10"/>
  <c r="H926" i="10" s="1"/>
  <c r="G897" i="10"/>
  <c r="H897" i="10" s="1"/>
  <c r="G884" i="10"/>
  <c r="H884" i="10" s="1"/>
  <c r="G868" i="10"/>
  <c r="H868" i="10" s="1"/>
  <c r="G849" i="10"/>
  <c r="H849" i="10" s="1"/>
  <c r="G841" i="10"/>
  <c r="H841" i="10" s="1"/>
  <c r="G825" i="10"/>
  <c r="H825" i="10" s="1"/>
  <c r="G817" i="10"/>
  <c r="H817" i="10" s="1"/>
  <c r="G801" i="10"/>
  <c r="H801" i="10" s="1"/>
  <c r="G770" i="10"/>
  <c r="H770" i="10" s="1"/>
  <c r="G757" i="10"/>
  <c r="H757" i="10" s="1"/>
  <c r="G744" i="10"/>
  <c r="H744" i="10" s="1"/>
  <c r="G733" i="10"/>
  <c r="H733" i="10" s="1"/>
  <c r="G274" i="10"/>
  <c r="H274" i="10" s="1"/>
  <c r="R836" i="10"/>
  <c r="Q837" i="10"/>
  <c r="Q930" i="10"/>
  <c r="R929" i="10"/>
  <c r="Q908" i="10"/>
  <c r="R907" i="10"/>
  <c r="Q901" i="10"/>
  <c r="R901" i="10" s="1"/>
  <c r="R900" i="10"/>
  <c r="R875" i="10"/>
  <c r="Q876" i="10"/>
  <c r="Q865" i="10"/>
  <c r="R864" i="10"/>
  <c r="G1261" i="9"/>
  <c r="H1261" i="9" s="1"/>
  <c r="H1260" i="9"/>
  <c r="Q1643" i="9"/>
  <c r="R1642" i="9"/>
  <c r="Q1533" i="9"/>
  <c r="R1533" i="9" s="1"/>
  <c r="R1532" i="9"/>
  <c r="Q1287" i="9"/>
  <c r="R1287" i="9" s="1"/>
  <c r="R1286" i="9"/>
  <c r="Q1269" i="9"/>
  <c r="R1268" i="9"/>
  <c r="Q989" i="9"/>
  <c r="R989" i="9" s="1"/>
  <c r="R988" i="9"/>
  <c r="Q950" i="9"/>
  <c r="R949" i="9"/>
  <c r="G1045" i="9"/>
  <c r="H1045" i="9" s="1"/>
  <c r="H1044" i="9"/>
  <c r="G993" i="9"/>
  <c r="H992" i="9"/>
  <c r="G1102" i="9"/>
  <c r="H1101" i="9"/>
  <c r="G730" i="9"/>
  <c r="H730" i="9" s="1"/>
  <c r="H729" i="9"/>
  <c r="G670" i="9"/>
  <c r="H669" i="9"/>
  <c r="G1046" i="9"/>
  <c r="Y8" i="12"/>
  <c r="AD8" i="12"/>
  <c r="AB8" i="12"/>
  <c r="AC8" i="12"/>
  <c r="Z8" i="12"/>
  <c r="X8" i="12"/>
  <c r="W8" i="12"/>
  <c r="AA8" i="12"/>
  <c r="V9" i="12"/>
  <c r="X8" i="11"/>
  <c r="AB8" i="11"/>
  <c r="AD8" i="11"/>
  <c r="AA8" i="11"/>
  <c r="W8" i="11"/>
  <c r="Z8" i="11"/>
  <c r="V9" i="11"/>
  <c r="X8" i="10"/>
  <c r="Z8" i="10"/>
  <c r="V9" i="10"/>
  <c r="Y8" i="10"/>
  <c r="AC8" i="10"/>
  <c r="AB8" i="10"/>
  <c r="AA8" i="10"/>
  <c r="W8" i="10"/>
  <c r="AD8" i="10"/>
  <c r="R461" i="9"/>
  <c r="R448" i="9"/>
  <c r="W8" i="9"/>
  <c r="X8" i="9"/>
  <c r="Y8" i="9"/>
  <c r="Z8" i="9"/>
  <c r="AA8" i="9"/>
  <c r="AB8" i="9"/>
  <c r="AC8" i="9"/>
  <c r="AD8" i="9"/>
  <c r="V9" i="9"/>
  <c r="Q463" i="8"/>
  <c r="R462" i="8"/>
  <c r="Q450" i="8"/>
  <c r="R449" i="8"/>
  <c r="AD8" i="8"/>
  <c r="AC8" i="8"/>
  <c r="AA8" i="8"/>
  <c r="Z8" i="8"/>
  <c r="W8" i="8"/>
  <c r="X8" i="8"/>
  <c r="AB8" i="8"/>
  <c r="V9" i="8"/>
  <c r="H26" i="8" l="1"/>
  <c r="Q425" i="12"/>
  <c r="R424" i="12"/>
  <c r="G459" i="12"/>
  <c r="H458" i="12"/>
  <c r="G438" i="12"/>
  <c r="H437" i="12"/>
  <c r="R65" i="11"/>
  <c r="G80" i="11"/>
  <c r="H79" i="11"/>
  <c r="G959" i="10"/>
  <c r="H959" i="10" s="1"/>
  <c r="G927" i="10"/>
  <c r="H927" i="10" s="1"/>
  <c r="G898" i="10"/>
  <c r="H898" i="10" s="1"/>
  <c r="G885" i="10"/>
  <c r="H885" i="10" s="1"/>
  <c r="G850" i="10"/>
  <c r="H850" i="10" s="1"/>
  <c r="G842" i="10"/>
  <c r="H842" i="10" s="1"/>
  <c r="G826" i="10"/>
  <c r="H826" i="10" s="1"/>
  <c r="G818" i="10"/>
  <c r="H818" i="10" s="1"/>
  <c r="G802" i="10"/>
  <c r="H802" i="10" s="1"/>
  <c r="G771" i="10"/>
  <c r="H771" i="10" s="1"/>
  <c r="G758" i="10"/>
  <c r="H758" i="10" s="1"/>
  <c r="G745" i="10"/>
  <c r="H745" i="10" s="1"/>
  <c r="G734" i="10"/>
  <c r="H734" i="10" s="1"/>
  <c r="G275" i="10"/>
  <c r="H275" i="10" s="1"/>
  <c r="R837" i="10"/>
  <c r="Q838" i="10"/>
  <c r="Q931" i="10"/>
  <c r="R930" i="10"/>
  <c r="Q909" i="10"/>
  <c r="R908" i="10"/>
  <c r="R876" i="10"/>
  <c r="Q877" i="10"/>
  <c r="Q866" i="10"/>
  <c r="R865" i="10"/>
  <c r="G994" i="9"/>
  <c r="H993" i="9"/>
  <c r="Q1644" i="9"/>
  <c r="R1643" i="9"/>
  <c r="Q1270" i="9"/>
  <c r="R1269" i="9"/>
  <c r="Q951" i="9"/>
  <c r="R951" i="9" s="1"/>
  <c r="R950" i="9"/>
  <c r="G1103" i="9"/>
  <c r="H1103" i="9" s="1"/>
  <c r="H1102" i="9"/>
  <c r="G671" i="9"/>
  <c r="H670" i="9"/>
  <c r="G1047" i="9"/>
  <c r="H1046" i="9"/>
  <c r="G995" i="9"/>
  <c r="H994" i="9"/>
  <c r="AB9" i="12"/>
  <c r="X9" i="12"/>
  <c r="AC9" i="12"/>
  <c r="W9" i="12"/>
  <c r="V10" i="12"/>
  <c r="Y9" i="12"/>
  <c r="Z9" i="12"/>
  <c r="AA9" i="12"/>
  <c r="AD9" i="12"/>
  <c r="AB9" i="11"/>
  <c r="AA9" i="11"/>
  <c r="AC9" i="11"/>
  <c r="X9" i="11"/>
  <c r="V10" i="11"/>
  <c r="W9" i="11"/>
  <c r="Z9" i="11"/>
  <c r="AD9" i="11"/>
  <c r="X9" i="10"/>
  <c r="Y9" i="10"/>
  <c r="AD9" i="10"/>
  <c r="AC9" i="10"/>
  <c r="V10" i="10"/>
  <c r="W9" i="10"/>
  <c r="AB9" i="10"/>
  <c r="Z9" i="10"/>
  <c r="AA9" i="10"/>
  <c r="R462" i="9"/>
  <c r="R449" i="9"/>
  <c r="W9" i="9"/>
  <c r="X9" i="9"/>
  <c r="Y9" i="9"/>
  <c r="Z9" i="9"/>
  <c r="AA9" i="9"/>
  <c r="AB9" i="9"/>
  <c r="AC9" i="9"/>
  <c r="AD9" i="9"/>
  <c r="V10" i="9"/>
  <c r="Q464" i="8"/>
  <c r="R463" i="8"/>
  <c r="Q451" i="8"/>
  <c r="R450" i="8"/>
  <c r="AD9" i="8"/>
  <c r="AC9" i="8"/>
  <c r="X9" i="8"/>
  <c r="AA9" i="8"/>
  <c r="W9" i="8"/>
  <c r="Z9" i="8"/>
  <c r="AB9" i="8"/>
  <c r="V10" i="8"/>
  <c r="H27" i="8" l="1"/>
  <c r="R425" i="12"/>
  <c r="Q426" i="12"/>
  <c r="H459" i="12"/>
  <c r="G460" i="12"/>
  <c r="H438" i="12"/>
  <c r="G439" i="12"/>
  <c r="R66" i="11"/>
  <c r="G81" i="11"/>
  <c r="H80" i="11"/>
  <c r="G899" i="10"/>
  <c r="H899" i="10" s="1"/>
  <c r="G886" i="10"/>
  <c r="H886" i="10" s="1"/>
  <c r="G803" i="10"/>
  <c r="H803" i="10" s="1"/>
  <c r="G772" i="10"/>
  <c r="H772" i="10" s="1"/>
  <c r="G759" i="10"/>
  <c r="H759" i="10" s="1"/>
  <c r="G746" i="10"/>
  <c r="H746" i="10" s="1"/>
  <c r="G735" i="10"/>
  <c r="H735" i="10" s="1"/>
  <c r="R838" i="10"/>
  <c r="Q839" i="10"/>
  <c r="Q932" i="10"/>
  <c r="R931" i="10"/>
  <c r="Q910" i="10"/>
  <c r="R909" i="10"/>
  <c r="Q878" i="10"/>
  <c r="R877" i="10"/>
  <c r="R866" i="10"/>
  <c r="Q867" i="10"/>
  <c r="G672" i="9"/>
  <c r="H671" i="9"/>
  <c r="Q1645" i="9"/>
  <c r="R1645" i="9" s="1"/>
  <c r="R1644" i="9"/>
  <c r="Q1271" i="9"/>
  <c r="R1271" i="9" s="1"/>
  <c r="R1270" i="9"/>
  <c r="G1048" i="9"/>
  <c r="H1048" i="9" s="1"/>
  <c r="H1047" i="9"/>
  <c r="G996" i="9"/>
  <c r="H995" i="9"/>
  <c r="G673" i="9"/>
  <c r="H673" i="9" s="1"/>
  <c r="H672" i="9"/>
  <c r="Z10" i="12"/>
  <c r="AD10" i="12"/>
  <c r="AC10" i="12"/>
  <c r="X10" i="12"/>
  <c r="AB10" i="12"/>
  <c r="V11" i="12"/>
  <c r="AA10" i="12"/>
  <c r="W10" i="12"/>
  <c r="Y10" i="12"/>
  <c r="AC10" i="11"/>
  <c r="W10" i="11"/>
  <c r="AA10" i="11"/>
  <c r="Y10" i="11"/>
  <c r="V11" i="11"/>
  <c r="X10" i="11"/>
  <c r="Z10" i="11"/>
  <c r="AD10" i="11"/>
  <c r="AB10" i="11"/>
  <c r="AD10" i="10"/>
  <c r="X10" i="10"/>
  <c r="AB10" i="10"/>
  <c r="AA10" i="10"/>
  <c r="Z10" i="10"/>
  <c r="Y10" i="10"/>
  <c r="V11" i="10"/>
  <c r="W10" i="10"/>
  <c r="AC10" i="10"/>
  <c r="R463" i="9"/>
  <c r="R450" i="9"/>
  <c r="W10" i="9"/>
  <c r="X10" i="9"/>
  <c r="Y10" i="9"/>
  <c r="Z10" i="9"/>
  <c r="AA10" i="9"/>
  <c r="AB10" i="9"/>
  <c r="AC10" i="9"/>
  <c r="AD10" i="9"/>
  <c r="V11" i="9"/>
  <c r="Q465" i="8"/>
  <c r="R464" i="8"/>
  <c r="Q452" i="8"/>
  <c r="R451" i="8"/>
  <c r="AD10" i="8"/>
  <c r="AC10" i="8"/>
  <c r="Z10" i="8"/>
  <c r="AA10" i="8"/>
  <c r="W10" i="8"/>
  <c r="X10" i="8"/>
  <c r="AB10" i="8"/>
  <c r="V11" i="8"/>
  <c r="H28" i="8" l="1"/>
  <c r="R426" i="12"/>
  <c r="Q427" i="12"/>
  <c r="H460" i="12"/>
  <c r="G461" i="12"/>
  <c r="H439" i="12"/>
  <c r="G440" i="12"/>
  <c r="R68" i="11"/>
  <c r="R67" i="11"/>
  <c r="AC8" i="11" s="1"/>
  <c r="H81" i="11"/>
  <c r="G82" i="11"/>
  <c r="G900" i="10"/>
  <c r="H900" i="10" s="1"/>
  <c r="G887" i="10"/>
  <c r="H887" i="10" s="1"/>
  <c r="G804" i="10"/>
  <c r="H804" i="10" s="1"/>
  <c r="G773" i="10"/>
  <c r="H773" i="10" s="1"/>
  <c r="G760" i="10"/>
  <c r="H760" i="10" s="1"/>
  <c r="G747" i="10"/>
  <c r="H747" i="10" s="1"/>
  <c r="G736" i="10"/>
  <c r="H736" i="10" s="1"/>
  <c r="R839" i="10"/>
  <c r="Q840" i="10"/>
  <c r="Q933" i="10"/>
  <c r="R932" i="10"/>
  <c r="Q911" i="10"/>
  <c r="R910" i="10"/>
  <c r="Q879" i="10"/>
  <c r="R878" i="10"/>
  <c r="Q868" i="10"/>
  <c r="R867" i="10"/>
  <c r="G997" i="9"/>
  <c r="H996" i="9"/>
  <c r="AA11" i="12"/>
  <c r="X11" i="12"/>
  <c r="V12" i="12"/>
  <c r="W11" i="12"/>
  <c r="AB11" i="12"/>
  <c r="Y11" i="12"/>
  <c r="AC11" i="12"/>
  <c r="Z11" i="12"/>
  <c r="AD11" i="12"/>
  <c r="AB11" i="11"/>
  <c r="W11" i="11"/>
  <c r="X11" i="11"/>
  <c r="AD11" i="11"/>
  <c r="AA11" i="11"/>
  <c r="Z11" i="11"/>
  <c r="V12" i="11"/>
  <c r="Y11" i="11"/>
  <c r="AC11" i="11"/>
  <c r="AA11" i="10"/>
  <c r="Y11" i="10"/>
  <c r="AD11" i="10"/>
  <c r="Z11" i="10"/>
  <c r="AB11" i="10"/>
  <c r="W11" i="10"/>
  <c r="V12" i="10"/>
  <c r="X11" i="10"/>
  <c r="AC11" i="10"/>
  <c r="R464" i="9"/>
  <c r="R451" i="9"/>
  <c r="W11" i="9"/>
  <c r="X11" i="9"/>
  <c r="Y11" i="9"/>
  <c r="Z11" i="9"/>
  <c r="AA11" i="9"/>
  <c r="AB11" i="9"/>
  <c r="AC11" i="9"/>
  <c r="AD11" i="9"/>
  <c r="V12" i="9"/>
  <c r="Q466" i="8"/>
  <c r="R465" i="8"/>
  <c r="Q453" i="8"/>
  <c r="R452" i="8"/>
  <c r="AD11" i="8"/>
  <c r="AC11" i="8"/>
  <c r="AB11" i="8"/>
  <c r="Z11" i="8"/>
  <c r="W11" i="8"/>
  <c r="X11" i="8"/>
  <c r="AA11" i="8"/>
  <c r="V12" i="8"/>
  <c r="H29" i="8" l="1"/>
  <c r="Q428" i="12"/>
  <c r="R427" i="12"/>
  <c r="G462" i="12"/>
  <c r="H461" i="12"/>
  <c r="G441" i="12"/>
  <c r="H440" i="12"/>
  <c r="G83" i="11"/>
  <c r="H82" i="11"/>
  <c r="G901" i="10"/>
  <c r="H901" i="10" s="1"/>
  <c r="G805" i="10"/>
  <c r="H805" i="10" s="1"/>
  <c r="G774" i="10"/>
  <c r="H774" i="10" s="1"/>
  <c r="G761" i="10"/>
  <c r="H761" i="10" s="1"/>
  <c r="G748" i="10"/>
  <c r="H748" i="10" s="1"/>
  <c r="G737" i="10"/>
  <c r="H737" i="10" s="1"/>
  <c r="Q841" i="10"/>
  <c r="R841" i="10" s="1"/>
  <c r="R840" i="10"/>
  <c r="Q934" i="10"/>
  <c r="R933" i="10"/>
  <c r="Q912" i="10"/>
  <c r="R911" i="10"/>
  <c r="Q880" i="10"/>
  <c r="R880" i="10" s="1"/>
  <c r="R879" i="10"/>
  <c r="Q869" i="10"/>
  <c r="R869" i="10" s="1"/>
  <c r="R868" i="10"/>
  <c r="G998" i="9"/>
  <c r="H997" i="9"/>
  <c r="AA12" i="12"/>
  <c r="Z12" i="12"/>
  <c r="V13" i="12"/>
  <c r="X12" i="12"/>
  <c r="AD12" i="12"/>
  <c r="AC12" i="12"/>
  <c r="Y12" i="12"/>
  <c r="W12" i="12"/>
  <c r="AB12" i="12"/>
  <c r="AC12" i="11"/>
  <c r="V13" i="11"/>
  <c r="Z12" i="11"/>
  <c r="X12" i="11"/>
  <c r="Y12" i="11"/>
  <c r="W12" i="11"/>
  <c r="AA12" i="11"/>
  <c r="AD12" i="11"/>
  <c r="AB12" i="11"/>
  <c r="AD12" i="10"/>
  <c r="Y12" i="10"/>
  <c r="AA12" i="10"/>
  <c r="AC12" i="10"/>
  <c r="X12" i="10"/>
  <c r="V13" i="10"/>
  <c r="AB12" i="10"/>
  <c r="Z12" i="10"/>
  <c r="W12" i="10"/>
  <c r="R465" i="9"/>
  <c r="R452" i="9"/>
  <c r="W12" i="9"/>
  <c r="X12" i="9"/>
  <c r="Y12" i="9"/>
  <c r="Z12" i="9"/>
  <c r="AA12" i="9"/>
  <c r="AB12" i="9"/>
  <c r="AC12" i="9"/>
  <c r="AD12" i="9"/>
  <c r="V13" i="9"/>
  <c r="Q467" i="8"/>
  <c r="R466" i="8"/>
  <c r="Q454" i="8"/>
  <c r="R453" i="8"/>
  <c r="AD12" i="8"/>
  <c r="AC12" i="8"/>
  <c r="AA12" i="8"/>
  <c r="X12" i="8"/>
  <c r="W12" i="8"/>
  <c r="Z12" i="8"/>
  <c r="AB12" i="8"/>
  <c r="V13" i="8"/>
  <c r="H30" i="8" l="1"/>
  <c r="R428" i="12"/>
  <c r="Q429" i="12"/>
  <c r="G463" i="12"/>
  <c r="H462" i="12"/>
  <c r="G442" i="12"/>
  <c r="H441" i="12"/>
  <c r="G84" i="11"/>
  <c r="H83" i="11"/>
  <c r="G902" i="10"/>
  <c r="H902" i="10" s="1"/>
  <c r="G806" i="10"/>
  <c r="H806" i="10" s="1"/>
  <c r="G775" i="10"/>
  <c r="H775" i="10" s="1"/>
  <c r="G762" i="10"/>
  <c r="H762" i="10" s="1"/>
  <c r="G749" i="10"/>
  <c r="H749" i="10" s="1"/>
  <c r="G738" i="10"/>
  <c r="H738" i="10" s="1"/>
  <c r="Q935" i="10"/>
  <c r="R935" i="10" s="1"/>
  <c r="R934" i="10"/>
  <c r="R912" i="10"/>
  <c r="Q913" i="10"/>
  <c r="G999" i="9"/>
  <c r="H999" i="9" s="1"/>
  <c r="H998" i="9"/>
  <c r="AB13" i="12"/>
  <c r="Z13" i="12"/>
  <c r="AD13" i="12"/>
  <c r="Y13" i="12"/>
  <c r="X13" i="12"/>
  <c r="V14" i="12"/>
  <c r="W13" i="12"/>
  <c r="AC13" i="12"/>
  <c r="AA13" i="12"/>
  <c r="V14" i="11"/>
  <c r="AA13" i="11"/>
  <c r="AD13" i="11"/>
  <c r="AB13" i="11"/>
  <c r="W13" i="11"/>
  <c r="X13" i="11"/>
  <c r="Z13" i="11"/>
  <c r="Y13" i="11"/>
  <c r="AC13" i="11"/>
  <c r="AC13" i="10"/>
  <c r="Z13" i="10"/>
  <c r="AA13" i="10"/>
  <c r="X13" i="10"/>
  <c r="Y13" i="10"/>
  <c r="V14" i="10"/>
  <c r="AD13" i="10"/>
  <c r="W13" i="10"/>
  <c r="AB13" i="10"/>
  <c r="R466" i="9"/>
  <c r="R453" i="9"/>
  <c r="W13" i="9"/>
  <c r="X13" i="9"/>
  <c r="Y13" i="9"/>
  <c r="Z13" i="9"/>
  <c r="AA13" i="9"/>
  <c r="AB13" i="9"/>
  <c r="AC13" i="9"/>
  <c r="AD13" i="9"/>
  <c r="V14" i="9"/>
  <c r="Q468" i="8"/>
  <c r="R467" i="8"/>
  <c r="Q455" i="8"/>
  <c r="R454" i="8"/>
  <c r="AD13" i="8"/>
  <c r="AC13" i="8"/>
  <c r="AA13" i="8"/>
  <c r="X13" i="8"/>
  <c r="W13" i="8"/>
  <c r="Z13" i="8"/>
  <c r="AB13" i="8"/>
  <c r="V14" i="8"/>
  <c r="H31" i="8" l="1"/>
  <c r="R429" i="12"/>
  <c r="Q430" i="12"/>
  <c r="G464" i="12"/>
  <c r="H463" i="12"/>
  <c r="G443" i="12"/>
  <c r="H442" i="12"/>
  <c r="G85" i="11"/>
  <c r="H84" i="11"/>
  <c r="G903" i="10"/>
  <c r="H903" i="10" s="1"/>
  <c r="G807" i="10"/>
  <c r="H807" i="10" s="1"/>
  <c r="G776" i="10"/>
  <c r="H776" i="10" s="1"/>
  <c r="G763" i="10"/>
  <c r="H763" i="10" s="1"/>
  <c r="G750" i="10"/>
  <c r="H750" i="10" s="1"/>
  <c r="Q914" i="10"/>
  <c r="R913" i="10"/>
  <c r="AB14" i="12"/>
  <c r="W14" i="12"/>
  <c r="Z14" i="12"/>
  <c r="X14" i="12"/>
  <c r="AA14" i="12"/>
  <c r="AD14" i="12"/>
  <c r="AC14" i="12"/>
  <c r="Y14" i="12"/>
  <c r="V15" i="12"/>
  <c r="AC14" i="11"/>
  <c r="Z14" i="11"/>
  <c r="X14" i="11"/>
  <c r="AA14" i="11"/>
  <c r="Y14" i="11"/>
  <c r="AB14" i="11"/>
  <c r="W14" i="11"/>
  <c r="AD14" i="11"/>
  <c r="V15" i="11"/>
  <c r="V15" i="10"/>
  <c r="W14" i="10"/>
  <c r="AB14" i="10"/>
  <c r="AD14" i="10"/>
  <c r="X14" i="10"/>
  <c r="AC14" i="10"/>
  <c r="Z14" i="10"/>
  <c r="AA14" i="10"/>
  <c r="Y14" i="10"/>
  <c r="R467" i="9"/>
  <c r="R454" i="9"/>
  <c r="W14" i="9"/>
  <c r="X14" i="9"/>
  <c r="Y14" i="9"/>
  <c r="Z14" i="9"/>
  <c r="AA14" i="9"/>
  <c r="AB14" i="9"/>
  <c r="AC14" i="9"/>
  <c r="AD14" i="9"/>
  <c r="V15" i="9"/>
  <c r="Q469" i="8"/>
  <c r="R468" i="8"/>
  <c r="Q456" i="8"/>
  <c r="R456" i="8" s="1"/>
  <c r="R455" i="8"/>
  <c r="AD14" i="8"/>
  <c r="AC14" i="8"/>
  <c r="AA14" i="8"/>
  <c r="X14" i="8"/>
  <c r="Z14" i="8"/>
  <c r="W14" i="8"/>
  <c r="AB14" i="8"/>
  <c r="V15" i="8"/>
  <c r="H32" i="8" l="1"/>
  <c r="Q431" i="12"/>
  <c r="R430" i="12"/>
  <c r="G465" i="12"/>
  <c r="H464" i="12"/>
  <c r="G444" i="12"/>
  <c r="H443" i="12"/>
  <c r="G86" i="11"/>
  <c r="H85" i="11"/>
  <c r="G808" i="10"/>
  <c r="H808" i="10" s="1"/>
  <c r="G777" i="10"/>
  <c r="H777" i="10" s="1"/>
  <c r="G764" i="10"/>
  <c r="H764" i="10" s="1"/>
  <c r="G751" i="10"/>
  <c r="H751" i="10" s="1"/>
  <c r="Q915" i="10"/>
  <c r="R914" i="10"/>
  <c r="AB15" i="12"/>
  <c r="X15" i="12"/>
  <c r="Y15" i="12"/>
  <c r="Z15" i="12"/>
  <c r="V16" i="12"/>
  <c r="W15" i="12"/>
  <c r="AD15" i="12"/>
  <c r="AC15" i="12"/>
  <c r="AA15" i="12"/>
  <c r="W15" i="11"/>
  <c r="AB15" i="11"/>
  <c r="AC15" i="11"/>
  <c r="Y15" i="11"/>
  <c r="V16" i="11"/>
  <c r="AD15" i="11"/>
  <c r="X15" i="11"/>
  <c r="AA15" i="11"/>
  <c r="Z15" i="11"/>
  <c r="Y15" i="10"/>
  <c r="AD15" i="10"/>
  <c r="W15" i="10"/>
  <c r="AB15" i="10"/>
  <c r="X15" i="10"/>
  <c r="AC15" i="10"/>
  <c r="Z15" i="10"/>
  <c r="AA15" i="10"/>
  <c r="V16" i="10"/>
  <c r="R468" i="9"/>
  <c r="R456" i="9"/>
  <c r="R455" i="9"/>
  <c r="W15" i="9"/>
  <c r="X15" i="9"/>
  <c r="Y15" i="9"/>
  <c r="Z15" i="9"/>
  <c r="AA15" i="9"/>
  <c r="AB15" i="9"/>
  <c r="AC15" i="9"/>
  <c r="AD15" i="9"/>
  <c r="V16" i="9"/>
  <c r="Q470" i="8"/>
  <c r="R469" i="8"/>
  <c r="AD15" i="8"/>
  <c r="AC15" i="8"/>
  <c r="AA15" i="8"/>
  <c r="Z15" i="8"/>
  <c r="W15" i="8"/>
  <c r="X15" i="8"/>
  <c r="AB15" i="8"/>
  <c r="V16" i="8"/>
  <c r="H33" i="8" l="1"/>
  <c r="Q432" i="12"/>
  <c r="R431" i="12"/>
  <c r="H465" i="12"/>
  <c r="G466" i="12"/>
  <c r="G445" i="12"/>
  <c r="H444" i="12"/>
  <c r="G87" i="11"/>
  <c r="H87" i="11" s="1"/>
  <c r="Y8" i="11" s="1"/>
  <c r="H86" i="11"/>
  <c r="Y9" i="11" s="1"/>
  <c r="G809" i="10"/>
  <c r="H809" i="10" s="1"/>
  <c r="G778" i="10"/>
  <c r="H778" i="10" s="1"/>
  <c r="R915" i="10"/>
  <c r="Q916" i="10"/>
  <c r="Z16" i="12"/>
  <c r="Y16" i="12"/>
  <c r="V17" i="12"/>
  <c r="AA16" i="12"/>
  <c r="AB16" i="12"/>
  <c r="X16" i="12"/>
  <c r="AD16" i="12"/>
  <c r="W16" i="12"/>
  <c r="AC16" i="11"/>
  <c r="Z16" i="11"/>
  <c r="AB16" i="11"/>
  <c r="V17" i="11"/>
  <c r="W16" i="11"/>
  <c r="AD16" i="11"/>
  <c r="AA16" i="11"/>
  <c r="Y16" i="11"/>
  <c r="X16" i="11"/>
  <c r="V17" i="10"/>
  <c r="Y16" i="10"/>
  <c r="AD16" i="10"/>
  <c r="Z16" i="10"/>
  <c r="X16" i="10"/>
  <c r="AC16" i="10"/>
  <c r="W16" i="10"/>
  <c r="AB16" i="10"/>
  <c r="AA16" i="10"/>
  <c r="R469" i="9"/>
  <c r="W16" i="9"/>
  <c r="X16" i="9"/>
  <c r="Y16" i="9"/>
  <c r="Z16" i="9"/>
  <c r="AA16" i="9"/>
  <c r="AB16" i="9"/>
  <c r="AD16" i="9"/>
  <c r="V17" i="9"/>
  <c r="Q471" i="8"/>
  <c r="R471" i="8" s="1"/>
  <c r="AC16" i="8" s="1"/>
  <c r="R470" i="8"/>
  <c r="AD16" i="8"/>
  <c r="Z16" i="8"/>
  <c r="AA16" i="8"/>
  <c r="W16" i="8"/>
  <c r="X16" i="8"/>
  <c r="AB16" i="8"/>
  <c r="V17" i="8"/>
  <c r="H34" i="8" l="1"/>
  <c r="Q433" i="12"/>
  <c r="R432" i="12"/>
  <c r="G467" i="12"/>
  <c r="H466" i="12"/>
  <c r="G446" i="12"/>
  <c r="H446" i="12" s="1"/>
  <c r="H445" i="12"/>
  <c r="G810" i="10"/>
  <c r="H810" i="10" s="1"/>
  <c r="G779" i="10"/>
  <c r="H779" i="10" s="1"/>
  <c r="R916" i="10"/>
  <c r="Q917" i="10"/>
  <c r="Z17" i="12"/>
  <c r="AA17" i="12"/>
  <c r="X17" i="12"/>
  <c r="AD17" i="12"/>
  <c r="Y17" i="12"/>
  <c r="V18" i="12"/>
  <c r="W17" i="12"/>
  <c r="AB17" i="12"/>
  <c r="AC17" i="12"/>
  <c r="AA17" i="11"/>
  <c r="X17" i="11"/>
  <c r="AD17" i="11"/>
  <c r="Z17" i="11"/>
  <c r="W17" i="11"/>
  <c r="AC17" i="11"/>
  <c r="V18" i="11"/>
  <c r="AB17" i="11"/>
  <c r="Y17" i="11"/>
  <c r="AD17" i="10"/>
  <c r="AB17" i="10"/>
  <c r="V18" i="10"/>
  <c r="Y17" i="10"/>
  <c r="AA17" i="10"/>
  <c r="X17" i="10"/>
  <c r="Z17" i="10"/>
  <c r="W17" i="10"/>
  <c r="R471" i="9"/>
  <c r="R470" i="9"/>
  <c r="AC16" i="9" s="1"/>
  <c r="W17" i="9"/>
  <c r="X17" i="9"/>
  <c r="Y17" i="9"/>
  <c r="Z17" i="9"/>
  <c r="AA17" i="9"/>
  <c r="AB17" i="9"/>
  <c r="AC17" i="9"/>
  <c r="AD17" i="9"/>
  <c r="V18" i="9"/>
  <c r="AD17" i="8"/>
  <c r="AC17" i="8"/>
  <c r="AB17" i="8"/>
  <c r="AA17" i="8"/>
  <c r="Z17" i="8"/>
  <c r="X17" i="8"/>
  <c r="W17" i="8"/>
  <c r="Y17" i="8"/>
  <c r="V18" i="8"/>
  <c r="H35" i="8" l="1"/>
  <c r="Q434" i="12"/>
  <c r="R433" i="12"/>
  <c r="G468" i="12"/>
  <c r="H467" i="12"/>
  <c r="G780" i="10"/>
  <c r="H780" i="10" s="1"/>
  <c r="R917" i="10"/>
  <c r="Q918" i="10"/>
  <c r="AD18" i="12"/>
  <c r="AA18" i="12"/>
  <c r="Y18" i="12"/>
  <c r="AC18" i="12"/>
  <c r="W18" i="12"/>
  <c r="X18" i="12"/>
  <c r="V19" i="12"/>
  <c r="Z18" i="12"/>
  <c r="AB18" i="12"/>
  <c r="AA18" i="11"/>
  <c r="Z18" i="11"/>
  <c r="X18" i="11"/>
  <c r="V19" i="11"/>
  <c r="W18" i="11"/>
  <c r="AC18" i="11"/>
  <c r="Y18" i="11"/>
  <c r="AB18" i="11"/>
  <c r="AD18" i="11"/>
  <c r="AB18" i="10"/>
  <c r="AA18" i="10"/>
  <c r="X18" i="10"/>
  <c r="W18" i="10"/>
  <c r="Y18" i="10"/>
  <c r="AD18" i="10"/>
  <c r="Z18" i="10"/>
  <c r="AC18" i="10"/>
  <c r="V19" i="10"/>
  <c r="W18" i="9"/>
  <c r="X18" i="9"/>
  <c r="Y18" i="9"/>
  <c r="Z18" i="9"/>
  <c r="AA18" i="9"/>
  <c r="AB18" i="9"/>
  <c r="AC18" i="9"/>
  <c r="AD18" i="9"/>
  <c r="V19" i="9"/>
  <c r="AD18" i="8"/>
  <c r="AC18" i="8"/>
  <c r="AB18" i="8"/>
  <c r="AA18" i="8"/>
  <c r="X18" i="8"/>
  <c r="Z18" i="8"/>
  <c r="W18" i="8"/>
  <c r="Y18" i="8"/>
  <c r="V19" i="8"/>
  <c r="H36" i="8" l="1"/>
  <c r="Q435" i="12"/>
  <c r="R434" i="12"/>
  <c r="H468" i="12"/>
  <c r="G469" i="12"/>
  <c r="G781" i="10"/>
  <c r="H781" i="10" s="1"/>
  <c r="R918" i="10"/>
  <c r="Q919" i="10"/>
  <c r="AB19" i="12"/>
  <c r="Z19" i="12"/>
  <c r="AA19" i="12"/>
  <c r="V20" i="12"/>
  <c r="X19" i="12"/>
  <c r="W19" i="12"/>
  <c r="AC19" i="12"/>
  <c r="AD19" i="12"/>
  <c r="Y19" i="12"/>
  <c r="AB19" i="11"/>
  <c r="Y19" i="11"/>
  <c r="AD19" i="11"/>
  <c r="AA19" i="11"/>
  <c r="Z19" i="11"/>
  <c r="X19" i="11"/>
  <c r="AC19" i="11"/>
  <c r="V20" i="11"/>
  <c r="W19" i="11"/>
  <c r="AC19" i="10"/>
  <c r="W19" i="10"/>
  <c r="AB19" i="10"/>
  <c r="AA19" i="10"/>
  <c r="Z19" i="10"/>
  <c r="V20" i="10"/>
  <c r="X19" i="10"/>
  <c r="Y19" i="10"/>
  <c r="AD19" i="10"/>
  <c r="W19" i="9"/>
  <c r="X19" i="9"/>
  <c r="Y19" i="9"/>
  <c r="Z19" i="9"/>
  <c r="AA19" i="9"/>
  <c r="AB19" i="9"/>
  <c r="AC19" i="9"/>
  <c r="AD19" i="9"/>
  <c r="V20" i="9"/>
  <c r="AD19" i="8"/>
  <c r="AC19" i="8"/>
  <c r="AB19" i="8"/>
  <c r="AA19" i="8"/>
  <c r="W19" i="8"/>
  <c r="Z19" i="8"/>
  <c r="X19" i="8"/>
  <c r="Y19" i="8"/>
  <c r="V20" i="8"/>
  <c r="H37" i="8" l="1"/>
  <c r="Q436" i="12"/>
  <c r="R435" i="12"/>
  <c r="G470" i="12"/>
  <c r="H469" i="12"/>
  <c r="G782" i="10"/>
  <c r="H782" i="10" s="1"/>
  <c r="Q920" i="10"/>
  <c r="R919" i="10"/>
  <c r="AB20" i="12"/>
  <c r="AD20" i="12"/>
  <c r="Y20" i="12"/>
  <c r="AC20" i="12"/>
  <c r="AA20" i="12"/>
  <c r="Z20" i="12"/>
  <c r="X20" i="12"/>
  <c r="W20" i="12"/>
  <c r="V21" i="12"/>
  <c r="AA20" i="11"/>
  <c r="AC20" i="11"/>
  <c r="Y20" i="11"/>
  <c r="V21" i="11"/>
  <c r="X20" i="11"/>
  <c r="Z20" i="11"/>
  <c r="AD20" i="11"/>
  <c r="AB20" i="11"/>
  <c r="W20" i="11"/>
  <c r="W20" i="10"/>
  <c r="AC20" i="10"/>
  <c r="Z20" i="10"/>
  <c r="V21" i="10"/>
  <c r="Y20" i="10"/>
  <c r="AB20" i="10"/>
  <c r="AA20" i="10"/>
  <c r="X20" i="10"/>
  <c r="AD20" i="10"/>
  <c r="W20" i="9"/>
  <c r="X20" i="9"/>
  <c r="Y20" i="9"/>
  <c r="Z20" i="9"/>
  <c r="AA20" i="9"/>
  <c r="AB20" i="9"/>
  <c r="AC20" i="9"/>
  <c r="AD20" i="9"/>
  <c r="V21" i="9"/>
  <c r="AD20" i="8"/>
  <c r="AC20" i="8"/>
  <c r="AB20" i="8"/>
  <c r="W20" i="8"/>
  <c r="Z20" i="8"/>
  <c r="X20" i="8"/>
  <c r="AA20" i="8"/>
  <c r="Y20" i="8"/>
  <c r="V21" i="8"/>
  <c r="H38" i="8" l="1"/>
  <c r="Q437" i="12"/>
  <c r="R437" i="12" s="1"/>
  <c r="R436" i="12"/>
  <c r="AC16" i="12" s="1"/>
  <c r="G471" i="12"/>
  <c r="H470" i="12"/>
  <c r="G783" i="10"/>
  <c r="H783" i="10" s="1"/>
  <c r="Q921" i="10"/>
  <c r="R920" i="10"/>
  <c r="Y21" i="12"/>
  <c r="Z21" i="12"/>
  <c r="AB21" i="12"/>
  <c r="AC21" i="12"/>
  <c r="X21" i="12"/>
  <c r="AD21" i="12"/>
  <c r="V22" i="12"/>
  <c r="W21" i="12"/>
  <c r="AA21" i="12"/>
  <c r="AB21" i="11"/>
  <c r="Y21" i="11"/>
  <c r="W21" i="11"/>
  <c r="AC21" i="11"/>
  <c r="V22" i="11"/>
  <c r="Z21" i="11"/>
  <c r="AA21" i="11"/>
  <c r="X21" i="11"/>
  <c r="AD21" i="11"/>
  <c r="X21" i="10"/>
  <c r="Y21" i="10"/>
  <c r="AC21" i="10"/>
  <c r="AB21" i="10"/>
  <c r="V22" i="10"/>
  <c r="Z21" i="10"/>
  <c r="AD21" i="10"/>
  <c r="W21" i="10"/>
  <c r="AA21" i="10"/>
  <c r="W21" i="9"/>
  <c r="X21" i="9"/>
  <c r="Y21" i="9"/>
  <c r="Z21" i="9"/>
  <c r="AA21" i="9"/>
  <c r="AB21" i="9"/>
  <c r="AC21" i="9"/>
  <c r="AD21" i="9"/>
  <c r="V22" i="9"/>
  <c r="AD21" i="8"/>
  <c r="AC21" i="8"/>
  <c r="Z21" i="8"/>
  <c r="X21" i="8"/>
  <c r="AA21" i="8"/>
  <c r="W21" i="8"/>
  <c r="AB21" i="8"/>
  <c r="Y21" i="8"/>
  <c r="V22" i="8"/>
  <c r="H39" i="8" l="1"/>
  <c r="H471" i="12"/>
  <c r="G472" i="12"/>
  <c r="G784" i="10"/>
  <c r="H784" i="10" s="1"/>
  <c r="Q922" i="10"/>
  <c r="R921" i="10"/>
  <c r="W22" i="12"/>
  <c r="AB22" i="12"/>
  <c r="AD22" i="12"/>
  <c r="Y22" i="12"/>
  <c r="Z22" i="12"/>
  <c r="AC22" i="12"/>
  <c r="AA22" i="12"/>
  <c r="X22" i="12"/>
  <c r="V23" i="12"/>
  <c r="AB22" i="11"/>
  <c r="V23" i="11"/>
  <c r="AC22" i="11"/>
  <c r="Z22" i="11"/>
  <c r="Y22" i="11"/>
  <c r="AD22" i="11"/>
  <c r="X22" i="11"/>
  <c r="W22" i="11"/>
  <c r="AA22" i="11"/>
  <c r="X22" i="10"/>
  <c r="Z22" i="10"/>
  <c r="V23" i="10"/>
  <c r="AD22" i="10"/>
  <c r="AA22" i="10"/>
  <c r="AC22" i="10"/>
  <c r="Y22" i="10"/>
  <c r="W22" i="10"/>
  <c r="AB22" i="10"/>
  <c r="W22" i="9"/>
  <c r="X22" i="9"/>
  <c r="Y22" i="9"/>
  <c r="Z22" i="9"/>
  <c r="AA22" i="9"/>
  <c r="AB22" i="9"/>
  <c r="AC22" i="9"/>
  <c r="AD22" i="9"/>
  <c r="V23" i="9"/>
  <c r="AD22" i="8"/>
  <c r="AC22" i="8"/>
  <c r="AA22" i="8"/>
  <c r="Z22" i="8"/>
  <c r="X22" i="8"/>
  <c r="W22" i="8"/>
  <c r="AB22" i="8"/>
  <c r="Y22" i="8"/>
  <c r="V23" i="8"/>
  <c r="H40" i="8" l="1"/>
  <c r="G473" i="12"/>
  <c r="H472" i="12"/>
  <c r="Q923" i="10"/>
  <c r="R922" i="10"/>
  <c r="AB23" i="12"/>
  <c r="AA23" i="12"/>
  <c r="Y23" i="12"/>
  <c r="W23" i="12"/>
  <c r="AD23" i="12"/>
  <c r="X23" i="12"/>
  <c r="Z23" i="12"/>
  <c r="AC23" i="12"/>
  <c r="V24" i="12"/>
  <c r="AD23" i="11"/>
  <c r="AB23" i="11"/>
  <c r="V24" i="11"/>
  <c r="Y23" i="11"/>
  <c r="W23" i="11"/>
  <c r="X23" i="11"/>
  <c r="AA23" i="11"/>
  <c r="Z23" i="11"/>
  <c r="AC23" i="11"/>
  <c r="AD23" i="10"/>
  <c r="AB23" i="10"/>
  <c r="V24" i="10"/>
  <c r="Z23" i="10"/>
  <c r="X23" i="10"/>
  <c r="Y23" i="10"/>
  <c r="AC23" i="10"/>
  <c r="AA23" i="10"/>
  <c r="W23" i="10"/>
  <c r="W23" i="9"/>
  <c r="X23" i="9"/>
  <c r="Y23" i="9"/>
  <c r="Z23" i="9"/>
  <c r="AA23" i="9"/>
  <c r="AB23" i="9"/>
  <c r="AC23" i="9"/>
  <c r="AD23" i="9"/>
  <c r="V24" i="9"/>
  <c r="AD23" i="8"/>
  <c r="AC23" i="8"/>
  <c r="AB23" i="8"/>
  <c r="AA23" i="8"/>
  <c r="X23" i="8"/>
  <c r="Z23" i="8"/>
  <c r="W23" i="8"/>
  <c r="Y23" i="8"/>
  <c r="V24" i="8"/>
  <c r="H41" i="8" l="1"/>
  <c r="G474" i="12"/>
  <c r="H473" i="12"/>
  <c r="Q924" i="10"/>
  <c r="R924" i="10" s="1"/>
  <c r="AC17" i="10" s="1"/>
  <c r="R923" i="10"/>
  <c r="AB24" i="12"/>
  <c r="AD24" i="12"/>
  <c r="AA24" i="12"/>
  <c r="Z24" i="12"/>
  <c r="W24" i="12"/>
  <c r="AC24" i="12"/>
  <c r="Y24" i="12"/>
  <c r="X24" i="12"/>
  <c r="V25" i="12"/>
  <c r="AA24" i="11"/>
  <c r="AC24" i="11"/>
  <c r="Y24" i="11"/>
  <c r="AD24" i="11"/>
  <c r="V25" i="11"/>
  <c r="W24" i="11"/>
  <c r="Z24" i="11"/>
  <c r="X24" i="11"/>
  <c r="AB24" i="11"/>
  <c r="AC24" i="10"/>
  <c r="AB24" i="10"/>
  <c r="W24" i="10"/>
  <c r="AD24" i="10"/>
  <c r="Y24" i="10"/>
  <c r="Z24" i="10"/>
  <c r="V25" i="10"/>
  <c r="X24" i="10"/>
  <c r="AA24" i="10"/>
  <c r="W24" i="9"/>
  <c r="X24" i="9"/>
  <c r="Y24" i="9"/>
  <c r="Z24" i="9"/>
  <c r="AA24" i="9"/>
  <c r="AB24" i="9"/>
  <c r="AC24" i="9"/>
  <c r="AD24" i="9"/>
  <c r="V25" i="9"/>
  <c r="AD24" i="8"/>
  <c r="AC24" i="8"/>
  <c r="AA24" i="8"/>
  <c r="Z24" i="8"/>
  <c r="X24" i="8"/>
  <c r="W24" i="8"/>
  <c r="AB24" i="8"/>
  <c r="Y24" i="8"/>
  <c r="V25" i="8"/>
  <c r="H42" i="8" l="1"/>
  <c r="G475" i="12"/>
  <c r="H474" i="12"/>
  <c r="Y25" i="12"/>
  <c r="AB25" i="12"/>
  <c r="Z25" i="12"/>
  <c r="AD25" i="12"/>
  <c r="AC25" i="12"/>
  <c r="AA25" i="12"/>
  <c r="V26" i="12"/>
  <c r="X25" i="12"/>
  <c r="W25" i="12"/>
  <c r="AC25" i="11"/>
  <c r="AD25" i="11"/>
  <c r="V26" i="11"/>
  <c r="AB25" i="11"/>
  <c r="X25" i="11"/>
  <c r="Z25" i="11"/>
  <c r="Y25" i="11"/>
  <c r="W25" i="11"/>
  <c r="AA25" i="11"/>
  <c r="Y25" i="10"/>
  <c r="AC25" i="10"/>
  <c r="X25" i="10"/>
  <c r="AD25" i="10"/>
  <c r="AA25" i="10"/>
  <c r="AB25" i="10"/>
  <c r="V26" i="10"/>
  <c r="W25" i="10"/>
  <c r="Z25" i="10"/>
  <c r="W25" i="9"/>
  <c r="X25" i="9"/>
  <c r="Y25" i="9"/>
  <c r="Z25" i="9"/>
  <c r="AA25" i="9"/>
  <c r="AB25" i="9"/>
  <c r="AC25" i="9"/>
  <c r="AD25" i="9"/>
  <c r="V26" i="9"/>
  <c r="AD25" i="8"/>
  <c r="AC25" i="8"/>
  <c r="AA25" i="8"/>
  <c r="Z25" i="8"/>
  <c r="W25" i="8"/>
  <c r="X25" i="8"/>
  <c r="AB25" i="8"/>
  <c r="Y25" i="8"/>
  <c r="V26" i="8"/>
  <c r="H43" i="8" l="1"/>
  <c r="G476" i="12"/>
  <c r="H475" i="12"/>
  <c r="AB26" i="12"/>
  <c r="X26" i="12"/>
  <c r="AA26" i="12"/>
  <c r="Z26" i="12"/>
  <c r="W26" i="12"/>
  <c r="AD26" i="12"/>
  <c r="V27" i="12"/>
  <c r="Y26" i="12"/>
  <c r="AC26" i="12"/>
  <c r="AD26" i="11"/>
  <c r="W26" i="11"/>
  <c r="Z26" i="11"/>
  <c r="AC26" i="11"/>
  <c r="V27" i="11"/>
  <c r="AA26" i="11"/>
  <c r="X26" i="11"/>
  <c r="AB26" i="11"/>
  <c r="Y26" i="11"/>
  <c r="V27" i="10"/>
  <c r="Z26" i="10"/>
  <c r="Y26" i="10"/>
  <c r="AA26" i="10"/>
  <c r="W26" i="10"/>
  <c r="AC26" i="10"/>
  <c r="AB26" i="10"/>
  <c r="X26" i="10"/>
  <c r="AD26" i="10"/>
  <c r="W26" i="9"/>
  <c r="X26" i="9"/>
  <c r="Y26" i="9"/>
  <c r="Z26" i="9"/>
  <c r="AA26" i="9"/>
  <c r="AB26" i="9"/>
  <c r="AC26" i="9"/>
  <c r="AD26" i="9"/>
  <c r="V27" i="9"/>
  <c r="AD26" i="8"/>
  <c r="AC26" i="8"/>
  <c r="W26" i="8"/>
  <c r="AA26" i="8"/>
  <c r="X26" i="8"/>
  <c r="Z26" i="8"/>
  <c r="AB26" i="8"/>
  <c r="Y26" i="8"/>
  <c r="V27" i="8"/>
  <c r="H44" i="8" l="1"/>
  <c r="G477" i="12"/>
  <c r="H476" i="12"/>
  <c r="AB27" i="12"/>
  <c r="AC27" i="12"/>
  <c r="V28" i="12"/>
  <c r="AA27" i="12"/>
  <c r="Y27" i="12"/>
  <c r="X27" i="12"/>
  <c r="Z27" i="12"/>
  <c r="AD27" i="12"/>
  <c r="W27" i="12"/>
  <c r="AA27" i="11"/>
  <c r="Z27" i="11"/>
  <c r="W27" i="11"/>
  <c r="AC27" i="11"/>
  <c r="Y27" i="11"/>
  <c r="AD27" i="11"/>
  <c r="V28" i="11"/>
  <c r="X27" i="11"/>
  <c r="AB27" i="11"/>
  <c r="AA27" i="10"/>
  <c r="AC27" i="10"/>
  <c r="Y27" i="10"/>
  <c r="Z27" i="10"/>
  <c r="X27" i="10"/>
  <c r="AD27" i="10"/>
  <c r="W27" i="10"/>
  <c r="V28" i="10"/>
  <c r="AB27" i="10"/>
  <c r="W27" i="9"/>
  <c r="X27" i="9"/>
  <c r="Y27" i="9"/>
  <c r="Z27" i="9"/>
  <c r="AA27" i="9"/>
  <c r="AB27" i="9"/>
  <c r="AC27" i="9"/>
  <c r="AD27" i="9"/>
  <c r="V28" i="9"/>
  <c r="AD27" i="8"/>
  <c r="AC27" i="8"/>
  <c r="AA27" i="8"/>
  <c r="Z27" i="8"/>
  <c r="X27" i="8"/>
  <c r="W27" i="8"/>
  <c r="AB27" i="8"/>
  <c r="Y27" i="8"/>
  <c r="V28" i="8"/>
  <c r="H45" i="8" l="1"/>
  <c r="H477" i="12"/>
  <c r="G478" i="12"/>
  <c r="Z28" i="12"/>
  <c r="AD28" i="12"/>
  <c r="AB28" i="12"/>
  <c r="V29" i="12"/>
  <c r="AC28" i="12"/>
  <c r="X28" i="12"/>
  <c r="Y28" i="12"/>
  <c r="AA28" i="12"/>
  <c r="W28" i="12"/>
  <c r="X28" i="11"/>
  <c r="AB28" i="11"/>
  <c r="Y28" i="11"/>
  <c r="V29" i="11"/>
  <c r="AA28" i="11"/>
  <c r="W28" i="11"/>
  <c r="AC28" i="11"/>
  <c r="Z28" i="11"/>
  <c r="AD28" i="11"/>
  <c r="X28" i="10"/>
  <c r="AA28" i="10"/>
  <c r="Z28" i="10"/>
  <c r="AC28" i="10"/>
  <c r="AD28" i="10"/>
  <c r="Y28" i="10"/>
  <c r="W28" i="10"/>
  <c r="AB28" i="10"/>
  <c r="V29" i="10"/>
  <c r="W28" i="9"/>
  <c r="X28" i="9"/>
  <c r="Y28" i="9"/>
  <c r="Z28" i="9"/>
  <c r="AA28" i="9"/>
  <c r="AB28" i="9"/>
  <c r="AC28" i="9"/>
  <c r="AD28" i="9"/>
  <c r="V29" i="9"/>
  <c r="AD28" i="8"/>
  <c r="AC28" i="8"/>
  <c r="X28" i="8"/>
  <c r="AB28" i="8"/>
  <c r="Z28" i="8"/>
  <c r="W28" i="8"/>
  <c r="AA28" i="8"/>
  <c r="Y28" i="8"/>
  <c r="V29" i="8"/>
  <c r="H46" i="8" l="1"/>
  <c r="G479" i="12"/>
  <c r="H478" i="12"/>
  <c r="Z29" i="12"/>
  <c r="AC29" i="12"/>
  <c r="V30" i="12"/>
  <c r="Y29" i="12"/>
  <c r="AD29" i="12"/>
  <c r="AB29" i="12"/>
  <c r="X29" i="12"/>
  <c r="W29" i="12"/>
  <c r="AA29" i="12"/>
  <c r="AC29" i="11"/>
  <c r="AB29" i="11"/>
  <c r="W29" i="11"/>
  <c r="AA29" i="11"/>
  <c r="Y29" i="11"/>
  <c r="Z29" i="11"/>
  <c r="X29" i="11"/>
  <c r="AD29" i="11"/>
  <c r="V30" i="11"/>
  <c r="X29" i="10"/>
  <c r="Y29" i="10"/>
  <c r="AA29" i="10"/>
  <c r="AD29" i="10"/>
  <c r="V30" i="10"/>
  <c r="AB29" i="10"/>
  <c r="W29" i="10"/>
  <c r="AC29" i="10"/>
  <c r="Z29" i="10"/>
  <c r="W29" i="9"/>
  <c r="X29" i="9"/>
  <c r="Y29" i="9"/>
  <c r="Z29" i="9"/>
  <c r="AA29" i="9"/>
  <c r="AB29" i="9"/>
  <c r="AC29" i="9"/>
  <c r="AD29" i="9"/>
  <c r="V30" i="9"/>
  <c r="AD29" i="8"/>
  <c r="AC29" i="8"/>
  <c r="AA29" i="8"/>
  <c r="W29" i="8"/>
  <c r="X29" i="8"/>
  <c r="Z29" i="8"/>
  <c r="AB29" i="8"/>
  <c r="Y29" i="8"/>
  <c r="V30" i="8"/>
  <c r="H47" i="8" l="1"/>
  <c r="G480" i="12"/>
  <c r="H479" i="12"/>
  <c r="AA30" i="12"/>
  <c r="Y30" i="12"/>
  <c r="W30" i="12"/>
  <c r="X30" i="12"/>
  <c r="AC30" i="12"/>
  <c r="Z30" i="12"/>
  <c r="AD30" i="12"/>
  <c r="V31" i="12"/>
  <c r="AB30" i="12"/>
  <c r="AB30" i="11"/>
  <c r="Y30" i="11"/>
  <c r="AD30" i="11"/>
  <c r="AA30" i="11"/>
  <c r="X30" i="11"/>
  <c r="V31" i="11"/>
  <c r="Z30" i="11"/>
  <c r="W30" i="11"/>
  <c r="AC30" i="11"/>
  <c r="W30" i="10"/>
  <c r="Z30" i="10"/>
  <c r="AB30" i="10"/>
  <c r="Y30" i="10"/>
  <c r="AD30" i="10"/>
  <c r="V31" i="10"/>
  <c r="X30" i="10"/>
  <c r="AC30" i="10"/>
  <c r="AA30" i="10"/>
  <c r="W30" i="9"/>
  <c r="X30" i="9"/>
  <c r="Y30" i="9"/>
  <c r="Z30" i="9"/>
  <c r="AA30" i="9"/>
  <c r="AB30" i="9"/>
  <c r="AC30" i="9"/>
  <c r="AD30" i="9"/>
  <c r="V31" i="9"/>
  <c r="AD30" i="8"/>
  <c r="AC30" i="8"/>
  <c r="AA30" i="8"/>
  <c r="AB30" i="8"/>
  <c r="W30" i="8"/>
  <c r="X30" i="8"/>
  <c r="Z30" i="8"/>
  <c r="Y30" i="8"/>
  <c r="V31" i="8"/>
  <c r="H48" i="8" l="1"/>
  <c r="H480" i="12"/>
  <c r="G481" i="12"/>
  <c r="AC31" i="12"/>
  <c r="V32" i="12"/>
  <c r="X31" i="12"/>
  <c r="AA31" i="12"/>
  <c r="AB31" i="12"/>
  <c r="AD31" i="12"/>
  <c r="Z31" i="12"/>
  <c r="W31" i="12"/>
  <c r="Y31" i="12"/>
  <c r="AA31" i="11"/>
  <c r="V32" i="11"/>
  <c r="Z31" i="11"/>
  <c r="AC31" i="11"/>
  <c r="X31" i="11"/>
  <c r="W31" i="11"/>
  <c r="AB31" i="11"/>
  <c r="Y31" i="11"/>
  <c r="AD31" i="11"/>
  <c r="AA31" i="10"/>
  <c r="Y31" i="10"/>
  <c r="AD31" i="10"/>
  <c r="X31" i="10"/>
  <c r="AB31" i="10"/>
  <c r="W31" i="10"/>
  <c r="AC31" i="10"/>
  <c r="V32" i="10"/>
  <c r="Z31" i="10"/>
  <c r="W31" i="9"/>
  <c r="X31" i="9"/>
  <c r="Y31" i="9"/>
  <c r="Z31" i="9"/>
  <c r="AA31" i="9"/>
  <c r="AB31" i="9"/>
  <c r="AC31" i="9"/>
  <c r="AD31" i="9"/>
  <c r="V32" i="9"/>
  <c r="AD31" i="8"/>
  <c r="AC31" i="8"/>
  <c r="AA31" i="8"/>
  <c r="AB31" i="8"/>
  <c r="W31" i="8"/>
  <c r="X31" i="8"/>
  <c r="Z31" i="8"/>
  <c r="Y31" i="8"/>
  <c r="V32" i="8"/>
  <c r="H49" i="8" l="1"/>
  <c r="G482" i="12"/>
  <c r="H481" i="12"/>
  <c r="AB32" i="12"/>
  <c r="V33" i="12"/>
  <c r="AC32" i="12"/>
  <c r="Y32" i="12"/>
  <c r="Z32" i="12"/>
  <c r="W32" i="12"/>
  <c r="AA32" i="12"/>
  <c r="X32" i="12"/>
  <c r="AD32" i="12"/>
  <c r="Y32" i="11"/>
  <c r="W32" i="11"/>
  <c r="AA32" i="11"/>
  <c r="AD32" i="11"/>
  <c r="V33" i="11"/>
  <c r="AC32" i="11"/>
  <c r="X32" i="11"/>
  <c r="Z32" i="11"/>
  <c r="AB32" i="11"/>
  <c r="Z32" i="10"/>
  <c r="V33" i="10"/>
  <c r="AC32" i="10"/>
  <c r="W32" i="10"/>
  <c r="AD32" i="10"/>
  <c r="X32" i="10"/>
  <c r="AB32" i="10"/>
  <c r="AA32" i="10"/>
  <c r="Y32" i="10"/>
  <c r="W32" i="9"/>
  <c r="X32" i="9"/>
  <c r="Y32" i="9"/>
  <c r="Z32" i="9"/>
  <c r="AA32" i="9"/>
  <c r="AB32" i="9"/>
  <c r="AC32" i="9"/>
  <c r="AD32" i="9"/>
  <c r="V33" i="9"/>
  <c r="AD32" i="8"/>
  <c r="AC32" i="8"/>
  <c r="AA32" i="8"/>
  <c r="AB32" i="8"/>
  <c r="W32" i="8"/>
  <c r="X32" i="8"/>
  <c r="Z32" i="8"/>
  <c r="Y32" i="8"/>
  <c r="V33" i="8"/>
  <c r="H50" i="8" l="1"/>
  <c r="G483" i="12"/>
  <c r="H482" i="12"/>
  <c r="AB33" i="12"/>
  <c r="X33" i="12"/>
  <c r="AD33" i="12"/>
  <c r="Y33" i="12"/>
  <c r="AA33" i="12"/>
  <c r="Z33" i="12"/>
  <c r="V34" i="12"/>
  <c r="W33" i="12"/>
  <c r="AC33" i="12"/>
  <c r="AA33" i="11"/>
  <c r="Y33" i="11"/>
  <c r="AB33" i="11"/>
  <c r="X33" i="11"/>
  <c r="AD33" i="11"/>
  <c r="AC33" i="11"/>
  <c r="W33" i="11"/>
  <c r="V34" i="11"/>
  <c r="Z33" i="11"/>
  <c r="AB33" i="10"/>
  <c r="AD33" i="10"/>
  <c r="V34" i="10"/>
  <c r="W33" i="10"/>
  <c r="AC33" i="10"/>
  <c r="Y33" i="10"/>
  <c r="X33" i="10"/>
  <c r="AA33" i="10"/>
  <c r="Z33" i="10"/>
  <c r="W33" i="9"/>
  <c r="X33" i="9"/>
  <c r="Y33" i="9"/>
  <c r="Z33" i="9"/>
  <c r="AA33" i="9"/>
  <c r="AB33" i="9"/>
  <c r="AC33" i="9"/>
  <c r="AD33" i="9"/>
  <c r="V34" i="9"/>
  <c r="AD33" i="8"/>
  <c r="AC33" i="8"/>
  <c r="AA33" i="8"/>
  <c r="AB33" i="8"/>
  <c r="W33" i="8"/>
  <c r="X33" i="8"/>
  <c r="Z33" i="8"/>
  <c r="Y33" i="8"/>
  <c r="V34" i="8"/>
  <c r="H51" i="8" l="1"/>
  <c r="H483" i="12"/>
  <c r="G484" i="12"/>
  <c r="AD34" i="12"/>
  <c r="Z34" i="12"/>
  <c r="W34" i="12"/>
  <c r="AA34" i="12"/>
  <c r="AB34" i="12"/>
  <c r="X34" i="12"/>
  <c r="Y34" i="12"/>
  <c r="AC34" i="12"/>
  <c r="Y34" i="11"/>
  <c r="AC34" i="11"/>
  <c r="AD34" i="11"/>
  <c r="AB34" i="11"/>
  <c r="X34" i="11"/>
  <c r="AA34" i="11"/>
  <c r="W34" i="11"/>
  <c r="Z34" i="11"/>
  <c r="AC34" i="10"/>
  <c r="W34" i="10"/>
  <c r="X34" i="10"/>
  <c r="AB34" i="10"/>
  <c r="AA34" i="10"/>
  <c r="AD34" i="10"/>
  <c r="Y34" i="10"/>
  <c r="Z34" i="10"/>
  <c r="W34" i="9"/>
  <c r="X34" i="9"/>
  <c r="Y34" i="9"/>
  <c r="Z34" i="9"/>
  <c r="AA34" i="9"/>
  <c r="AB34" i="9"/>
  <c r="AC34" i="9"/>
  <c r="AD34" i="9"/>
  <c r="AD34" i="8"/>
  <c r="AC34" i="8"/>
  <c r="Y34" i="8"/>
  <c r="AA34" i="8"/>
  <c r="AB34" i="8"/>
  <c r="W34" i="8"/>
  <c r="X34" i="8"/>
  <c r="Z34" i="8"/>
  <c r="H52" i="8" l="1"/>
  <c r="G485" i="12"/>
  <c r="H484" i="12"/>
  <c r="H53" i="8" l="1"/>
  <c r="G486" i="12"/>
  <c r="H485" i="12"/>
  <c r="H54" i="8" l="1"/>
  <c r="G487" i="12"/>
  <c r="H486" i="12"/>
  <c r="H55" i="8" l="1"/>
  <c r="G488" i="12"/>
  <c r="H487" i="12"/>
  <c r="H56" i="8" l="1"/>
  <c r="G489" i="12"/>
  <c r="H488" i="12"/>
  <c r="H57" i="8" l="1"/>
  <c r="H489" i="12"/>
  <c r="G490" i="12"/>
  <c r="H58" i="8" l="1"/>
  <c r="G491" i="12"/>
  <c r="H490" i="12"/>
  <c r="H59" i="8" l="1"/>
  <c r="G492" i="12"/>
  <c r="H491" i="12"/>
  <c r="H60" i="8" l="1"/>
  <c r="H492" i="12"/>
  <c r="G493" i="12"/>
  <c r="H61" i="8" l="1"/>
  <c r="H62" i="8" s="1"/>
  <c r="G494" i="12"/>
  <c r="H493" i="12"/>
  <c r="G495" i="12" l="1"/>
  <c r="H494" i="12"/>
  <c r="H63" i="8" l="1"/>
  <c r="H495" i="12"/>
  <c r="G496" i="12"/>
  <c r="H64" i="8" l="1"/>
  <c r="G497" i="12"/>
  <c r="H496" i="12"/>
  <c r="H65" i="8" l="1"/>
  <c r="G498" i="12"/>
  <c r="H497" i="12"/>
  <c r="H66" i="8" l="1"/>
  <c r="G499" i="12"/>
  <c r="H498" i="12"/>
  <c r="H67" i="8" l="1"/>
  <c r="G500" i="12"/>
  <c r="H499" i="12"/>
  <c r="H68" i="8" l="1"/>
  <c r="G501" i="12"/>
  <c r="H500" i="12"/>
  <c r="H69" i="8" l="1"/>
  <c r="H501" i="12"/>
  <c r="G502" i="12"/>
  <c r="H70" i="8" l="1"/>
  <c r="G503" i="12"/>
  <c r="H502" i="12"/>
  <c r="H71" i="8" l="1"/>
  <c r="G504" i="12"/>
  <c r="H503" i="12"/>
  <c r="H72" i="8" l="1"/>
  <c r="H504" i="12"/>
  <c r="G505" i="12"/>
  <c r="H73" i="8" l="1"/>
  <c r="G506" i="12"/>
  <c r="H505" i="12"/>
  <c r="H74" i="8" l="1"/>
  <c r="G507" i="12"/>
  <c r="H506" i="12"/>
  <c r="H75" i="8" l="1"/>
  <c r="H507" i="12"/>
  <c r="G508" i="12"/>
  <c r="H76" i="8" l="1"/>
  <c r="G509" i="12"/>
  <c r="H508" i="12"/>
  <c r="H77" i="8" l="1"/>
  <c r="G510" i="12"/>
  <c r="H509" i="12"/>
  <c r="H78" i="8" l="1"/>
  <c r="G511" i="12"/>
  <c r="H510" i="12"/>
  <c r="H79" i="8" l="1"/>
  <c r="G512" i="12"/>
  <c r="H511" i="12"/>
  <c r="H80" i="8" l="1"/>
  <c r="G513" i="12"/>
  <c r="H513" i="12" s="1"/>
  <c r="H512" i="12"/>
  <c r="AC5" i="11"/>
  <c r="R25" i="11"/>
  <c r="H81" i="8" l="1"/>
  <c r="H82" i="8" l="1"/>
  <c r="H83" i="8" l="1"/>
  <c r="H84" i="8" l="1"/>
  <c r="H85" i="8" l="1"/>
  <c r="H86" i="8" l="1"/>
  <c r="H87" i="8" l="1"/>
  <c r="H88" i="8" l="1"/>
  <c r="H89" i="8" l="1"/>
  <c r="H90" i="8" l="1"/>
  <c r="H91" i="8" l="1"/>
  <c r="H92" i="8" l="1"/>
  <c r="H93" i="8" l="1"/>
  <c r="H94" i="8" l="1"/>
  <c r="H95" i="8" l="1"/>
  <c r="H96" i="8" l="1"/>
  <c r="H97" i="8" s="1"/>
  <c r="H98" i="8" l="1"/>
  <c r="H99" i="8" l="1"/>
  <c r="H100" i="8" l="1"/>
  <c r="H101" i="8" l="1"/>
  <c r="H102" i="8" l="1"/>
  <c r="H103" i="8" l="1"/>
  <c r="H104" i="8" l="1"/>
  <c r="H105" i="8" l="1"/>
  <c r="H106" i="8" l="1"/>
  <c r="H107" i="8" l="1"/>
  <c r="H108" i="8" l="1"/>
  <c r="H109" i="8" l="1"/>
  <c r="H110" i="8" l="1"/>
  <c r="H111" i="8" l="1"/>
  <c r="H112" i="8" l="1"/>
  <c r="H113" i="8" l="1"/>
  <c r="H114" i="8" l="1"/>
  <c r="H115" i="8" l="1"/>
  <c r="H116" i="8" l="1"/>
  <c r="H117" i="8" l="1"/>
  <c r="H118" i="8" l="1"/>
  <c r="H119" i="8" l="1"/>
  <c r="H120" i="8" l="1"/>
  <c r="H121" i="8" l="1"/>
  <c r="H122" i="8" l="1"/>
  <c r="H123" i="8" l="1"/>
  <c r="H124" i="8" l="1"/>
  <c r="H125" i="8" l="1"/>
  <c r="H126" i="8" l="1"/>
  <c r="H127" i="8" l="1"/>
  <c r="H128" i="8" l="1"/>
  <c r="H129" i="8" l="1"/>
  <c r="H130" i="8" l="1"/>
  <c r="H131" i="8" l="1"/>
  <c r="H132" i="8" s="1"/>
  <c r="H133" i="8" l="1"/>
  <c r="H134" i="8" l="1"/>
  <c r="H135" i="8" l="1"/>
  <c r="H136" i="8" l="1"/>
  <c r="H137" i="8" l="1"/>
  <c r="H138" i="8" l="1"/>
  <c r="H139" i="8" l="1"/>
  <c r="H140" i="8" l="1"/>
  <c r="H141" i="8" l="1"/>
  <c r="H142" i="8" l="1"/>
  <c r="H143" i="8" l="1"/>
  <c r="H144" i="8" l="1"/>
  <c r="H145" i="8" l="1"/>
  <c r="H146" i="8" l="1"/>
  <c r="H147" i="8" l="1"/>
  <c r="H148" i="8" l="1"/>
  <c r="H149" i="8" l="1"/>
  <c r="H150" i="8" l="1"/>
  <c r="H151" i="8" l="1"/>
  <c r="H152" i="8" l="1"/>
  <c r="H153" i="8" l="1"/>
  <c r="H154" i="8" l="1"/>
  <c r="H155" i="8" l="1"/>
  <c r="H156" i="8" l="1"/>
  <c r="H157" i="8" l="1"/>
  <c r="H158" i="8" l="1"/>
  <c r="H159" i="8" l="1"/>
  <c r="H160" i="8" l="1"/>
  <c r="H161" i="8" l="1"/>
  <c r="H162" i="8" l="1"/>
  <c r="H163" i="8" l="1"/>
  <c r="H164" i="8" l="1"/>
  <c r="H165" i="8" l="1"/>
  <c r="H166" i="8" l="1"/>
  <c r="H167" i="8" s="1"/>
  <c r="H168" i="8" l="1"/>
  <c r="H169" i="8" l="1"/>
  <c r="H170" i="8" l="1"/>
  <c r="H171" i="8" l="1"/>
  <c r="H172" i="8" l="1"/>
  <c r="H173" i="8" l="1"/>
  <c r="H174" i="8" l="1"/>
  <c r="H175" i="8" l="1"/>
  <c r="H176" i="8" l="1"/>
  <c r="H177" i="8" l="1"/>
  <c r="H178" i="8" l="1"/>
  <c r="H179" i="8" l="1"/>
  <c r="H180" i="8" l="1"/>
  <c r="H181" i="8" l="1"/>
  <c r="H182" i="8" l="1"/>
  <c r="H183" i="8" l="1"/>
  <c r="H184" i="8" l="1"/>
  <c r="H185" i="8" l="1"/>
  <c r="H186" i="8" l="1"/>
  <c r="H187" i="8" l="1"/>
  <c r="H188" i="8" l="1"/>
  <c r="H189" i="8" l="1"/>
  <c r="H190" i="8" l="1"/>
  <c r="H191" i="8" l="1"/>
  <c r="H192" i="8" l="1"/>
  <c r="H193" i="8" l="1"/>
  <c r="H194" i="8" l="1"/>
  <c r="H195" i="8" l="1"/>
  <c r="H196" i="8" l="1"/>
  <c r="H197" i="8" l="1"/>
  <c r="H198" i="8" l="1"/>
  <c r="H199" i="8" l="1"/>
  <c r="H200" i="8" l="1"/>
  <c r="H201" i="8" l="1"/>
  <c r="H202" i="8" s="1"/>
  <c r="H203" i="8" l="1"/>
  <c r="H204" i="8" l="1"/>
  <c r="H205" i="8" l="1"/>
  <c r="H206" i="8" l="1"/>
  <c r="H207" i="8" l="1"/>
  <c r="H208" i="8" l="1"/>
  <c r="H209" i="8" l="1"/>
  <c r="H210" i="8" l="1"/>
  <c r="H211" i="8" l="1"/>
  <c r="H212" i="8" l="1"/>
  <c r="H213" i="8" l="1"/>
  <c r="H214" i="8" l="1"/>
  <c r="H215" i="8" l="1"/>
  <c r="H216" i="8" l="1"/>
  <c r="H217" i="8" l="1"/>
  <c r="H218" i="8" l="1"/>
  <c r="H219" i="8" l="1"/>
  <c r="H220" i="8" l="1"/>
  <c r="H221" i="8" l="1"/>
  <c r="H222" i="8" l="1"/>
  <c r="H223" i="8" l="1"/>
  <c r="H224" i="8" l="1"/>
  <c r="H225" i="8" l="1"/>
  <c r="H226" i="8" l="1"/>
  <c r="H227" i="8" l="1"/>
  <c r="H228" i="8" l="1"/>
  <c r="H229" i="8" l="1"/>
  <c r="H230" i="8" l="1"/>
  <c r="H231" i="8" l="1"/>
  <c r="H232" i="8" l="1"/>
  <c r="H233" i="8" l="1"/>
  <c r="H234" i="8" l="1"/>
  <c r="H235" i="8" l="1"/>
  <c r="H236" i="8" l="1"/>
  <c r="H237" i="8" s="1"/>
  <c r="H238" i="8" l="1"/>
  <c r="H239" i="8" l="1"/>
  <c r="H240" i="8" l="1"/>
  <c r="H241" i="8" l="1"/>
  <c r="H242" i="8" l="1"/>
  <c r="H243" i="8" l="1"/>
  <c r="H244" i="8" l="1"/>
  <c r="H245" i="8" l="1"/>
  <c r="H246" i="8" l="1"/>
  <c r="H247" i="8" l="1"/>
  <c r="H248" i="8" l="1"/>
  <c r="H249" i="8" l="1"/>
  <c r="H250" i="8" l="1"/>
  <c r="H251" i="8" l="1"/>
  <c r="H252" i="8" l="1"/>
  <c r="H253" i="8" l="1"/>
  <c r="H254" i="8" l="1"/>
  <c r="H255" i="8" l="1"/>
  <c r="H256" i="8" l="1"/>
  <c r="H257" i="8" l="1"/>
  <c r="H258" i="8" l="1"/>
  <c r="H259" i="8" l="1"/>
  <c r="H260" i="8" l="1"/>
  <c r="H261" i="8" l="1"/>
  <c r="H262" i="8" l="1"/>
  <c r="H263" i="8" l="1"/>
  <c r="H264" i="8" l="1"/>
  <c r="H265" i="8" l="1"/>
  <c r="H266" i="8" l="1"/>
  <c r="H267" i="8" l="1"/>
  <c r="H268" i="8" l="1"/>
  <c r="H269" i="8" l="1"/>
  <c r="H270" i="8" l="1"/>
  <c r="H271" i="8" l="1"/>
  <c r="H272" i="8" s="1"/>
  <c r="H273" i="8" l="1"/>
  <c r="H274" i="8" l="1"/>
  <c r="H275" i="8" l="1"/>
  <c r="H276" i="8" l="1"/>
  <c r="H277" i="8" l="1"/>
  <c r="H278" i="8" l="1"/>
  <c r="H279" i="8" l="1"/>
  <c r="H280" i="8" l="1"/>
  <c r="H281" i="8" l="1"/>
  <c r="H282" i="8" l="1"/>
  <c r="H283" i="8" l="1"/>
  <c r="H284" i="8" l="1"/>
  <c r="H285" i="8" l="1"/>
  <c r="H286" i="8" l="1"/>
  <c r="H287" i="8" l="1"/>
  <c r="H288" i="8" l="1"/>
  <c r="H289" i="8" l="1"/>
  <c r="H290" i="8" l="1"/>
  <c r="H291" i="8" l="1"/>
  <c r="H292" i="8" l="1"/>
  <c r="H293" i="8" l="1"/>
  <c r="H294" i="8" l="1"/>
  <c r="H295" i="8" l="1"/>
  <c r="H296" i="8" l="1"/>
  <c r="H297" i="8" l="1"/>
  <c r="H298" i="8" l="1"/>
  <c r="H299" i="8" l="1"/>
  <c r="H300" i="8" l="1"/>
  <c r="H301" i="8" l="1"/>
  <c r="H302" i="8" l="1"/>
  <c r="H303" i="8" l="1"/>
  <c r="H304" i="8" l="1"/>
  <c r="H305" i="8" l="1"/>
  <c r="H306" i="8" l="1"/>
  <c r="H307" i="8" s="1"/>
  <c r="H308" i="8" l="1"/>
  <c r="H309" i="8" l="1"/>
  <c r="H310" i="8" l="1"/>
  <c r="H311" i="8" l="1"/>
  <c r="H312" i="8" l="1"/>
  <c r="H313" i="8" l="1"/>
  <c r="H314" i="8" l="1"/>
  <c r="H315" i="8" l="1"/>
  <c r="H316" i="8" l="1"/>
  <c r="H317" i="8" l="1"/>
  <c r="H318" i="8" l="1"/>
  <c r="H319" i="8" l="1"/>
  <c r="H320" i="8" l="1"/>
  <c r="H321" i="8" l="1"/>
  <c r="H322" i="8" l="1"/>
  <c r="H323" i="8" l="1"/>
  <c r="H324" i="8" l="1"/>
  <c r="H325" i="8" l="1"/>
  <c r="H326" i="8" l="1"/>
  <c r="H327" i="8" l="1"/>
  <c r="H328" i="8" l="1"/>
  <c r="H329" i="8" l="1"/>
  <c r="H330" i="8" l="1"/>
  <c r="H331" i="8" l="1"/>
  <c r="H332" i="8" l="1"/>
  <c r="H333" i="8" l="1"/>
  <c r="H334" i="8" l="1"/>
  <c r="H335" i="8" l="1"/>
  <c r="H336" i="8" s="1"/>
  <c r="H337" i="8" l="1"/>
  <c r="H338" i="8" l="1"/>
  <c r="H339" i="8" l="1"/>
  <c r="H340" i="8" l="1"/>
  <c r="H341" i="8" l="1"/>
  <c r="H342" i="8" s="1"/>
  <c r="H343" i="8" l="1"/>
  <c r="H344" i="8" l="1"/>
  <c r="H345" i="8" l="1"/>
  <c r="H346" i="8" l="1"/>
  <c r="H347" i="8" l="1"/>
  <c r="H348" i="8" l="1"/>
  <c r="H349" i="8" l="1"/>
  <c r="H350" i="8" l="1"/>
  <c r="H351" i="8" l="1"/>
  <c r="H352" i="8" l="1"/>
  <c r="H353" i="8" l="1"/>
  <c r="H354" i="8" l="1"/>
  <c r="H355" i="8" l="1"/>
  <c r="H356" i="8" l="1"/>
  <c r="H357" i="8" l="1"/>
  <c r="H358" i="8" l="1"/>
  <c r="H359" i="8" l="1"/>
  <c r="H360" i="8" l="1"/>
  <c r="H361" i="8" l="1"/>
  <c r="H362" i="8" l="1"/>
  <c r="H363" i="8" l="1"/>
  <c r="H364" i="8" l="1"/>
  <c r="H365" i="8" l="1"/>
  <c r="H366" i="8" l="1"/>
  <c r="H367" i="8" l="1"/>
  <c r="H368" i="8" l="1"/>
  <c r="H369" i="8" l="1"/>
  <c r="H370" i="8" l="1"/>
  <c r="H371" i="8" l="1"/>
  <c r="H372" i="8" l="1"/>
  <c r="H373" i="8" l="1"/>
  <c r="H374" i="8" l="1"/>
  <c r="H375" i="8" l="1"/>
  <c r="H376" i="8" l="1"/>
  <c r="H377" i="8" s="1"/>
  <c r="H378" i="8" l="1"/>
  <c r="H379" i="8" l="1"/>
  <c r="H380" i="8" l="1"/>
  <c r="H381" i="8" l="1"/>
  <c r="H382" i="8" l="1"/>
  <c r="H383" i="8" l="1"/>
  <c r="H384" i="8" l="1"/>
  <c r="H385" i="8" l="1"/>
  <c r="H386" i="8" l="1"/>
  <c r="H387" i="8" l="1"/>
  <c r="H388" i="8" l="1"/>
  <c r="H389" i="8" l="1"/>
  <c r="H390" i="8" l="1"/>
  <c r="H391" i="8" l="1"/>
  <c r="H392" i="8" l="1"/>
  <c r="H393" i="8" l="1"/>
  <c r="H394" i="8" l="1"/>
  <c r="H395" i="8" l="1"/>
  <c r="H396" i="8" l="1"/>
  <c r="H397" i="8" l="1"/>
  <c r="H398" i="8" l="1"/>
  <c r="H399" i="8" l="1"/>
  <c r="H400" i="8" l="1"/>
  <c r="H401" i="8" l="1"/>
  <c r="H402" i="8" l="1"/>
  <c r="H403" i="8" l="1"/>
  <c r="H404" i="8" l="1"/>
  <c r="H405" i="8" l="1"/>
  <c r="H406" i="8" l="1"/>
  <c r="H407" i="8" l="1"/>
  <c r="H408" i="8" l="1"/>
  <c r="H409" i="8" l="1"/>
  <c r="H410" i="8" l="1"/>
  <c r="H411" i="8" s="1"/>
  <c r="H412" i="8" l="1"/>
  <c r="H413" i="8" l="1"/>
  <c r="H414" i="8" l="1"/>
  <c r="H415" i="8" l="1"/>
  <c r="H416" i="8" l="1"/>
  <c r="H417" i="8" l="1"/>
  <c r="H418" i="8" l="1"/>
  <c r="H419" i="8" l="1"/>
  <c r="H420" i="8" l="1"/>
  <c r="H421" i="8" l="1"/>
  <c r="H422" i="8" l="1"/>
  <c r="H423" i="8" l="1"/>
  <c r="H424" i="8" l="1"/>
  <c r="H425" i="8" l="1"/>
  <c r="H426" i="8" l="1"/>
  <c r="H427" i="8" l="1"/>
  <c r="H428" i="8" l="1"/>
  <c r="H429" i="8" l="1"/>
  <c r="H430" i="8" l="1"/>
  <c r="H431" i="8" l="1"/>
  <c r="H432" i="8" l="1"/>
  <c r="H433" i="8" l="1"/>
  <c r="H434" i="8" l="1"/>
  <c r="H435" i="8" l="1"/>
  <c r="H436" i="8" l="1"/>
  <c r="H437" i="8" l="1"/>
  <c r="H438" i="8" l="1"/>
  <c r="H439" i="8" l="1"/>
  <c r="H440" i="8" l="1"/>
  <c r="H441" i="8" l="1"/>
  <c r="H442" i="8" s="1"/>
  <c r="H443" i="8" s="1"/>
  <c r="H444" i="8" s="1"/>
  <c r="H445" i="8" s="1"/>
  <c r="H446" i="8" s="1"/>
  <c r="H447" i="8" s="1"/>
  <c r="H448" i="8" s="1"/>
  <c r="H449" i="8" s="1"/>
  <c r="H450" i="8" s="1"/>
  <c r="H451" i="8" s="1"/>
  <c r="H452" i="8" s="1"/>
  <c r="H453" i="8" s="1"/>
  <c r="H454" i="8" s="1"/>
  <c r="Y16" i="8" l="1"/>
  <c r="H455" i="8" l="1"/>
  <c r="H456" i="8" l="1"/>
  <c r="H457" i="8" l="1"/>
  <c r="H458" i="8" l="1"/>
  <c r="H459" i="8" l="1"/>
  <c r="H460" i="8" l="1"/>
  <c r="H461" i="8" l="1"/>
  <c r="H462" i="8" l="1"/>
  <c r="H463" i="8" l="1"/>
  <c r="H464" i="8" l="1"/>
  <c r="H465" i="8" l="1"/>
  <c r="H466" i="8" l="1"/>
  <c r="H467" i="8" l="1"/>
  <c r="H468" i="8" l="1"/>
  <c r="H469" i="8" l="1"/>
  <c r="H470" i="8" l="1"/>
  <c r="H471" i="8" l="1"/>
  <c r="H472" i="8" l="1"/>
  <c r="H473" i="8" l="1"/>
  <c r="H474" i="8" l="1"/>
  <c r="H475" i="8" l="1"/>
  <c r="H476" i="8" l="1"/>
  <c r="H477" i="8" l="1"/>
  <c r="H478" i="8" l="1"/>
  <c r="H479" i="8" l="1"/>
  <c r="H480" i="8" l="1"/>
  <c r="H481" i="8" l="1"/>
  <c r="H482" i="8" l="1"/>
  <c r="H483" i="8" l="1"/>
  <c r="H484" i="8" l="1"/>
  <c r="H485" i="8" l="1"/>
  <c r="H486" i="8" l="1"/>
  <c r="H487" i="8" l="1"/>
  <c r="H488" i="8" l="1"/>
  <c r="H489" i="8" l="1"/>
  <c r="H490" i="8" l="1"/>
  <c r="H491" i="8" l="1"/>
  <c r="H492" i="8" l="1"/>
  <c r="H493" i="8" l="1"/>
  <c r="H494" i="8" l="1"/>
  <c r="H495" i="8" l="1"/>
  <c r="H496" i="8" l="1"/>
  <c r="H497" i="8" l="1"/>
  <c r="H498" i="8" l="1"/>
  <c r="H499" i="8" l="1"/>
  <c r="H500" i="8" l="1"/>
  <c r="H501" i="8" l="1"/>
  <c r="H502" i="8" l="1"/>
  <c r="H503" i="8" l="1"/>
  <c r="H504" i="8" l="1"/>
  <c r="H505" i="8" l="1"/>
  <c r="H506" i="8" l="1"/>
  <c r="H507" i="8" l="1"/>
  <c r="H508" i="8" l="1"/>
  <c r="H509" i="8" l="1"/>
  <c r="H510" i="8" l="1"/>
  <c r="H511" i="8" l="1"/>
  <c r="H512" i="8" l="1"/>
  <c r="H513" i="8" l="1"/>
  <c r="H514" i="8" l="1"/>
  <c r="H515" i="8" l="1"/>
  <c r="H516" i="8" l="1"/>
  <c r="H517" i="8" l="1"/>
  <c r="H518" i="8" l="1"/>
  <c r="H519" i="8" l="1"/>
  <c r="H520" i="8" l="1"/>
  <c r="H521" i="8" l="1"/>
  <c r="H522" i="8" l="1"/>
  <c r="H523" i="8" l="1"/>
  <c r="H524" i="8" l="1"/>
  <c r="H525" i="8" l="1"/>
  <c r="H526" i="8" l="1"/>
  <c r="H527" i="8" l="1"/>
  <c r="H528" i="8" l="1"/>
  <c r="H529" i="8" l="1"/>
  <c r="H530" i="8" l="1"/>
  <c r="H531" i="8" l="1"/>
  <c r="H532" i="8" l="1"/>
  <c r="H533" i="8" l="1"/>
  <c r="H534" i="8" l="1"/>
  <c r="H535" i="8" l="1"/>
  <c r="H536" i="8" l="1"/>
  <c r="H537" i="8" l="1"/>
  <c r="H538" i="8" l="1"/>
  <c r="H539" i="8" l="1"/>
  <c r="H540" i="8" l="1"/>
  <c r="H541" i="8" l="1"/>
  <c r="H542" i="8" l="1"/>
  <c r="H543" i="8" l="1"/>
  <c r="H544" i="8" l="1"/>
  <c r="H545" i="8" l="1"/>
  <c r="H546" i="8" l="1"/>
  <c r="H547" i="8" l="1"/>
  <c r="H548" i="8" l="1"/>
  <c r="H549" i="8" l="1"/>
  <c r="H550" i="8" l="1"/>
  <c r="H551" i="8" l="1"/>
  <c r="H552" i="8" l="1"/>
  <c r="H553" i="8" l="1"/>
  <c r="H554" i="8" l="1"/>
  <c r="H555" i="8" l="1"/>
  <c r="H556" i="8" l="1"/>
  <c r="H557" i="8" l="1"/>
  <c r="H558" i="8" l="1"/>
  <c r="H559" i="8" l="1"/>
  <c r="H560" i="8" l="1"/>
  <c r="H561" i="8" l="1"/>
  <c r="H562" i="8" l="1"/>
  <c r="H563" i="8" l="1"/>
  <c r="H564" i="8" l="1"/>
  <c r="H565" i="8" l="1"/>
  <c r="H566" i="8" l="1"/>
  <c r="H567" i="8" l="1"/>
  <c r="H568" i="8" l="1"/>
  <c r="H569" i="8" l="1"/>
  <c r="H570" i="8" l="1"/>
  <c r="H571" i="8" l="1"/>
  <c r="H572" i="8" l="1"/>
  <c r="H573" i="8" l="1"/>
  <c r="H574" i="8" l="1"/>
  <c r="H575" i="8" l="1"/>
  <c r="H576" i="8" l="1"/>
  <c r="H577" i="8" l="1"/>
  <c r="H578" i="8" l="1"/>
  <c r="H579" i="8" l="1"/>
  <c r="H580" i="8" l="1"/>
  <c r="H581" i="8" l="1"/>
  <c r="H582" i="8" l="1"/>
  <c r="H583" i="8" l="1"/>
  <c r="H584" i="8" l="1"/>
  <c r="H585" i="8" l="1"/>
  <c r="H586" i="8" l="1"/>
  <c r="H587" i="8" l="1"/>
  <c r="H588" i="8" l="1"/>
  <c r="H589" i="8" l="1"/>
  <c r="H590" i="8" l="1"/>
  <c r="H591" i="8" l="1"/>
  <c r="H592" i="8" l="1"/>
  <c r="H593" i="8" l="1"/>
  <c r="H594" i="8" l="1"/>
  <c r="H595" i="8" l="1"/>
  <c r="H596" i="8" l="1"/>
  <c r="H597" i="8" l="1"/>
  <c r="H598" i="8" l="1"/>
  <c r="H599" i="8" l="1"/>
  <c r="H600" i="8" l="1"/>
  <c r="H601" i="8" l="1"/>
  <c r="H602" i="8" l="1"/>
  <c r="H603" i="8" l="1"/>
  <c r="H604" i="8" l="1"/>
  <c r="H605" i="8" l="1"/>
  <c r="H606" i="8" l="1"/>
  <c r="H607" i="8" l="1"/>
  <c r="H608" i="8" l="1"/>
  <c r="H609" i="8" l="1"/>
  <c r="H610" i="8" l="1"/>
  <c r="H611" i="8" l="1"/>
  <c r="H612" i="8" l="1"/>
  <c r="H613" i="8" l="1"/>
  <c r="H614" i="8" l="1"/>
  <c r="H615" i="8" l="1"/>
  <c r="H616" i="8" l="1"/>
  <c r="H617" i="8" l="1"/>
  <c r="H618" i="8" l="1"/>
  <c r="H619" i="8" l="1"/>
  <c r="H620" i="8" l="1"/>
  <c r="H621" i="8" l="1"/>
  <c r="H622" i="8" l="1"/>
  <c r="H623" i="8" l="1"/>
  <c r="H624" i="8" l="1"/>
  <c r="H625" i="8" l="1"/>
  <c r="H626" i="8" l="1"/>
  <c r="H627" i="8" l="1"/>
  <c r="H628" i="8" l="1"/>
  <c r="H629" i="8" l="1"/>
  <c r="H630" i="8" l="1"/>
  <c r="H631" i="8" l="1"/>
  <c r="H632" i="8" l="1"/>
  <c r="H633" i="8" l="1"/>
  <c r="H634" i="8" l="1"/>
  <c r="H635" i="8" l="1"/>
  <c r="H636" i="8" l="1"/>
  <c r="H637" i="8" l="1"/>
  <c r="H638" i="8" l="1"/>
  <c r="H639" i="8" l="1"/>
  <c r="H640" i="8" l="1"/>
  <c r="H641" i="8" l="1"/>
  <c r="H642" i="8" l="1"/>
  <c r="H643" i="8" l="1"/>
  <c r="H644" i="8" l="1"/>
  <c r="H645" i="8" l="1"/>
  <c r="H646" i="8" l="1"/>
  <c r="H647" i="8" l="1"/>
  <c r="H648" i="8" l="1"/>
  <c r="H649" i="8" l="1"/>
  <c r="H650" i="8" l="1"/>
  <c r="H651" i="8" l="1"/>
  <c r="H652" i="8" l="1"/>
  <c r="H653" i="8" l="1"/>
  <c r="H654" i="8" l="1"/>
  <c r="H655" i="8" l="1"/>
  <c r="H656" i="8" l="1"/>
  <c r="H657" i="8" l="1"/>
  <c r="H658" i="8" l="1"/>
  <c r="H659" i="8" l="1"/>
  <c r="H660" i="8" l="1"/>
  <c r="H661" i="8" l="1"/>
  <c r="H662" i="8" l="1"/>
  <c r="H663" i="8" l="1"/>
  <c r="H664" i="8" l="1"/>
  <c r="H665" i="8" l="1"/>
  <c r="H667" i="8" l="1"/>
  <c r="Y5" i="8" s="1"/>
  <c r="H666" i="8"/>
  <c r="Y4" i="8" l="1"/>
  <c r="Y6" i="8"/>
  <c r="Y7" i="8"/>
  <c r="Y8" i="8"/>
  <c r="Y9" i="8"/>
  <c r="Y10" i="8"/>
  <c r="Y11" i="8"/>
  <c r="Y12" i="8"/>
  <c r="Y13" i="8"/>
  <c r="Y14" i="8"/>
  <c r="Y15" i="8"/>
</calcChain>
</file>

<file path=xl/sharedStrings.xml><?xml version="1.0" encoding="utf-8"?>
<sst xmlns="http://schemas.openxmlformats.org/spreadsheetml/2006/main" count="10572" uniqueCount="58">
  <si>
    <t>Range no Jam</t>
  </si>
  <si>
    <t>Range</t>
  </si>
  <si>
    <t>Time</t>
  </si>
  <si>
    <t>Type</t>
  </si>
  <si>
    <t>RSSI</t>
  </si>
  <si>
    <t>SNR</t>
  </si>
  <si>
    <t>AVG % (X)</t>
  </si>
  <si>
    <t>Range(nm)</t>
  </si>
  <si>
    <t>Range w Jam</t>
  </si>
  <si>
    <t>ACK</t>
  </si>
  <si>
    <t>-121.0,</t>
  </si>
  <si>
    <t>-122.0,</t>
  </si>
  <si>
    <t>-123.0,</t>
  </si>
  <si>
    <t>No</t>
  </si>
  <si>
    <t>-118.0,</t>
  </si>
  <si>
    <t>-120.0,</t>
  </si>
  <si>
    <t>-119.0,</t>
  </si>
  <si>
    <t>-117.0,</t>
  </si>
  <si>
    <t>SUT</t>
  </si>
  <si>
    <t>-124.0,</t>
  </si>
  <si>
    <t>Column1</t>
  </si>
  <si>
    <t>Avg</t>
  </si>
  <si>
    <t>Jam</t>
  </si>
  <si>
    <t>No Jam</t>
  </si>
  <si>
    <t>Column2</t>
  </si>
  <si>
    <t>avg good %</t>
  </si>
  <si>
    <t>avg error</t>
  </si>
  <si>
    <t>SUT Rx Error</t>
  </si>
  <si>
    <t>-125.0,</t>
  </si>
  <si>
    <t>-126.0,</t>
  </si>
  <si>
    <t>-127.0,</t>
  </si>
  <si>
    <t>-127.5,</t>
  </si>
  <si>
    <t>Corrected time</t>
  </si>
  <si>
    <t>Corrected RSSI</t>
  </si>
  <si>
    <t>-8 second correction</t>
  </si>
  <si>
    <t>min value (corrected)</t>
  </si>
  <si>
    <t>-4</t>
  </si>
  <si>
    <t>-113.0,</t>
  </si>
  <si>
    <t>-110.0,</t>
  </si>
  <si>
    <t>-114.0,</t>
  </si>
  <si>
    <t>-112.0,</t>
  </si>
  <si>
    <t>-111.0,</t>
  </si>
  <si>
    <t>-108.0,</t>
  </si>
  <si>
    <t>-115.0,</t>
  </si>
  <si>
    <t>-109.0,</t>
  </si>
  <si>
    <t>Concerns</t>
  </si>
  <si>
    <t>RFN handling jam-1 and SNR seen at 1-2</t>
  </si>
  <si>
    <t>RFN resolution of attenuation steps at 2nm increments</t>
  </si>
  <si>
    <t>hardcoded scripts only 60nm movement - too short for LoRa?</t>
  </si>
  <si>
    <t>max</t>
  </si>
  <si>
    <t>emulated jammer negligable, but legal and easily obtained</t>
  </si>
  <si>
    <t>Limitations/deficincies</t>
  </si>
  <si>
    <t>RFN</t>
  </si>
  <si>
    <t>Scripts</t>
  </si>
  <si>
    <t>emulated Scenario</t>
  </si>
  <si>
    <t>Codebase</t>
  </si>
  <si>
    <t>packet vs ber goodut</t>
  </si>
  <si>
    <t>results extrememyl scenario dependant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</si>
</sst>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47" fontId="0" fillId="0" borderId="0" xfId="0" applyNumberFormat="1"/>
    <xf numFmtId="47" fontId="1" fillId="2" borderId="0" xfId="1" applyNumberFormat="1"/>
    <xf numFmtId="0" fontId="0" fillId="0" borderId="3" xfId="0" applyBorder="1"/>
    <xf numFmtId="10" fontId="0" fillId="0" borderId="2" xfId="0" applyNumberFormat="1" applyBorder="1"/>
    <xf numFmtId="10" fontId="0" fillId="0" borderId="0" xfId="0" applyNumberFormat="1"/>
    <xf numFmtId="10" fontId="0" fillId="0" borderId="4" xfId="0" applyNumberFormat="1" applyBorder="1"/>
    <xf numFmtId="10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quotePrefix="1"/>
    <xf numFmtId="47" fontId="2" fillId="3" borderId="0" xfId="2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NumberFormat="1"/>
    <xf numFmtId="0" fontId="3" fillId="4" borderId="0" xfId="3"/>
    <xf numFmtId="0" fontId="1" fillId="2" borderId="0" xfId="1"/>
    <xf numFmtId="0" fontId="2" fillId="3" borderId="0" xfId="2"/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57"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29" formatCode="mm:ss.0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29" formatCode="mm:ss.0"/>
    </dxf>
    <dxf>
      <numFmt numFmtId="0" formatCode="General"/>
    </dxf>
    <dxf>
      <numFmt numFmtId="0" formatCode="General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10'!$U$4:$U$34</c15:sqref>
                  </c15:fullRef>
                </c:ext>
              </c:extLst>
              <c:f>('SF7 10'!$U$4:$U$12,'SF7 10'!$U$14:$U$33)</c:f>
              <c:numCache>
                <c:formatCode>General</c:formatCode>
                <c:ptCount val="29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420</c:v>
                </c:pt>
                <c:pt idx="10">
                  <c:v>422</c:v>
                </c:pt>
                <c:pt idx="11">
                  <c:v>424</c:v>
                </c:pt>
                <c:pt idx="12">
                  <c:v>426</c:v>
                </c:pt>
                <c:pt idx="13">
                  <c:v>428</c:v>
                </c:pt>
                <c:pt idx="14">
                  <c:v>430</c:v>
                </c:pt>
                <c:pt idx="15">
                  <c:v>432</c:v>
                </c:pt>
                <c:pt idx="16">
                  <c:v>434</c:v>
                </c:pt>
                <c:pt idx="17">
                  <c:v>436</c:v>
                </c:pt>
                <c:pt idx="18">
                  <c:v>438</c:v>
                </c:pt>
                <c:pt idx="19">
                  <c:v>440</c:v>
                </c:pt>
                <c:pt idx="20">
                  <c:v>442</c:v>
                </c:pt>
                <c:pt idx="21">
                  <c:v>444</c:v>
                </c:pt>
                <c:pt idx="22">
                  <c:v>446</c:v>
                </c:pt>
                <c:pt idx="23">
                  <c:v>448</c:v>
                </c:pt>
                <c:pt idx="24">
                  <c:v>450</c:v>
                </c:pt>
                <c:pt idx="25">
                  <c:v>452</c:v>
                </c:pt>
                <c:pt idx="26">
                  <c:v>454</c:v>
                </c:pt>
                <c:pt idx="27">
                  <c:v>456</c:v>
                </c:pt>
                <c:pt idx="28">
                  <c:v>458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10'!$V$4:$V$34</c15:sqref>
                  </c15:fullRef>
                </c:ext>
              </c:extLst>
              <c:f>('SF7 10'!$V$4:$V$12,'SF7 10'!$V$14:$V$33)</c:f>
              <c:numCache>
                <c:formatCode>0.00%</c:formatCode>
                <c:ptCount val="29"/>
                <c:pt idx="0">
                  <c:v>0.95238095238095233</c:v>
                </c:pt>
                <c:pt idx="1">
                  <c:v>0.81818181818181823</c:v>
                </c:pt>
                <c:pt idx="2">
                  <c:v>0.66666666666666663</c:v>
                </c:pt>
                <c:pt idx="3">
                  <c:v>0.86363636363636365</c:v>
                </c:pt>
                <c:pt idx="4">
                  <c:v>0.80952380952380953</c:v>
                </c:pt>
                <c:pt idx="5">
                  <c:v>0.81818181818181823</c:v>
                </c:pt>
                <c:pt idx="6">
                  <c:v>0.76190476190476186</c:v>
                </c:pt>
                <c:pt idx="7">
                  <c:v>0.80952380952380953</c:v>
                </c:pt>
                <c:pt idx="8">
                  <c:v>0.59090909090909094</c:v>
                </c:pt>
                <c:pt idx="9">
                  <c:v>0.77272727272727271</c:v>
                </c:pt>
                <c:pt idx="10">
                  <c:v>0.76190476190476186</c:v>
                </c:pt>
                <c:pt idx="11">
                  <c:v>0.86363636363636365</c:v>
                </c:pt>
                <c:pt idx="12">
                  <c:v>0.7142857142857143</c:v>
                </c:pt>
                <c:pt idx="13">
                  <c:v>0.86363636363636365</c:v>
                </c:pt>
                <c:pt idx="14">
                  <c:v>0.76190476190476186</c:v>
                </c:pt>
                <c:pt idx="15">
                  <c:v>0.61904761904761907</c:v>
                </c:pt>
                <c:pt idx="16">
                  <c:v>0.68181818181818177</c:v>
                </c:pt>
                <c:pt idx="17">
                  <c:v>0.7142857142857143</c:v>
                </c:pt>
                <c:pt idx="18">
                  <c:v>0.59090909090909094</c:v>
                </c:pt>
                <c:pt idx="19">
                  <c:v>0.7142857142857143</c:v>
                </c:pt>
                <c:pt idx="20">
                  <c:v>0.77272727272727271</c:v>
                </c:pt>
                <c:pt idx="21">
                  <c:v>0.76190476190476186</c:v>
                </c:pt>
                <c:pt idx="22">
                  <c:v>0.76190476190476186</c:v>
                </c:pt>
                <c:pt idx="23">
                  <c:v>0.86363636363636365</c:v>
                </c:pt>
                <c:pt idx="24">
                  <c:v>0.5714285714285714</c:v>
                </c:pt>
                <c:pt idx="25">
                  <c:v>0.81818181818181823</c:v>
                </c:pt>
                <c:pt idx="26">
                  <c:v>0.80952380952380953</c:v>
                </c:pt>
                <c:pt idx="27">
                  <c:v>0.77272727272727271</c:v>
                </c:pt>
                <c:pt idx="28">
                  <c:v>0.80952380952380953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AE9-4ED1-B482-045C91C5D94E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10'!$U$4:$U$34</c15:sqref>
                  </c15:fullRef>
                </c:ext>
              </c:extLst>
              <c:f>('SF7 10'!$U$4:$U$12,'SF7 10'!$U$14:$U$33)</c:f>
              <c:numCache>
                <c:formatCode>General</c:formatCode>
                <c:ptCount val="29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420</c:v>
                </c:pt>
                <c:pt idx="10">
                  <c:v>422</c:v>
                </c:pt>
                <c:pt idx="11">
                  <c:v>424</c:v>
                </c:pt>
                <c:pt idx="12">
                  <c:v>426</c:v>
                </c:pt>
                <c:pt idx="13">
                  <c:v>428</c:v>
                </c:pt>
                <c:pt idx="14">
                  <c:v>430</c:v>
                </c:pt>
                <c:pt idx="15">
                  <c:v>432</c:v>
                </c:pt>
                <c:pt idx="16">
                  <c:v>434</c:v>
                </c:pt>
                <c:pt idx="17">
                  <c:v>436</c:v>
                </c:pt>
                <c:pt idx="18">
                  <c:v>438</c:v>
                </c:pt>
                <c:pt idx="19">
                  <c:v>440</c:v>
                </c:pt>
                <c:pt idx="20">
                  <c:v>442</c:v>
                </c:pt>
                <c:pt idx="21">
                  <c:v>444</c:v>
                </c:pt>
                <c:pt idx="22">
                  <c:v>446</c:v>
                </c:pt>
                <c:pt idx="23">
                  <c:v>448</c:v>
                </c:pt>
                <c:pt idx="24">
                  <c:v>450</c:v>
                </c:pt>
                <c:pt idx="25">
                  <c:v>452</c:v>
                </c:pt>
                <c:pt idx="26">
                  <c:v>454</c:v>
                </c:pt>
                <c:pt idx="27">
                  <c:v>456</c:v>
                </c:pt>
                <c:pt idx="28">
                  <c:v>458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10'!$Z$4:$Z$34</c15:sqref>
                  </c15:fullRef>
                </c:ext>
              </c:extLst>
              <c:f>('SF7 10'!$Z$4:$Z$12,'SF7 10'!$Z$14:$Z$33)</c:f>
              <c:numCache>
                <c:formatCode>0.00%</c:formatCode>
                <c:ptCount val="29"/>
                <c:pt idx="0">
                  <c:v>0.95238095238095233</c:v>
                </c:pt>
                <c:pt idx="1">
                  <c:v>0.77272727272727271</c:v>
                </c:pt>
                <c:pt idx="2">
                  <c:v>0.95238095238095233</c:v>
                </c:pt>
                <c:pt idx="3">
                  <c:v>0.95454545454545459</c:v>
                </c:pt>
                <c:pt idx="4">
                  <c:v>0.8571428571428571</c:v>
                </c:pt>
                <c:pt idx="5">
                  <c:v>0.90476190476190477</c:v>
                </c:pt>
                <c:pt idx="6">
                  <c:v>0.86363636363636365</c:v>
                </c:pt>
                <c:pt idx="7">
                  <c:v>0.76190476190476186</c:v>
                </c:pt>
                <c:pt idx="8">
                  <c:v>0.81818181818181823</c:v>
                </c:pt>
                <c:pt idx="9">
                  <c:v>0.86363636363636365</c:v>
                </c:pt>
                <c:pt idx="10">
                  <c:v>0.95238095238095233</c:v>
                </c:pt>
                <c:pt idx="11">
                  <c:v>0.86363636363636365</c:v>
                </c:pt>
                <c:pt idx="12">
                  <c:v>0.90476190476190477</c:v>
                </c:pt>
                <c:pt idx="13">
                  <c:v>0.76190476190476186</c:v>
                </c:pt>
                <c:pt idx="14">
                  <c:v>0.81818181818181823</c:v>
                </c:pt>
                <c:pt idx="15">
                  <c:v>0.80952380952380953</c:v>
                </c:pt>
                <c:pt idx="16">
                  <c:v>0.86363636363636365</c:v>
                </c:pt>
                <c:pt idx="17">
                  <c:v>0.80952380952380953</c:v>
                </c:pt>
                <c:pt idx="18">
                  <c:v>0.81818181818181823</c:v>
                </c:pt>
                <c:pt idx="19">
                  <c:v>0.90476190476190477</c:v>
                </c:pt>
                <c:pt idx="20">
                  <c:v>0.80952380952380953</c:v>
                </c:pt>
                <c:pt idx="21">
                  <c:v>0.81818181818181823</c:v>
                </c:pt>
                <c:pt idx="22">
                  <c:v>0.8571428571428571</c:v>
                </c:pt>
                <c:pt idx="23">
                  <c:v>0.86363636363636365</c:v>
                </c:pt>
                <c:pt idx="24">
                  <c:v>0.7142857142857143</c:v>
                </c:pt>
                <c:pt idx="25">
                  <c:v>0.81818181818181823</c:v>
                </c:pt>
                <c:pt idx="26">
                  <c:v>0.8571428571428571</c:v>
                </c:pt>
                <c:pt idx="27">
                  <c:v>0.80952380952380953</c:v>
                </c:pt>
                <c:pt idx="28">
                  <c:v>0.86363636363636365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AE9-4ED1-B482-045C91C5D94E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10'!$U$4:$U$34</c15:sqref>
                  </c15:fullRef>
                </c:ext>
              </c:extLst>
              <c:f>('SF7 10'!$U$4:$U$12,'SF7 10'!$U$14:$U$33)</c:f>
              <c:numCache>
                <c:formatCode>General</c:formatCode>
                <c:ptCount val="29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420</c:v>
                </c:pt>
                <c:pt idx="10">
                  <c:v>422</c:v>
                </c:pt>
                <c:pt idx="11">
                  <c:v>424</c:v>
                </c:pt>
                <c:pt idx="12">
                  <c:v>426</c:v>
                </c:pt>
                <c:pt idx="13">
                  <c:v>428</c:v>
                </c:pt>
                <c:pt idx="14">
                  <c:v>430</c:v>
                </c:pt>
                <c:pt idx="15">
                  <c:v>432</c:v>
                </c:pt>
                <c:pt idx="16">
                  <c:v>434</c:v>
                </c:pt>
                <c:pt idx="17">
                  <c:v>436</c:v>
                </c:pt>
                <c:pt idx="18">
                  <c:v>438</c:v>
                </c:pt>
                <c:pt idx="19">
                  <c:v>440</c:v>
                </c:pt>
                <c:pt idx="20">
                  <c:v>442</c:v>
                </c:pt>
                <c:pt idx="21">
                  <c:v>444</c:v>
                </c:pt>
                <c:pt idx="22">
                  <c:v>446</c:v>
                </c:pt>
                <c:pt idx="23">
                  <c:v>448</c:v>
                </c:pt>
                <c:pt idx="24">
                  <c:v>450</c:v>
                </c:pt>
                <c:pt idx="25">
                  <c:v>452</c:v>
                </c:pt>
                <c:pt idx="26">
                  <c:v>454</c:v>
                </c:pt>
                <c:pt idx="27">
                  <c:v>456</c:v>
                </c:pt>
                <c:pt idx="28">
                  <c:v>458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10'!$W$4:$W$34</c15:sqref>
                  </c15:fullRef>
                </c:ext>
              </c:extLst>
              <c:f>('SF7 10'!$W$4:$W$12,'SF7 10'!$W$14:$W$33)</c:f>
              <c:numCache>
                <c:formatCode>0.00%</c:formatCode>
                <c:ptCount val="29"/>
                <c:pt idx="0">
                  <c:v>4.7619047619047616E-2</c:v>
                </c:pt>
                <c:pt idx="1">
                  <c:v>0.13636363636363635</c:v>
                </c:pt>
                <c:pt idx="2">
                  <c:v>0.2857142857142857</c:v>
                </c:pt>
                <c:pt idx="3">
                  <c:v>9.0909090909090912E-2</c:v>
                </c:pt>
                <c:pt idx="4">
                  <c:v>0.19047619047619047</c:v>
                </c:pt>
                <c:pt idx="5">
                  <c:v>9.0909090909090912E-2</c:v>
                </c:pt>
                <c:pt idx="6">
                  <c:v>0.19047619047619047</c:v>
                </c:pt>
                <c:pt idx="7">
                  <c:v>9.5238095238095233E-2</c:v>
                </c:pt>
                <c:pt idx="8">
                  <c:v>0.36363636363636365</c:v>
                </c:pt>
                <c:pt idx="9">
                  <c:v>0.18181818181818182</c:v>
                </c:pt>
                <c:pt idx="10">
                  <c:v>0.23809523809523808</c:v>
                </c:pt>
                <c:pt idx="11">
                  <c:v>9.0909090909090912E-2</c:v>
                </c:pt>
                <c:pt idx="12">
                  <c:v>0.2857142857142857</c:v>
                </c:pt>
                <c:pt idx="13">
                  <c:v>9.0909090909090912E-2</c:v>
                </c:pt>
                <c:pt idx="14">
                  <c:v>0.19047619047619047</c:v>
                </c:pt>
                <c:pt idx="15">
                  <c:v>0.2857142857142857</c:v>
                </c:pt>
                <c:pt idx="16">
                  <c:v>0.27272727272727271</c:v>
                </c:pt>
                <c:pt idx="17">
                  <c:v>0.23809523809523808</c:v>
                </c:pt>
                <c:pt idx="18">
                  <c:v>0.36363636363636365</c:v>
                </c:pt>
                <c:pt idx="19">
                  <c:v>0.2857142857142857</c:v>
                </c:pt>
                <c:pt idx="20">
                  <c:v>0.18181818181818182</c:v>
                </c:pt>
                <c:pt idx="21">
                  <c:v>0.23809523809523808</c:v>
                </c:pt>
                <c:pt idx="22">
                  <c:v>0.14285714285714285</c:v>
                </c:pt>
                <c:pt idx="23">
                  <c:v>9.0909090909090912E-2</c:v>
                </c:pt>
                <c:pt idx="24">
                  <c:v>0.33333333333333331</c:v>
                </c:pt>
                <c:pt idx="25">
                  <c:v>0.13636363636363635</c:v>
                </c:pt>
                <c:pt idx="26">
                  <c:v>0.19047619047619047</c:v>
                </c:pt>
                <c:pt idx="27">
                  <c:v>0.18181818181818182</c:v>
                </c:pt>
                <c:pt idx="28">
                  <c:v>0.19047619047619047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AE9-4ED1-B482-045C91C5D94E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400</c:v>
              </c:pt>
              <c:pt idx="1">
                <c:v>402</c:v>
              </c:pt>
              <c:pt idx="2">
                <c:v>404</c:v>
              </c:pt>
              <c:pt idx="3">
                <c:v>406</c:v>
              </c:pt>
              <c:pt idx="4">
                <c:v>408</c:v>
              </c:pt>
              <c:pt idx="5">
                <c:v>410</c:v>
              </c:pt>
              <c:pt idx="6">
                <c:v>412</c:v>
              </c:pt>
              <c:pt idx="7">
                <c:v>414</c:v>
              </c:pt>
              <c:pt idx="8">
                <c:v>416</c:v>
              </c:pt>
              <c:pt idx="9">
                <c:v>420</c:v>
              </c:pt>
              <c:pt idx="10">
                <c:v>422</c:v>
              </c:pt>
              <c:pt idx="11">
                <c:v>424</c:v>
              </c:pt>
              <c:pt idx="12">
                <c:v>426</c:v>
              </c:pt>
              <c:pt idx="13">
                <c:v>428</c:v>
              </c:pt>
              <c:pt idx="14">
                <c:v>430</c:v>
              </c:pt>
              <c:pt idx="15">
                <c:v>432</c:v>
              </c:pt>
              <c:pt idx="16">
                <c:v>434</c:v>
              </c:pt>
              <c:pt idx="17">
                <c:v>436</c:v>
              </c:pt>
              <c:pt idx="18">
                <c:v>438</c:v>
              </c:pt>
              <c:pt idx="19">
                <c:v>440</c:v>
              </c:pt>
              <c:pt idx="20">
                <c:v>442</c:v>
              </c:pt>
              <c:pt idx="21">
                <c:v>444</c:v>
              </c:pt>
              <c:pt idx="22">
                <c:v>446</c:v>
              </c:pt>
              <c:pt idx="23">
                <c:v>448</c:v>
              </c:pt>
              <c:pt idx="24">
                <c:v>450</c:v>
              </c:pt>
              <c:pt idx="25">
                <c:v>452</c:v>
              </c:pt>
              <c:pt idx="26">
                <c:v>454</c:v>
              </c:pt>
              <c:pt idx="27">
                <c:v>456</c:v>
              </c:pt>
              <c:pt idx="28">
                <c:v>458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10'!$AA$4:$AA$34</c15:sqref>
                  </c15:fullRef>
                </c:ext>
              </c:extLst>
              <c:f>('SF7 10'!$AA$4:$AA$12,'SF7 10'!$AA$14:$AA$33)</c:f>
              <c:numCache>
                <c:formatCode>0.00%</c:formatCode>
                <c:ptCount val="29"/>
                <c:pt idx="0">
                  <c:v>4.7619047619047616E-2</c:v>
                </c:pt>
                <c:pt idx="1">
                  <c:v>0.18181818181818182</c:v>
                </c:pt>
                <c:pt idx="2">
                  <c:v>4.7619047619047616E-2</c:v>
                </c:pt>
                <c:pt idx="3">
                  <c:v>0</c:v>
                </c:pt>
                <c:pt idx="4">
                  <c:v>9.5238095238095233E-2</c:v>
                </c:pt>
                <c:pt idx="5">
                  <c:v>4.7619047619047616E-2</c:v>
                </c:pt>
                <c:pt idx="6">
                  <c:v>9.0909090909090912E-2</c:v>
                </c:pt>
                <c:pt idx="7">
                  <c:v>0.14285714285714285</c:v>
                </c:pt>
                <c:pt idx="8">
                  <c:v>0.13636363636363635</c:v>
                </c:pt>
                <c:pt idx="9">
                  <c:v>9.0909090909090912E-2</c:v>
                </c:pt>
                <c:pt idx="10">
                  <c:v>4.7619047619047616E-2</c:v>
                </c:pt>
                <c:pt idx="11">
                  <c:v>4.5454545454545456E-2</c:v>
                </c:pt>
                <c:pt idx="12">
                  <c:v>4.7619047619047616E-2</c:v>
                </c:pt>
                <c:pt idx="13">
                  <c:v>0.14285714285714285</c:v>
                </c:pt>
                <c:pt idx="14">
                  <c:v>0.13636363636363635</c:v>
                </c:pt>
                <c:pt idx="15">
                  <c:v>0.14285714285714285</c:v>
                </c:pt>
                <c:pt idx="16">
                  <c:v>9.0909090909090912E-2</c:v>
                </c:pt>
                <c:pt idx="17">
                  <c:v>0.19047619047619047</c:v>
                </c:pt>
                <c:pt idx="18">
                  <c:v>9.0909090909090912E-2</c:v>
                </c:pt>
                <c:pt idx="19">
                  <c:v>4.7619047619047616E-2</c:v>
                </c:pt>
                <c:pt idx="20">
                  <c:v>0.14285714285714285</c:v>
                </c:pt>
                <c:pt idx="21">
                  <c:v>0.13636363636363635</c:v>
                </c:pt>
                <c:pt idx="22">
                  <c:v>4.7619047619047616E-2</c:v>
                </c:pt>
                <c:pt idx="23">
                  <c:v>9.0909090909090912E-2</c:v>
                </c:pt>
                <c:pt idx="24">
                  <c:v>0.2857142857142857</c:v>
                </c:pt>
                <c:pt idx="25">
                  <c:v>0.13636363636363635</c:v>
                </c:pt>
                <c:pt idx="26">
                  <c:v>0.14285714285714285</c:v>
                </c:pt>
                <c:pt idx="27">
                  <c:v>0.14285714285714285</c:v>
                </c:pt>
                <c:pt idx="28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AE9-4ED1-B482-045C91C5D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10'!$U$4:$U$34</c:f>
              <c:numCache>
                <c:formatCode>General</c:formatCode>
                <c:ptCount val="3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</c:numCache>
            </c:numRef>
          </c:cat>
          <c:val>
            <c:numRef>
              <c:f>'SF7 10'!$X$4:$X$34</c:f>
              <c:numCache>
                <c:formatCode>General</c:formatCode>
                <c:ptCount val="31"/>
                <c:pt idx="0">
                  <c:v>-121.83333333333333</c:v>
                </c:pt>
                <c:pt idx="1">
                  <c:v>-122.25</c:v>
                </c:pt>
                <c:pt idx="2">
                  <c:v>-122.30952380952381</c:v>
                </c:pt>
                <c:pt idx="3">
                  <c:v>-122.20454545454545</c:v>
                </c:pt>
                <c:pt idx="4">
                  <c:v>-122.16666666666667</c:v>
                </c:pt>
                <c:pt idx="5">
                  <c:v>-122.72727272727273</c:v>
                </c:pt>
                <c:pt idx="6">
                  <c:v>-123.30952380952381</c:v>
                </c:pt>
                <c:pt idx="7">
                  <c:v>-122.5952380952381</c:v>
                </c:pt>
                <c:pt idx="8">
                  <c:v>-123.31818181818181</c:v>
                </c:pt>
                <c:pt idx="9">
                  <c:v>-123.33333333333333</c:v>
                </c:pt>
                <c:pt idx="10">
                  <c:v>-122.97727272727273</c:v>
                </c:pt>
                <c:pt idx="11">
                  <c:v>-123.28571428571429</c:v>
                </c:pt>
                <c:pt idx="12">
                  <c:v>-123</c:v>
                </c:pt>
                <c:pt idx="13">
                  <c:v>-123.42857142857143</c:v>
                </c:pt>
                <c:pt idx="14">
                  <c:v>-123.20454545454545</c:v>
                </c:pt>
                <c:pt idx="15">
                  <c:v>-122.95238095238095</c:v>
                </c:pt>
                <c:pt idx="16">
                  <c:v>-123.30952380952381</c:v>
                </c:pt>
                <c:pt idx="17">
                  <c:v>-123.31818181818181</c:v>
                </c:pt>
                <c:pt idx="18">
                  <c:v>-123.23809523809524</c:v>
                </c:pt>
                <c:pt idx="19">
                  <c:v>-123.43181818181819</c:v>
                </c:pt>
                <c:pt idx="20">
                  <c:v>-123.35714285714286</c:v>
                </c:pt>
                <c:pt idx="21">
                  <c:v>-123</c:v>
                </c:pt>
                <c:pt idx="22">
                  <c:v>-122.4047619047619</c:v>
                </c:pt>
                <c:pt idx="23">
                  <c:v>-123.23809523809524</c:v>
                </c:pt>
                <c:pt idx="24">
                  <c:v>-123.15909090909091</c:v>
                </c:pt>
                <c:pt idx="25">
                  <c:v>-123.35714285714286</c:v>
                </c:pt>
                <c:pt idx="26">
                  <c:v>-122.88636363636364</c:v>
                </c:pt>
                <c:pt idx="27">
                  <c:v>-123.47619047619048</c:v>
                </c:pt>
                <c:pt idx="28">
                  <c:v>-123.13636363636364</c:v>
                </c:pt>
                <c:pt idx="29">
                  <c:v>-123.26190476190476</c:v>
                </c:pt>
                <c:pt idx="30">
                  <c:v>-123.85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A-4E2B-B581-C2273A289946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'SF7 10'!$U$4:$U$34</c:f>
              <c:numCache>
                <c:formatCode>General</c:formatCode>
                <c:ptCount val="3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</c:numCache>
            </c:numRef>
          </c:cat>
          <c:val>
            <c:numRef>
              <c:f>'SF7 10'!$AB$4:$AB$34</c:f>
              <c:numCache>
                <c:formatCode>General</c:formatCode>
                <c:ptCount val="31"/>
                <c:pt idx="0">
                  <c:v>-121.88095238095238</c:v>
                </c:pt>
                <c:pt idx="1">
                  <c:v>-122.29545454545455</c:v>
                </c:pt>
                <c:pt idx="2">
                  <c:v>-122.11904761904762</c:v>
                </c:pt>
                <c:pt idx="3">
                  <c:v>-122.15909090909091</c:v>
                </c:pt>
                <c:pt idx="4">
                  <c:v>-122.0952380952381</c:v>
                </c:pt>
                <c:pt idx="5">
                  <c:v>-122.23809523809524</c:v>
                </c:pt>
                <c:pt idx="6">
                  <c:v>-123.22727272727273</c:v>
                </c:pt>
                <c:pt idx="7">
                  <c:v>-123.33333333333333</c:v>
                </c:pt>
                <c:pt idx="8">
                  <c:v>-123</c:v>
                </c:pt>
                <c:pt idx="9">
                  <c:v>-122.92857142857143</c:v>
                </c:pt>
                <c:pt idx="10">
                  <c:v>-123.22727272727273</c:v>
                </c:pt>
                <c:pt idx="11">
                  <c:v>-123.11904761904762</c:v>
                </c:pt>
                <c:pt idx="12">
                  <c:v>-122.70454545454545</c:v>
                </c:pt>
                <c:pt idx="13">
                  <c:v>-123.23809523809524</c:v>
                </c:pt>
                <c:pt idx="14">
                  <c:v>-123.33333333333333</c:v>
                </c:pt>
                <c:pt idx="15">
                  <c:v>-122.47727272727273</c:v>
                </c:pt>
                <c:pt idx="16">
                  <c:v>-122.73809523809524</c:v>
                </c:pt>
                <c:pt idx="17">
                  <c:v>-123.20454545454545</c:v>
                </c:pt>
                <c:pt idx="18">
                  <c:v>-123.07142857142857</c:v>
                </c:pt>
                <c:pt idx="19">
                  <c:v>-123</c:v>
                </c:pt>
                <c:pt idx="20">
                  <c:v>-122.76190476190476</c:v>
                </c:pt>
                <c:pt idx="21">
                  <c:v>-123.02380952380952</c:v>
                </c:pt>
                <c:pt idx="22">
                  <c:v>-123.02272727272727</c:v>
                </c:pt>
                <c:pt idx="23">
                  <c:v>-123.14285714285714</c:v>
                </c:pt>
                <c:pt idx="24">
                  <c:v>-123.15909090909091</c:v>
                </c:pt>
                <c:pt idx="25">
                  <c:v>-123.07142857142857</c:v>
                </c:pt>
                <c:pt idx="26">
                  <c:v>-123.13636363636364</c:v>
                </c:pt>
                <c:pt idx="27">
                  <c:v>-123.21428571428571</c:v>
                </c:pt>
                <c:pt idx="28">
                  <c:v>-123.0952380952381</c:v>
                </c:pt>
                <c:pt idx="29">
                  <c:v>-123.11363636363636</c:v>
                </c:pt>
                <c:pt idx="30">
                  <c:v>-123.7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7A-4E2B-B581-C2273A28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-120"/>
          <c:min val="-1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10'!$U$4:$U$34</c:f>
              <c:numCache>
                <c:formatCode>General</c:formatCode>
                <c:ptCount val="3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</c:numCache>
            </c:numRef>
          </c:cat>
          <c:val>
            <c:numRef>
              <c:f>'SF7 10'!$Y$4:$Y$34</c:f>
              <c:numCache>
                <c:formatCode>General</c:formatCode>
                <c:ptCount val="31"/>
                <c:pt idx="0">
                  <c:v>1.4952380952380955</c:v>
                </c:pt>
                <c:pt idx="1">
                  <c:v>1.0318181818181817</c:v>
                </c:pt>
                <c:pt idx="2">
                  <c:v>0.99523809523809537</c:v>
                </c:pt>
                <c:pt idx="3">
                  <c:v>1.1636363636363638</c:v>
                </c:pt>
                <c:pt idx="4">
                  <c:v>1.0380952380952382</c:v>
                </c:pt>
                <c:pt idx="5">
                  <c:v>0.47272727272727272</c:v>
                </c:pt>
                <c:pt idx="6">
                  <c:v>0.28095238095238095</c:v>
                </c:pt>
                <c:pt idx="7">
                  <c:v>0.21428571428571427</c:v>
                </c:pt>
                <c:pt idx="8">
                  <c:v>-7.2727272727272751E-2</c:v>
                </c:pt>
                <c:pt idx="9">
                  <c:v>-8.0952380952380998E-2</c:v>
                </c:pt>
                <c:pt idx="10">
                  <c:v>0.2818181818181818</c:v>
                </c:pt>
                <c:pt idx="11">
                  <c:v>0.33809523809523806</c:v>
                </c:pt>
                <c:pt idx="12">
                  <c:v>0.33181818181818179</c:v>
                </c:pt>
                <c:pt idx="13">
                  <c:v>2.3809523809523829E-2</c:v>
                </c:pt>
                <c:pt idx="14">
                  <c:v>0.43636363636363634</c:v>
                </c:pt>
                <c:pt idx="15">
                  <c:v>0.18095238095238095</c:v>
                </c:pt>
                <c:pt idx="16">
                  <c:v>0.22380952380952376</c:v>
                </c:pt>
                <c:pt idx="17">
                  <c:v>0.19090909090909089</c:v>
                </c:pt>
                <c:pt idx="18">
                  <c:v>0.30952380952380953</c:v>
                </c:pt>
                <c:pt idx="19">
                  <c:v>0.24090909090909091</c:v>
                </c:pt>
                <c:pt idx="20">
                  <c:v>9.5238095238095233E-2</c:v>
                </c:pt>
                <c:pt idx="21">
                  <c:v>0.26818181818181819</c:v>
                </c:pt>
                <c:pt idx="22">
                  <c:v>0.42380952380952375</c:v>
                </c:pt>
                <c:pt idx="23">
                  <c:v>0.18095238095238095</c:v>
                </c:pt>
                <c:pt idx="24">
                  <c:v>0.39090909090909087</c:v>
                </c:pt>
                <c:pt idx="25">
                  <c:v>0.19047619047619044</c:v>
                </c:pt>
                <c:pt idx="26">
                  <c:v>0.29545454545454547</c:v>
                </c:pt>
                <c:pt idx="27">
                  <c:v>0.1095238095238095</c:v>
                </c:pt>
                <c:pt idx="28">
                  <c:v>0.25454545454545457</c:v>
                </c:pt>
                <c:pt idx="29">
                  <c:v>0.23809523809523808</c:v>
                </c:pt>
                <c:pt idx="30">
                  <c:v>-0.93999999999999984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D-4A8C-9082-816FAE925A4D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'SF7 10'!$U$4:$U$34</c:f>
              <c:numCache>
                <c:formatCode>General</c:formatCode>
                <c:ptCount val="3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</c:numCache>
            </c:numRef>
          </c:cat>
          <c:val>
            <c:numRef>
              <c:f>'SF7 10'!$AC$4:$AC$34</c:f>
              <c:numCache>
                <c:formatCode>General</c:formatCode>
                <c:ptCount val="31"/>
                <c:pt idx="0">
                  <c:v>1.3333333333333335</c:v>
                </c:pt>
                <c:pt idx="1">
                  <c:v>0.92272727272727295</c:v>
                </c:pt>
                <c:pt idx="2">
                  <c:v>0.93333333333333335</c:v>
                </c:pt>
                <c:pt idx="3">
                  <c:v>0.81363636363636371</c:v>
                </c:pt>
                <c:pt idx="4">
                  <c:v>0.77619047619047621</c:v>
                </c:pt>
                <c:pt idx="5">
                  <c:v>0.23333333333333331</c:v>
                </c:pt>
                <c:pt idx="6">
                  <c:v>0.13181818181818183</c:v>
                </c:pt>
                <c:pt idx="7">
                  <c:v>9.5238095238095233E-2</c:v>
                </c:pt>
                <c:pt idx="8">
                  <c:v>0.12727272727272723</c:v>
                </c:pt>
                <c:pt idx="9">
                  <c:v>0.29523809523809519</c:v>
                </c:pt>
                <c:pt idx="10">
                  <c:v>0.24090909090909091</c:v>
                </c:pt>
                <c:pt idx="11">
                  <c:v>0.45714285714285713</c:v>
                </c:pt>
                <c:pt idx="12">
                  <c:v>0.34545454545454546</c:v>
                </c:pt>
                <c:pt idx="13">
                  <c:v>0.35714285714285715</c:v>
                </c:pt>
                <c:pt idx="14">
                  <c:v>0.27619047619047621</c:v>
                </c:pt>
                <c:pt idx="15">
                  <c:v>0.35454545454545455</c:v>
                </c:pt>
                <c:pt idx="16">
                  <c:v>0.55714285714285716</c:v>
                </c:pt>
                <c:pt idx="17">
                  <c:v>0.42727272727272719</c:v>
                </c:pt>
                <c:pt idx="18">
                  <c:v>0.38095238095238093</c:v>
                </c:pt>
                <c:pt idx="19">
                  <c:v>0.45454545454545464</c:v>
                </c:pt>
                <c:pt idx="20">
                  <c:v>0.50000000000000011</c:v>
                </c:pt>
                <c:pt idx="21">
                  <c:v>0.57619047619047625</c:v>
                </c:pt>
                <c:pt idx="22">
                  <c:v>0.40454545454545454</c:v>
                </c:pt>
                <c:pt idx="23">
                  <c:v>0.53809523809523818</c:v>
                </c:pt>
                <c:pt idx="24">
                  <c:v>0.49545454545454548</c:v>
                </c:pt>
                <c:pt idx="25">
                  <c:v>0.44285714285714289</c:v>
                </c:pt>
                <c:pt idx="26">
                  <c:v>0.49545454545454554</c:v>
                </c:pt>
                <c:pt idx="27">
                  <c:v>0.52380952380952384</c:v>
                </c:pt>
                <c:pt idx="28">
                  <c:v>0.54761904761904767</c:v>
                </c:pt>
                <c:pt idx="29">
                  <c:v>0.49090909090909096</c:v>
                </c:pt>
                <c:pt idx="30">
                  <c:v>-0.33999999999999997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D-4A8C-9082-816FAE925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20'!$V$4:$V$16</c:f>
              <c:numCache>
                <c:formatCode>General</c:formatCode>
                <c:ptCount val="13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  <c:pt idx="12">
                  <c:v>504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20'!$W$4:$W$34</c15:sqref>
                  </c15:fullRef>
                </c:ext>
              </c:extLst>
              <c:f>'SF7 20'!$W$4:$W$16</c:f>
              <c:numCache>
                <c:formatCode>0.00%</c:formatCode>
                <c:ptCount val="13"/>
                <c:pt idx="0">
                  <c:v>1</c:v>
                </c:pt>
                <c:pt idx="1">
                  <c:v>0.97142857142857142</c:v>
                </c:pt>
                <c:pt idx="2">
                  <c:v>0.97142857142857142</c:v>
                </c:pt>
                <c:pt idx="3">
                  <c:v>0.97142857142857142</c:v>
                </c:pt>
                <c:pt idx="4">
                  <c:v>0.97142857142857142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0.97142857142857142</c:v>
                </c:pt>
                <c:pt idx="8">
                  <c:v>0.94285714285714284</c:v>
                </c:pt>
                <c:pt idx="9">
                  <c:v>0.97142857142857142</c:v>
                </c:pt>
                <c:pt idx="10">
                  <c:v>0.97142857142857142</c:v>
                </c:pt>
                <c:pt idx="11">
                  <c:v>0.97142857142857142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8-4EE4-B2D1-3E6400044333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20'!$V$4:$V$16</c:f>
              <c:numCache>
                <c:formatCode>General</c:formatCode>
                <c:ptCount val="13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  <c:pt idx="12">
                  <c:v>504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20'!$AA$4:$AA$34</c15:sqref>
                  </c15:fullRef>
                </c:ext>
              </c:extLst>
              <c:f>'SF7 20'!$AA$4:$AA$16</c:f>
              <c:numCache>
                <c:formatCode>0.00%</c:formatCode>
                <c:ptCount val="13"/>
                <c:pt idx="0">
                  <c:v>1</c:v>
                </c:pt>
                <c:pt idx="1">
                  <c:v>0.91428571428571426</c:v>
                </c:pt>
                <c:pt idx="2">
                  <c:v>0.97142857142857142</c:v>
                </c:pt>
                <c:pt idx="3">
                  <c:v>0.97142857142857142</c:v>
                </c:pt>
                <c:pt idx="4">
                  <c:v>0.97142857142857142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0.97142857142857142</c:v>
                </c:pt>
                <c:pt idx="8">
                  <c:v>0.97142857142857142</c:v>
                </c:pt>
                <c:pt idx="9">
                  <c:v>0.97142857142857142</c:v>
                </c:pt>
                <c:pt idx="10">
                  <c:v>0.97142857142857142</c:v>
                </c:pt>
                <c:pt idx="11">
                  <c:v>0.8571428571428571</c:v>
                </c:pt>
                <c:pt idx="12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8-4EE4-B2D1-3E6400044333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20'!$V$4:$V$16</c:f>
              <c:numCache>
                <c:formatCode>General</c:formatCode>
                <c:ptCount val="13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  <c:pt idx="12">
                  <c:v>504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20'!$X$4:$X$34</c15:sqref>
                  </c15:fullRef>
                </c:ext>
              </c:extLst>
              <c:f>'SF7 20'!$X$4:$X$16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2.8571428571428571E-2</c:v>
                </c:pt>
                <c:pt idx="12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8-4EE4-B2D1-3E6400044333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480</c:v>
              </c:pt>
              <c:pt idx="1">
                <c:v>482</c:v>
              </c:pt>
              <c:pt idx="2">
                <c:v>484</c:v>
              </c:pt>
              <c:pt idx="3">
                <c:v>486</c:v>
              </c:pt>
              <c:pt idx="4">
                <c:v>488</c:v>
              </c:pt>
              <c:pt idx="5">
                <c:v>490</c:v>
              </c:pt>
              <c:pt idx="6">
                <c:v>492</c:v>
              </c:pt>
              <c:pt idx="7">
                <c:v>494</c:v>
              </c:pt>
              <c:pt idx="8">
                <c:v>496</c:v>
              </c:pt>
              <c:pt idx="9">
                <c:v>498</c:v>
              </c:pt>
              <c:pt idx="10">
                <c:v>500</c:v>
              </c:pt>
              <c:pt idx="11">
                <c:v>502</c:v>
              </c:pt>
              <c:pt idx="12">
                <c:v>504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20'!$AB$4:$AB$34</c15:sqref>
                  </c15:fullRef>
                </c:ext>
              </c:extLst>
              <c:f>'SF7 20'!$AB$4:$AB$16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8-4EE4-B2D1-3E6400044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20'!$V$4:$V$16</c:f>
              <c:numCache>
                <c:formatCode>General</c:formatCode>
                <c:ptCount val="13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  <c:pt idx="12">
                  <c:v>504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20'!$Y$4:$Y$34</c15:sqref>
                  </c15:fullRef>
                </c:ext>
              </c:extLst>
              <c:f>'SF7 20'!$Y$4:$Y$16</c:f>
              <c:numCache>
                <c:formatCode>General</c:formatCode>
                <c:ptCount val="13"/>
                <c:pt idx="0">
                  <c:v>-123.94285714285714</c:v>
                </c:pt>
                <c:pt idx="1">
                  <c:v>-123.98571428571428</c:v>
                </c:pt>
                <c:pt idx="2">
                  <c:v>-123.84285714285714</c:v>
                </c:pt>
                <c:pt idx="3">
                  <c:v>-123.72857142857143</c:v>
                </c:pt>
                <c:pt idx="4">
                  <c:v>-123.87142857142857</c:v>
                </c:pt>
                <c:pt idx="5">
                  <c:v>-123.95714285714286</c:v>
                </c:pt>
                <c:pt idx="6">
                  <c:v>-123.92857142857143</c:v>
                </c:pt>
                <c:pt idx="7">
                  <c:v>-124.1</c:v>
                </c:pt>
                <c:pt idx="8">
                  <c:v>-124.17142857142858</c:v>
                </c:pt>
                <c:pt idx="9">
                  <c:v>-124.15714285714286</c:v>
                </c:pt>
                <c:pt idx="10">
                  <c:v>-125.55714285714286</c:v>
                </c:pt>
                <c:pt idx="11">
                  <c:v>-127.41428571428571</c:v>
                </c:pt>
                <c:pt idx="12">
                  <c:v>-131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A-49DC-BF63-FD09D1E72D97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20'!$V$4:$V$16</c:f>
              <c:numCache>
                <c:formatCode>General</c:formatCode>
                <c:ptCount val="13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  <c:pt idx="12">
                  <c:v>504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20'!$AC$4:$AC$34</c15:sqref>
                  </c15:fullRef>
                </c:ext>
              </c:extLst>
              <c:f>'SF7 20'!$AC$4:$AC$16</c:f>
              <c:numCache>
                <c:formatCode>General</c:formatCode>
                <c:ptCount val="13"/>
                <c:pt idx="0">
                  <c:v>-124</c:v>
                </c:pt>
                <c:pt idx="1">
                  <c:v>-123.82857142857142</c:v>
                </c:pt>
                <c:pt idx="2">
                  <c:v>-123.8</c:v>
                </c:pt>
                <c:pt idx="3">
                  <c:v>-123.97142857142858</c:v>
                </c:pt>
                <c:pt idx="4">
                  <c:v>-123.8</c:v>
                </c:pt>
                <c:pt idx="5">
                  <c:v>-123.85714285714286</c:v>
                </c:pt>
                <c:pt idx="6">
                  <c:v>-123.57142857142857</c:v>
                </c:pt>
                <c:pt idx="7">
                  <c:v>-124</c:v>
                </c:pt>
                <c:pt idx="8">
                  <c:v>-123.88571428571429</c:v>
                </c:pt>
                <c:pt idx="9">
                  <c:v>-123.85714285714286</c:v>
                </c:pt>
                <c:pt idx="10">
                  <c:v>-125.42857142857143</c:v>
                </c:pt>
                <c:pt idx="11">
                  <c:v>-127.4</c:v>
                </c:pt>
                <c:pt idx="12">
                  <c:v>-127.5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A-49DC-BF63-FD09D1E72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-1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20'!$Z$4:$Z$34</c15:sqref>
                  </c15:fullRef>
                </c:ext>
              </c:extLst>
              <c:f>'SF7 20'!$Z$4:$Z$15</c:f>
              <c:numCache>
                <c:formatCode>General</c:formatCode>
                <c:ptCount val="12"/>
                <c:pt idx="0">
                  <c:v>-2.7571428571428576</c:v>
                </c:pt>
                <c:pt idx="1">
                  <c:v>-2.8171428571428581</c:v>
                </c:pt>
                <c:pt idx="2">
                  <c:v>-2.9028571428571439</c:v>
                </c:pt>
                <c:pt idx="3">
                  <c:v>-2.9028571428571435</c:v>
                </c:pt>
                <c:pt idx="4">
                  <c:v>-2.9000000000000008</c:v>
                </c:pt>
                <c:pt idx="5">
                  <c:v>-2.9314285714285724</c:v>
                </c:pt>
                <c:pt idx="6">
                  <c:v>-2.951428571428572</c:v>
                </c:pt>
                <c:pt idx="7">
                  <c:v>-2.9685714285714297</c:v>
                </c:pt>
                <c:pt idx="8">
                  <c:v>-3.0142857142857151</c:v>
                </c:pt>
                <c:pt idx="9">
                  <c:v>-3.0000000000000013</c:v>
                </c:pt>
                <c:pt idx="10">
                  <c:v>-4.597142857142857</c:v>
                </c:pt>
                <c:pt idx="11">
                  <c:v>-7.2457142857142847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3-4A29-854F-10C4BDEE78BE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20'!$V$4:$V$34</c15:sqref>
                  </c15:fullRef>
                </c:ext>
              </c:extLst>
              <c:f>'SF7 20'!$V$4:$V$15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20'!$AD$4:$AD$34</c15:sqref>
                  </c15:fullRef>
                </c:ext>
              </c:extLst>
              <c:f>'SF7 20'!$AD$4:$AD$15</c:f>
              <c:numCache>
                <c:formatCode>General</c:formatCode>
                <c:ptCount val="12"/>
                <c:pt idx="0">
                  <c:v>-2.8114285714285723</c:v>
                </c:pt>
                <c:pt idx="1">
                  <c:v>-2.7625000000000015</c:v>
                </c:pt>
                <c:pt idx="2">
                  <c:v>-2.8088235294117649</c:v>
                </c:pt>
                <c:pt idx="3">
                  <c:v>-2.8147058823529418</c:v>
                </c:pt>
                <c:pt idx="4">
                  <c:v>-2.7294117647058833</c:v>
                </c:pt>
                <c:pt idx="5">
                  <c:v>-2.8264705882352947</c:v>
                </c:pt>
                <c:pt idx="6">
                  <c:v>-2.7970588235294125</c:v>
                </c:pt>
                <c:pt idx="7">
                  <c:v>-2.8411764705882363</c:v>
                </c:pt>
                <c:pt idx="8">
                  <c:v>-2.829411764705883</c:v>
                </c:pt>
                <c:pt idx="9">
                  <c:v>-2.7470588235294122</c:v>
                </c:pt>
                <c:pt idx="10">
                  <c:v>-4.4058823529411759</c:v>
                </c:pt>
                <c:pt idx="11">
                  <c:v>-6.8566666666666665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3-4A29-854F-10C4BDEE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'SF7 125'!$V$4:$V$34</c15:sqref>
                  </c15:fullRef>
                </c:ext>
              </c:extLst>
              <c:f>('SF7 125'!$V$4:$V$15,'SF7 125'!$V$17:$V$34)</c:f>
              <c:numCache>
                <c:formatCode>General</c:formatCode>
                <c:ptCount val="30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  <c:pt idx="12">
                  <c:v>416</c:v>
                </c:pt>
                <c:pt idx="13">
                  <c:v>418</c:v>
                </c:pt>
                <c:pt idx="14">
                  <c:v>420</c:v>
                </c:pt>
                <c:pt idx="15">
                  <c:v>422</c:v>
                </c:pt>
                <c:pt idx="16">
                  <c:v>424</c:v>
                </c:pt>
                <c:pt idx="17">
                  <c:v>426</c:v>
                </c:pt>
                <c:pt idx="18">
                  <c:v>428</c:v>
                </c:pt>
                <c:pt idx="19">
                  <c:v>430</c:v>
                </c:pt>
                <c:pt idx="20">
                  <c:v>432</c:v>
                </c:pt>
                <c:pt idx="21">
                  <c:v>434</c:v>
                </c:pt>
                <c:pt idx="22">
                  <c:v>436</c:v>
                </c:pt>
                <c:pt idx="23">
                  <c:v>438</c:v>
                </c:pt>
                <c:pt idx="24">
                  <c:v>440</c:v>
                </c:pt>
                <c:pt idx="25">
                  <c:v>442</c:v>
                </c:pt>
                <c:pt idx="26">
                  <c:v>444</c:v>
                </c:pt>
                <c:pt idx="27">
                  <c:v>446</c:v>
                </c:pt>
                <c:pt idx="28">
                  <c:v>448</c:v>
                </c:pt>
                <c:pt idx="29">
                  <c:v>450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'SF7 125'!$W$4:$W$34</c15:sqref>
                  </c15:fullRef>
                </c:ext>
              </c:extLst>
              <c:f>('SF7 125'!$W$4:$W$15,'SF7 125'!$W$17:$W$34)</c:f>
              <c:numCache>
                <c:formatCode>0.00%</c:formatCode>
                <c:ptCount val="30"/>
                <c:pt idx="0">
                  <c:v>0.90566037735849059</c:v>
                </c:pt>
                <c:pt idx="1">
                  <c:v>0.90566037735849059</c:v>
                </c:pt>
                <c:pt idx="2">
                  <c:v>0.88888888888888884</c:v>
                </c:pt>
                <c:pt idx="3">
                  <c:v>0.90566037735849059</c:v>
                </c:pt>
                <c:pt idx="4">
                  <c:v>0.96226415094339623</c:v>
                </c:pt>
                <c:pt idx="5">
                  <c:v>0.87037037037037035</c:v>
                </c:pt>
                <c:pt idx="6">
                  <c:v>0.92452830188679247</c:v>
                </c:pt>
                <c:pt idx="7">
                  <c:v>0.94339622641509435</c:v>
                </c:pt>
                <c:pt idx="8">
                  <c:v>0.90566037735849059</c:v>
                </c:pt>
                <c:pt idx="9">
                  <c:v>0.94444444444444442</c:v>
                </c:pt>
                <c:pt idx="10">
                  <c:v>0.77358490566037741</c:v>
                </c:pt>
                <c:pt idx="11">
                  <c:v>0.62264150943396224</c:v>
                </c:pt>
                <c:pt idx="12">
                  <c:v>0.62264150943396224</c:v>
                </c:pt>
                <c:pt idx="13">
                  <c:v>0.73584905660377353</c:v>
                </c:pt>
                <c:pt idx="14">
                  <c:v>0.69811320754716977</c:v>
                </c:pt>
                <c:pt idx="15">
                  <c:v>0.68518518518518523</c:v>
                </c:pt>
                <c:pt idx="16">
                  <c:v>0.64150943396226412</c:v>
                </c:pt>
                <c:pt idx="17">
                  <c:v>0.64150943396226412</c:v>
                </c:pt>
                <c:pt idx="18">
                  <c:v>0.64814814814814814</c:v>
                </c:pt>
                <c:pt idx="19">
                  <c:v>0.660377358490566</c:v>
                </c:pt>
                <c:pt idx="20">
                  <c:v>0.73584905660377353</c:v>
                </c:pt>
                <c:pt idx="21">
                  <c:v>0.71698113207547165</c:v>
                </c:pt>
                <c:pt idx="22">
                  <c:v>0.68518518518518523</c:v>
                </c:pt>
                <c:pt idx="23">
                  <c:v>0.67924528301886788</c:v>
                </c:pt>
                <c:pt idx="24">
                  <c:v>0.69811320754716977</c:v>
                </c:pt>
                <c:pt idx="25">
                  <c:v>0.70370370370370372</c:v>
                </c:pt>
                <c:pt idx="26">
                  <c:v>0.660377358490566</c:v>
                </c:pt>
                <c:pt idx="27">
                  <c:v>0.660377358490566</c:v>
                </c:pt>
                <c:pt idx="28">
                  <c:v>0.67924528301886788</c:v>
                </c:pt>
                <c:pt idx="29">
                  <c:v>0.56521739130434778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E-4361-98EE-992ACAFD880F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'SF7 125'!$V$4:$V$34</c15:sqref>
                  </c15:fullRef>
                </c:ext>
              </c:extLst>
              <c:f>('SF7 125'!$V$4:$V$15,'SF7 125'!$V$17:$V$34)</c:f>
              <c:numCache>
                <c:formatCode>General</c:formatCode>
                <c:ptCount val="30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  <c:pt idx="12">
                  <c:v>416</c:v>
                </c:pt>
                <c:pt idx="13">
                  <c:v>418</c:v>
                </c:pt>
                <c:pt idx="14">
                  <c:v>420</c:v>
                </c:pt>
                <c:pt idx="15">
                  <c:v>422</c:v>
                </c:pt>
                <c:pt idx="16">
                  <c:v>424</c:v>
                </c:pt>
                <c:pt idx="17">
                  <c:v>426</c:v>
                </c:pt>
                <c:pt idx="18">
                  <c:v>428</c:v>
                </c:pt>
                <c:pt idx="19">
                  <c:v>430</c:v>
                </c:pt>
                <c:pt idx="20">
                  <c:v>432</c:v>
                </c:pt>
                <c:pt idx="21">
                  <c:v>434</c:v>
                </c:pt>
                <c:pt idx="22">
                  <c:v>436</c:v>
                </c:pt>
                <c:pt idx="23">
                  <c:v>438</c:v>
                </c:pt>
                <c:pt idx="24">
                  <c:v>440</c:v>
                </c:pt>
                <c:pt idx="25">
                  <c:v>442</c:v>
                </c:pt>
                <c:pt idx="26">
                  <c:v>444</c:v>
                </c:pt>
                <c:pt idx="27">
                  <c:v>446</c:v>
                </c:pt>
                <c:pt idx="28">
                  <c:v>448</c:v>
                </c:pt>
                <c:pt idx="29">
                  <c:v>450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'SF7 125'!$AA$4:$AA$34</c15:sqref>
                  </c15:fullRef>
                </c:ext>
              </c:extLst>
              <c:f>('SF7 125'!$AA$4:$AA$15,'SF7 125'!$AA$17:$AA$34)</c:f>
              <c:numCache>
                <c:formatCode>0.00%</c:formatCode>
                <c:ptCount val="30"/>
                <c:pt idx="0">
                  <c:v>0.96226415094339623</c:v>
                </c:pt>
                <c:pt idx="1">
                  <c:v>0.92452830188679247</c:v>
                </c:pt>
                <c:pt idx="2">
                  <c:v>0.92452830188679247</c:v>
                </c:pt>
                <c:pt idx="3">
                  <c:v>0.92592592592592593</c:v>
                </c:pt>
                <c:pt idx="4">
                  <c:v>0.92452830188679247</c:v>
                </c:pt>
                <c:pt idx="5">
                  <c:v>0.98113207547169812</c:v>
                </c:pt>
                <c:pt idx="6">
                  <c:v>0.98148148148148151</c:v>
                </c:pt>
                <c:pt idx="7">
                  <c:v>0.98113207547169812</c:v>
                </c:pt>
                <c:pt idx="8">
                  <c:v>0.96226415094339623</c:v>
                </c:pt>
                <c:pt idx="9">
                  <c:v>0.92452830188679247</c:v>
                </c:pt>
                <c:pt idx="10">
                  <c:v>0.79629629629629628</c:v>
                </c:pt>
                <c:pt idx="11">
                  <c:v>0.81132075471698117</c:v>
                </c:pt>
                <c:pt idx="12">
                  <c:v>0.68518518518518523</c:v>
                </c:pt>
                <c:pt idx="13">
                  <c:v>0.73584905660377353</c:v>
                </c:pt>
                <c:pt idx="14">
                  <c:v>0.81132075471698117</c:v>
                </c:pt>
                <c:pt idx="15">
                  <c:v>0.71698113207547165</c:v>
                </c:pt>
                <c:pt idx="16">
                  <c:v>0.61111111111111116</c:v>
                </c:pt>
                <c:pt idx="17">
                  <c:v>0.62264150943396224</c:v>
                </c:pt>
                <c:pt idx="18">
                  <c:v>0.81132075471698117</c:v>
                </c:pt>
                <c:pt idx="19">
                  <c:v>0.79629629629629628</c:v>
                </c:pt>
                <c:pt idx="20">
                  <c:v>0.79245283018867929</c:v>
                </c:pt>
                <c:pt idx="21">
                  <c:v>0.73584905660377353</c:v>
                </c:pt>
                <c:pt idx="22">
                  <c:v>0.660377358490566</c:v>
                </c:pt>
                <c:pt idx="23">
                  <c:v>0.77777777777777779</c:v>
                </c:pt>
                <c:pt idx="24">
                  <c:v>0.75471698113207553</c:v>
                </c:pt>
                <c:pt idx="25">
                  <c:v>0.69811320754716977</c:v>
                </c:pt>
                <c:pt idx="26">
                  <c:v>0.7592592592592593</c:v>
                </c:pt>
                <c:pt idx="27">
                  <c:v>0.62264150943396224</c:v>
                </c:pt>
                <c:pt idx="28">
                  <c:v>0.81132075471698117</c:v>
                </c:pt>
                <c:pt idx="29">
                  <c:v>0.71698113207547165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E-4361-98EE-992ACAFD880F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'SF7 125'!$V$4:$V$34</c15:sqref>
                  </c15:fullRef>
                </c:ext>
              </c:extLst>
              <c:f>('SF7 125'!$V$4:$V$15,'SF7 125'!$V$17:$V$34)</c:f>
              <c:numCache>
                <c:formatCode>General</c:formatCode>
                <c:ptCount val="30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  <c:pt idx="12">
                  <c:v>416</c:v>
                </c:pt>
                <c:pt idx="13">
                  <c:v>418</c:v>
                </c:pt>
                <c:pt idx="14">
                  <c:v>420</c:v>
                </c:pt>
                <c:pt idx="15">
                  <c:v>422</c:v>
                </c:pt>
                <c:pt idx="16">
                  <c:v>424</c:v>
                </c:pt>
                <c:pt idx="17">
                  <c:v>426</c:v>
                </c:pt>
                <c:pt idx="18">
                  <c:v>428</c:v>
                </c:pt>
                <c:pt idx="19">
                  <c:v>430</c:v>
                </c:pt>
                <c:pt idx="20">
                  <c:v>432</c:v>
                </c:pt>
                <c:pt idx="21">
                  <c:v>434</c:v>
                </c:pt>
                <c:pt idx="22">
                  <c:v>436</c:v>
                </c:pt>
                <c:pt idx="23">
                  <c:v>438</c:v>
                </c:pt>
                <c:pt idx="24">
                  <c:v>440</c:v>
                </c:pt>
                <c:pt idx="25">
                  <c:v>442</c:v>
                </c:pt>
                <c:pt idx="26">
                  <c:v>444</c:v>
                </c:pt>
                <c:pt idx="27">
                  <c:v>446</c:v>
                </c:pt>
                <c:pt idx="28">
                  <c:v>448</c:v>
                </c:pt>
                <c:pt idx="29">
                  <c:v>450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'SF7 125'!$X$4:$X$34</c15:sqref>
                  </c15:fullRef>
                </c:ext>
              </c:extLst>
              <c:f>('SF7 125'!$X$4:$X$15,'SF7 125'!$X$17:$X$34)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1.8867924528301886E-2</c:v>
                </c:pt>
                <c:pt idx="7">
                  <c:v>0</c:v>
                </c:pt>
                <c:pt idx="8">
                  <c:v>0</c:v>
                </c:pt>
                <c:pt idx="9">
                  <c:v>3.7037037037037035E-2</c:v>
                </c:pt>
                <c:pt idx="10">
                  <c:v>1.8867924528301886E-2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1.8518518518518517E-2</c:v>
                </c:pt>
                <c:pt idx="16">
                  <c:v>0</c:v>
                </c:pt>
                <c:pt idx="17">
                  <c:v>3.7735849056603772E-2</c:v>
                </c:pt>
                <c:pt idx="18">
                  <c:v>1.8518518518518517E-2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3.7037037037037035E-2</c:v>
                </c:pt>
                <c:pt idx="23">
                  <c:v>0</c:v>
                </c:pt>
                <c:pt idx="24">
                  <c:v>1.8867924528301886E-2</c:v>
                </c:pt>
                <c:pt idx="25">
                  <c:v>1.8518518518518517E-2</c:v>
                </c:pt>
                <c:pt idx="26">
                  <c:v>0</c:v>
                </c:pt>
                <c:pt idx="27">
                  <c:v>1.8867924528301886E-2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E-4361-98EE-992ACAFD880F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390</c:v>
              </c:pt>
              <c:pt idx="1">
                <c:v>392</c:v>
              </c:pt>
              <c:pt idx="2">
                <c:v>394</c:v>
              </c:pt>
              <c:pt idx="3">
                <c:v>396</c:v>
              </c:pt>
              <c:pt idx="4">
                <c:v>398</c:v>
              </c:pt>
              <c:pt idx="5">
                <c:v>400</c:v>
              </c:pt>
              <c:pt idx="6">
                <c:v>402</c:v>
              </c:pt>
              <c:pt idx="7">
                <c:v>404</c:v>
              </c:pt>
              <c:pt idx="8">
                <c:v>406</c:v>
              </c:pt>
              <c:pt idx="9">
                <c:v>408</c:v>
              </c:pt>
              <c:pt idx="10">
                <c:v>410</c:v>
              </c:pt>
              <c:pt idx="11">
                <c:v>412</c:v>
              </c:pt>
              <c:pt idx="12">
                <c:v>416</c:v>
              </c:pt>
              <c:pt idx="13">
                <c:v>418</c:v>
              </c:pt>
              <c:pt idx="14">
                <c:v>420</c:v>
              </c:pt>
              <c:pt idx="15">
                <c:v>422</c:v>
              </c:pt>
              <c:pt idx="16">
                <c:v>424</c:v>
              </c:pt>
              <c:pt idx="17">
                <c:v>426</c:v>
              </c:pt>
              <c:pt idx="18">
                <c:v>428</c:v>
              </c:pt>
              <c:pt idx="19">
                <c:v>430</c:v>
              </c:pt>
              <c:pt idx="20">
                <c:v>432</c:v>
              </c:pt>
              <c:pt idx="21">
                <c:v>434</c:v>
              </c:pt>
              <c:pt idx="22">
                <c:v>436</c:v>
              </c:pt>
              <c:pt idx="23">
                <c:v>438</c:v>
              </c:pt>
              <c:pt idx="24">
                <c:v>440</c:v>
              </c:pt>
              <c:pt idx="25">
                <c:v>442</c:v>
              </c:pt>
              <c:pt idx="26">
                <c:v>444</c:v>
              </c:pt>
              <c:pt idx="27">
                <c:v>446</c:v>
              </c:pt>
              <c:pt idx="28">
                <c:v>448</c:v>
              </c:pt>
              <c:pt idx="29">
                <c:v>450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'SF7 125'!$AB$4:$AB$34</c15:sqref>
                  </c15:fullRef>
                </c:ext>
              </c:extLst>
              <c:f>('SF7 125'!$AB$4:$AB$15,'SF7 125'!$AB$17:$AB$34)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1.8867924528301886E-2</c:v>
                </c:pt>
                <c:pt idx="5">
                  <c:v>0</c:v>
                </c:pt>
                <c:pt idx="6">
                  <c:v>0</c:v>
                </c:pt>
                <c:pt idx="7">
                  <c:v>1.8867924528301886E-2</c:v>
                </c:pt>
                <c:pt idx="8">
                  <c:v>0</c:v>
                </c:pt>
                <c:pt idx="9">
                  <c:v>1.8867924528301886E-2</c:v>
                </c:pt>
                <c:pt idx="10">
                  <c:v>5.5555555555555552E-2</c:v>
                </c:pt>
                <c:pt idx="11">
                  <c:v>0</c:v>
                </c:pt>
                <c:pt idx="12">
                  <c:v>1.8518518518518517E-2</c:v>
                </c:pt>
                <c:pt idx="13">
                  <c:v>5.6603773584905662E-2</c:v>
                </c:pt>
                <c:pt idx="14">
                  <c:v>3.7735849056603772E-2</c:v>
                </c:pt>
                <c:pt idx="15">
                  <c:v>0</c:v>
                </c:pt>
                <c:pt idx="16">
                  <c:v>0</c:v>
                </c:pt>
                <c:pt idx="17">
                  <c:v>1.8867924528301886E-2</c:v>
                </c:pt>
                <c:pt idx="18">
                  <c:v>0</c:v>
                </c:pt>
                <c:pt idx="19">
                  <c:v>0</c:v>
                </c:pt>
                <c:pt idx="20">
                  <c:v>1.8867924528301886E-2</c:v>
                </c:pt>
                <c:pt idx="21">
                  <c:v>0</c:v>
                </c:pt>
                <c:pt idx="22">
                  <c:v>1.8867924528301886E-2</c:v>
                </c:pt>
                <c:pt idx="23">
                  <c:v>0</c:v>
                </c:pt>
                <c:pt idx="24">
                  <c:v>5.6603773584905662E-2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7.5471698113207544E-2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DE-4361-98EE-992ACAFD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'SF7 125'!$V$4:$V$34</c:f>
              <c:numCache>
                <c:formatCode>General</c:formatCode>
                <c:ptCount val="31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  <c:pt idx="12">
                  <c:v>414</c:v>
                </c:pt>
                <c:pt idx="13">
                  <c:v>416</c:v>
                </c:pt>
                <c:pt idx="14">
                  <c:v>418</c:v>
                </c:pt>
                <c:pt idx="15">
                  <c:v>420</c:v>
                </c:pt>
                <c:pt idx="16">
                  <c:v>422</c:v>
                </c:pt>
                <c:pt idx="17">
                  <c:v>424</c:v>
                </c:pt>
                <c:pt idx="18">
                  <c:v>426</c:v>
                </c:pt>
                <c:pt idx="19">
                  <c:v>428</c:v>
                </c:pt>
                <c:pt idx="20">
                  <c:v>430</c:v>
                </c:pt>
                <c:pt idx="21">
                  <c:v>432</c:v>
                </c:pt>
                <c:pt idx="22">
                  <c:v>434</c:v>
                </c:pt>
                <c:pt idx="23">
                  <c:v>436</c:v>
                </c:pt>
                <c:pt idx="24">
                  <c:v>438</c:v>
                </c:pt>
                <c:pt idx="25">
                  <c:v>440</c:v>
                </c:pt>
                <c:pt idx="26">
                  <c:v>442</c:v>
                </c:pt>
                <c:pt idx="27">
                  <c:v>444</c:v>
                </c:pt>
                <c:pt idx="28">
                  <c:v>446</c:v>
                </c:pt>
                <c:pt idx="29">
                  <c:v>448</c:v>
                </c:pt>
                <c:pt idx="30">
                  <c:v>450</c:v>
                </c:pt>
              </c:numCache>
            </c:numRef>
          </c:cat>
          <c:val>
            <c:numRef>
              <c:f>'SF7 125'!$Y$4:$Y$34</c:f>
              <c:numCache>
                <c:formatCode>General</c:formatCode>
                <c:ptCount val="31"/>
                <c:pt idx="0">
                  <c:v>-121.20754716981132</c:v>
                </c:pt>
                <c:pt idx="1">
                  <c:v>-121.35849056603773</c:v>
                </c:pt>
                <c:pt idx="2">
                  <c:v>-121.29629629629629</c:v>
                </c:pt>
                <c:pt idx="3">
                  <c:v>-121.35849056603773</c:v>
                </c:pt>
                <c:pt idx="4">
                  <c:v>-121.49056603773585</c:v>
                </c:pt>
                <c:pt idx="5">
                  <c:v>-121.42592592592592</c:v>
                </c:pt>
                <c:pt idx="6">
                  <c:v>-121.50943396226415</c:v>
                </c:pt>
                <c:pt idx="7">
                  <c:v>-121.41509433962264</c:v>
                </c:pt>
                <c:pt idx="8">
                  <c:v>-121.49056603773585</c:v>
                </c:pt>
                <c:pt idx="9">
                  <c:v>-121.55555555555556</c:v>
                </c:pt>
                <c:pt idx="10">
                  <c:v>-121.98113207547169</c:v>
                </c:pt>
                <c:pt idx="11">
                  <c:v>-122.43396226415095</c:v>
                </c:pt>
                <c:pt idx="12">
                  <c:v>-122.0925925925926</c:v>
                </c:pt>
                <c:pt idx="13">
                  <c:v>-122.0377358490566</c:v>
                </c:pt>
                <c:pt idx="14">
                  <c:v>-122.41509433962264</c:v>
                </c:pt>
                <c:pt idx="15">
                  <c:v>-122.18867924528301</c:v>
                </c:pt>
                <c:pt idx="16">
                  <c:v>-122.07407407407408</c:v>
                </c:pt>
                <c:pt idx="17">
                  <c:v>-122.32075471698113</c:v>
                </c:pt>
                <c:pt idx="18">
                  <c:v>-122.49056603773585</c:v>
                </c:pt>
                <c:pt idx="19">
                  <c:v>-122.4074074074074</c:v>
                </c:pt>
                <c:pt idx="20">
                  <c:v>-122.30188679245283</c:v>
                </c:pt>
                <c:pt idx="21">
                  <c:v>-122</c:v>
                </c:pt>
                <c:pt idx="22">
                  <c:v>-121.98113207547169</c:v>
                </c:pt>
                <c:pt idx="23">
                  <c:v>-122.20370370370371</c:v>
                </c:pt>
                <c:pt idx="24">
                  <c:v>-122.13207547169812</c:v>
                </c:pt>
                <c:pt idx="25">
                  <c:v>-121.9245283018868</c:v>
                </c:pt>
                <c:pt idx="26">
                  <c:v>-122.24074074074075</c:v>
                </c:pt>
                <c:pt idx="27">
                  <c:v>-122.01886792452831</c:v>
                </c:pt>
                <c:pt idx="28">
                  <c:v>-122.43396226415095</c:v>
                </c:pt>
                <c:pt idx="29">
                  <c:v>-122.20754716981132</c:v>
                </c:pt>
                <c:pt idx="30">
                  <c:v>-122.08695652173913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C-4563-98FC-F1013C3231CC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'SF7 125'!$V$4:$V$34</c:f>
              <c:numCache>
                <c:formatCode>General</c:formatCode>
                <c:ptCount val="31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  <c:pt idx="12">
                  <c:v>414</c:v>
                </c:pt>
                <c:pt idx="13">
                  <c:v>416</c:v>
                </c:pt>
                <c:pt idx="14">
                  <c:v>418</c:v>
                </c:pt>
                <c:pt idx="15">
                  <c:v>420</c:v>
                </c:pt>
                <c:pt idx="16">
                  <c:v>422</c:v>
                </c:pt>
                <c:pt idx="17">
                  <c:v>424</c:v>
                </c:pt>
                <c:pt idx="18">
                  <c:v>426</c:v>
                </c:pt>
                <c:pt idx="19">
                  <c:v>428</c:v>
                </c:pt>
                <c:pt idx="20">
                  <c:v>430</c:v>
                </c:pt>
                <c:pt idx="21">
                  <c:v>432</c:v>
                </c:pt>
                <c:pt idx="22">
                  <c:v>434</c:v>
                </c:pt>
                <c:pt idx="23">
                  <c:v>436</c:v>
                </c:pt>
                <c:pt idx="24">
                  <c:v>438</c:v>
                </c:pt>
                <c:pt idx="25">
                  <c:v>440</c:v>
                </c:pt>
                <c:pt idx="26">
                  <c:v>442</c:v>
                </c:pt>
                <c:pt idx="27">
                  <c:v>444</c:v>
                </c:pt>
                <c:pt idx="28">
                  <c:v>446</c:v>
                </c:pt>
                <c:pt idx="29">
                  <c:v>448</c:v>
                </c:pt>
                <c:pt idx="30">
                  <c:v>450</c:v>
                </c:pt>
              </c:numCache>
            </c:numRef>
          </c:cat>
          <c:val>
            <c:numRef>
              <c:f>'SF7 125'!$AC$4:$AC$34</c:f>
              <c:numCache>
                <c:formatCode>General</c:formatCode>
                <c:ptCount val="31"/>
                <c:pt idx="0">
                  <c:v>-121.0377358490566</c:v>
                </c:pt>
                <c:pt idx="1">
                  <c:v>-121.11320754716981</c:v>
                </c:pt>
                <c:pt idx="2">
                  <c:v>-121.0754716981132</c:v>
                </c:pt>
                <c:pt idx="3">
                  <c:v>-121.12962962962963</c:v>
                </c:pt>
                <c:pt idx="4">
                  <c:v>-121</c:v>
                </c:pt>
                <c:pt idx="5">
                  <c:v>-121.11320754716981</c:v>
                </c:pt>
                <c:pt idx="6">
                  <c:v>-121.20370370370371</c:v>
                </c:pt>
                <c:pt idx="7">
                  <c:v>-121.13207547169812</c:v>
                </c:pt>
                <c:pt idx="8">
                  <c:v>-121.28301886792453</c:v>
                </c:pt>
                <c:pt idx="9">
                  <c:v>-121.16981132075472</c:v>
                </c:pt>
                <c:pt idx="10">
                  <c:v>-121.83333333333333</c:v>
                </c:pt>
                <c:pt idx="11">
                  <c:v>-122.01886792452831</c:v>
                </c:pt>
                <c:pt idx="12">
                  <c:v>-122.0377358490566</c:v>
                </c:pt>
                <c:pt idx="13">
                  <c:v>-121.96296296296296</c:v>
                </c:pt>
                <c:pt idx="14">
                  <c:v>-122.0377358490566</c:v>
                </c:pt>
                <c:pt idx="15">
                  <c:v>-121.94339622641509</c:v>
                </c:pt>
                <c:pt idx="16">
                  <c:v>-122.32075471698113</c:v>
                </c:pt>
                <c:pt idx="17">
                  <c:v>-122.18518518518519</c:v>
                </c:pt>
                <c:pt idx="18">
                  <c:v>-122.0754716981132</c:v>
                </c:pt>
                <c:pt idx="19">
                  <c:v>-122.26415094339623</c:v>
                </c:pt>
                <c:pt idx="20">
                  <c:v>-122.20370370370371</c:v>
                </c:pt>
                <c:pt idx="21">
                  <c:v>-122.18867924528301</c:v>
                </c:pt>
                <c:pt idx="22">
                  <c:v>-122.22641509433963</c:v>
                </c:pt>
                <c:pt idx="23">
                  <c:v>-122.30188679245283</c:v>
                </c:pt>
                <c:pt idx="24">
                  <c:v>-121.98148148148148</c:v>
                </c:pt>
                <c:pt idx="25">
                  <c:v>-121.9622641509434</c:v>
                </c:pt>
                <c:pt idx="26">
                  <c:v>-122.13207547169812</c:v>
                </c:pt>
                <c:pt idx="27">
                  <c:v>-121.98148148148148</c:v>
                </c:pt>
                <c:pt idx="28">
                  <c:v>-122.01886792452831</c:v>
                </c:pt>
                <c:pt idx="29">
                  <c:v>-122.05660377358491</c:v>
                </c:pt>
                <c:pt idx="30">
                  <c:v>-121.98113207547169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C-4563-98FC-F1013C323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'SF7 125'!$V$4:$V$34</c15:sqref>
                  </c15:fullRef>
                </c:ext>
              </c:extLst>
              <c:f>'SF7 125'!$V$4:$V$15</c:f>
              <c:numCache>
                <c:formatCode>General</c:formatCode>
                <c:ptCount val="12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'SF7 125'!$Z$4:$Z$34</c15:sqref>
                  </c15:fullRef>
                </c:ext>
              </c:extLst>
              <c:f>'SF7 125'!$Z$4:$Z$15</c:f>
              <c:numCache>
                <c:formatCode>General</c:formatCode>
                <c:ptCount val="12"/>
                <c:pt idx="0">
                  <c:v>-7.8566037735849044</c:v>
                </c:pt>
                <c:pt idx="1">
                  <c:v>-7.8490566037735841</c:v>
                </c:pt>
                <c:pt idx="2">
                  <c:v>-7.8055555555555545</c:v>
                </c:pt>
                <c:pt idx="3">
                  <c:v>-8.0735849056603772</c:v>
                </c:pt>
                <c:pt idx="4">
                  <c:v>-8.0283018867924536</c:v>
                </c:pt>
                <c:pt idx="5">
                  <c:v>-7.9259259259259247</c:v>
                </c:pt>
                <c:pt idx="6">
                  <c:v>-7.9849056603773558</c:v>
                </c:pt>
                <c:pt idx="7">
                  <c:v>-7.9169811320754704</c:v>
                </c:pt>
                <c:pt idx="8">
                  <c:v>-8.0867924528301884</c:v>
                </c:pt>
                <c:pt idx="9">
                  <c:v>-7.9962962962962951</c:v>
                </c:pt>
                <c:pt idx="10">
                  <c:v>-8.5830188679245314</c:v>
                </c:pt>
                <c:pt idx="11">
                  <c:v>-8.8905660377358533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C-478F-B50A-3F5A42EDCAF3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'SF7 125'!$V$4:$V$34</c15:sqref>
                  </c15:fullRef>
                </c:ext>
              </c:extLst>
              <c:f>'SF7 125'!$V$4:$V$15</c:f>
              <c:numCache>
                <c:formatCode>General</c:formatCode>
                <c:ptCount val="12"/>
                <c:pt idx="0">
                  <c:v>390</c:v>
                </c:pt>
                <c:pt idx="1">
                  <c:v>392</c:v>
                </c:pt>
                <c:pt idx="2">
                  <c:v>394</c:v>
                </c:pt>
                <c:pt idx="3">
                  <c:v>396</c:v>
                </c:pt>
                <c:pt idx="4">
                  <c:v>398</c:v>
                </c:pt>
                <c:pt idx="5">
                  <c:v>400</c:v>
                </c:pt>
                <c:pt idx="6">
                  <c:v>402</c:v>
                </c:pt>
                <c:pt idx="7">
                  <c:v>404</c:v>
                </c:pt>
                <c:pt idx="8">
                  <c:v>406</c:v>
                </c:pt>
                <c:pt idx="9">
                  <c:v>408</c:v>
                </c:pt>
                <c:pt idx="10">
                  <c:v>410</c:v>
                </c:pt>
                <c:pt idx="11">
                  <c:v>412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'SF7 125'!$AD$4:$AD$34</c15:sqref>
                  </c15:fullRef>
                </c:ext>
              </c:extLst>
              <c:f>'SF7 125'!$AD$4:$AD$15</c:f>
              <c:numCache>
                <c:formatCode>General</c:formatCode>
                <c:ptCount val="12"/>
                <c:pt idx="0">
                  <c:v>-7.6113207547169779</c:v>
                </c:pt>
                <c:pt idx="1">
                  <c:v>-7.6132075471698091</c:v>
                </c:pt>
                <c:pt idx="2">
                  <c:v>-7.5867924528301858</c:v>
                </c:pt>
                <c:pt idx="3">
                  <c:v>-7.6277777777777755</c:v>
                </c:pt>
                <c:pt idx="4">
                  <c:v>-7.6037735849056585</c:v>
                </c:pt>
                <c:pt idx="5">
                  <c:v>-7.6943396226415066</c:v>
                </c:pt>
                <c:pt idx="6">
                  <c:v>-7.6166666666666645</c:v>
                </c:pt>
                <c:pt idx="7">
                  <c:v>-7.673584905660376</c:v>
                </c:pt>
                <c:pt idx="8">
                  <c:v>-7.7415094339622623</c:v>
                </c:pt>
                <c:pt idx="9">
                  <c:v>-7.7037735849056581</c:v>
                </c:pt>
                <c:pt idx="10">
                  <c:v>-8.3722222222222253</c:v>
                </c:pt>
                <c:pt idx="11">
                  <c:v>-8.507547169811323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C-478F-B50A-3F5A42ED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('SF7 500'!$V$4:$V$5,'SF7 500'!$V$7:$V$12,'SF7 500'!$V$14:$V$15,'SF7 500'!$V$17)</c:f>
              <c:numCache>
                <c:formatCode>General</c:formatCode>
                <c:ptCount val="11"/>
                <c:pt idx="0">
                  <c:v>160</c:v>
                </c:pt>
                <c:pt idx="1">
                  <c:v>162</c:v>
                </c:pt>
                <c:pt idx="2">
                  <c:v>166</c:v>
                </c:pt>
                <c:pt idx="3">
                  <c:v>168</c:v>
                </c:pt>
                <c:pt idx="4">
                  <c:v>170</c:v>
                </c:pt>
                <c:pt idx="5">
                  <c:v>172</c:v>
                </c:pt>
                <c:pt idx="6">
                  <c:v>174</c:v>
                </c:pt>
                <c:pt idx="7">
                  <c:v>176</c:v>
                </c:pt>
                <c:pt idx="8">
                  <c:v>180</c:v>
                </c:pt>
                <c:pt idx="9">
                  <c:v>182</c:v>
                </c:pt>
                <c:pt idx="10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'SF7 500'!$W$4:$W$34</c15:sqref>
                  </c15:fullRef>
                </c:ext>
              </c:extLst>
              <c:f>('SF7 500'!$W$4:$W$5,'SF7 500'!$W$7:$W$12,'SF7 500'!$W$14:$W$15,'SF7 500'!$W$17)</c:f>
              <c:numCache>
                <c:formatCode>0.00%</c:formatCode>
                <c:ptCount val="11"/>
                <c:pt idx="0">
                  <c:v>0.94736842105263153</c:v>
                </c:pt>
                <c:pt idx="1">
                  <c:v>0.98245614035087714</c:v>
                </c:pt>
                <c:pt idx="2">
                  <c:v>0.7192982456140351</c:v>
                </c:pt>
                <c:pt idx="3">
                  <c:v>0.70175438596491224</c:v>
                </c:pt>
                <c:pt idx="4">
                  <c:v>0.73684210526315785</c:v>
                </c:pt>
                <c:pt idx="5">
                  <c:v>0.73684210526315785</c:v>
                </c:pt>
                <c:pt idx="6">
                  <c:v>0.73684210526315785</c:v>
                </c:pt>
                <c:pt idx="7">
                  <c:v>0.84210526315789469</c:v>
                </c:pt>
                <c:pt idx="8">
                  <c:v>0.84210526315789469</c:v>
                </c:pt>
                <c:pt idx="9">
                  <c:v>0.78947368421052633</c:v>
                </c:pt>
                <c:pt idx="10">
                  <c:v>0.24561403508771928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E-4F38-B132-8C659EC65C88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('SF7 500'!$V$4:$V$5,'SF7 500'!$V$7:$V$12,'SF7 500'!$V$14:$V$15,'SF7 500'!$V$17)</c:f>
              <c:numCache>
                <c:formatCode>General</c:formatCode>
                <c:ptCount val="11"/>
                <c:pt idx="0">
                  <c:v>160</c:v>
                </c:pt>
                <c:pt idx="1">
                  <c:v>162</c:v>
                </c:pt>
                <c:pt idx="2">
                  <c:v>166</c:v>
                </c:pt>
                <c:pt idx="3">
                  <c:v>168</c:v>
                </c:pt>
                <c:pt idx="4">
                  <c:v>170</c:v>
                </c:pt>
                <c:pt idx="5">
                  <c:v>172</c:v>
                </c:pt>
                <c:pt idx="6">
                  <c:v>174</c:v>
                </c:pt>
                <c:pt idx="7">
                  <c:v>176</c:v>
                </c:pt>
                <c:pt idx="8">
                  <c:v>180</c:v>
                </c:pt>
                <c:pt idx="9">
                  <c:v>182</c:v>
                </c:pt>
                <c:pt idx="10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'SF7 500'!$AA$4:$AA$34</c15:sqref>
                  </c15:fullRef>
                </c:ext>
              </c:extLst>
              <c:f>('SF7 500'!$AA$4:$AA$5,'SF7 500'!$AA$7:$AA$12,'SF7 500'!$AA$14:$AA$15,'SF7 500'!$AA$17)</c:f>
              <c:numCache>
                <c:formatCode>0.00%</c:formatCode>
                <c:ptCount val="11"/>
                <c:pt idx="0">
                  <c:v>0.98245614035087714</c:v>
                </c:pt>
                <c:pt idx="1">
                  <c:v>0.89473684210526316</c:v>
                </c:pt>
                <c:pt idx="2">
                  <c:v>0.70175438596491224</c:v>
                </c:pt>
                <c:pt idx="3">
                  <c:v>0.68421052631578949</c:v>
                </c:pt>
                <c:pt idx="4">
                  <c:v>0.68421052631578949</c:v>
                </c:pt>
                <c:pt idx="5">
                  <c:v>0.61403508771929827</c:v>
                </c:pt>
                <c:pt idx="6">
                  <c:v>0.70175438596491224</c:v>
                </c:pt>
                <c:pt idx="7">
                  <c:v>0.68421052631578949</c:v>
                </c:pt>
                <c:pt idx="8">
                  <c:v>0.75438596491228072</c:v>
                </c:pt>
                <c:pt idx="9">
                  <c:v>0.70175438596491224</c:v>
                </c:pt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E-4F38-B132-8C659EC65C88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('SF7 500'!$V$4:$V$5,'SF7 500'!$V$7:$V$12,'SF7 500'!$V$14:$V$15,'SF7 500'!$V$17)</c:f>
              <c:numCache>
                <c:formatCode>General</c:formatCode>
                <c:ptCount val="11"/>
                <c:pt idx="0">
                  <c:v>160</c:v>
                </c:pt>
                <c:pt idx="1">
                  <c:v>162</c:v>
                </c:pt>
                <c:pt idx="2">
                  <c:v>166</c:v>
                </c:pt>
                <c:pt idx="3">
                  <c:v>168</c:v>
                </c:pt>
                <c:pt idx="4">
                  <c:v>170</c:v>
                </c:pt>
                <c:pt idx="5">
                  <c:v>172</c:v>
                </c:pt>
                <c:pt idx="6">
                  <c:v>174</c:v>
                </c:pt>
                <c:pt idx="7">
                  <c:v>176</c:v>
                </c:pt>
                <c:pt idx="8">
                  <c:v>180</c:v>
                </c:pt>
                <c:pt idx="9">
                  <c:v>182</c:v>
                </c:pt>
                <c:pt idx="10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'SF7 500'!$X$4:$X$34</c15:sqref>
                  </c15:fullRef>
                </c:ext>
              </c:extLst>
              <c:f>('SF7 500'!$X$4:$X$5,'SF7 500'!$X$7:$X$12,'SF7 500'!$X$14:$X$15,'SF7 500'!$X$17)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1.7543859649122806E-2</c:v>
                </c:pt>
                <c:pt idx="5">
                  <c:v>1.7543859649122806E-2</c:v>
                </c:pt>
                <c:pt idx="6">
                  <c:v>1.7543859649122806E-2</c:v>
                </c:pt>
                <c:pt idx="7">
                  <c:v>1.7543859649122806E-2</c:v>
                </c:pt>
                <c:pt idx="8">
                  <c:v>0</c:v>
                </c:pt>
                <c:pt idx="9">
                  <c:v>1.7543859649122806E-2</c:v>
                </c:pt>
                <c:pt idx="10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2E-4F38-B132-8C659EC65C88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160</c:v>
              </c:pt>
              <c:pt idx="1">
                <c:v>162</c:v>
              </c:pt>
              <c:pt idx="2">
                <c:v>166</c:v>
              </c:pt>
              <c:pt idx="3">
                <c:v>168</c:v>
              </c:pt>
              <c:pt idx="4">
                <c:v>170</c:v>
              </c:pt>
              <c:pt idx="5">
                <c:v>172</c:v>
              </c:pt>
              <c:pt idx="6">
                <c:v>174</c:v>
              </c:pt>
              <c:pt idx="7">
                <c:v>176</c:v>
              </c:pt>
              <c:pt idx="8">
                <c:v>180</c:v>
              </c:pt>
              <c:pt idx="9">
                <c:v>182</c:v>
              </c:pt>
              <c:pt idx="10">
                <c:v>186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'SF7 500'!$AB$4:$AB$34</c15:sqref>
                  </c15:fullRef>
                </c:ext>
              </c:extLst>
              <c:f>('SF7 500'!$AB$4:$AB$5,'SF7 500'!$AB$7:$AB$12,'SF7 500'!$AB$14:$AB$15,'SF7 500'!$AB$17)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3.5087719298245612E-2</c:v>
                </c:pt>
                <c:pt idx="5">
                  <c:v>1.7543859649122806E-2</c:v>
                </c:pt>
                <c:pt idx="6">
                  <c:v>7.0175438596491224E-2</c:v>
                </c:pt>
                <c:pt idx="7">
                  <c:v>5.2631578947368418E-2</c:v>
                </c:pt>
                <c:pt idx="8">
                  <c:v>0</c:v>
                </c:pt>
                <c:pt idx="9">
                  <c:v>3.5087719298245612E-2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2E-4F38-B132-8C659EC65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'SF7 500'!$V$4:$V$17</c:f>
              <c:numCache>
                <c:formatCode>General</c:formatCode>
                <c:ptCount val="14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  <c:pt idx="6">
                  <c:v>172</c:v>
                </c:pt>
                <c:pt idx="7">
                  <c:v>174</c:v>
                </c:pt>
                <c:pt idx="8">
                  <c:v>176</c:v>
                </c:pt>
                <c:pt idx="9">
                  <c:v>178</c:v>
                </c:pt>
                <c:pt idx="10">
                  <c:v>180</c:v>
                </c:pt>
                <c:pt idx="11">
                  <c:v>182</c:v>
                </c:pt>
                <c:pt idx="12">
                  <c:v>184</c:v>
                </c:pt>
                <c:pt idx="13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'SF7 500'!$Y$4:$Y$34</c15:sqref>
                  </c15:fullRef>
                </c:ext>
              </c:extLst>
              <c:f>'SF7 500'!$Y$4:$Y$17</c:f>
              <c:numCache>
                <c:formatCode>General</c:formatCode>
                <c:ptCount val="14"/>
                <c:pt idx="0">
                  <c:v>-112.85964912280701</c:v>
                </c:pt>
                <c:pt idx="1">
                  <c:v>-112.91228070175438</c:v>
                </c:pt>
                <c:pt idx="2">
                  <c:v>-113.87719298245614</c:v>
                </c:pt>
                <c:pt idx="3">
                  <c:v>-113.6140350877193</c:v>
                </c:pt>
                <c:pt idx="4">
                  <c:v>-113.70175438596492</c:v>
                </c:pt>
                <c:pt idx="5">
                  <c:v>-113.40350877192982</c:v>
                </c:pt>
                <c:pt idx="6">
                  <c:v>-113.59649122807018</c:v>
                </c:pt>
                <c:pt idx="7">
                  <c:v>-113.63157894736842</c:v>
                </c:pt>
                <c:pt idx="8">
                  <c:v>-113.35087719298245</c:v>
                </c:pt>
                <c:pt idx="9">
                  <c:v>-113.59649122807018</c:v>
                </c:pt>
                <c:pt idx="10">
                  <c:v>-113.59649122807018</c:v>
                </c:pt>
                <c:pt idx="11">
                  <c:v>-113.75438596491227</c:v>
                </c:pt>
                <c:pt idx="12">
                  <c:v>-113.19642857142857</c:v>
                </c:pt>
                <c:pt idx="13">
                  <c:v>-114.29824561403508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0-40A4-8411-0A999D6C12DB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'SF7 500'!$V$4:$V$17</c:f>
              <c:numCache>
                <c:formatCode>General</c:formatCode>
                <c:ptCount val="14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  <c:pt idx="6">
                  <c:v>172</c:v>
                </c:pt>
                <c:pt idx="7">
                  <c:v>174</c:v>
                </c:pt>
                <c:pt idx="8">
                  <c:v>176</c:v>
                </c:pt>
                <c:pt idx="9">
                  <c:v>178</c:v>
                </c:pt>
                <c:pt idx="10">
                  <c:v>180</c:v>
                </c:pt>
                <c:pt idx="11">
                  <c:v>182</c:v>
                </c:pt>
                <c:pt idx="12">
                  <c:v>184</c:v>
                </c:pt>
                <c:pt idx="13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'SF7 500'!$AC$4:$AC$34</c15:sqref>
                  </c15:fullRef>
                </c:ext>
              </c:extLst>
              <c:f>'SF7 500'!$AC$4:$AC$17</c:f>
              <c:numCache>
                <c:formatCode>General</c:formatCode>
                <c:ptCount val="14"/>
                <c:pt idx="0">
                  <c:v>-112.82456140350877</c:v>
                </c:pt>
                <c:pt idx="1">
                  <c:v>-112.92982456140351</c:v>
                </c:pt>
                <c:pt idx="2">
                  <c:v>-113.71929824561404</c:v>
                </c:pt>
                <c:pt idx="3">
                  <c:v>-113.64912280701755</c:v>
                </c:pt>
                <c:pt idx="4">
                  <c:v>-113.56140350877193</c:v>
                </c:pt>
                <c:pt idx="5">
                  <c:v>-113.6140350877193</c:v>
                </c:pt>
                <c:pt idx="6">
                  <c:v>-113.54385964912281</c:v>
                </c:pt>
                <c:pt idx="7">
                  <c:v>-113.71929824561404</c:v>
                </c:pt>
                <c:pt idx="8">
                  <c:v>-113.7719298245614</c:v>
                </c:pt>
                <c:pt idx="9">
                  <c:v>-113.66666666666667</c:v>
                </c:pt>
                <c:pt idx="10">
                  <c:v>-113.78947368421052</c:v>
                </c:pt>
                <c:pt idx="11">
                  <c:v>-113.43859649122807</c:v>
                </c:pt>
                <c:pt idx="12">
                  <c:v>-114.14035087719299</c:v>
                </c:pt>
                <c:pt idx="13">
                  <c:v>-114.82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0-40A4-8411-0A999D6C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('SF7 500'!$V$4:$V$7,'SF7 500'!$V$9:$V$17)</c:f>
              <c:numCache>
                <c:formatCode>General</c:formatCode>
                <c:ptCount val="13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170</c:v>
                </c:pt>
                <c:pt idx="5">
                  <c:v>172</c:v>
                </c:pt>
                <c:pt idx="6">
                  <c:v>174</c:v>
                </c:pt>
                <c:pt idx="7">
                  <c:v>176</c:v>
                </c:pt>
                <c:pt idx="8">
                  <c:v>178</c:v>
                </c:pt>
                <c:pt idx="9">
                  <c:v>180</c:v>
                </c:pt>
                <c:pt idx="10">
                  <c:v>182</c:v>
                </c:pt>
                <c:pt idx="11">
                  <c:v>184</c:v>
                </c:pt>
                <c:pt idx="12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'SF7 500'!$Z$4:$Z$34</c15:sqref>
                  </c15:fullRef>
                </c:ext>
              </c:extLst>
              <c:f>('SF7 500'!$Z$4:$Z$7,'SF7 500'!$Z$9:$Z$17)</c:f>
              <c:numCache>
                <c:formatCode>General</c:formatCode>
                <c:ptCount val="13"/>
                <c:pt idx="0">
                  <c:v>-7.6736842105263134</c:v>
                </c:pt>
                <c:pt idx="1">
                  <c:v>-7.6491228070175419</c:v>
                </c:pt>
                <c:pt idx="2">
                  <c:v>-8.59649122807018</c:v>
                </c:pt>
                <c:pt idx="3">
                  <c:v>-8.3701754385964939</c:v>
                </c:pt>
                <c:pt idx="4">
                  <c:v>-8.3684210526315805</c:v>
                </c:pt>
                <c:pt idx="5">
                  <c:v>-8.4543859649122819</c:v>
                </c:pt>
                <c:pt idx="6">
                  <c:v>-8.5210526315789483</c:v>
                </c:pt>
                <c:pt idx="7">
                  <c:v>-8.4842105263157936</c:v>
                </c:pt>
                <c:pt idx="8">
                  <c:v>-8.445614035087722</c:v>
                </c:pt>
                <c:pt idx="9">
                  <c:v>-8.4403508771929854</c:v>
                </c:pt>
                <c:pt idx="10">
                  <c:v>-8.5385964912280734</c:v>
                </c:pt>
                <c:pt idx="11">
                  <c:v>-9.0607142857142922</c:v>
                </c:pt>
                <c:pt idx="12">
                  <c:v>-9.2842105263157944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8-4EE5-B238-EC314A9AA581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'SF7 500'!$V$4:$V$34</c15:sqref>
                  </c15:fullRef>
                </c:ext>
              </c:extLst>
              <c:f>('SF7 500'!$V$4:$V$7,'SF7 500'!$V$9:$V$17)</c:f>
              <c:numCache>
                <c:formatCode>General</c:formatCode>
                <c:ptCount val="13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170</c:v>
                </c:pt>
                <c:pt idx="5">
                  <c:v>172</c:v>
                </c:pt>
                <c:pt idx="6">
                  <c:v>174</c:v>
                </c:pt>
                <c:pt idx="7">
                  <c:v>176</c:v>
                </c:pt>
                <c:pt idx="8">
                  <c:v>178</c:v>
                </c:pt>
                <c:pt idx="9">
                  <c:v>180</c:v>
                </c:pt>
                <c:pt idx="10">
                  <c:v>182</c:v>
                </c:pt>
                <c:pt idx="11">
                  <c:v>184</c:v>
                </c:pt>
                <c:pt idx="12">
                  <c:v>186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'SF7 500'!$AD$4:$AD$34</c15:sqref>
                  </c15:fullRef>
                </c:ext>
              </c:extLst>
              <c:f>('SF7 500'!$AD$4:$AD$7,'SF7 500'!$AD$9:$AD$17)</c:f>
              <c:numCache>
                <c:formatCode>General</c:formatCode>
                <c:ptCount val="13"/>
                <c:pt idx="0">
                  <c:v>-7.8122807017543856</c:v>
                </c:pt>
                <c:pt idx="1">
                  <c:v>-7.7789473684210506</c:v>
                </c:pt>
                <c:pt idx="2">
                  <c:v>-8.6701754385964929</c:v>
                </c:pt>
                <c:pt idx="3">
                  <c:v>-8.7070175438596529</c:v>
                </c:pt>
                <c:pt idx="4">
                  <c:v>-8.5894736842105299</c:v>
                </c:pt>
                <c:pt idx="5">
                  <c:v>-8.6631578947368464</c:v>
                </c:pt>
                <c:pt idx="6">
                  <c:v>-8.6596491228070214</c:v>
                </c:pt>
                <c:pt idx="7">
                  <c:v>-8.5701754385964932</c:v>
                </c:pt>
                <c:pt idx="8">
                  <c:v>-8.5947368421052666</c:v>
                </c:pt>
                <c:pt idx="9">
                  <c:v>-8.5543859649122869</c:v>
                </c:pt>
                <c:pt idx="10">
                  <c:v>-8.6456140350877231</c:v>
                </c:pt>
                <c:pt idx="11">
                  <c:v>-9.1666666666666714</c:v>
                </c:pt>
                <c:pt idx="12">
                  <c:v>-9.7000000000000028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8-4EE5-B238-EC314A9A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'SF12 125'!$V$5:$V$8</c:f>
              <c:numCache>
                <c:formatCode>General</c:formatCode>
                <c:ptCount val="4"/>
                <c:pt idx="0">
                  <c:v>502</c:v>
                </c:pt>
                <c:pt idx="1">
                  <c:v>504</c:v>
                </c:pt>
                <c:pt idx="2">
                  <c:v>506</c:v>
                </c:pt>
                <c:pt idx="3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'SF12 125'!$W$4:$W$34</c15:sqref>
                  </c15:fullRef>
                </c:ext>
              </c:extLst>
              <c:f>'SF12 125'!$W$5:$W$8</c:f>
              <c:numCache>
                <c:formatCode>0.00%</c:formatCode>
                <c:ptCount val="4"/>
                <c:pt idx="0">
                  <c:v>0.91666666666666663</c:v>
                </c:pt>
                <c:pt idx="1">
                  <c:v>0.91666666666666663</c:v>
                </c:pt>
                <c:pt idx="2">
                  <c:v>0.91666666666666663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3-4104-8D44-9A2724451BDD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'SF12 125'!$V$5:$V$8</c:f>
              <c:numCache>
                <c:formatCode>General</c:formatCode>
                <c:ptCount val="4"/>
                <c:pt idx="0">
                  <c:v>502</c:v>
                </c:pt>
                <c:pt idx="1">
                  <c:v>504</c:v>
                </c:pt>
                <c:pt idx="2">
                  <c:v>506</c:v>
                </c:pt>
                <c:pt idx="3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'SF12 125'!$AA$4:$AA$34</c15:sqref>
                  </c15:fullRef>
                </c:ext>
              </c:extLst>
              <c:f>'SF12 125'!$AA$5:$AA$8</c:f>
              <c:numCache>
                <c:formatCode>0.00%</c:formatCode>
                <c:ptCount val="4"/>
                <c:pt idx="0">
                  <c:v>0.91666666666666663</c:v>
                </c:pt>
                <c:pt idx="1">
                  <c:v>0.83333333333333337</c:v>
                </c:pt>
                <c:pt idx="2">
                  <c:v>0.75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3-4104-8D44-9A2724451BDD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'SF12 125'!$V$5:$V$8</c:f>
              <c:numCache>
                <c:formatCode>General</c:formatCode>
                <c:ptCount val="4"/>
                <c:pt idx="0">
                  <c:v>502</c:v>
                </c:pt>
                <c:pt idx="1">
                  <c:v>504</c:v>
                </c:pt>
                <c:pt idx="2">
                  <c:v>506</c:v>
                </c:pt>
                <c:pt idx="3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'SF12 125'!$X$4:$X$34</c15:sqref>
                  </c15:fullRef>
                </c:ext>
              </c:extLst>
              <c:f>'SF12 125'!$X$5:$X$8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8.3333333333333329E-2</c:v>
                </c:pt>
                <c:pt idx="3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C3-4104-8D44-9A2724451BDD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502</c:v>
              </c:pt>
              <c:pt idx="1">
                <c:v>504</c:v>
              </c:pt>
              <c:pt idx="2">
                <c:v>506</c:v>
              </c:pt>
              <c:pt idx="3">
                <c:v>508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'SF12 125'!$AB$4:$AB$34</c15:sqref>
                  </c15:fullRef>
                </c:ext>
              </c:extLst>
              <c:f>'SF12 125'!$AB$5:$AB$8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C3-4104-8D44-9A272445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'SF12 125'!$V$4:$V$8</c:f>
              <c:numCache>
                <c:formatCode>General</c:formatCode>
                <c:ptCount val="5"/>
                <c:pt idx="0">
                  <c:v>500</c:v>
                </c:pt>
                <c:pt idx="1">
                  <c:v>502</c:v>
                </c:pt>
                <c:pt idx="2">
                  <c:v>504</c:v>
                </c:pt>
                <c:pt idx="3">
                  <c:v>506</c:v>
                </c:pt>
                <c:pt idx="4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'SF12 125'!$Y$4:$Y$34</c15:sqref>
                  </c15:fullRef>
                </c:ext>
              </c:extLst>
              <c:f>'SF12 125'!$Y$4:$Y$8</c:f>
              <c:numCache>
                <c:formatCode>General</c:formatCode>
                <c:ptCount val="5"/>
                <c:pt idx="0">
                  <c:v>-126</c:v>
                </c:pt>
                <c:pt idx="1">
                  <c:v>-127.5</c:v>
                </c:pt>
                <c:pt idx="2">
                  <c:v>-127.5</c:v>
                </c:pt>
                <c:pt idx="3">
                  <c:v>-127.5</c:v>
                </c:pt>
                <c:pt idx="4">
                  <c:v>-127.5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F-49CA-9916-50FDCE2DAD86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'SF12 125'!$V$4:$V$8</c:f>
              <c:numCache>
                <c:formatCode>General</c:formatCode>
                <c:ptCount val="5"/>
                <c:pt idx="0">
                  <c:v>500</c:v>
                </c:pt>
                <c:pt idx="1">
                  <c:v>502</c:v>
                </c:pt>
                <c:pt idx="2">
                  <c:v>504</c:v>
                </c:pt>
                <c:pt idx="3">
                  <c:v>506</c:v>
                </c:pt>
                <c:pt idx="4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'SF12 125'!$AC$4:$AC$34</c15:sqref>
                  </c15:fullRef>
                </c:ext>
              </c:extLst>
              <c:f>'SF12 125'!$AC$4:$AC$8</c:f>
              <c:numCache>
                <c:formatCode>General</c:formatCode>
                <c:ptCount val="5"/>
                <c:pt idx="0">
                  <c:v>-126</c:v>
                </c:pt>
                <c:pt idx="1">
                  <c:v>-127.54166666666667</c:v>
                </c:pt>
                <c:pt idx="2">
                  <c:v>-127.58333333333333</c:v>
                </c:pt>
                <c:pt idx="3">
                  <c:v>-127.66666666666667</c:v>
                </c:pt>
                <c:pt idx="4">
                  <c:v>-129.75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F-49CA-9916-50FDCE2DA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'SF12 125'!$V$4:$V$8</c:f>
              <c:numCache>
                <c:formatCode>General</c:formatCode>
                <c:ptCount val="5"/>
                <c:pt idx="0">
                  <c:v>500</c:v>
                </c:pt>
                <c:pt idx="1">
                  <c:v>502</c:v>
                </c:pt>
                <c:pt idx="2">
                  <c:v>504</c:v>
                </c:pt>
                <c:pt idx="3">
                  <c:v>506</c:v>
                </c:pt>
                <c:pt idx="4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'SF12 125'!$Z$4:$Z$34</c15:sqref>
                  </c15:fullRef>
                </c:ext>
              </c:extLst>
              <c:f>'SF12 125'!$Z$4:$Z$8</c:f>
              <c:numCache>
                <c:formatCode>General</c:formatCode>
                <c:ptCount val="5"/>
                <c:pt idx="0">
                  <c:v>-10.949999999999998</c:v>
                </c:pt>
                <c:pt idx="1">
                  <c:v>-13.558333333333335</c:v>
                </c:pt>
                <c:pt idx="2">
                  <c:v>-16.375</c:v>
                </c:pt>
                <c:pt idx="3">
                  <c:v>-18.675000000000001</c:v>
                </c:pt>
                <c:pt idx="4">
                  <c:v>-18.800000000000004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4-49B0-9BDE-D26ED8D8F2C2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'SF12 125'!$V$4:$V$34</c15:sqref>
                  </c15:fullRef>
                </c:ext>
              </c:extLst>
              <c:f>'SF12 125'!$V$4:$V$8</c:f>
              <c:numCache>
                <c:formatCode>General</c:formatCode>
                <c:ptCount val="5"/>
                <c:pt idx="0">
                  <c:v>500</c:v>
                </c:pt>
                <c:pt idx="1">
                  <c:v>502</c:v>
                </c:pt>
                <c:pt idx="2">
                  <c:v>504</c:v>
                </c:pt>
                <c:pt idx="3">
                  <c:v>506</c:v>
                </c:pt>
                <c:pt idx="4">
                  <c:v>508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'SF12 125'!$AD$4:$AD$34</c15:sqref>
                  </c15:fullRef>
                </c:ext>
              </c:extLst>
              <c:f>'SF12 125'!$AD$4:$AD$8</c:f>
              <c:numCache>
                <c:formatCode>General</c:formatCode>
                <c:ptCount val="5"/>
                <c:pt idx="0">
                  <c:v>-11.058333333333332</c:v>
                </c:pt>
                <c:pt idx="1">
                  <c:v>-13.941666666666668</c:v>
                </c:pt>
                <c:pt idx="2">
                  <c:v>-16.466666666666669</c:v>
                </c:pt>
                <c:pt idx="3">
                  <c:v>-18.916666666666668</c:v>
                </c:pt>
                <c:pt idx="4">
                  <c:v>-20.75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4-49B0-9BDE-D26ED8D8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and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Goodput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('SF12 500'!$V$4:$V$10,'SF12 500'!$V$12:$V$15)</c:f>
              <c:numCache>
                <c:formatCode>General</c:formatCode>
                <c:ptCount val="11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496</c:v>
                </c:pt>
                <c:pt idx="8">
                  <c:v>498</c:v>
                </c:pt>
                <c:pt idx="9">
                  <c:v>500</c:v>
                </c:pt>
                <c:pt idx="10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'SF12 500'!$W$4:$W$34</c15:sqref>
                  </c15:fullRef>
                </c:ext>
              </c:extLst>
              <c:f>('SF12 500'!$W$4:$W$10,'SF12 500'!$W$12:$W$15)</c:f>
              <c:numCache>
                <c:formatCode>0.00%</c:formatCode>
                <c:ptCount val="11"/>
                <c:pt idx="0">
                  <c:v>1</c:v>
                </c:pt>
                <c:pt idx="1">
                  <c:v>0.97222222222222221</c:v>
                </c:pt>
                <c:pt idx="2">
                  <c:v>0.97297297297297303</c:v>
                </c:pt>
                <c:pt idx="3">
                  <c:v>0.94444444444444442</c:v>
                </c:pt>
                <c:pt idx="4">
                  <c:v>0.94444444444444442</c:v>
                </c:pt>
                <c:pt idx="5">
                  <c:v>0.97222222222222221</c:v>
                </c:pt>
                <c:pt idx="6">
                  <c:v>0.94444444444444442</c:v>
                </c:pt>
                <c:pt idx="7">
                  <c:v>0.97222222222222221</c:v>
                </c:pt>
                <c:pt idx="8">
                  <c:v>0.97222222222222221</c:v>
                </c:pt>
                <c:pt idx="9">
                  <c:v>0.94444444444444442</c:v>
                </c:pt>
                <c:pt idx="10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139-B981-8C77138AA5EC}"/>
            </c:ext>
          </c:extLst>
        </c:ser>
        <c:ser>
          <c:idx val="1"/>
          <c:order val="1"/>
          <c:tx>
            <c:v>Jammed Goodput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('SF12 500'!$V$4:$V$10,'SF12 500'!$V$12:$V$15)</c:f>
              <c:numCache>
                <c:formatCode>General</c:formatCode>
                <c:ptCount val="11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496</c:v>
                </c:pt>
                <c:pt idx="8">
                  <c:v>498</c:v>
                </c:pt>
                <c:pt idx="9">
                  <c:v>500</c:v>
                </c:pt>
                <c:pt idx="10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'SF12 500'!$AA$4:$AA$34</c15:sqref>
                  </c15:fullRef>
                </c:ext>
              </c:extLst>
              <c:f>('SF12 500'!$AA$4:$AA$10,'SF12 500'!$AA$12:$AA$15)</c:f>
              <c:numCache>
                <c:formatCode>0.00%</c:formatCode>
                <c:ptCount val="11"/>
                <c:pt idx="0">
                  <c:v>1</c:v>
                </c:pt>
                <c:pt idx="1">
                  <c:v>0.97222222222222221</c:v>
                </c:pt>
                <c:pt idx="2">
                  <c:v>0.97222222222222221</c:v>
                </c:pt>
                <c:pt idx="3">
                  <c:v>1</c:v>
                </c:pt>
                <c:pt idx="4">
                  <c:v>0.97222222222222221</c:v>
                </c:pt>
                <c:pt idx="5">
                  <c:v>0.97222222222222221</c:v>
                </c:pt>
                <c:pt idx="6">
                  <c:v>0.97222222222222221</c:v>
                </c:pt>
                <c:pt idx="7">
                  <c:v>0.94444444444444442</c:v>
                </c:pt>
                <c:pt idx="8">
                  <c:v>0.94444444444444442</c:v>
                </c:pt>
                <c:pt idx="9">
                  <c:v>0.80555555555555558</c:v>
                </c:pt>
                <c:pt idx="10">
                  <c:v>0.13043478260869565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1-4139-B981-8C77138AA5EC}"/>
            </c:ext>
          </c:extLst>
        </c:ser>
        <c:ser>
          <c:idx val="2"/>
          <c:order val="2"/>
          <c:tx>
            <c:v>No Jam Error Rate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('SF12 500'!$V$4:$V$10,'SF12 500'!$V$12:$V$15)</c:f>
              <c:numCache>
                <c:formatCode>General</c:formatCode>
                <c:ptCount val="11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496</c:v>
                </c:pt>
                <c:pt idx="8">
                  <c:v>498</c:v>
                </c:pt>
                <c:pt idx="9">
                  <c:v>500</c:v>
                </c:pt>
                <c:pt idx="10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'SF12 500'!$X$4:$X$34</c15:sqref>
                  </c15:fullRef>
                </c:ext>
              </c:extLst>
              <c:f>('SF12 500'!$X$4:$X$10,'SF12 500'!$X$12:$X$15)</c:f>
              <c:numCache>
                <c:formatCode>0.00%</c:formatCode>
                <c:ptCount val="11"/>
                <c:pt idx="0">
                  <c:v>0</c:v>
                </c:pt>
                <c:pt idx="1">
                  <c:v>2.7777777777777776E-2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2.7777777777777776E-2</c:v>
                </c:pt>
                <c:pt idx="10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1-4139-B981-8C77138AA5EC}"/>
            </c:ext>
          </c:extLst>
        </c:ser>
        <c:ser>
          <c:idx val="3"/>
          <c:order val="3"/>
          <c:tx>
            <c:v>Jam Error Rate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480</c:v>
              </c:pt>
              <c:pt idx="1">
                <c:v>482</c:v>
              </c:pt>
              <c:pt idx="2">
                <c:v>484</c:v>
              </c:pt>
              <c:pt idx="3">
                <c:v>486</c:v>
              </c:pt>
              <c:pt idx="4">
                <c:v>488</c:v>
              </c:pt>
              <c:pt idx="5">
                <c:v>490</c:v>
              </c:pt>
              <c:pt idx="6">
                <c:v>492</c:v>
              </c:pt>
              <c:pt idx="7">
                <c:v>496</c:v>
              </c:pt>
              <c:pt idx="8">
                <c:v>498</c:v>
              </c:pt>
              <c:pt idx="9">
                <c:v>500</c:v>
              </c:pt>
              <c:pt idx="10">
                <c:v>502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'SF12 500'!$AB$4:$AB$34</c15:sqref>
                  </c15:fullRef>
                </c:ext>
              </c:extLst>
              <c:f>('SF12 500'!$AB$4:$AB$10,'SF12 500'!$AB$12:$AB$15)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1-4139-B981-8C77138AA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Successful Packet</a:t>
                </a:r>
                <a:r>
                  <a:rPr lang="en-US" baseline="0"/>
                  <a:t> ACK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RSSI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RSSI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'SF12 500'!$V$4:$V$15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'SF12 500'!$Y$4:$Y$34</c15:sqref>
                  </c15:fullRef>
                </c:ext>
              </c:extLst>
              <c:f>'SF12 500'!$Y$4:$Y$15</c:f>
              <c:numCache>
                <c:formatCode>General</c:formatCode>
                <c:ptCount val="12"/>
                <c:pt idx="0">
                  <c:v>-123.16666666666667</c:v>
                </c:pt>
                <c:pt idx="1">
                  <c:v>-123.30555555555556</c:v>
                </c:pt>
                <c:pt idx="2">
                  <c:v>-123.29729729729729</c:v>
                </c:pt>
                <c:pt idx="3">
                  <c:v>-123.33333333333333</c:v>
                </c:pt>
                <c:pt idx="4">
                  <c:v>-123.22222222222223</c:v>
                </c:pt>
                <c:pt idx="5">
                  <c:v>-123.38888888888889</c:v>
                </c:pt>
                <c:pt idx="6">
                  <c:v>-123.25</c:v>
                </c:pt>
                <c:pt idx="7">
                  <c:v>-123.33333333333333</c:v>
                </c:pt>
                <c:pt idx="8">
                  <c:v>-123.30555555555556</c:v>
                </c:pt>
                <c:pt idx="9">
                  <c:v>-123.27777777777777</c:v>
                </c:pt>
                <c:pt idx="10">
                  <c:v>-125.08333333333333</c:v>
                </c:pt>
                <c:pt idx="11">
                  <c:v>-127.06944444444444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4-4CB2-86E9-7602E0EB388B}"/>
            </c:ext>
          </c:extLst>
        </c:ser>
        <c:ser>
          <c:idx val="1"/>
          <c:order val="1"/>
          <c:tx>
            <c:v>Jam RSSI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'SF12 500'!$V$4:$V$15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'SF12 500'!$AC$4:$AC$34</c15:sqref>
                  </c15:fullRef>
                </c:ext>
              </c:extLst>
              <c:f>'SF12 500'!$AC$4:$AC$15</c:f>
              <c:numCache>
                <c:formatCode>General</c:formatCode>
                <c:ptCount val="12"/>
                <c:pt idx="0">
                  <c:v>-123.19444444444444</c:v>
                </c:pt>
                <c:pt idx="1">
                  <c:v>-123.27777777777777</c:v>
                </c:pt>
                <c:pt idx="2">
                  <c:v>-123.25</c:v>
                </c:pt>
                <c:pt idx="3">
                  <c:v>-123.38888888888889</c:v>
                </c:pt>
                <c:pt idx="4">
                  <c:v>-123.27777777777777</c:v>
                </c:pt>
                <c:pt idx="5">
                  <c:v>-123.41666666666667</c:v>
                </c:pt>
                <c:pt idx="6">
                  <c:v>-123.30555555555556</c:v>
                </c:pt>
                <c:pt idx="7">
                  <c:v>-123.33333333333333</c:v>
                </c:pt>
                <c:pt idx="8">
                  <c:v>-123.47222222222223</c:v>
                </c:pt>
                <c:pt idx="9">
                  <c:v>-123.30555555555556</c:v>
                </c:pt>
                <c:pt idx="10">
                  <c:v>-124.75</c:v>
                </c:pt>
                <c:pt idx="11">
                  <c:v>-125.95652173913044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4-4CB2-86E9-7602E0EB3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  <c:max val="-1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and SNR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Jam SNR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'SF12 500'!$V$4:$V$15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'SF12 500'!$Z$4:$Z$34</c15:sqref>
                  </c15:fullRef>
                </c:ext>
              </c:extLst>
              <c:f>'SF12 500'!$Z$4:$Z$15</c:f>
              <c:numCache>
                <c:formatCode>General</c:formatCode>
                <c:ptCount val="12"/>
                <c:pt idx="0">
                  <c:v>-18.93055555555555</c:v>
                </c:pt>
                <c:pt idx="1">
                  <c:v>-19.030555555555551</c:v>
                </c:pt>
                <c:pt idx="2">
                  <c:v>-18.940540540540532</c:v>
                </c:pt>
                <c:pt idx="3">
                  <c:v>-19.149999999999991</c:v>
                </c:pt>
                <c:pt idx="4">
                  <c:v>-19.027777777777775</c:v>
                </c:pt>
                <c:pt idx="5">
                  <c:v>-18.99444444444444</c:v>
                </c:pt>
                <c:pt idx="6">
                  <c:v>-18.972222222222214</c:v>
                </c:pt>
                <c:pt idx="7">
                  <c:v>-18.894444444444446</c:v>
                </c:pt>
                <c:pt idx="8">
                  <c:v>-18.849999999999998</c:v>
                </c:pt>
                <c:pt idx="9">
                  <c:v>-18.969444444444441</c:v>
                </c:pt>
                <c:pt idx="10">
                  <c:v>-20.700000000000003</c:v>
                </c:pt>
                <c:pt idx="11">
                  <c:v>-22.402777777777779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7-4F9B-8C78-C45E8A56E221}"/>
            </c:ext>
          </c:extLst>
        </c:ser>
        <c:ser>
          <c:idx val="1"/>
          <c:order val="1"/>
          <c:tx>
            <c:v>Jam 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'SF12 500'!$V$4:$V$34</c15:sqref>
                  </c15:fullRef>
                </c:ext>
              </c:extLst>
              <c:f>'SF12 500'!$V$4:$V$15</c:f>
              <c:numCache>
                <c:formatCode>General</c:formatCode>
                <c:ptCount val="12"/>
                <c:pt idx="0">
                  <c:v>480</c:v>
                </c:pt>
                <c:pt idx="1">
                  <c:v>482</c:v>
                </c:pt>
                <c:pt idx="2">
                  <c:v>484</c:v>
                </c:pt>
                <c:pt idx="3">
                  <c:v>486</c:v>
                </c:pt>
                <c:pt idx="4">
                  <c:v>488</c:v>
                </c:pt>
                <c:pt idx="5">
                  <c:v>490</c:v>
                </c:pt>
                <c:pt idx="6">
                  <c:v>492</c:v>
                </c:pt>
                <c:pt idx="7">
                  <c:v>494</c:v>
                </c:pt>
                <c:pt idx="8">
                  <c:v>496</c:v>
                </c:pt>
                <c:pt idx="9">
                  <c:v>498</c:v>
                </c:pt>
                <c:pt idx="10">
                  <c:v>500</c:v>
                </c:pt>
                <c:pt idx="11">
                  <c:v>502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'SF12 500'!$AD$4:$AD$34</c15:sqref>
                  </c15:fullRef>
                </c:ext>
              </c:extLst>
              <c:f>'SF12 500'!$AD$4:$AD$15</c:f>
              <c:numCache>
                <c:formatCode>General</c:formatCode>
                <c:ptCount val="12"/>
                <c:pt idx="0">
                  <c:v>-18.819444444444443</c:v>
                </c:pt>
                <c:pt idx="1">
                  <c:v>-18.924999999999997</c:v>
                </c:pt>
                <c:pt idx="2">
                  <c:v>-18.969444444444441</c:v>
                </c:pt>
                <c:pt idx="3">
                  <c:v>-19.099999999999998</c:v>
                </c:pt>
                <c:pt idx="4">
                  <c:v>-18.852777777777774</c:v>
                </c:pt>
                <c:pt idx="5">
                  <c:v>-19.083333333333329</c:v>
                </c:pt>
                <c:pt idx="6">
                  <c:v>-19.080555555555556</c:v>
                </c:pt>
                <c:pt idx="7">
                  <c:v>-19.177777777777774</c:v>
                </c:pt>
                <c:pt idx="8">
                  <c:v>-18.938888888888886</c:v>
                </c:pt>
                <c:pt idx="9">
                  <c:v>-18.858333333333331</c:v>
                </c:pt>
                <c:pt idx="10">
                  <c:v>-20.522222222222222</c:v>
                </c:pt>
                <c:pt idx="11">
                  <c:v>-22.034782608695647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7-4F9B-8C78-C45E8A56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74544"/>
        <c:axId val="1391175024"/>
      </c:lineChart>
      <c:catAx>
        <c:axId val="139117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24"/>
        <c:crosses val="autoZero"/>
        <c:auto val="1"/>
        <c:lblAlgn val="ctr"/>
        <c:lblOffset val="100"/>
        <c:noMultiLvlLbl val="0"/>
      </c:catAx>
      <c:valAx>
        <c:axId val="1391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47625</xdr:colOff>
      <xdr:row>1</xdr:row>
      <xdr:rowOff>33336</xdr:rowOff>
    </xdr:from>
    <xdr:to>
      <xdr:col>45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73E32-9F7E-DA7B-1632-FAAA76C05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28575</xdr:colOff>
      <xdr:row>29</xdr:row>
      <xdr:rowOff>19051</xdr:rowOff>
    </xdr:from>
    <xdr:to>
      <xdr:col>45</xdr:col>
      <xdr:colOff>257175</xdr:colOff>
      <xdr:row>52</xdr:row>
      <xdr:rowOff>161926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4439AD-81E6-45B9-A9FC-7365EBFF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56</xdr:row>
      <xdr:rowOff>0</xdr:rowOff>
    </xdr:from>
    <xdr:to>
      <xdr:col>45</xdr:col>
      <xdr:colOff>228600</xdr:colOff>
      <xdr:row>79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4A3FFC-C60E-4B7B-8D4B-E76531166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47625</xdr:colOff>
      <xdr:row>1</xdr:row>
      <xdr:rowOff>33336</xdr:rowOff>
    </xdr:from>
    <xdr:to>
      <xdr:col>46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F0FA9-DB4B-4C4F-ABA5-F6F6CB59E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28575</xdr:colOff>
      <xdr:row>29</xdr:row>
      <xdr:rowOff>19051</xdr:rowOff>
    </xdr:from>
    <xdr:to>
      <xdr:col>46</xdr:col>
      <xdr:colOff>257175</xdr:colOff>
      <xdr:row>52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90E5F6-F44C-4876-A0AF-7A210BDDC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56</xdr:row>
      <xdr:rowOff>0</xdr:rowOff>
    </xdr:from>
    <xdr:to>
      <xdr:col>46</xdr:col>
      <xdr:colOff>228600</xdr:colOff>
      <xdr:row>79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F2AA0-C4D8-4E85-83CD-6BACAB2D7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47625</xdr:colOff>
      <xdr:row>1</xdr:row>
      <xdr:rowOff>33336</xdr:rowOff>
    </xdr:from>
    <xdr:to>
      <xdr:col>46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B8320-D723-4B1A-B73D-DFC2FD696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28575</xdr:colOff>
      <xdr:row>29</xdr:row>
      <xdr:rowOff>19051</xdr:rowOff>
    </xdr:from>
    <xdr:to>
      <xdr:col>46</xdr:col>
      <xdr:colOff>257175</xdr:colOff>
      <xdr:row>52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3F5CD-973D-4E3A-867E-2291C6318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56</xdr:row>
      <xdr:rowOff>0</xdr:rowOff>
    </xdr:from>
    <xdr:to>
      <xdr:col>46</xdr:col>
      <xdr:colOff>228600</xdr:colOff>
      <xdr:row>79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14FEB5-D189-49E7-9324-51F76D436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47625</xdr:colOff>
      <xdr:row>1</xdr:row>
      <xdr:rowOff>33336</xdr:rowOff>
    </xdr:from>
    <xdr:to>
      <xdr:col>46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AFBE4-31BE-44D1-8C6F-64D037D24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28575</xdr:colOff>
      <xdr:row>29</xdr:row>
      <xdr:rowOff>19051</xdr:rowOff>
    </xdr:from>
    <xdr:to>
      <xdr:col>46</xdr:col>
      <xdr:colOff>257175</xdr:colOff>
      <xdr:row>52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0BB6F8-6993-48D4-8432-36AB3BD03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56</xdr:row>
      <xdr:rowOff>0</xdr:rowOff>
    </xdr:from>
    <xdr:to>
      <xdr:col>46</xdr:col>
      <xdr:colOff>228600</xdr:colOff>
      <xdr:row>79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B2AF6-E667-4F18-93C2-57ED62528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47625</xdr:colOff>
      <xdr:row>1</xdr:row>
      <xdr:rowOff>33336</xdr:rowOff>
    </xdr:from>
    <xdr:to>
      <xdr:col>46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9F9E1-5C0B-40E8-B511-AF3EFDE75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28575</xdr:colOff>
      <xdr:row>29</xdr:row>
      <xdr:rowOff>19051</xdr:rowOff>
    </xdr:from>
    <xdr:to>
      <xdr:col>46</xdr:col>
      <xdr:colOff>257175</xdr:colOff>
      <xdr:row>52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987AB-D7F0-4482-B4AE-EB21ABEA5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56</xdr:row>
      <xdr:rowOff>0</xdr:rowOff>
    </xdr:from>
    <xdr:to>
      <xdr:col>46</xdr:col>
      <xdr:colOff>228600</xdr:colOff>
      <xdr:row>79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676EE1-1275-4575-8CB4-5B4B93A2A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47625</xdr:colOff>
      <xdr:row>1</xdr:row>
      <xdr:rowOff>33336</xdr:rowOff>
    </xdr:from>
    <xdr:to>
      <xdr:col>46</xdr:col>
      <xdr:colOff>276225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72BF5-02B1-4A24-B13B-632154BF5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28575</xdr:colOff>
      <xdr:row>29</xdr:row>
      <xdr:rowOff>19051</xdr:rowOff>
    </xdr:from>
    <xdr:to>
      <xdr:col>46</xdr:col>
      <xdr:colOff>257175</xdr:colOff>
      <xdr:row>52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B8A120-639B-4294-9E8E-10699F239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56</xdr:row>
      <xdr:rowOff>0</xdr:rowOff>
    </xdr:from>
    <xdr:to>
      <xdr:col>46</xdr:col>
      <xdr:colOff>228600</xdr:colOff>
      <xdr:row>79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4469F0-415A-4AEE-A74B-B2CF10320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DD7C-424A-4F9A-BD08-109276856F2A}" name="Table1" displayName="Table1" ref="B3:H667" totalsRowShown="0">
  <autoFilter ref="B3:H667" xr:uid="{967BDD7C-424A-4F9A-BD08-109276856F2A}"/>
  <tableColumns count="7">
    <tableColumn id="1" xr3:uid="{4D8DDEC5-8779-4551-80D3-DF5BBD4AF7A8}" name="Range(nm)"/>
    <tableColumn id="7" xr3:uid="{B4C7B61E-65D8-4129-8AB9-A200B73EE1CD}" name="Column1" dataDxfId="46">
      <calculatedColumnFormula>MINUTE(Table1[[#This Row],[Time]])</calculatedColumnFormula>
    </tableColumn>
    <tableColumn id="2" xr3:uid="{2D82E389-89E5-43F2-A77E-0BFFE2EBA2FB}" name="Time" dataDxfId="45"/>
    <tableColumn id="3" xr3:uid="{4AF42C85-6483-4BB9-9AB4-8EBBDBD43916}" name="Type"/>
    <tableColumn id="4" xr3:uid="{F26BA353-8715-4FAA-90C1-1F0CE3D676FF}" name="RSSI"/>
    <tableColumn id="5" xr3:uid="{1927EE1E-7DD2-4D51-A22C-476443029741}" name="SNR"/>
    <tableColumn id="6" xr3:uid="{CC4474F1-E25B-4927-9944-B1A770673636}" name="AVG % (X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D2C28-5943-4935-9159-EE6FB5011B3D}" name="Table2" displayName="Table2" ref="K3:R667" totalsRowShown="0">
  <autoFilter ref="K3:R667" xr:uid="{747D2C28-5943-4935-9159-EE6FB5011B3D}"/>
  <tableColumns count="8">
    <tableColumn id="1" xr3:uid="{FB291E80-4EF2-410B-B569-2542C6B63E57}" name="Range(nm)" dataDxfId="44">
      <calculatedColumnFormula>400+2*(Table2[[#This Row],[Column1]]-13)</calculatedColumnFormula>
    </tableColumn>
    <tableColumn id="7" xr3:uid="{EFBD4AFC-2E4B-4072-878E-128FC0AA8AA8}" name="Column1" dataDxfId="43">
      <calculatedColumnFormula>MINUTE(Table2[[#This Row],[Time]])</calculatedColumnFormula>
    </tableColumn>
    <tableColumn id="2" xr3:uid="{E5BFAAEC-63FD-45CB-A328-0340CD770105}" name="Time" dataDxfId="42"/>
    <tableColumn id="3" xr3:uid="{873F7B57-A828-4277-9EDE-9BACD032FA5A}" name="Type"/>
    <tableColumn id="4" xr3:uid="{A01E8C5B-EE7E-4AF4-A56A-0264CF726B88}" name="RSSI"/>
    <tableColumn id="8" xr3:uid="{FD99F0EB-B760-4723-9ED6-E0BFB29AD17F}" name="Column2" dataDxfId="0">
      <calculatedColumnFormula>VALUE(LEFT(O4,LEN(O4)-1))</calculatedColumnFormula>
    </tableColumn>
    <tableColumn id="5" xr3:uid="{B2471B1E-E33D-4AF4-9CEE-011E04781B23}" name="SNR"/>
    <tableColumn id="6" xr3:uid="{7EA2AD89-095F-4CE1-90A5-AE21C57730E6}" name="AVG % (X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00C05F-6F52-4EC0-89D2-CF7454EE6321}" name="Table14" displayName="Table14" ref="B3:I667" totalsRowShown="0">
  <autoFilter ref="B3:I667" xr:uid="{967BDD7C-424A-4F9A-BD08-109276856F2A}"/>
  <tableColumns count="8">
    <tableColumn id="1" xr3:uid="{5CC40433-6211-4365-B608-1B2D89ADEAB0}" name="Range(nm)"/>
    <tableColumn id="7" xr3:uid="{3FAD163F-9D0E-48B6-A51E-196EA4C58C13}" name="min value (corrected)" dataDxfId="41">
      <calculatedColumnFormula>MINUTE(Table14[[#This Row],[Time]])</calculatedColumnFormula>
    </tableColumn>
    <tableColumn id="2" xr3:uid="{35BB2F5D-8257-47F3-87C4-C7B07C3EA6C8}" name="Time" dataDxfId="40"/>
    <tableColumn id="8" xr3:uid="{0693888A-4646-4110-BD2F-52CB5B88BB89}" name="Corrected time" dataDxfId="39">
      <calculatedColumnFormula>Table14[[#This Row],[Time]]-TIME(0,0,8)</calculatedColumnFormula>
    </tableColumn>
    <tableColumn id="3" xr3:uid="{0DAB1BC3-3D22-40C8-A807-D2582E01DE96}" name="Type"/>
    <tableColumn id="4" xr3:uid="{936ADD3C-E758-4C2A-AFCD-4EEA0EAF039C}" name="RSSI"/>
    <tableColumn id="9" xr3:uid="{67568F0A-9452-4217-BE4D-4E36CEF9FF64}" name="Corrected RSSI" dataDxfId="38">
      <calculatedColumnFormula>VALUE(LEFT(G4,LEN(G4)-1))</calculatedColumnFormula>
    </tableColumn>
    <tableColumn id="5" xr3:uid="{4CF7A197-D35A-440D-A36E-04282C8634F1}" name="S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0C2295-A607-491F-B07E-1E72464659CB}" name="Table25" displayName="Table25" ref="L3:S667" totalsRowShown="0">
  <autoFilter ref="L3:S667" xr:uid="{747D2C28-5943-4935-9159-EE6FB5011B3D}"/>
  <tableColumns count="8">
    <tableColumn id="1" xr3:uid="{5A82F8BA-EE1F-4D5B-A27B-89DE0F4C6419}" name="Range(nm)" dataDxfId="37">
      <calculatedColumnFormula>400+2*(Table25[[#This Row],[min value (corrected)]]-13)</calculatedColumnFormula>
    </tableColumn>
    <tableColumn id="7" xr3:uid="{FB0D802C-BF99-40F0-A3DF-9E23637F3FE4}" name="min value (corrected)" dataDxfId="36">
      <calculatedColumnFormula>MINUTE(Table25[[#This Row],[Time]])</calculatedColumnFormula>
    </tableColumn>
    <tableColumn id="2" xr3:uid="{6882323B-CB65-4483-8630-72154AE8190D}" name="Time" dataDxfId="35"/>
    <tableColumn id="9" xr3:uid="{8C4C3785-D48B-4DC5-96C9-EF88940C807D}" name="Corrected time" dataDxfId="34">
      <calculatedColumnFormula>Table25[[#This Row],[Time]]</calculatedColumnFormula>
    </tableColumn>
    <tableColumn id="3" xr3:uid="{A29EF619-B9AB-4F88-A324-6174ECB8EA5D}" name="Type"/>
    <tableColumn id="4" xr3:uid="{3BE0698A-262D-41C3-AE1D-4B518242EFE9}" name="RSSI"/>
    <tableColumn id="10" xr3:uid="{D08DE743-A560-4BC0-8AA8-EC94AE832CD7}" name="Corrected RSSI" dataDxfId="33">
      <calculatedColumnFormula>Table25[[#This Row],[RSSI]]</calculatedColumnFormula>
    </tableColumn>
    <tableColumn id="8" xr3:uid="{AC9FDB3F-4707-4BDC-9E3A-51EAAA474EA9}" name="SNR" dataDxfId="32">
      <calculatedColumnFormula>VALUE(LEFT(Q4,LEN(Q4)-1))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B1EA9-3D8B-444D-B4EE-DF12FAED356B}" name="Table146" displayName="Table146" ref="B3:I1648" totalsRowShown="0">
  <autoFilter ref="B3:I1648" xr:uid="{967BDD7C-424A-4F9A-BD08-109276856F2A}"/>
  <tableColumns count="8">
    <tableColumn id="1" xr3:uid="{B7AA1181-5BBA-46E0-B2C0-72342DE9C5B8}" name="Range(nm)"/>
    <tableColumn id="7" xr3:uid="{519059B2-1A3E-4E11-BE0F-8E10DF807E4A}" name="min value (corrected)" dataDxfId="56">
      <calculatedColumnFormula>MINUTE(Table146[[#This Row],[Time]])</calculatedColumnFormula>
    </tableColumn>
    <tableColumn id="2" xr3:uid="{8B53BAD2-B2ED-4F4C-80D6-EEAB1F418A28}" name="Time" dataDxfId="55"/>
    <tableColumn id="8" xr3:uid="{103B45F9-F558-4041-AD0B-62CA9AE14292}" name="Corrected time" dataDxfId="54">
      <calculatedColumnFormula>Table146[[#This Row],[Time]]-TIME(0,0,1)</calculatedColumnFormula>
    </tableColumn>
    <tableColumn id="3" xr3:uid="{0B2A4152-223A-4FA2-A605-B4BCB90EC0B8}" name="Type"/>
    <tableColumn id="4" xr3:uid="{5F2855E2-867D-4294-A4E2-EE2617C6EA58}" name="RSSI"/>
    <tableColumn id="9" xr3:uid="{5BC52355-15AF-4C41-86FD-902003A5DD29}" name="Corrected RSSI" dataDxfId="53">
      <calculatedColumnFormula>Table146[[#This Row],[RSSI]]</calculatedColumnFormula>
    </tableColumn>
    <tableColumn id="5" xr3:uid="{A493C556-7D49-4F1E-AF20-9FD55ABF56CE}" name="SN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221134-D4C5-4D49-A4D3-BE4304BA7660}" name="Table257" displayName="Table257" ref="L3:S1690" totalsRowShown="0">
  <autoFilter ref="L3:S1690" xr:uid="{747D2C28-5943-4935-9159-EE6FB5011B3D}"/>
  <tableColumns count="8">
    <tableColumn id="1" xr3:uid="{849DEFAE-1530-484D-8FBA-9E09254D9917}" name="Range(nm)" dataDxfId="52">
      <calculatedColumnFormula>400+2*(Table257[[#This Row],[min value (corrected)]]-13)</calculatedColumnFormula>
    </tableColumn>
    <tableColumn id="7" xr3:uid="{98AD38D1-B124-4D3E-BC34-FABFC19594B9}" name="min value (corrected)" dataDxfId="51">
      <calculatedColumnFormula>MINUTE(Table257[[#This Row],[Time]])</calculatedColumnFormula>
    </tableColumn>
    <tableColumn id="2" xr3:uid="{C82A1054-1E08-43C1-A8D7-3CE26A257B8A}" name="Time" dataDxfId="50"/>
    <tableColumn id="9" xr3:uid="{0759C2BD-5540-476E-B16B-558D5FC36D9E}" name="Corrected time" dataDxfId="49">
      <calculatedColumnFormula>Table257[[#This Row],[Time]]-TIME(0,0,3)</calculatedColumnFormula>
    </tableColumn>
    <tableColumn id="3" xr3:uid="{4AFA4EEF-C61D-4D75-95FA-F7E504D0DC23}" name="Type"/>
    <tableColumn id="4" xr3:uid="{58CDAC92-68AD-440E-9BD6-7CD583CAD84E}" name="RSSI"/>
    <tableColumn id="10" xr3:uid="{45082106-CEEA-4372-813B-1FEDE36B71EE}" name="Corrected RSSI" dataDxfId="48">
      <calculatedColumnFormula>Table257[[#This Row],[RSSI]]</calculatedColumnFormula>
    </tableColumn>
    <tableColumn id="8" xr3:uid="{A767BAD2-BB7C-48CE-BA70-AEAAC0F438E0}" name="SNR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EF5B37-B1DD-4549-BF39-D2F00E52FD17}" name="Table1468" displayName="Table1468" ref="B3:I963" totalsRowShown="0">
  <autoFilter ref="B3:I963" xr:uid="{967BDD7C-424A-4F9A-BD08-109276856F2A}"/>
  <tableColumns count="8">
    <tableColumn id="1" xr3:uid="{6D7E6B2E-82DA-4534-8BD5-3A8A1AA57BC8}" name="Range(nm)" dataDxfId="3">
      <calculatedColumnFormula>160+2*(Table1468[[#This Row],[min value (corrected)]]-32)</calculatedColumnFormula>
    </tableColumn>
    <tableColumn id="7" xr3:uid="{AAEE55CE-2251-4D84-84B2-87009396F6E1}" name="min value (corrected)" dataDxfId="31">
      <calculatedColumnFormula>MINUTE(Table1468[[#This Row],[Time]])</calculatedColumnFormula>
    </tableColumn>
    <tableColumn id="2" xr3:uid="{F1AF99C0-270A-4299-9E0A-1500C0AC0E22}" name="Time" dataDxfId="6"/>
    <tableColumn id="8" xr3:uid="{A901614C-8302-499D-B671-99782601BBDC}" name="Corrected time" dataDxfId="2">
      <calculatedColumnFormula>Table1468[[#This Row],[Time]]-TIME(0,0,11)</calculatedColumnFormula>
    </tableColumn>
    <tableColumn id="3" xr3:uid="{F8BCF45C-D71F-4DF9-9542-18172C60DBE7}" name="Type"/>
    <tableColumn id="4" xr3:uid="{6A659C03-D139-4FBA-A2FD-E984A3361348}" name="RSSI"/>
    <tableColumn id="9" xr3:uid="{6FCA1523-D6A1-4B84-A267-076B107B7EB4}" name="Corrected RSSI" dataDxfId="5">
      <calculatedColumnFormula>VALUE(LEFT(G4,LEN(G4)-1))</calculatedColumnFormula>
    </tableColumn>
    <tableColumn id="5" xr3:uid="{621D296D-6D5C-4FB0-B753-D89742065E5B}" name="SN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F3EF19-1212-4EF6-AF50-5ADCAA1C0B5C}" name="Table2579" displayName="Table2579" ref="L3:S939" totalsRowShown="0">
  <autoFilter ref="L3:S939" xr:uid="{747D2C28-5943-4935-9159-EE6FB5011B3D}"/>
  <tableColumns count="8">
    <tableColumn id="1" xr3:uid="{941A28CE-8062-4096-B954-9BB274F8B07B}" name="Range(nm)" dataDxfId="30">
      <calculatedColumnFormula>400+2*(Table2579[[#This Row],[min value (corrected)]]-13)</calculatedColumnFormula>
    </tableColumn>
    <tableColumn id="7" xr3:uid="{95C04EE5-F27E-46C8-BE66-2BE541575927}" name="min value (corrected)" dataDxfId="29">
      <calculatedColumnFormula>MINUTE(Table2579[[#This Row],[Corrected time]])</calculatedColumnFormula>
    </tableColumn>
    <tableColumn id="2" xr3:uid="{0FB7C09C-84AB-4DE1-BB3F-E339C1712E4F}" name="Time" dataDxfId="7"/>
    <tableColumn id="9" xr3:uid="{DD48371A-FAD8-4EDE-B341-64F40B97DD8D}" name="Corrected time" dataDxfId="4">
      <calculatedColumnFormula>Table2579[[#This Row],[Time]]-TIME(0,0,10)</calculatedColumnFormula>
    </tableColumn>
    <tableColumn id="3" xr3:uid="{FC5F2139-7090-4B6A-9DD0-BCB02398231D}" name="Type"/>
    <tableColumn id="4" xr3:uid="{8C005B7C-5D83-482A-93D1-21CAFDF54055}" name="RSSI"/>
    <tableColumn id="10" xr3:uid="{AFF4786D-E21A-4F40-BCA2-C69A854EAAC7}" name="Corrected RSSI" dataDxfId="28">
      <calculatedColumnFormula>Table2579[[#This Row],[RSSI]]</calculatedColumnFormula>
    </tableColumn>
    <tableColumn id="8" xr3:uid="{0B0FB204-BC5E-4181-9B6B-50D47451743B}" name="SNR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DDA278-6CD4-486A-A3C6-FBDB22068745}" name="Table146810" displayName="Table146810" ref="B3:I667" totalsRowShown="0">
  <autoFilter ref="B3:I667" xr:uid="{967BDD7C-424A-4F9A-BD08-109276856F2A}"/>
  <tableColumns count="8">
    <tableColumn id="1" xr3:uid="{D3EDC1FA-CEEC-4963-9169-891064A1A78E}" name="Range(nm)"/>
    <tableColumn id="7" xr3:uid="{EC6BF12C-7BE0-41CD-BB55-A29BDD034D3E}" name="min value (corrected)" dataDxfId="26">
      <calculatedColumnFormula>MINUTE(Table146810[[#This Row],[Time]])</calculatedColumnFormula>
    </tableColumn>
    <tableColumn id="2" xr3:uid="{428171C5-8AAB-4224-86CC-D4582CD8A6E9}" name="Time" dataDxfId="25"/>
    <tableColumn id="8" xr3:uid="{E8BB1B61-E5D8-4E06-B9FE-10FAB9ABB79E}" name="Corrected time" dataDxfId="24">
      <calculatedColumnFormula>Table146810[[#This Row],[Time]]-TIME(0,0,8)</calculatedColumnFormula>
    </tableColumn>
    <tableColumn id="3" xr3:uid="{2783A6DF-873E-4A1F-9EAB-D2B8F077A630}" name="Type"/>
    <tableColumn id="4" xr3:uid="{290DB49F-9A21-4701-B136-40E6A668BF10}" name="RSSI"/>
    <tableColumn id="9" xr3:uid="{895F6CD4-76CF-42A2-9014-6A9D5CFDDB6D}" name="Corrected RSSI" dataDxfId="23">
      <calculatedColumnFormula>VALUE(LEFT(G4,LEN(G4)-1))</calculatedColumnFormula>
    </tableColumn>
    <tableColumn id="5" xr3:uid="{DACBA670-E7F1-45F8-8CEE-CFEBA1FCC578}" name="SN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C88F8C-C404-4E49-94E0-6F331690C05D}" name="Table257911" displayName="Table257911" ref="L3:S667" totalsRowShown="0">
  <autoFilter ref="L3:S667" xr:uid="{747D2C28-5943-4935-9159-EE6FB5011B3D}"/>
  <tableColumns count="8">
    <tableColumn id="1" xr3:uid="{B6BC6104-3A26-4D36-BB34-0BCA884DAC75}" name="Range(nm)" dataDxfId="22">
      <calculatedColumnFormula>400+2*(Table257911[[#This Row],[min value (corrected)]]-13)</calculatedColumnFormula>
    </tableColumn>
    <tableColumn id="7" xr3:uid="{ACA4FE82-21A6-4EF1-B874-7E7985388CA1}" name="min value (corrected)" dataDxfId="21">
      <calculatedColumnFormula>MINUTE(Table257911[[#This Row],[Time]])</calculatedColumnFormula>
    </tableColumn>
    <tableColumn id="2" xr3:uid="{8AF18F72-E1AF-4984-BBFB-DBD422B41766}" name="Time" dataDxfId="20"/>
    <tableColumn id="9" xr3:uid="{6653E89C-3111-4F61-A31E-D3AA8F13AC3B}" name="Corrected time" dataDxfId="19">
      <calculatedColumnFormula>Table257911[[#This Row],[Time]]</calculatedColumnFormula>
    </tableColumn>
    <tableColumn id="3" xr3:uid="{1B64BE65-7528-4724-98FD-731A3690271C}" name="Type"/>
    <tableColumn id="4" xr3:uid="{FAF0A4BF-01E6-4BEE-9F02-AD442709AEFC}" name="RSSI"/>
    <tableColumn id="10" xr3:uid="{4205505B-A657-489B-B007-0E281EFBBBB1}" name="Corrected RSSI" dataDxfId="18">
      <calculatedColumnFormula>Table257911[[#This Row],[RSSI]]</calculatedColumnFormula>
    </tableColumn>
    <tableColumn id="8" xr3:uid="{367DB1A8-9438-436A-9D69-55193CC22858}" name="SNR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AB8F0D-83BF-488A-9CA0-A178B2DB50EF}" name="Table14681012" displayName="Table14681012" ref="B3:I667" totalsRowShown="0">
  <autoFilter ref="B3:I667" xr:uid="{967BDD7C-424A-4F9A-BD08-109276856F2A}"/>
  <tableColumns count="8">
    <tableColumn id="1" xr3:uid="{F38ED636-13E7-487B-A752-9605BE321698}" name="Range(nm)"/>
    <tableColumn id="7" xr3:uid="{5EEC81A9-2211-4A2D-9F76-7AB82DB231B1}" name="min value (corrected)" dataDxfId="16">
      <calculatedColumnFormula>MINUTE(Table14681012[[#This Row],[Time]])</calculatedColumnFormula>
    </tableColumn>
    <tableColumn id="2" xr3:uid="{5DC9980B-D08C-48CB-B5D3-566CCF7FD5F5}" name="Time" dataDxfId="15"/>
    <tableColumn id="8" xr3:uid="{4DC2CBA6-BEBD-4FD4-A372-68E13F0B7E1F}" name="Corrected time" dataDxfId="1">
      <calculatedColumnFormula>Table14681012[[#This Row],[Time]]-TIME(0,0,9)</calculatedColumnFormula>
    </tableColumn>
    <tableColumn id="3" xr3:uid="{FCD95C17-A594-40EA-B752-73B234D46FA5}" name="Type"/>
    <tableColumn id="4" xr3:uid="{24E7E9D2-EC71-423A-B28B-20ABC8F28FA9}" name="RSSI"/>
    <tableColumn id="9" xr3:uid="{38D33B65-8218-423D-BEB1-657847D4D407}" name="Corrected RSSI" dataDxfId="14">
      <calculatedColumnFormula>VALUE(LEFT(G4,LEN(G4)-1))</calculatedColumnFormula>
    </tableColumn>
    <tableColumn id="5" xr3:uid="{9A0B90D4-E0AB-4CD2-8C3F-EB7E130C89FE}" name="SN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DD17EA-D675-4314-A5F2-430AD3655723}" name="Table25791113" displayName="Table25791113" ref="L3:S667" totalsRowShown="0">
  <autoFilter ref="L3:S667" xr:uid="{747D2C28-5943-4935-9159-EE6FB5011B3D}"/>
  <tableColumns count="8">
    <tableColumn id="1" xr3:uid="{2B5D2713-2D58-4F06-BEF1-51F582085899}" name="Range(nm)" dataDxfId="13">
      <calculatedColumnFormula>400+2*(Table25791113[[#This Row],[min value (corrected)]]-13)</calculatedColumnFormula>
    </tableColumn>
    <tableColumn id="7" xr3:uid="{86A7C8E5-A661-4E9E-9AB1-560E4270EB57}" name="min value (corrected)" dataDxfId="12">
      <calculatedColumnFormula>MINUTE(Table25791113[[#This Row],[Time]])</calculatedColumnFormula>
    </tableColumn>
    <tableColumn id="2" xr3:uid="{2736A090-E842-41D9-A539-D47E161245F7}" name="Time" dataDxfId="11"/>
    <tableColumn id="9" xr3:uid="{FB4322E7-35F4-4FB6-A65E-2D271EED4357}" name="Corrected time" dataDxfId="10">
      <calculatedColumnFormula>Table25791113[[#This Row],[Time]]</calculatedColumnFormula>
    </tableColumn>
    <tableColumn id="3" xr3:uid="{9330BA5F-D181-4109-9ACF-BC1211F767CC}" name="Type"/>
    <tableColumn id="4" xr3:uid="{24BE85F3-E3C1-4908-962F-F608EC8B414D}" name="RSSI"/>
    <tableColumn id="10" xr3:uid="{81DE3D24-5362-44EF-8F0B-8665DC594257}" name="Corrected RSSI" dataDxfId="9">
      <calculatedColumnFormula>Table25791113[[#This Row],[RSSI]]</calculatedColumnFormula>
    </tableColumn>
    <tableColumn id="8" xr3:uid="{32B5B05B-84E4-4BD6-948E-4E865610BEB0}" name="SN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AA2F-51CD-4D2F-AF6E-46AB51840745}">
  <dimension ref="K18:U50"/>
  <sheetViews>
    <sheetView tabSelected="1" topLeftCell="A13" workbookViewId="0">
      <selection activeCell="I45" sqref="I45"/>
    </sheetView>
  </sheetViews>
  <sheetFormatPr defaultRowHeight="15" x14ac:dyDescent="0.25"/>
  <sheetData>
    <row r="18" spans="11:21" x14ac:dyDescent="0.25">
      <c r="T18" s="22"/>
    </row>
    <row r="20" spans="11:21" x14ac:dyDescent="0.25">
      <c r="S20">
        <v>40</v>
      </c>
    </row>
    <row r="21" spans="11:21" x14ac:dyDescent="0.25">
      <c r="K21" t="s">
        <v>45</v>
      </c>
    </row>
    <row r="22" spans="11:21" x14ac:dyDescent="0.25">
      <c r="T22" s="23"/>
    </row>
    <row r="31" spans="11:21" x14ac:dyDescent="0.25">
      <c r="U31" t="s">
        <v>49</v>
      </c>
    </row>
    <row r="33" spans="11:19" x14ac:dyDescent="0.25">
      <c r="K33" t="s">
        <v>51</v>
      </c>
    </row>
    <row r="34" spans="11:19" x14ac:dyDescent="0.25">
      <c r="K34" t="s">
        <v>52</v>
      </c>
    </row>
    <row r="35" spans="11:19" x14ac:dyDescent="0.25">
      <c r="L35" t="s">
        <v>47</v>
      </c>
    </row>
    <row r="36" spans="11:19" x14ac:dyDescent="0.25">
      <c r="L36" t="s">
        <v>46</v>
      </c>
    </row>
    <row r="38" spans="11:19" x14ac:dyDescent="0.25">
      <c r="K38" t="s">
        <v>53</v>
      </c>
    </row>
    <row r="39" spans="11:19" x14ac:dyDescent="0.25">
      <c r="L39" t="s">
        <v>48</v>
      </c>
      <c r="S39">
        <v>56</v>
      </c>
    </row>
    <row r="42" spans="11:19" x14ac:dyDescent="0.25">
      <c r="K42" t="s">
        <v>54</v>
      </c>
    </row>
    <row r="43" spans="11:19" x14ac:dyDescent="0.25">
      <c r="L43" t="s">
        <v>50</v>
      </c>
    </row>
    <row r="44" spans="11:19" x14ac:dyDescent="0.25">
      <c r="L44" t="s">
        <v>57</v>
      </c>
    </row>
    <row r="46" spans="11:19" x14ac:dyDescent="0.25">
      <c r="K46" t="s">
        <v>55</v>
      </c>
    </row>
    <row r="47" spans="11:19" x14ac:dyDescent="0.25">
      <c r="L47" t="s">
        <v>56</v>
      </c>
    </row>
    <row r="50" spans="20:20" x14ac:dyDescent="0.25">
      <c r="T50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10D3-147F-4FA7-8A46-7910DF19ABB6}">
  <dimension ref="B1:AC667"/>
  <sheetViews>
    <sheetView topLeftCell="N1" workbookViewId="0">
      <selection activeCell="AD44" sqref="AD44"/>
    </sheetView>
  </sheetViews>
  <sheetFormatPr defaultRowHeight="15" x14ac:dyDescent="0.25"/>
  <cols>
    <col min="2" max="3" width="13" customWidth="1"/>
    <col min="8" max="8" width="11.85546875" customWidth="1"/>
    <col min="11" max="12" width="13" customWidth="1"/>
    <col min="18" max="18" width="11.85546875" customWidth="1"/>
    <col min="22" max="22" width="10.85546875" bestFit="1" customWidth="1"/>
    <col min="26" max="26" width="10.85546875" bestFit="1" customWidth="1"/>
  </cols>
  <sheetData>
    <row r="1" spans="2:29" ht="15.75" thickBot="1" x14ac:dyDescent="0.3"/>
    <row r="2" spans="2:29" ht="15.75" thickBot="1" x14ac:dyDescent="0.3">
      <c r="B2" t="s">
        <v>0</v>
      </c>
      <c r="K2" t="s">
        <v>8</v>
      </c>
      <c r="U2" s="12" t="s">
        <v>21</v>
      </c>
      <c r="V2" s="18" t="s">
        <v>23</v>
      </c>
      <c r="W2" s="19"/>
      <c r="X2" s="19"/>
      <c r="Y2" s="20"/>
      <c r="Z2" s="18" t="s">
        <v>22</v>
      </c>
      <c r="AA2" s="19"/>
      <c r="AB2" s="19"/>
      <c r="AC2" s="20"/>
    </row>
    <row r="3" spans="2:29" ht="15.75" thickBot="1" x14ac:dyDescent="0.3">
      <c r="B3" t="s">
        <v>7</v>
      </c>
      <c r="C3" t="s">
        <v>20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K3" t="s">
        <v>7</v>
      </c>
      <c r="L3" t="s">
        <v>20</v>
      </c>
      <c r="M3" t="s">
        <v>2</v>
      </c>
      <c r="N3" t="s">
        <v>3</v>
      </c>
      <c r="O3" t="s">
        <v>4</v>
      </c>
      <c r="P3" t="s">
        <v>24</v>
      </c>
      <c r="Q3" t="s">
        <v>5</v>
      </c>
      <c r="R3" t="s">
        <v>6</v>
      </c>
      <c r="U3" s="12" t="s">
        <v>1</v>
      </c>
      <c r="V3" s="13" t="s">
        <v>25</v>
      </c>
      <c r="W3" s="14" t="s">
        <v>26</v>
      </c>
      <c r="X3" s="14" t="s">
        <v>4</v>
      </c>
      <c r="Y3" s="15" t="s">
        <v>5</v>
      </c>
      <c r="Z3" s="13" t="s">
        <v>25</v>
      </c>
      <c r="AA3" s="14" t="s">
        <v>26</v>
      </c>
      <c r="AB3" s="14" t="s">
        <v>4</v>
      </c>
      <c r="AC3" s="15" t="s">
        <v>5</v>
      </c>
    </row>
    <row r="4" spans="2:29" x14ac:dyDescent="0.25">
      <c r="B4">
        <f>400+2*(Table1[[#This Row],[Column1]]-42)</f>
        <v>400</v>
      </c>
      <c r="C4">
        <f>MINUTE(Table1[[#This Row],[Time]])</f>
        <v>42</v>
      </c>
      <c r="D4" s="2">
        <v>0.44584370370370369</v>
      </c>
      <c r="E4" t="s">
        <v>9</v>
      </c>
      <c r="F4">
        <v>-122</v>
      </c>
      <c r="G4">
        <v>1.8</v>
      </c>
      <c r="K4">
        <f>400+2*(Table2[[#This Row],[Column1]]-13)</f>
        <v>400</v>
      </c>
      <c r="L4">
        <f>MINUTE(Table2[[#This Row],[Time]])</f>
        <v>13</v>
      </c>
      <c r="M4" s="2">
        <v>0.67570996527777782</v>
      </c>
      <c r="N4" t="s">
        <v>9</v>
      </c>
      <c r="O4" t="s">
        <v>11</v>
      </c>
      <c r="P4">
        <f>VALUE(LEFT(O4,LEN(O4)-1))</f>
        <v>-122</v>
      </c>
      <c r="Q4">
        <v>1</v>
      </c>
      <c r="U4" s="10">
        <v>400</v>
      </c>
      <c r="V4" s="4">
        <f>COUNTIFS(Table1[Range(nm)], U4, Table1[Type], "ACK")/COUNTIFS(Table1[Range(nm)], U4)</f>
        <v>0.95238095238095233</v>
      </c>
      <c r="W4" s="5">
        <f>COUNTIFS(Table1[Range(nm)], $U4, Table1[Type], "SUT Rx Error")/COUNTIFS(Table1[Range(nm)], $U4)</f>
        <v>4.7619047619047616E-2</v>
      </c>
      <c r="X4">
        <f>AVERAGEIF(Table1[Range(nm)], U4, Table1[RSSI])</f>
        <v>-121.83333333333333</v>
      </c>
      <c r="Y4" s="3">
        <f>AVERAGEIF(Table1[Range(nm)], U4, Table1[SNR])</f>
        <v>1.4952380952380955</v>
      </c>
      <c r="Z4" s="4">
        <f>COUNTIFS(Table2[Range(nm)], U4, Table2[Type], "ACK")/COUNTIFS(Table2[Range(nm)], U4)</f>
        <v>0.95238095238095233</v>
      </c>
      <c r="AA4" s="5">
        <f>COUNTIFS(Table2[Range(nm)], $U4, Table2[Type], "SUT Rx Error")/COUNTIFS(Table2[Range(nm)], $U4)</f>
        <v>4.7619047619047616E-2</v>
      </c>
      <c r="AB4">
        <f>AVERAGEIF(Table2[Range(nm)], U4, Table2[Column2])</f>
        <v>-121.88095238095238</v>
      </c>
      <c r="AC4" s="3">
        <f>AVERAGEIF(Table2[Range(nm)], U4, Table2[SNR])</f>
        <v>1.3333333333333335</v>
      </c>
    </row>
    <row r="5" spans="2:29" x14ac:dyDescent="0.25">
      <c r="B5">
        <f>400+2*(Table1[[#This Row],[Column1]]-42)</f>
        <v>400</v>
      </c>
      <c r="C5">
        <f>MINUTE(Table1[[#This Row],[Time]])</f>
        <v>42</v>
      </c>
      <c r="D5" s="1">
        <v>0.44587609953703705</v>
      </c>
      <c r="E5" t="s">
        <v>9</v>
      </c>
      <c r="F5">
        <v>-122</v>
      </c>
      <c r="G5">
        <v>1.3</v>
      </c>
      <c r="K5">
        <f>400+2*(Table2[[#This Row],[Column1]]-13)</f>
        <v>400</v>
      </c>
      <c r="L5">
        <f>MINUTE(Table2[[#This Row],[Time]])</f>
        <v>13</v>
      </c>
      <c r="M5" s="1">
        <v>0.67574236111111108</v>
      </c>
      <c r="N5" t="s">
        <v>9</v>
      </c>
      <c r="O5" t="s">
        <v>11</v>
      </c>
      <c r="P5">
        <f t="shared" ref="P5:P67" si="0">VALUE(LEFT(O5,LEN(O5)-1))</f>
        <v>-122</v>
      </c>
      <c r="Q5">
        <v>1.3</v>
      </c>
      <c r="U5" s="10">
        <v>402</v>
      </c>
      <c r="V5" s="4">
        <f>COUNTIFS(Table1[Range(nm)], U5, Table1[Type], "ACK")/COUNTIFS(Table1[Range(nm)], U5)</f>
        <v>0.81818181818181823</v>
      </c>
      <c r="W5" s="5">
        <f>COUNTIFS(Table1[Range(nm)], $U5, Table1[Type], "SUT Rx Error")/COUNTIFS(Table1[Range(nm)], $U5)</f>
        <v>0.13636363636363635</v>
      </c>
      <c r="X5">
        <f>AVERAGEIF(Table1[Range(nm)], U5, Table1[RSSI])</f>
        <v>-122.25</v>
      </c>
      <c r="Y5" s="3">
        <f>AVERAGEIF(Table1[Range(nm)], U5, Table1[SNR])</f>
        <v>1.0318181818181817</v>
      </c>
      <c r="Z5" s="4">
        <f>COUNTIFS(Table2[Range(nm)], U5, Table2[Type], "ACK")/COUNTIFS(Table2[Range(nm)], U5)</f>
        <v>0.77272727272727271</v>
      </c>
      <c r="AA5" s="5">
        <f>COUNTIFS(Table2[Range(nm)], $U5, Table2[Type], "SUT Rx Error")/COUNTIFS(Table2[Range(nm)], $U5)</f>
        <v>0.18181818181818182</v>
      </c>
      <c r="AB5">
        <f>AVERAGEIF(Table2[Range(nm)], U5, Table2[Column2])</f>
        <v>-122.29545454545455</v>
      </c>
      <c r="AC5" s="3">
        <f>AVERAGEIF(Table2[Range(nm)], U5, Table2[SNR])</f>
        <v>0.92272727272727295</v>
      </c>
    </row>
    <row r="6" spans="2:29" x14ac:dyDescent="0.25">
      <c r="B6">
        <f>400+2*(Table1[[#This Row],[Column1]]-42)</f>
        <v>400</v>
      </c>
      <c r="C6">
        <f>MINUTE(Table1[[#This Row],[Time]])</f>
        <v>42</v>
      </c>
      <c r="D6" s="1">
        <v>0.44590849537037036</v>
      </c>
      <c r="E6" t="s">
        <v>9</v>
      </c>
      <c r="F6">
        <v>-122</v>
      </c>
      <c r="G6">
        <v>1.8</v>
      </c>
      <c r="K6">
        <f>400+2*(Table2[[#This Row],[Column1]]-13)</f>
        <v>400</v>
      </c>
      <c r="L6">
        <f>MINUTE(Table2[[#This Row],[Time]])</f>
        <v>13</v>
      </c>
      <c r="M6" s="1">
        <v>0.67577475694444444</v>
      </c>
      <c r="N6" t="s">
        <v>9</v>
      </c>
      <c r="O6" t="s">
        <v>11</v>
      </c>
      <c r="P6">
        <f t="shared" si="0"/>
        <v>-122</v>
      </c>
      <c r="Q6">
        <v>1.8</v>
      </c>
      <c r="U6" s="10">
        <v>404</v>
      </c>
      <c r="V6" s="4">
        <f>COUNTIFS(Table1[Range(nm)], U6, Table1[Type], "ACK")/COUNTIFS(Table1[Range(nm)], U6)</f>
        <v>0.66666666666666663</v>
      </c>
      <c r="W6" s="5">
        <f>COUNTIFS(Table1[Range(nm)], $U6, Table1[Type], "SUT Rx Error")/COUNTIFS(Table1[Range(nm)], $U6)</f>
        <v>0.2857142857142857</v>
      </c>
      <c r="X6">
        <f>AVERAGEIF(Table1[Range(nm)], U6, Table1[RSSI])</f>
        <v>-122.30952380952381</v>
      </c>
      <c r="Y6" s="3">
        <f>AVERAGEIF(Table1[Range(nm)], U6, Table1[SNR])</f>
        <v>0.99523809523809537</v>
      </c>
      <c r="Z6" s="4">
        <f>COUNTIFS(Table2[Range(nm)], U6, Table2[Type], "ACK")/COUNTIFS(Table2[Range(nm)], U6)</f>
        <v>0.95238095238095233</v>
      </c>
      <c r="AA6" s="5">
        <f>COUNTIFS(Table2[Range(nm)], $U6, Table2[Type], "SUT Rx Error")/COUNTIFS(Table2[Range(nm)], $U6)</f>
        <v>4.7619047619047616E-2</v>
      </c>
      <c r="AB6">
        <f>AVERAGEIF(Table2[Range(nm)], U6, Table2[Column2])</f>
        <v>-122.11904761904762</v>
      </c>
      <c r="AC6" s="3">
        <f>AVERAGEIF(Table2[Range(nm)], U6, Table2[SNR])</f>
        <v>0.93333333333333335</v>
      </c>
    </row>
    <row r="7" spans="2:29" x14ac:dyDescent="0.25">
      <c r="B7">
        <f>400+2*(Table1[[#This Row],[Column1]]-42)</f>
        <v>400</v>
      </c>
      <c r="C7">
        <f>MINUTE(Table1[[#This Row],[Time]])</f>
        <v>42</v>
      </c>
      <c r="D7" s="1">
        <v>0.44594087962962964</v>
      </c>
      <c r="E7" t="s">
        <v>9</v>
      </c>
      <c r="F7">
        <v>-122</v>
      </c>
      <c r="G7">
        <v>1.8</v>
      </c>
      <c r="K7">
        <f>400+2*(Table2[[#This Row],[Column1]]-13)</f>
        <v>400</v>
      </c>
      <c r="L7">
        <f>MINUTE(Table2[[#This Row],[Time]])</f>
        <v>13</v>
      </c>
      <c r="M7" s="1">
        <v>0.67580716435185184</v>
      </c>
      <c r="N7" t="s">
        <v>9</v>
      </c>
      <c r="O7" t="s">
        <v>11</v>
      </c>
      <c r="P7">
        <f t="shared" si="0"/>
        <v>-122</v>
      </c>
      <c r="Q7">
        <v>1.8</v>
      </c>
      <c r="U7" s="10">
        <v>406</v>
      </c>
      <c r="V7" s="4">
        <f>COUNTIFS(Table1[Range(nm)], U7, Table1[Type], "ACK")/COUNTIFS(Table1[Range(nm)], U7)</f>
        <v>0.86363636363636365</v>
      </c>
      <c r="W7" s="5">
        <f>COUNTIFS(Table1[Range(nm)], $U7, Table1[Type], "SUT Rx Error")/COUNTIFS(Table1[Range(nm)], $U7)</f>
        <v>9.0909090909090912E-2</v>
      </c>
      <c r="X7">
        <f>AVERAGEIF(Table1[Range(nm)], U7, Table1[RSSI])</f>
        <v>-122.20454545454545</v>
      </c>
      <c r="Y7" s="3">
        <f>AVERAGEIF(Table1[Range(nm)], U7, Table1[SNR])</f>
        <v>1.1636363636363638</v>
      </c>
      <c r="Z7" s="4">
        <f>COUNTIFS(Table2[Range(nm)], U7, Table2[Type], "ACK")/COUNTIFS(Table2[Range(nm)], U7)</f>
        <v>0.95454545454545459</v>
      </c>
      <c r="AA7" s="5">
        <f>COUNTIFS(Table2[Range(nm)], $U7, Table2[Type], "SUT Rx Error")/COUNTIFS(Table2[Range(nm)], $U7)</f>
        <v>0</v>
      </c>
      <c r="AB7">
        <f>AVERAGEIF(Table2[Range(nm)], U7, Table2[Column2])</f>
        <v>-122.15909090909091</v>
      </c>
      <c r="AC7" s="3">
        <f>AVERAGEIF(Table2[Range(nm)], U7, Table2[SNR])</f>
        <v>0.81363636363636371</v>
      </c>
    </row>
    <row r="8" spans="2:29" x14ac:dyDescent="0.25">
      <c r="B8">
        <f>400+2*(Table1[[#This Row],[Column1]]-42)</f>
        <v>400</v>
      </c>
      <c r="C8">
        <f>MINUTE(Table1[[#This Row],[Time]])</f>
        <v>42</v>
      </c>
      <c r="D8" s="1">
        <v>0.44597328703703698</v>
      </c>
      <c r="E8" t="s">
        <v>9</v>
      </c>
      <c r="F8">
        <v>-122</v>
      </c>
      <c r="G8">
        <v>1</v>
      </c>
      <c r="K8">
        <f>400+2*(Table2[[#This Row],[Column1]]-13)</f>
        <v>400</v>
      </c>
      <c r="L8">
        <f>MINUTE(Table2[[#This Row],[Time]])</f>
        <v>13</v>
      </c>
      <c r="M8" s="1">
        <v>0.67583956018518521</v>
      </c>
      <c r="N8" t="s">
        <v>9</v>
      </c>
      <c r="O8" t="s">
        <v>11</v>
      </c>
      <c r="P8">
        <f t="shared" si="0"/>
        <v>-122</v>
      </c>
      <c r="Q8">
        <v>1.5</v>
      </c>
      <c r="U8" s="10">
        <v>408</v>
      </c>
      <c r="V8" s="4">
        <f>COUNTIFS(Table1[Range(nm)], U8, Table1[Type], "ACK")/COUNTIFS(Table1[Range(nm)], U8)</f>
        <v>0.80952380952380953</v>
      </c>
      <c r="W8" s="5">
        <f>COUNTIFS(Table1[Range(nm)], $U8, Table1[Type], "SUT Rx Error")/COUNTIFS(Table1[Range(nm)], $U8)</f>
        <v>0.19047619047619047</v>
      </c>
      <c r="X8">
        <f>AVERAGEIF(Table1[Range(nm)], U8, Table1[RSSI])</f>
        <v>-122.16666666666667</v>
      </c>
      <c r="Y8" s="3">
        <f>AVERAGEIF(Table1[Range(nm)], U8, Table1[SNR])</f>
        <v>1.0380952380952382</v>
      </c>
      <c r="Z8" s="4">
        <f>COUNTIFS(Table2[Range(nm)], U8, Table2[Type], "ACK")/COUNTIFS(Table2[Range(nm)], U8)</f>
        <v>0.8571428571428571</v>
      </c>
      <c r="AA8" s="5">
        <f>COUNTIFS(Table2[Range(nm)], $U8, Table2[Type], "SUT Rx Error")/COUNTIFS(Table2[Range(nm)], $U8)</f>
        <v>9.5238095238095233E-2</v>
      </c>
      <c r="AB8">
        <f>AVERAGEIF(Table2[Range(nm)], U8, Table2[Column2])</f>
        <v>-122.0952380952381</v>
      </c>
      <c r="AC8" s="3">
        <f>AVERAGEIF(Table2[Range(nm)], U8, Table2[SNR])</f>
        <v>0.77619047619047621</v>
      </c>
    </row>
    <row r="9" spans="2:29" x14ac:dyDescent="0.25">
      <c r="B9">
        <f>400+2*(Table1[[#This Row],[Column1]]-42)</f>
        <v>400</v>
      </c>
      <c r="C9">
        <f>MINUTE(Table1[[#This Row],[Time]])</f>
        <v>42</v>
      </c>
      <c r="D9" s="1">
        <v>0.44600567129629631</v>
      </c>
      <c r="E9" t="s">
        <v>9</v>
      </c>
      <c r="F9">
        <v>-122</v>
      </c>
      <c r="G9">
        <v>1.8</v>
      </c>
      <c r="K9">
        <f>400+2*(Table2[[#This Row],[Column1]]-13)</f>
        <v>400</v>
      </c>
      <c r="L9">
        <f>MINUTE(Table2[[#This Row],[Time]])</f>
        <v>13</v>
      </c>
      <c r="M9" s="1">
        <v>0.67587194444444443</v>
      </c>
      <c r="N9" t="s">
        <v>9</v>
      </c>
      <c r="O9" t="s">
        <v>10</v>
      </c>
      <c r="P9">
        <f t="shared" si="0"/>
        <v>-121</v>
      </c>
      <c r="Q9">
        <v>1.3</v>
      </c>
      <c r="U9" s="10">
        <v>410</v>
      </c>
      <c r="V9" s="4">
        <f>COUNTIFS(Table1[Range(nm)], U9, Table1[Type], "ACK")/COUNTIFS(Table1[Range(nm)], U9)</f>
        <v>0.81818181818181823</v>
      </c>
      <c r="W9" s="5">
        <f>COUNTIFS(Table1[Range(nm)], $U9, Table1[Type], "SUT Rx Error")/COUNTIFS(Table1[Range(nm)], $U9)</f>
        <v>9.0909090909090912E-2</v>
      </c>
      <c r="X9">
        <f>AVERAGEIF(Table1[Range(nm)], U9, Table1[RSSI])</f>
        <v>-122.72727272727273</v>
      </c>
      <c r="Y9" s="3">
        <f>AVERAGEIF(Table1[Range(nm)], U9, Table1[SNR])</f>
        <v>0.47272727272727272</v>
      </c>
      <c r="Z9" s="4">
        <f>COUNTIFS(Table2[Range(nm)], U9, Table2[Type], "ACK")/COUNTIFS(Table2[Range(nm)], U9)</f>
        <v>0.90476190476190477</v>
      </c>
      <c r="AA9" s="5">
        <f>COUNTIFS(Table2[Range(nm)], $U9, Table2[Type], "SUT Rx Error")/COUNTIFS(Table2[Range(nm)], $U9)</f>
        <v>4.7619047619047616E-2</v>
      </c>
      <c r="AB9">
        <f>AVERAGEIF(Table2[Range(nm)], U9, Table2[Column2])</f>
        <v>-122.23809523809524</v>
      </c>
      <c r="AC9" s="3">
        <f>AVERAGEIF(Table2[Range(nm)], U9, Table2[SNR])</f>
        <v>0.23333333333333331</v>
      </c>
    </row>
    <row r="10" spans="2:29" x14ac:dyDescent="0.25">
      <c r="B10">
        <f>400+2*(Table1[[#This Row],[Column1]]-42)</f>
        <v>400</v>
      </c>
      <c r="C10">
        <f>MINUTE(Table1[[#This Row],[Time]])</f>
        <v>42</v>
      </c>
      <c r="D10" s="1">
        <v>0.44603806712962962</v>
      </c>
      <c r="E10" t="s">
        <v>9</v>
      </c>
      <c r="F10">
        <v>-122</v>
      </c>
      <c r="G10">
        <v>1.5</v>
      </c>
      <c r="K10">
        <f>400+2*(Table2[[#This Row],[Column1]]-13)</f>
        <v>400</v>
      </c>
      <c r="L10">
        <f>MINUTE(Table2[[#This Row],[Time]])</f>
        <v>13</v>
      </c>
      <c r="M10" s="1">
        <v>0.67590434027777779</v>
      </c>
      <c r="N10" t="s">
        <v>9</v>
      </c>
      <c r="O10" t="s">
        <v>11</v>
      </c>
      <c r="P10">
        <f t="shared" si="0"/>
        <v>-122</v>
      </c>
      <c r="Q10">
        <v>1.3</v>
      </c>
      <c r="U10" s="10">
        <v>412</v>
      </c>
      <c r="V10" s="4">
        <f>COUNTIFS(Table1[Range(nm)], U10, Table1[Type], "ACK")/COUNTIFS(Table1[Range(nm)], U10)</f>
        <v>0.76190476190476186</v>
      </c>
      <c r="W10" s="5">
        <f>COUNTIFS(Table1[Range(nm)], $U10, Table1[Type], "SUT Rx Error")/COUNTIFS(Table1[Range(nm)], $U10)</f>
        <v>0.19047619047619047</v>
      </c>
      <c r="X10">
        <f>AVERAGEIF(Table1[Range(nm)], U10, Table1[RSSI])</f>
        <v>-123.30952380952381</v>
      </c>
      <c r="Y10" s="3">
        <f>AVERAGEIF(Table1[Range(nm)], U10, Table1[SNR])</f>
        <v>0.28095238095238095</v>
      </c>
      <c r="Z10" s="4">
        <f>COUNTIFS(Table2[Range(nm)], U10, Table2[Type], "ACK")/COUNTIFS(Table2[Range(nm)], U10)</f>
        <v>0.86363636363636365</v>
      </c>
      <c r="AA10" s="5">
        <f>COUNTIFS(Table2[Range(nm)], $U10, Table2[Type], "SUT Rx Error")/COUNTIFS(Table2[Range(nm)], $U10)</f>
        <v>9.0909090909090912E-2</v>
      </c>
      <c r="AB10">
        <f>AVERAGEIF(Table2[Range(nm)], U10, Table2[Column2])</f>
        <v>-123.22727272727273</v>
      </c>
      <c r="AC10" s="3">
        <f>AVERAGEIF(Table2[Range(nm)], U10, Table2[SNR])</f>
        <v>0.13181818181818183</v>
      </c>
    </row>
    <row r="11" spans="2:29" x14ac:dyDescent="0.25">
      <c r="B11">
        <f>400+2*(Table1[[#This Row],[Column1]]-42)</f>
        <v>400</v>
      </c>
      <c r="C11">
        <f>MINUTE(Table1[[#This Row],[Time]])</f>
        <v>42</v>
      </c>
      <c r="D11" s="1">
        <v>0.44607046296296293</v>
      </c>
      <c r="E11" t="s">
        <v>9</v>
      </c>
      <c r="F11">
        <v>-122</v>
      </c>
      <c r="G11">
        <v>1.5</v>
      </c>
      <c r="K11">
        <f>400+2*(Table2[[#This Row],[Column1]]-13)</f>
        <v>400</v>
      </c>
      <c r="L11">
        <f>MINUTE(Table2[[#This Row],[Time]])</f>
        <v>13</v>
      </c>
      <c r="M11" s="1">
        <v>0.67593674768518519</v>
      </c>
      <c r="N11" t="s">
        <v>9</v>
      </c>
      <c r="O11" t="s">
        <v>11</v>
      </c>
      <c r="P11">
        <f t="shared" si="0"/>
        <v>-122</v>
      </c>
      <c r="Q11">
        <v>1.5</v>
      </c>
      <c r="U11" s="10">
        <v>414</v>
      </c>
      <c r="V11" s="4">
        <f>COUNTIFS(Table1[Range(nm)], U11, Table1[Type], "ACK")/COUNTIFS(Table1[Range(nm)], U11)</f>
        <v>0.80952380952380953</v>
      </c>
      <c r="W11" s="5">
        <f>COUNTIFS(Table1[Range(nm)], $U11, Table1[Type], "SUT Rx Error")/COUNTIFS(Table1[Range(nm)], $U11)</f>
        <v>9.5238095238095233E-2</v>
      </c>
      <c r="X11">
        <f>AVERAGEIF(Table1[Range(nm)], U11, Table1[RSSI])</f>
        <v>-122.5952380952381</v>
      </c>
      <c r="Y11" s="3">
        <f>AVERAGEIF(Table1[Range(nm)], U11, Table1[SNR])</f>
        <v>0.21428571428571427</v>
      </c>
      <c r="Z11" s="4">
        <f>COUNTIFS(Table2[Range(nm)], U11, Table2[Type], "ACK")/COUNTIFS(Table2[Range(nm)], U11)</f>
        <v>0.76190476190476186</v>
      </c>
      <c r="AA11" s="5">
        <f>COUNTIFS(Table2[Range(nm)], $U11, Table2[Type], "SUT Rx Error")/COUNTIFS(Table2[Range(nm)], $U11)</f>
        <v>0.14285714285714285</v>
      </c>
      <c r="AB11">
        <f>AVERAGEIF(Table2[Range(nm)], U11, Table2[Column2])</f>
        <v>-123.33333333333333</v>
      </c>
      <c r="AC11" s="3">
        <f>AVERAGEIF(Table2[Range(nm)], U11, Table2[SNR])</f>
        <v>9.5238095238095233E-2</v>
      </c>
    </row>
    <row r="12" spans="2:29" x14ac:dyDescent="0.25">
      <c r="B12">
        <f>400+2*(Table1[[#This Row],[Column1]]-42)</f>
        <v>400</v>
      </c>
      <c r="C12">
        <f>MINUTE(Table1[[#This Row],[Time]])</f>
        <v>42</v>
      </c>
      <c r="D12" s="1">
        <v>0.44610285879629624</v>
      </c>
      <c r="E12" t="s">
        <v>9</v>
      </c>
      <c r="F12">
        <v>-122</v>
      </c>
      <c r="G12">
        <v>1.8</v>
      </c>
      <c r="K12">
        <f>400+2*(Table2[[#This Row],[Column1]]-13)</f>
        <v>400</v>
      </c>
      <c r="L12">
        <f>MINUTE(Table2[[#This Row],[Time]])</f>
        <v>13</v>
      </c>
      <c r="M12" s="1">
        <v>0.67596914351851844</v>
      </c>
      <c r="N12" t="s">
        <v>9</v>
      </c>
      <c r="O12" t="s">
        <v>11</v>
      </c>
      <c r="P12">
        <f t="shared" si="0"/>
        <v>-122</v>
      </c>
      <c r="Q12">
        <v>1</v>
      </c>
      <c r="U12" s="10">
        <v>416</v>
      </c>
      <c r="V12" s="4">
        <f>COUNTIFS(Table1[Range(nm)], U12, Table1[Type], "ACK")/COUNTIFS(Table1[Range(nm)], U12)</f>
        <v>0.59090909090909094</v>
      </c>
      <c r="W12" s="5">
        <f>COUNTIFS(Table1[Range(nm)], $U12, Table1[Type], "SUT Rx Error")/COUNTIFS(Table1[Range(nm)], $U12)</f>
        <v>0.36363636363636365</v>
      </c>
      <c r="X12">
        <f>AVERAGEIF(Table1[Range(nm)], U12, Table1[RSSI])</f>
        <v>-123.31818181818181</v>
      </c>
      <c r="Y12" s="3">
        <f>AVERAGEIF(Table1[Range(nm)], U12, Table1[SNR])</f>
        <v>-7.2727272727272751E-2</v>
      </c>
      <c r="Z12" s="4">
        <f>COUNTIFS(Table2[Range(nm)], U12, Table2[Type], "ACK")/COUNTIFS(Table2[Range(nm)], U12)</f>
        <v>0.81818181818181823</v>
      </c>
      <c r="AA12" s="5">
        <f>COUNTIFS(Table2[Range(nm)], $U12, Table2[Type], "SUT Rx Error")/COUNTIFS(Table2[Range(nm)], $U12)</f>
        <v>0.13636363636363635</v>
      </c>
      <c r="AB12">
        <f>AVERAGEIF(Table2[Range(nm)], U12, Table2[Column2])</f>
        <v>-123</v>
      </c>
      <c r="AC12" s="3">
        <f>AVERAGEIF(Table2[Range(nm)], U12, Table2[SNR])</f>
        <v>0.12727272727272723</v>
      </c>
    </row>
    <row r="13" spans="2:29" x14ac:dyDescent="0.25">
      <c r="B13">
        <f>400+2*(Table1[[#This Row],[Column1]]-42)</f>
        <v>400</v>
      </c>
      <c r="C13">
        <f>MINUTE(Table1[[#This Row],[Time]])</f>
        <v>42</v>
      </c>
      <c r="D13" s="1">
        <v>0.44613525462962966</v>
      </c>
      <c r="E13" t="s">
        <v>9</v>
      </c>
      <c r="F13">
        <v>-122</v>
      </c>
      <c r="G13">
        <v>1.3</v>
      </c>
      <c r="K13">
        <f>400+2*(Table2[[#This Row],[Column1]]-13)</f>
        <v>400</v>
      </c>
      <c r="L13">
        <f>MINUTE(Table2[[#This Row],[Time]])</f>
        <v>13</v>
      </c>
      <c r="M13" s="1">
        <v>0.67600153935185192</v>
      </c>
      <c r="N13" t="s">
        <v>9</v>
      </c>
      <c r="O13" t="s">
        <v>11</v>
      </c>
      <c r="P13">
        <f t="shared" si="0"/>
        <v>-122</v>
      </c>
      <c r="Q13">
        <v>1.8</v>
      </c>
      <c r="U13" s="10">
        <v>418</v>
      </c>
      <c r="V13" s="4">
        <f>COUNTIFS(Table1[Range(nm)], U13, Table1[Type], "ACK")/COUNTIFS(Table1[Range(nm)], U13)</f>
        <v>0.47619047619047616</v>
      </c>
      <c r="W13" s="5">
        <f>COUNTIFS(Table1[Range(nm)], $U13, Table1[Type], "SUT Rx Error")/COUNTIFS(Table1[Range(nm)], $U13)</f>
        <v>0.42857142857142855</v>
      </c>
      <c r="X13">
        <f>AVERAGEIF(Table1[Range(nm)], U13, Table1[RSSI])</f>
        <v>-123.33333333333333</v>
      </c>
      <c r="Y13" s="3">
        <f>AVERAGEIF(Table1[Range(nm)], U13, Table1[SNR])</f>
        <v>-8.0952380952380998E-2</v>
      </c>
      <c r="Z13" s="4">
        <f>COUNTIFS(Table2[Range(nm)], U13, Table2[Type], "ACK")/COUNTIFS(Table2[Range(nm)], U13)</f>
        <v>0.90476190476190477</v>
      </c>
      <c r="AA13" s="5">
        <f>COUNTIFS(Table2[Range(nm)], $U13, Table2[Type], "SUT Rx Error")/COUNTIFS(Table2[Range(nm)], $U13)</f>
        <v>9.5238095238095233E-2</v>
      </c>
      <c r="AB13">
        <f>AVERAGEIF(Table2[Range(nm)], U13, Table2[Column2])</f>
        <v>-122.92857142857143</v>
      </c>
      <c r="AC13" s="3">
        <f>AVERAGEIF(Table2[Range(nm)], U13, Table2[SNR])</f>
        <v>0.29523809523809519</v>
      </c>
    </row>
    <row r="14" spans="2:29" x14ac:dyDescent="0.25">
      <c r="B14">
        <f>400+2*(Table1[[#This Row],[Column1]]-42)</f>
        <v>400</v>
      </c>
      <c r="C14">
        <f>MINUTE(Table1[[#This Row],[Time]])</f>
        <v>42</v>
      </c>
      <c r="D14" s="1">
        <v>0.44616765046296297</v>
      </c>
      <c r="E14" t="s">
        <v>9</v>
      </c>
      <c r="F14">
        <v>-122</v>
      </c>
      <c r="G14">
        <v>1.5</v>
      </c>
      <c r="K14">
        <f>400+2*(Table2[[#This Row],[Column1]]-13)</f>
        <v>400</v>
      </c>
      <c r="L14">
        <f>MINUTE(Table2[[#This Row],[Time]])</f>
        <v>13</v>
      </c>
      <c r="M14" s="1">
        <v>0.67603393518518518</v>
      </c>
      <c r="N14" t="s">
        <v>9</v>
      </c>
      <c r="O14" t="s">
        <v>11</v>
      </c>
      <c r="P14">
        <f t="shared" si="0"/>
        <v>-122</v>
      </c>
      <c r="Q14">
        <v>1.5</v>
      </c>
      <c r="U14" s="10">
        <v>420</v>
      </c>
      <c r="V14" s="4">
        <f>COUNTIFS(Table1[Range(nm)], U14, Table1[Type], "ACK")/COUNTIFS(Table1[Range(nm)], U14)</f>
        <v>0.77272727272727271</v>
      </c>
      <c r="W14" s="5">
        <f>COUNTIFS(Table1[Range(nm)], $U14, Table1[Type], "SUT Rx Error")/COUNTIFS(Table1[Range(nm)], $U14)</f>
        <v>0.18181818181818182</v>
      </c>
      <c r="X14">
        <f>AVERAGEIF(Table1[Range(nm)], U14, Table1[RSSI])</f>
        <v>-122.97727272727273</v>
      </c>
      <c r="Y14" s="3">
        <f>AVERAGEIF(Table1[Range(nm)], U14, Table1[SNR])</f>
        <v>0.2818181818181818</v>
      </c>
      <c r="Z14" s="4">
        <f>COUNTIFS(Table2[Range(nm)], U14, Table2[Type], "ACK")/COUNTIFS(Table2[Range(nm)], U14)</f>
        <v>0.86363636363636365</v>
      </c>
      <c r="AA14" s="5">
        <f>COUNTIFS(Table2[Range(nm)], $U14, Table2[Type], "SUT Rx Error")/COUNTIFS(Table2[Range(nm)], $U14)</f>
        <v>9.0909090909090912E-2</v>
      </c>
      <c r="AB14">
        <f>AVERAGEIF(Table2[Range(nm)], U14, Table2[Column2])</f>
        <v>-123.22727272727273</v>
      </c>
      <c r="AC14" s="3">
        <f>AVERAGEIF(Table2[Range(nm)], U14, Table2[SNR])</f>
        <v>0.24090909090909091</v>
      </c>
    </row>
    <row r="15" spans="2:29" x14ac:dyDescent="0.25">
      <c r="B15">
        <f>400+2*(Table1[[#This Row],[Column1]]-42)</f>
        <v>400</v>
      </c>
      <c r="C15">
        <f>MINUTE(Table1[[#This Row],[Time]])</f>
        <v>42</v>
      </c>
      <c r="D15" s="1">
        <v>0.44620004629629628</v>
      </c>
      <c r="E15" t="s">
        <v>9</v>
      </c>
      <c r="F15">
        <v>-122</v>
      </c>
      <c r="G15">
        <v>1.3</v>
      </c>
      <c r="K15">
        <f>400+2*(Table2[[#This Row],[Column1]]-13)</f>
        <v>400</v>
      </c>
      <c r="L15">
        <f>MINUTE(Table2[[#This Row],[Time]])</f>
        <v>13</v>
      </c>
      <c r="M15" s="1">
        <v>0.6760663194444444</v>
      </c>
      <c r="N15" t="s">
        <v>9</v>
      </c>
      <c r="O15" t="s">
        <v>11</v>
      </c>
      <c r="P15">
        <f t="shared" si="0"/>
        <v>-122</v>
      </c>
      <c r="Q15">
        <v>1</v>
      </c>
      <c r="U15" s="10">
        <v>422</v>
      </c>
      <c r="V15" s="4">
        <f>COUNTIFS(Table1[Range(nm)], U15, Table1[Type], "ACK")/COUNTIFS(Table1[Range(nm)], U15)</f>
        <v>0.76190476190476186</v>
      </c>
      <c r="W15" s="5">
        <f>COUNTIFS(Table1[Range(nm)], $U15, Table1[Type], "SUT Rx Error")/COUNTIFS(Table1[Range(nm)], $U15)</f>
        <v>0.23809523809523808</v>
      </c>
      <c r="X15">
        <f>AVERAGEIF(Table1[Range(nm)], U15, Table1[RSSI])</f>
        <v>-123.28571428571429</v>
      </c>
      <c r="Y15" s="3">
        <f>AVERAGEIF(Table1[Range(nm)], U15, Table1[SNR])</f>
        <v>0.33809523809523806</v>
      </c>
      <c r="Z15" s="4">
        <f>COUNTIFS(Table2[Range(nm)], U15, Table2[Type], "ACK")/COUNTIFS(Table2[Range(nm)], U15)</f>
        <v>0.95238095238095233</v>
      </c>
      <c r="AA15" s="5">
        <f>COUNTIFS(Table2[Range(nm)], $U15, Table2[Type], "SUT Rx Error")/COUNTIFS(Table2[Range(nm)], $U15)</f>
        <v>4.7619047619047616E-2</v>
      </c>
      <c r="AB15">
        <f>AVERAGEIF(Table2[Range(nm)], U15, Table2[Column2])</f>
        <v>-123.11904761904762</v>
      </c>
      <c r="AC15" s="3">
        <f>AVERAGEIF(Table2[Range(nm)], U15, Table2[SNR])</f>
        <v>0.45714285714285713</v>
      </c>
    </row>
    <row r="16" spans="2:29" x14ac:dyDescent="0.25">
      <c r="B16">
        <f>400+2*(Table1[[#This Row],[Column1]]-42)</f>
        <v>400</v>
      </c>
      <c r="C16">
        <f>MINUTE(Table1[[#This Row],[Time]])</f>
        <v>42</v>
      </c>
      <c r="D16" s="1">
        <v>0.44623244212962965</v>
      </c>
      <c r="E16" t="s">
        <v>27</v>
      </c>
      <c r="F16">
        <f>F15-0.5</f>
        <v>-122.5</v>
      </c>
      <c r="G16">
        <f>G15-0.5</f>
        <v>0.8</v>
      </c>
      <c r="K16">
        <f>400+2*(Table2[[#This Row],[Column1]]-13)</f>
        <v>400</v>
      </c>
      <c r="L16">
        <f>MINUTE(Table2[[#This Row],[Time]])</f>
        <v>13</v>
      </c>
      <c r="M16" s="1">
        <v>0.67609872685185191</v>
      </c>
      <c r="N16" t="s">
        <v>9</v>
      </c>
      <c r="O16" t="s">
        <v>11</v>
      </c>
      <c r="P16">
        <f t="shared" si="0"/>
        <v>-122</v>
      </c>
      <c r="Q16">
        <v>1.3</v>
      </c>
      <c r="U16" s="10">
        <v>424</v>
      </c>
      <c r="V16" s="4">
        <f>COUNTIFS(Table1[Range(nm)], U16, Table1[Type], "ACK")/COUNTIFS(Table1[Range(nm)], U16)</f>
        <v>0.86363636363636365</v>
      </c>
      <c r="W16" s="5">
        <f>COUNTIFS(Table1[Range(nm)], $U16, Table1[Type], "SUT Rx Error")/COUNTIFS(Table1[Range(nm)], $U16)</f>
        <v>9.0909090909090912E-2</v>
      </c>
      <c r="X16">
        <f>AVERAGEIF(Table1[Range(nm)], U16, Table1[RSSI])</f>
        <v>-123</v>
      </c>
      <c r="Y16" s="3">
        <f>AVERAGEIF(Table1[Range(nm)], U16, Table1[SNR])</f>
        <v>0.33181818181818179</v>
      </c>
      <c r="Z16" s="4">
        <f>COUNTIFS(Table2[Range(nm)], U16, Table2[Type], "ACK")/COUNTIFS(Table2[Range(nm)], U16)</f>
        <v>0.86363636363636365</v>
      </c>
      <c r="AA16" s="5">
        <f>COUNTIFS(Table2[Range(nm)], $U16, Table2[Type], "SUT Rx Error")/COUNTIFS(Table2[Range(nm)], $U16)</f>
        <v>4.5454545454545456E-2</v>
      </c>
      <c r="AB16">
        <f>AVERAGEIF(Table2[Range(nm)], U16, Table2[Column2])</f>
        <v>-122.70454545454545</v>
      </c>
      <c r="AC16" s="3">
        <f>AVERAGEIF(Table2[Range(nm)], U16, Table2[SNR])</f>
        <v>0.34545454545454546</v>
      </c>
    </row>
    <row r="17" spans="2:29" x14ac:dyDescent="0.25">
      <c r="B17">
        <f>400+2*(Table1[[#This Row],[Column1]]-42)</f>
        <v>400</v>
      </c>
      <c r="C17">
        <f>MINUTE(Table1[[#This Row],[Time]])</f>
        <v>42</v>
      </c>
      <c r="D17" s="1">
        <v>0.44626483796296296</v>
      </c>
      <c r="E17" t="s">
        <v>9</v>
      </c>
      <c r="F17">
        <v>-122</v>
      </c>
      <c r="G17">
        <v>1.5</v>
      </c>
      <c r="K17">
        <f>400+2*(Table2[[#This Row],[Column1]]-13)</f>
        <v>400</v>
      </c>
      <c r="L17">
        <f>MINUTE(Table2[[#This Row],[Time]])</f>
        <v>13</v>
      </c>
      <c r="M17" s="1">
        <v>0.67613112268518516</v>
      </c>
      <c r="N17" t="s">
        <v>9</v>
      </c>
      <c r="O17" t="s">
        <v>11</v>
      </c>
      <c r="P17">
        <f t="shared" si="0"/>
        <v>-122</v>
      </c>
      <c r="Q17">
        <v>1.3</v>
      </c>
      <c r="U17" s="10">
        <v>426</v>
      </c>
      <c r="V17" s="4">
        <f>COUNTIFS(Table1[Range(nm)], U17, Table1[Type], "ACK")/COUNTIFS(Table1[Range(nm)], U17)</f>
        <v>0.7142857142857143</v>
      </c>
      <c r="W17" s="5">
        <f>COUNTIFS(Table1[Range(nm)], $U17, Table1[Type], "SUT Rx Error")/COUNTIFS(Table1[Range(nm)], $U17)</f>
        <v>0.2857142857142857</v>
      </c>
      <c r="X17">
        <f>AVERAGEIF(Table1[Range(nm)], U17, Table1[RSSI])</f>
        <v>-123.42857142857143</v>
      </c>
      <c r="Y17" s="3">
        <f>AVERAGEIF(Table1[Range(nm)], U17, Table1[SNR])</f>
        <v>2.3809523809523829E-2</v>
      </c>
      <c r="Z17" s="4">
        <f>COUNTIFS(Table2[Range(nm)], U17, Table2[Type], "ACK")/COUNTIFS(Table2[Range(nm)], U17)</f>
        <v>0.90476190476190477</v>
      </c>
      <c r="AA17" s="5">
        <f>COUNTIFS(Table2[Range(nm)], $U17, Table2[Type], "SUT Rx Error")/COUNTIFS(Table2[Range(nm)], $U17)</f>
        <v>4.7619047619047616E-2</v>
      </c>
      <c r="AB17">
        <f>AVERAGEIF(Table2[Range(nm)], U17, Table2[Column2])</f>
        <v>-123.23809523809524</v>
      </c>
      <c r="AC17" s="3">
        <f>AVERAGEIF(Table2[Range(nm)], U17, Table2[SNR])</f>
        <v>0.35714285714285715</v>
      </c>
    </row>
    <row r="18" spans="2:29" x14ac:dyDescent="0.25">
      <c r="B18">
        <f>400+2*(Table1[[#This Row],[Column1]]-42)</f>
        <v>400</v>
      </c>
      <c r="C18">
        <f>MINUTE(Table1[[#This Row],[Time]])</f>
        <v>42</v>
      </c>
      <c r="D18" s="1">
        <v>0.44629723379629627</v>
      </c>
      <c r="E18" t="s">
        <v>9</v>
      </c>
      <c r="F18">
        <v>-122</v>
      </c>
      <c r="G18">
        <v>1.5</v>
      </c>
      <c r="K18">
        <f>400+2*(Table2[[#This Row],[Column1]]-13)</f>
        <v>400</v>
      </c>
      <c r="L18">
        <f>MINUTE(Table2[[#This Row],[Time]])</f>
        <v>13</v>
      </c>
      <c r="M18" s="1">
        <v>0.67616349537037035</v>
      </c>
      <c r="N18" t="s">
        <v>9</v>
      </c>
      <c r="O18" t="s">
        <v>11</v>
      </c>
      <c r="P18">
        <f t="shared" si="0"/>
        <v>-122</v>
      </c>
      <c r="Q18">
        <v>1</v>
      </c>
      <c r="U18" s="10">
        <v>428</v>
      </c>
      <c r="V18" s="4">
        <f>COUNTIFS(Table1[Range(nm)], U18, Table1[Type], "ACK")/COUNTIFS(Table1[Range(nm)], U18)</f>
        <v>0.86363636363636365</v>
      </c>
      <c r="W18" s="5">
        <f>COUNTIFS(Table1[Range(nm)], $U18, Table1[Type], "SUT Rx Error")/COUNTIFS(Table1[Range(nm)], $U18)</f>
        <v>9.0909090909090912E-2</v>
      </c>
      <c r="X18">
        <f>AVERAGEIF(Table1[Range(nm)], U18, Table1[RSSI])</f>
        <v>-123.20454545454545</v>
      </c>
      <c r="Y18" s="3">
        <f>AVERAGEIF(Table1[Range(nm)], U18, Table1[SNR])</f>
        <v>0.43636363636363634</v>
      </c>
      <c r="Z18" s="4">
        <f>COUNTIFS(Table2[Range(nm)], U18, Table2[Type], "ACK")/COUNTIFS(Table2[Range(nm)], U18)</f>
        <v>0.76190476190476186</v>
      </c>
      <c r="AA18" s="5">
        <f>COUNTIFS(Table2[Range(nm)], $U18, Table2[Type], "SUT Rx Error")/COUNTIFS(Table2[Range(nm)], $U18)</f>
        <v>0.14285714285714285</v>
      </c>
      <c r="AB18">
        <f>AVERAGEIF(Table2[Range(nm)], U18, Table2[Column2])</f>
        <v>-123.33333333333333</v>
      </c>
      <c r="AC18" s="3">
        <f>AVERAGEIF(Table2[Range(nm)], U18, Table2[SNR])</f>
        <v>0.27619047619047621</v>
      </c>
    </row>
    <row r="19" spans="2:29" x14ac:dyDescent="0.25">
      <c r="B19">
        <f>400+2*(Table1[[#This Row],[Column1]]-42)</f>
        <v>400</v>
      </c>
      <c r="C19">
        <f>MINUTE(Table1[[#This Row],[Time]])</f>
        <v>42</v>
      </c>
      <c r="D19" s="1">
        <v>0.44632961805555554</v>
      </c>
      <c r="E19" t="s">
        <v>9</v>
      </c>
      <c r="F19">
        <v>-122</v>
      </c>
      <c r="G19">
        <v>1.8</v>
      </c>
      <c r="K19">
        <f>400+2*(Table2[[#This Row],[Column1]]-13)</f>
        <v>400</v>
      </c>
      <c r="L19">
        <f>MINUTE(Table2[[#This Row],[Time]])</f>
        <v>13</v>
      </c>
      <c r="M19" s="1">
        <v>0.67619591435185178</v>
      </c>
      <c r="N19" t="s">
        <v>27</v>
      </c>
      <c r="O19" t="str">
        <f>O18</f>
        <v>-122.0,</v>
      </c>
      <c r="P19">
        <f>P18-0.5</f>
        <v>-122.5</v>
      </c>
      <c r="Q19">
        <f>Q18-0.5</f>
        <v>0.5</v>
      </c>
      <c r="U19" s="10">
        <v>430</v>
      </c>
      <c r="V19" s="4">
        <f>COUNTIFS(Table1[Range(nm)], U19, Table1[Type], "ACK")/COUNTIFS(Table1[Range(nm)], U19)</f>
        <v>0.76190476190476186</v>
      </c>
      <c r="W19" s="5">
        <f>COUNTIFS(Table1[Range(nm)], $U19, Table1[Type], "SUT Rx Error")/COUNTIFS(Table1[Range(nm)], $U19)</f>
        <v>0.19047619047619047</v>
      </c>
      <c r="X19">
        <f>AVERAGEIF(Table1[Range(nm)], U19, Table1[RSSI])</f>
        <v>-122.95238095238095</v>
      </c>
      <c r="Y19" s="3">
        <f>AVERAGEIF(Table1[Range(nm)], U19, Table1[SNR])</f>
        <v>0.18095238095238095</v>
      </c>
      <c r="Z19" s="4">
        <f>COUNTIFS(Table2[Range(nm)], U19, Table2[Type], "ACK")/COUNTIFS(Table2[Range(nm)], U19)</f>
        <v>0.81818181818181823</v>
      </c>
      <c r="AA19" s="5">
        <f>COUNTIFS(Table2[Range(nm)], $U19, Table2[Type], "SUT Rx Error")/COUNTIFS(Table2[Range(nm)], $U19)</f>
        <v>0.13636363636363635</v>
      </c>
      <c r="AB19">
        <f>AVERAGEIF(Table2[Range(nm)], U19, Table2[Column2])</f>
        <v>-122.47727272727273</v>
      </c>
      <c r="AC19" s="3">
        <f>AVERAGEIF(Table2[Range(nm)], U19, Table2[SNR])</f>
        <v>0.35454545454545455</v>
      </c>
    </row>
    <row r="20" spans="2:29" x14ac:dyDescent="0.25">
      <c r="B20">
        <f>400+2*(Table1[[#This Row],[Column1]]-42)</f>
        <v>400</v>
      </c>
      <c r="C20">
        <f>MINUTE(Table1[[#This Row],[Time]])</f>
        <v>42</v>
      </c>
      <c r="D20" s="1">
        <v>0.44636202546296294</v>
      </c>
      <c r="E20" t="s">
        <v>9</v>
      </c>
      <c r="F20">
        <v>-122</v>
      </c>
      <c r="G20">
        <v>1.5</v>
      </c>
      <c r="K20">
        <f>400+2*(Table2[[#This Row],[Column1]]-13)</f>
        <v>400</v>
      </c>
      <c r="L20">
        <f>MINUTE(Table2[[#This Row],[Time]])</f>
        <v>13</v>
      </c>
      <c r="M20" s="1">
        <v>0.67622831018518514</v>
      </c>
      <c r="N20" t="s">
        <v>9</v>
      </c>
      <c r="O20" t="s">
        <v>11</v>
      </c>
      <c r="P20">
        <f t="shared" si="0"/>
        <v>-122</v>
      </c>
      <c r="Q20">
        <v>1.5</v>
      </c>
      <c r="U20" s="10">
        <v>432</v>
      </c>
      <c r="V20" s="4">
        <f>COUNTIFS(Table1[Range(nm)], U20, Table1[Type], "ACK")/COUNTIFS(Table1[Range(nm)], U20)</f>
        <v>0.61904761904761907</v>
      </c>
      <c r="W20" s="5">
        <f>COUNTIFS(Table1[Range(nm)], $U20, Table1[Type], "SUT Rx Error")/COUNTIFS(Table1[Range(nm)], $U20)</f>
        <v>0.2857142857142857</v>
      </c>
      <c r="X20">
        <f>AVERAGEIF(Table1[Range(nm)], U20, Table1[RSSI])</f>
        <v>-123.30952380952381</v>
      </c>
      <c r="Y20" s="3">
        <f>AVERAGEIF(Table1[Range(nm)], U20, Table1[SNR])</f>
        <v>0.22380952380952376</v>
      </c>
      <c r="Z20" s="4">
        <f>COUNTIFS(Table2[Range(nm)], U20, Table2[Type], "ACK")/COUNTIFS(Table2[Range(nm)], U20)</f>
        <v>0.80952380952380953</v>
      </c>
      <c r="AA20" s="5">
        <f>COUNTIFS(Table2[Range(nm)], $U20, Table2[Type], "SUT Rx Error")/COUNTIFS(Table2[Range(nm)], $U20)</f>
        <v>0.14285714285714285</v>
      </c>
      <c r="AB20">
        <f>AVERAGEIF(Table2[Range(nm)], U20, Table2[Column2])</f>
        <v>-122.73809523809524</v>
      </c>
      <c r="AC20" s="3">
        <f>AVERAGEIF(Table2[Range(nm)], U20, Table2[SNR])</f>
        <v>0.55714285714285716</v>
      </c>
    </row>
    <row r="21" spans="2:29" x14ac:dyDescent="0.25">
      <c r="B21">
        <f>400+2*(Table1[[#This Row],[Column1]]-42)</f>
        <v>400</v>
      </c>
      <c r="C21">
        <f>MINUTE(Table1[[#This Row],[Time]])</f>
        <v>42</v>
      </c>
      <c r="D21" s="1">
        <v>0.44639442129629631</v>
      </c>
      <c r="E21" t="s">
        <v>9</v>
      </c>
      <c r="F21">
        <v>-122</v>
      </c>
      <c r="G21">
        <v>1.8</v>
      </c>
      <c r="K21">
        <f>400+2*(Table2[[#This Row],[Column1]]-13)</f>
        <v>400</v>
      </c>
      <c r="L21">
        <f>MINUTE(Table2[[#This Row],[Time]])</f>
        <v>13</v>
      </c>
      <c r="M21" s="1">
        <v>0.67626070601851851</v>
      </c>
      <c r="N21" t="s">
        <v>9</v>
      </c>
      <c r="O21" t="s">
        <v>11</v>
      </c>
      <c r="P21">
        <f t="shared" si="0"/>
        <v>-122</v>
      </c>
      <c r="Q21">
        <v>1.3</v>
      </c>
      <c r="U21" s="10">
        <v>434</v>
      </c>
      <c r="V21" s="4">
        <f>COUNTIFS(Table1[Range(nm)], U21, Table1[Type], "ACK")/COUNTIFS(Table1[Range(nm)], U21)</f>
        <v>0.68181818181818177</v>
      </c>
      <c r="W21" s="5">
        <f>COUNTIFS(Table1[Range(nm)], $U21, Table1[Type], "SUT Rx Error")/COUNTIFS(Table1[Range(nm)], $U21)</f>
        <v>0.27272727272727271</v>
      </c>
      <c r="X21">
        <f>AVERAGEIF(Table1[Range(nm)], U21, Table1[RSSI])</f>
        <v>-123.31818181818181</v>
      </c>
      <c r="Y21" s="3">
        <f>AVERAGEIF(Table1[Range(nm)], U21, Table1[SNR])</f>
        <v>0.19090909090909089</v>
      </c>
      <c r="Z21" s="4">
        <f>COUNTIFS(Table2[Range(nm)], U21, Table2[Type], "ACK")/COUNTIFS(Table2[Range(nm)], U21)</f>
        <v>0.86363636363636365</v>
      </c>
      <c r="AA21" s="5">
        <f>COUNTIFS(Table2[Range(nm)], $U21, Table2[Type], "SUT Rx Error")/COUNTIFS(Table2[Range(nm)], $U21)</f>
        <v>9.0909090909090912E-2</v>
      </c>
      <c r="AB21">
        <f>AVERAGEIF(Table2[Range(nm)], U21, Table2[Column2])</f>
        <v>-123.20454545454545</v>
      </c>
      <c r="AC21" s="3">
        <f>AVERAGEIF(Table2[Range(nm)], U21, Table2[SNR])</f>
        <v>0.42727272727272719</v>
      </c>
    </row>
    <row r="22" spans="2:29" x14ac:dyDescent="0.25">
      <c r="B22">
        <f>400+2*(Table1[[#This Row],[Column1]]-42)</f>
        <v>400</v>
      </c>
      <c r="C22">
        <f>MINUTE(Table1[[#This Row],[Time]])</f>
        <v>42</v>
      </c>
      <c r="D22" s="1">
        <v>0.44642680555555553</v>
      </c>
      <c r="E22" t="s">
        <v>9</v>
      </c>
      <c r="F22">
        <v>-122</v>
      </c>
      <c r="G22">
        <v>1.3</v>
      </c>
      <c r="K22">
        <f>400+2*(Table2[[#This Row],[Column1]]-13)</f>
        <v>400</v>
      </c>
      <c r="L22">
        <f>MINUTE(Table2[[#This Row],[Time]])</f>
        <v>13</v>
      </c>
      <c r="M22" s="1">
        <v>0.6762930787037037</v>
      </c>
      <c r="N22" t="s">
        <v>9</v>
      </c>
      <c r="O22" t="s">
        <v>10</v>
      </c>
      <c r="P22">
        <f t="shared" si="0"/>
        <v>-121</v>
      </c>
      <c r="Q22">
        <v>1.5</v>
      </c>
      <c r="U22" s="10">
        <v>436</v>
      </c>
      <c r="V22" s="4">
        <f>COUNTIFS(Table1[Range(nm)], U22, Table1[Type], "ACK")/COUNTIFS(Table1[Range(nm)], U22)</f>
        <v>0.7142857142857143</v>
      </c>
      <c r="W22" s="5">
        <f>COUNTIFS(Table1[Range(nm)], $U22, Table1[Type], "SUT Rx Error")/COUNTIFS(Table1[Range(nm)], $U22)</f>
        <v>0.23809523809523808</v>
      </c>
      <c r="X22">
        <f>AVERAGEIF(Table1[Range(nm)], U22, Table1[RSSI])</f>
        <v>-123.23809523809524</v>
      </c>
      <c r="Y22" s="3">
        <f>AVERAGEIF(Table1[Range(nm)], U22, Table1[SNR])</f>
        <v>0.30952380952380953</v>
      </c>
      <c r="Z22" s="4">
        <f>COUNTIFS(Table2[Range(nm)], U22, Table2[Type], "ACK")/COUNTIFS(Table2[Range(nm)], U22)</f>
        <v>0.80952380952380953</v>
      </c>
      <c r="AA22" s="5">
        <f>COUNTIFS(Table2[Range(nm)], $U22, Table2[Type], "SUT Rx Error")/COUNTIFS(Table2[Range(nm)], $U22)</f>
        <v>0.19047619047619047</v>
      </c>
      <c r="AB22">
        <f>AVERAGEIF(Table2[Range(nm)], U22, Table2[Column2])</f>
        <v>-123.07142857142857</v>
      </c>
      <c r="AC22" s="3">
        <f>AVERAGEIF(Table2[Range(nm)], U22, Table2[SNR])</f>
        <v>0.38095238095238093</v>
      </c>
    </row>
    <row r="23" spans="2:29" x14ac:dyDescent="0.25">
      <c r="B23">
        <f>400+2*(Table1[[#This Row],[Column1]]-42)</f>
        <v>400</v>
      </c>
      <c r="C23">
        <f>MINUTE(Table1[[#This Row],[Time]])</f>
        <v>42</v>
      </c>
      <c r="D23" s="1">
        <v>0.44645921296296298</v>
      </c>
      <c r="E23" t="s">
        <v>9</v>
      </c>
      <c r="F23">
        <v>-122</v>
      </c>
      <c r="G23">
        <v>1.3</v>
      </c>
      <c r="K23">
        <f>400+2*(Table2[[#This Row],[Column1]]-13)</f>
        <v>400</v>
      </c>
      <c r="L23">
        <f>MINUTE(Table2[[#This Row],[Time]])</f>
        <v>13</v>
      </c>
      <c r="M23" s="1">
        <v>0.67632549768518524</v>
      </c>
      <c r="N23" t="s">
        <v>9</v>
      </c>
      <c r="O23" t="s">
        <v>10</v>
      </c>
      <c r="P23">
        <f t="shared" si="0"/>
        <v>-121</v>
      </c>
      <c r="Q23">
        <v>1.3</v>
      </c>
      <c r="U23" s="10">
        <v>438</v>
      </c>
      <c r="V23" s="4">
        <f>COUNTIFS(Table1[Range(nm)], U23, Table1[Type], "ACK")/COUNTIFS(Table1[Range(nm)], U23)</f>
        <v>0.59090909090909094</v>
      </c>
      <c r="W23" s="5">
        <f>COUNTIFS(Table1[Range(nm)], $U23, Table1[Type], "SUT Rx Error")/COUNTIFS(Table1[Range(nm)], $U23)</f>
        <v>0.36363636363636365</v>
      </c>
      <c r="X23">
        <f>AVERAGEIF(Table1[Range(nm)], U23, Table1[RSSI])</f>
        <v>-123.43181818181819</v>
      </c>
      <c r="Y23" s="3">
        <f>AVERAGEIF(Table1[Range(nm)], U23, Table1[SNR])</f>
        <v>0.24090909090909091</v>
      </c>
      <c r="Z23" s="4">
        <f>COUNTIFS(Table2[Range(nm)], U23, Table2[Type], "ACK")/COUNTIFS(Table2[Range(nm)], U23)</f>
        <v>0.81818181818181823</v>
      </c>
      <c r="AA23" s="5">
        <f>COUNTIFS(Table2[Range(nm)], $U23, Table2[Type], "SUT Rx Error")/COUNTIFS(Table2[Range(nm)], $U23)</f>
        <v>9.0909090909090912E-2</v>
      </c>
      <c r="AB23">
        <f>AVERAGEIF(Table2[Range(nm)], U23, Table2[Column2])</f>
        <v>-123</v>
      </c>
      <c r="AC23" s="3">
        <f>AVERAGEIF(Table2[Range(nm)], U23, Table2[SNR])</f>
        <v>0.45454545454545464</v>
      </c>
    </row>
    <row r="24" spans="2:29" x14ac:dyDescent="0.25">
      <c r="B24">
        <f>400+2*(Table1[[#This Row],[Column1]]-42)</f>
        <v>400</v>
      </c>
      <c r="C24">
        <f>MINUTE(Table1[[#This Row],[Time]])</f>
        <v>42</v>
      </c>
      <c r="D24" s="1">
        <v>0.44649160879629629</v>
      </c>
      <c r="E24" t="s">
        <v>9</v>
      </c>
      <c r="F24">
        <v>-118</v>
      </c>
      <c r="G24">
        <v>1.5</v>
      </c>
      <c r="K24">
        <f>400+2*(Table2[[#This Row],[Column1]]-13)</f>
        <v>400</v>
      </c>
      <c r="L24">
        <f>MINUTE(Table2[[#This Row],[Time]])</f>
        <v>13</v>
      </c>
      <c r="M24" s="1">
        <v>0.67635789351851849</v>
      </c>
      <c r="N24" t="s">
        <v>9</v>
      </c>
      <c r="O24" t="s">
        <v>11</v>
      </c>
      <c r="P24">
        <f t="shared" si="0"/>
        <v>-122</v>
      </c>
      <c r="Q24">
        <v>1.5</v>
      </c>
      <c r="U24" s="10">
        <v>440</v>
      </c>
      <c r="V24" s="4">
        <f>COUNTIFS(Table1[Range(nm)], U24, Table1[Type], "ACK")/COUNTIFS(Table1[Range(nm)], U24)</f>
        <v>0.7142857142857143</v>
      </c>
      <c r="W24" s="5">
        <f>COUNTIFS(Table1[Range(nm)], $U24, Table1[Type], "SUT Rx Error")/COUNTIFS(Table1[Range(nm)], $U24)</f>
        <v>0.2857142857142857</v>
      </c>
      <c r="X24">
        <f>AVERAGEIF(Table1[Range(nm)], U24, Table1[RSSI])</f>
        <v>-123.35714285714286</v>
      </c>
      <c r="Y24" s="3">
        <f>AVERAGEIF(Table1[Range(nm)], U24, Table1[SNR])</f>
        <v>9.5238095238095233E-2</v>
      </c>
      <c r="Z24" s="4">
        <f>COUNTIFS(Table2[Range(nm)], U24, Table2[Type], "ACK")/COUNTIFS(Table2[Range(nm)], U24)</f>
        <v>0.90476190476190477</v>
      </c>
      <c r="AA24" s="5">
        <f>COUNTIFS(Table2[Range(nm)], $U24, Table2[Type], "SUT Rx Error")/COUNTIFS(Table2[Range(nm)], $U24)</f>
        <v>4.7619047619047616E-2</v>
      </c>
      <c r="AB24">
        <f>AVERAGEIF(Table2[Range(nm)], U24, Table2[Column2])</f>
        <v>-122.76190476190476</v>
      </c>
      <c r="AC24" s="3">
        <f>AVERAGEIF(Table2[Range(nm)], U24, Table2[SNR])</f>
        <v>0.50000000000000011</v>
      </c>
    </row>
    <row r="25" spans="2:29" x14ac:dyDescent="0.25">
      <c r="B25">
        <f>400+2*(Table1[[#This Row],[Column1]]-42)</f>
        <v>402</v>
      </c>
      <c r="C25">
        <f>MINUTE(Table1[[#This Row],[Time]])</f>
        <v>43</v>
      </c>
      <c r="D25" s="1">
        <v>0.4465240046296296</v>
      </c>
      <c r="E25" t="s">
        <v>9</v>
      </c>
      <c r="F25">
        <v>-121</v>
      </c>
      <c r="G25">
        <v>1.5</v>
      </c>
      <c r="K25">
        <f>400+2*(Table2[[#This Row],[Column1]]-13)</f>
        <v>402</v>
      </c>
      <c r="L25">
        <f>MINUTE(Table2[[#This Row],[Time]])</f>
        <v>14</v>
      </c>
      <c r="M25" s="1">
        <v>0.67639028935185186</v>
      </c>
      <c r="N25" t="s">
        <v>9</v>
      </c>
      <c r="O25" t="s">
        <v>11</v>
      </c>
      <c r="P25">
        <f t="shared" si="0"/>
        <v>-122</v>
      </c>
      <c r="Q25">
        <v>1.5</v>
      </c>
      <c r="U25" s="10">
        <v>442</v>
      </c>
      <c r="V25" s="4">
        <f>COUNTIFS(Table1[Range(nm)], U25, Table1[Type], "ACK")/COUNTIFS(Table1[Range(nm)], U25)</f>
        <v>0.77272727272727271</v>
      </c>
      <c r="W25" s="5">
        <f>COUNTIFS(Table1[Range(nm)], $U25, Table1[Type], "SUT Rx Error")/COUNTIFS(Table1[Range(nm)], $U25)</f>
        <v>0.18181818181818182</v>
      </c>
      <c r="X25">
        <f>AVERAGEIF(Table1[Range(nm)], U25, Table1[RSSI])</f>
        <v>-123</v>
      </c>
      <c r="Y25" s="3">
        <f>AVERAGEIF(Table1[Range(nm)], U25, Table1[SNR])</f>
        <v>0.26818181818181819</v>
      </c>
      <c r="Z25" s="4">
        <f>COUNTIFS(Table2[Range(nm)], U25, Table2[Type], "ACK")/COUNTIFS(Table2[Range(nm)], U25)</f>
        <v>0.80952380952380953</v>
      </c>
      <c r="AA25" s="5">
        <f>COUNTIFS(Table2[Range(nm)], $U25, Table2[Type], "SUT Rx Error")/COUNTIFS(Table2[Range(nm)], $U25)</f>
        <v>0.14285714285714285</v>
      </c>
      <c r="AB25">
        <f>AVERAGEIF(Table2[Range(nm)], U25, Table2[Column2])</f>
        <v>-123.02380952380952</v>
      </c>
      <c r="AC25" s="3">
        <f>AVERAGEIF(Table2[Range(nm)], U25, Table2[SNR])</f>
        <v>0.57619047619047625</v>
      </c>
    </row>
    <row r="26" spans="2:29" x14ac:dyDescent="0.25">
      <c r="B26">
        <f>400+2*(Table1[[#This Row],[Column1]]-42)</f>
        <v>402</v>
      </c>
      <c r="C26">
        <f>MINUTE(Table1[[#This Row],[Time]])</f>
        <v>43</v>
      </c>
      <c r="D26" s="1">
        <v>0.44655640046296297</v>
      </c>
      <c r="E26" t="s">
        <v>9</v>
      </c>
      <c r="F26">
        <v>-122</v>
      </c>
      <c r="G26">
        <v>1.8</v>
      </c>
      <c r="K26">
        <f>400+2*(Table2[[#This Row],[Column1]]-13)</f>
        <v>402</v>
      </c>
      <c r="L26">
        <f>MINUTE(Table2[[#This Row],[Time]])</f>
        <v>14</v>
      </c>
      <c r="M26" s="1">
        <v>0.67642268518518511</v>
      </c>
      <c r="N26" t="s">
        <v>27</v>
      </c>
      <c r="O26" t="str">
        <f>O25</f>
        <v>-122.0,</v>
      </c>
      <c r="P26">
        <f>P25-0.5</f>
        <v>-122.5</v>
      </c>
      <c r="Q26">
        <f>Q25-0.5</f>
        <v>1</v>
      </c>
      <c r="U26" s="10">
        <v>444</v>
      </c>
      <c r="V26" s="4">
        <f>COUNTIFS(Table1[Range(nm)], U26, Table1[Type], "ACK")/COUNTIFS(Table1[Range(nm)], U26)</f>
        <v>0.76190476190476186</v>
      </c>
      <c r="W26" s="5">
        <f>COUNTIFS(Table1[Range(nm)], $U26, Table1[Type], "SUT Rx Error")/COUNTIFS(Table1[Range(nm)], $U26)</f>
        <v>0.23809523809523808</v>
      </c>
      <c r="X26">
        <f>AVERAGEIF(Table1[Range(nm)], U26, Table1[RSSI])</f>
        <v>-122.4047619047619</v>
      </c>
      <c r="Y26" s="3">
        <f>AVERAGEIF(Table1[Range(nm)], U26, Table1[SNR])</f>
        <v>0.42380952380952375</v>
      </c>
      <c r="Z26" s="4">
        <f>COUNTIFS(Table2[Range(nm)], U26, Table2[Type], "ACK")/COUNTIFS(Table2[Range(nm)], U26)</f>
        <v>0.81818181818181823</v>
      </c>
      <c r="AA26" s="5">
        <f>COUNTIFS(Table2[Range(nm)], $U26, Table2[Type], "SUT Rx Error")/COUNTIFS(Table2[Range(nm)], $U26)</f>
        <v>0.13636363636363635</v>
      </c>
      <c r="AB26">
        <f>AVERAGEIF(Table2[Range(nm)], U26, Table2[Column2])</f>
        <v>-123.02272727272727</v>
      </c>
      <c r="AC26" s="3">
        <f>AVERAGEIF(Table2[Range(nm)], U26, Table2[SNR])</f>
        <v>0.40454545454545454</v>
      </c>
    </row>
    <row r="27" spans="2:29" x14ac:dyDescent="0.25">
      <c r="B27">
        <f>400+2*(Table1[[#This Row],[Column1]]-42)</f>
        <v>402</v>
      </c>
      <c r="C27">
        <f>MINUTE(Table1[[#This Row],[Time]])</f>
        <v>43</v>
      </c>
      <c r="D27" s="1">
        <v>0.44658878472222224</v>
      </c>
      <c r="E27" t="s">
        <v>9</v>
      </c>
      <c r="F27">
        <v>-123</v>
      </c>
      <c r="G27">
        <v>-0.8</v>
      </c>
      <c r="K27">
        <f>400+2*(Table2[[#This Row],[Column1]]-13)</f>
        <v>402</v>
      </c>
      <c r="L27">
        <f>MINUTE(Table2[[#This Row],[Time]])</f>
        <v>14</v>
      </c>
      <c r="M27" s="1">
        <v>0.67645508101851848</v>
      </c>
      <c r="N27" t="s">
        <v>9</v>
      </c>
      <c r="O27" t="s">
        <v>12</v>
      </c>
      <c r="P27">
        <f t="shared" si="0"/>
        <v>-123</v>
      </c>
      <c r="Q27">
        <v>-1.3</v>
      </c>
      <c r="U27" s="10">
        <v>446</v>
      </c>
      <c r="V27" s="4">
        <f>COUNTIFS(Table1[Range(nm)], U27, Table1[Type], "ACK")/COUNTIFS(Table1[Range(nm)], U27)</f>
        <v>0.76190476190476186</v>
      </c>
      <c r="W27" s="5">
        <f>COUNTIFS(Table1[Range(nm)], $U27, Table1[Type], "SUT Rx Error")/COUNTIFS(Table1[Range(nm)], $U27)</f>
        <v>0.14285714285714285</v>
      </c>
      <c r="X27">
        <f>AVERAGEIF(Table1[Range(nm)], U27, Table1[RSSI])</f>
        <v>-123.23809523809524</v>
      </c>
      <c r="Y27" s="3">
        <f>AVERAGEIF(Table1[Range(nm)], U27, Table1[SNR])</f>
        <v>0.18095238095238095</v>
      </c>
      <c r="Z27" s="4">
        <f>COUNTIFS(Table2[Range(nm)], U27, Table2[Type], "ACK")/COUNTIFS(Table2[Range(nm)], U27)</f>
        <v>0.8571428571428571</v>
      </c>
      <c r="AA27" s="5">
        <f>COUNTIFS(Table2[Range(nm)], $U27, Table2[Type], "SUT Rx Error")/COUNTIFS(Table2[Range(nm)], $U27)</f>
        <v>4.7619047619047616E-2</v>
      </c>
      <c r="AB27">
        <f>AVERAGEIF(Table2[Range(nm)], U27, Table2[Column2])</f>
        <v>-123.14285714285714</v>
      </c>
      <c r="AC27" s="3">
        <f>AVERAGEIF(Table2[Range(nm)], U27, Table2[SNR])</f>
        <v>0.53809523809523818</v>
      </c>
    </row>
    <row r="28" spans="2:29" x14ac:dyDescent="0.25">
      <c r="B28">
        <f>400+2*(Table1[[#This Row],[Column1]]-42)</f>
        <v>402</v>
      </c>
      <c r="C28">
        <f>MINUTE(Table1[[#This Row],[Time]])</f>
        <v>43</v>
      </c>
      <c r="D28" s="1">
        <v>0.4466211921296297</v>
      </c>
      <c r="E28" t="s">
        <v>9</v>
      </c>
      <c r="F28">
        <v>-123</v>
      </c>
      <c r="G28">
        <v>-0.8</v>
      </c>
      <c r="K28">
        <f>400+2*(Table2[[#This Row],[Column1]]-13)</f>
        <v>402</v>
      </c>
      <c r="L28">
        <f>MINUTE(Table2[[#This Row],[Time]])</f>
        <v>14</v>
      </c>
      <c r="M28" s="1">
        <v>0.67648747685185184</v>
      </c>
      <c r="N28" t="s">
        <v>27</v>
      </c>
      <c r="O28" t="str">
        <f>O27</f>
        <v>-123.0,</v>
      </c>
      <c r="P28">
        <f>P27-0.5</f>
        <v>-123.5</v>
      </c>
      <c r="Q28">
        <f>Q27-0.5</f>
        <v>-1.8</v>
      </c>
      <c r="U28" s="10">
        <v>448</v>
      </c>
      <c r="V28" s="4">
        <f>COUNTIFS(Table1[Range(nm)], U28, Table1[Type], "ACK")/COUNTIFS(Table1[Range(nm)], U28)</f>
        <v>0.86363636363636365</v>
      </c>
      <c r="W28" s="5">
        <f>COUNTIFS(Table1[Range(nm)], $U28, Table1[Type], "SUT Rx Error")/COUNTIFS(Table1[Range(nm)], $U28)</f>
        <v>9.0909090909090912E-2</v>
      </c>
      <c r="X28">
        <f>AVERAGEIF(Table1[Range(nm)], U28, Table1[RSSI])</f>
        <v>-123.15909090909091</v>
      </c>
      <c r="Y28" s="3">
        <f>AVERAGEIF(Table1[Range(nm)], U28, Table1[SNR])</f>
        <v>0.39090909090909087</v>
      </c>
      <c r="Z28" s="4">
        <f>COUNTIFS(Table2[Range(nm)], U28, Table2[Type], "ACK")/COUNTIFS(Table2[Range(nm)], U28)</f>
        <v>0.86363636363636365</v>
      </c>
      <c r="AA28" s="5">
        <f>COUNTIFS(Table2[Range(nm)], $U28, Table2[Type], "SUT Rx Error")/COUNTIFS(Table2[Range(nm)], $U28)</f>
        <v>9.0909090909090912E-2</v>
      </c>
      <c r="AB28">
        <f>AVERAGEIF(Table2[Range(nm)], U28, Table2[Column2])</f>
        <v>-123.15909090909091</v>
      </c>
      <c r="AC28" s="3">
        <f>AVERAGEIF(Table2[Range(nm)], U28, Table2[SNR])</f>
        <v>0.49545454545454548</v>
      </c>
    </row>
    <row r="29" spans="2:29" x14ac:dyDescent="0.25">
      <c r="B29">
        <f>400+2*(Table1[[#This Row],[Column1]]-42)</f>
        <v>402</v>
      </c>
      <c r="C29">
        <f>MINUTE(Table1[[#This Row],[Time]])</f>
        <v>43</v>
      </c>
      <c r="D29" s="1">
        <v>0.44665357638888886</v>
      </c>
      <c r="E29" t="s">
        <v>9</v>
      </c>
      <c r="F29">
        <v>-123</v>
      </c>
      <c r="G29">
        <v>-0.8</v>
      </c>
      <c r="K29">
        <f>400+2*(Table2[[#This Row],[Column1]]-13)</f>
        <v>402</v>
      </c>
      <c r="L29">
        <f>MINUTE(Table2[[#This Row],[Time]])</f>
        <v>14</v>
      </c>
      <c r="M29" s="1">
        <v>0.67651987268518521</v>
      </c>
      <c r="N29" t="s">
        <v>9</v>
      </c>
      <c r="O29" t="s">
        <v>12</v>
      </c>
      <c r="P29">
        <f t="shared" si="0"/>
        <v>-123</v>
      </c>
      <c r="Q29">
        <v>-0.8</v>
      </c>
      <c r="U29" s="10">
        <v>450</v>
      </c>
      <c r="V29" s="4">
        <f>COUNTIFS(Table1[Range(nm)], U29, Table1[Type], "ACK")/COUNTIFS(Table1[Range(nm)], U29)</f>
        <v>0.5714285714285714</v>
      </c>
      <c r="W29" s="5">
        <f>COUNTIFS(Table1[Range(nm)], $U29, Table1[Type], "SUT Rx Error")/COUNTIFS(Table1[Range(nm)], $U29)</f>
        <v>0.33333333333333331</v>
      </c>
      <c r="X29">
        <f>AVERAGEIF(Table1[Range(nm)], U29, Table1[RSSI])</f>
        <v>-123.35714285714286</v>
      </c>
      <c r="Y29" s="3">
        <f>AVERAGEIF(Table1[Range(nm)], U29, Table1[SNR])</f>
        <v>0.19047619047619044</v>
      </c>
      <c r="Z29" s="4">
        <f>COUNTIFS(Table2[Range(nm)], U29, Table2[Type], "ACK")/COUNTIFS(Table2[Range(nm)], U29)</f>
        <v>0.7142857142857143</v>
      </c>
      <c r="AA29" s="5">
        <f>COUNTIFS(Table2[Range(nm)], $U29, Table2[Type], "SUT Rx Error")/COUNTIFS(Table2[Range(nm)], $U29)</f>
        <v>0.2857142857142857</v>
      </c>
      <c r="AB29">
        <f>AVERAGEIF(Table2[Range(nm)], U29, Table2[Column2])</f>
        <v>-123.07142857142857</v>
      </c>
      <c r="AC29" s="3">
        <f>AVERAGEIF(Table2[Range(nm)], U29, Table2[SNR])</f>
        <v>0.44285714285714289</v>
      </c>
    </row>
    <row r="30" spans="2:29" x14ac:dyDescent="0.25">
      <c r="B30">
        <f>400+2*(Table1[[#This Row],[Column1]]-42)</f>
        <v>402</v>
      </c>
      <c r="C30">
        <f>MINUTE(Table1[[#This Row],[Time]])</f>
        <v>43</v>
      </c>
      <c r="D30" s="1">
        <v>0.44668598379629632</v>
      </c>
      <c r="E30" t="s">
        <v>13</v>
      </c>
      <c r="F30">
        <f>F29-0.5</f>
        <v>-123.5</v>
      </c>
      <c r="G30">
        <f>G29-0.5</f>
        <v>-1.3</v>
      </c>
      <c r="K30">
        <f>400+2*(Table2[[#This Row],[Column1]]-13)</f>
        <v>402</v>
      </c>
      <c r="L30">
        <f>MINUTE(Table2[[#This Row],[Time]])</f>
        <v>14</v>
      </c>
      <c r="M30" s="1">
        <v>0.67655226851851857</v>
      </c>
      <c r="N30" t="s">
        <v>13</v>
      </c>
      <c r="O30" t="str">
        <f>O29</f>
        <v>-123.0,</v>
      </c>
      <c r="P30">
        <f>P29-0.5</f>
        <v>-123.5</v>
      </c>
      <c r="Q30">
        <f>Q29-0.5</f>
        <v>-1.3</v>
      </c>
      <c r="U30" s="10">
        <v>452</v>
      </c>
      <c r="V30" s="4">
        <f>COUNTIFS(Table1[Range(nm)], U30, Table1[Type], "ACK")/COUNTIFS(Table1[Range(nm)], U30)</f>
        <v>0.81818181818181823</v>
      </c>
      <c r="W30" s="5">
        <f>COUNTIFS(Table1[Range(nm)], $U30, Table1[Type], "SUT Rx Error")/COUNTIFS(Table1[Range(nm)], $U30)</f>
        <v>0.13636363636363635</v>
      </c>
      <c r="X30">
        <f>AVERAGEIF(Table1[Range(nm)], U30, Table1[RSSI])</f>
        <v>-122.88636363636364</v>
      </c>
      <c r="Y30" s="3">
        <f>AVERAGEIF(Table1[Range(nm)], U30, Table1[SNR])</f>
        <v>0.29545454545454547</v>
      </c>
      <c r="Z30" s="4">
        <f>COUNTIFS(Table2[Range(nm)], U30, Table2[Type], "ACK")/COUNTIFS(Table2[Range(nm)], U30)</f>
        <v>0.81818181818181823</v>
      </c>
      <c r="AA30" s="5">
        <f>COUNTIFS(Table2[Range(nm)], $U30, Table2[Type], "SUT Rx Error")/COUNTIFS(Table2[Range(nm)], $U30)</f>
        <v>0.13636363636363635</v>
      </c>
      <c r="AB30">
        <f>AVERAGEIF(Table2[Range(nm)], U30, Table2[Column2])</f>
        <v>-123.13636363636364</v>
      </c>
      <c r="AC30" s="3">
        <f>AVERAGEIF(Table2[Range(nm)], U30, Table2[SNR])</f>
        <v>0.49545454545454554</v>
      </c>
    </row>
    <row r="31" spans="2:29" x14ac:dyDescent="0.25">
      <c r="B31">
        <f>400+2*(Table1[[#This Row],[Column1]]-42)</f>
        <v>402</v>
      </c>
      <c r="C31">
        <f>MINUTE(Table1[[#This Row],[Time]])</f>
        <v>43</v>
      </c>
      <c r="D31" s="1">
        <v>0.44671837962962962</v>
      </c>
      <c r="E31" t="s">
        <v>9</v>
      </c>
      <c r="F31">
        <v>-122</v>
      </c>
      <c r="G31">
        <v>1.8</v>
      </c>
      <c r="K31">
        <f>400+2*(Table2[[#This Row],[Column1]]-13)</f>
        <v>402</v>
      </c>
      <c r="L31">
        <f>MINUTE(Table2[[#This Row],[Time]])</f>
        <v>14</v>
      </c>
      <c r="M31" s="1">
        <v>0.67658466435185183</v>
      </c>
      <c r="N31" t="s">
        <v>9</v>
      </c>
      <c r="O31" t="s">
        <v>11</v>
      </c>
      <c r="P31">
        <f t="shared" si="0"/>
        <v>-122</v>
      </c>
      <c r="Q31">
        <v>1.8</v>
      </c>
      <c r="U31" s="10">
        <v>454</v>
      </c>
      <c r="V31" s="4">
        <f>COUNTIFS(Table1[Range(nm)], U31, Table1[Type], "ACK")/COUNTIFS(Table1[Range(nm)], U31)</f>
        <v>0.80952380952380953</v>
      </c>
      <c r="W31" s="5">
        <f>COUNTIFS(Table1[Range(nm)], $U31, Table1[Type], "SUT Rx Error")/COUNTIFS(Table1[Range(nm)], $U31)</f>
        <v>0.19047619047619047</v>
      </c>
      <c r="X31">
        <f>AVERAGEIF(Table1[Range(nm)], U31, Table1[RSSI])</f>
        <v>-123.47619047619048</v>
      </c>
      <c r="Y31" s="3">
        <f>AVERAGEIF(Table1[Range(nm)], U31, Table1[SNR])</f>
        <v>0.1095238095238095</v>
      </c>
      <c r="Z31" s="4">
        <f>COUNTIFS(Table2[Range(nm)], U31, Table2[Type], "ACK")/COUNTIFS(Table2[Range(nm)], U31)</f>
        <v>0.8571428571428571</v>
      </c>
      <c r="AA31" s="5">
        <f>COUNTIFS(Table2[Range(nm)], $U31, Table2[Type], "SUT Rx Error")/COUNTIFS(Table2[Range(nm)], $U31)</f>
        <v>0.14285714285714285</v>
      </c>
      <c r="AB31">
        <f>AVERAGEIF(Table2[Range(nm)], U31, Table2[Column2])</f>
        <v>-123.21428571428571</v>
      </c>
      <c r="AC31" s="3">
        <f>AVERAGEIF(Table2[Range(nm)], U31, Table2[SNR])</f>
        <v>0.52380952380952384</v>
      </c>
    </row>
    <row r="32" spans="2:29" x14ac:dyDescent="0.25">
      <c r="B32">
        <f>400+2*(Table1[[#This Row],[Column1]]-42)</f>
        <v>402</v>
      </c>
      <c r="C32">
        <f>MINUTE(Table1[[#This Row],[Time]])</f>
        <v>43</v>
      </c>
      <c r="D32" s="1">
        <v>0.44675077546296293</v>
      </c>
      <c r="E32" t="s">
        <v>9</v>
      </c>
      <c r="F32">
        <v>-122</v>
      </c>
      <c r="G32">
        <v>1.3</v>
      </c>
      <c r="K32">
        <f>400+2*(Table2[[#This Row],[Column1]]-13)</f>
        <v>402</v>
      </c>
      <c r="L32">
        <f>MINUTE(Table2[[#This Row],[Time]])</f>
        <v>14</v>
      </c>
      <c r="M32" s="1">
        <v>0.67661704861111116</v>
      </c>
      <c r="N32" t="s">
        <v>9</v>
      </c>
      <c r="O32" t="s">
        <v>11</v>
      </c>
      <c r="P32">
        <f t="shared" si="0"/>
        <v>-122</v>
      </c>
      <c r="Q32">
        <v>1.3</v>
      </c>
      <c r="U32" s="10">
        <v>456</v>
      </c>
      <c r="V32" s="4">
        <f>COUNTIFS(Table1[Range(nm)], U32, Table1[Type], "ACK")/COUNTIFS(Table1[Range(nm)], U32)</f>
        <v>0.77272727272727271</v>
      </c>
      <c r="W32" s="5">
        <f>COUNTIFS(Table1[Range(nm)], $U32, Table1[Type], "SUT Rx Error")/COUNTIFS(Table1[Range(nm)], $U32)</f>
        <v>0.18181818181818182</v>
      </c>
      <c r="X32">
        <f>AVERAGEIF(Table1[Range(nm)], U32, Table1[RSSI])</f>
        <v>-123.13636363636364</v>
      </c>
      <c r="Y32" s="3">
        <f>AVERAGEIF(Table1[Range(nm)], U32, Table1[SNR])</f>
        <v>0.25454545454545457</v>
      </c>
      <c r="Z32" s="4">
        <f>COUNTIFS(Table2[Range(nm)], U32, Table2[Type], "ACK")/COUNTIFS(Table2[Range(nm)], U32)</f>
        <v>0.80952380952380953</v>
      </c>
      <c r="AA32" s="5">
        <f>COUNTIFS(Table2[Range(nm)], $U32, Table2[Type], "SUT Rx Error")/COUNTIFS(Table2[Range(nm)], $U32)</f>
        <v>0.14285714285714285</v>
      </c>
      <c r="AB32">
        <f>AVERAGEIF(Table2[Range(nm)], U32, Table2[Column2])</f>
        <v>-123.0952380952381</v>
      </c>
      <c r="AC32" s="3">
        <f>AVERAGEIF(Table2[Range(nm)], U32, Table2[SNR])</f>
        <v>0.54761904761904767</v>
      </c>
    </row>
    <row r="33" spans="2:29" x14ac:dyDescent="0.25">
      <c r="B33">
        <f>400+2*(Table1[[#This Row],[Column1]]-42)</f>
        <v>402</v>
      </c>
      <c r="C33">
        <f>MINUTE(Table1[[#This Row],[Time]])</f>
        <v>43</v>
      </c>
      <c r="D33" s="1">
        <v>0.44678315972222227</v>
      </c>
      <c r="E33" t="s">
        <v>9</v>
      </c>
      <c r="F33">
        <v>-122</v>
      </c>
      <c r="G33">
        <v>1.8</v>
      </c>
      <c r="K33">
        <f>400+2*(Table2[[#This Row],[Column1]]-13)</f>
        <v>402</v>
      </c>
      <c r="L33">
        <f>MINUTE(Table2[[#This Row],[Time]])</f>
        <v>14</v>
      </c>
      <c r="M33" s="1">
        <v>0.67664945601851856</v>
      </c>
      <c r="N33" t="s">
        <v>9</v>
      </c>
      <c r="O33" t="s">
        <v>11</v>
      </c>
      <c r="P33">
        <f t="shared" si="0"/>
        <v>-122</v>
      </c>
      <c r="Q33">
        <v>1.3</v>
      </c>
      <c r="U33" s="10">
        <v>458</v>
      </c>
      <c r="V33" s="4">
        <f>COUNTIFS(Table1[Range(nm)], U33, Table1[Type], "ACK")/COUNTIFS(Table1[Range(nm)], U33)</f>
        <v>0.80952380952380953</v>
      </c>
      <c r="W33" s="5">
        <f>COUNTIFS(Table1[Range(nm)], $U33, Table1[Type], "SUT Rx Error")/COUNTIFS(Table1[Range(nm)], $U33)</f>
        <v>0.19047619047619047</v>
      </c>
      <c r="X33">
        <f>AVERAGEIF(Table1[Range(nm)], U33, Table1[RSSI])</f>
        <v>-123.26190476190476</v>
      </c>
      <c r="Y33" s="3">
        <f>AVERAGEIF(Table1[Range(nm)], U33, Table1[SNR])</f>
        <v>0.23809523809523808</v>
      </c>
      <c r="Z33" s="4">
        <f>COUNTIFS(Table2[Range(nm)], U33, Table2[Type], "ACK")/COUNTIFS(Table2[Range(nm)], U33)</f>
        <v>0.86363636363636365</v>
      </c>
      <c r="AA33" s="5">
        <f>COUNTIFS(Table2[Range(nm)], $U33, Table2[Type], "SUT Rx Error")/COUNTIFS(Table2[Range(nm)], $U33)</f>
        <v>9.0909090909090912E-2</v>
      </c>
      <c r="AB33">
        <f>AVERAGEIF(Table2[Range(nm)], U33, Table2[Column2])</f>
        <v>-123.11363636363636</v>
      </c>
      <c r="AC33" s="3">
        <f>AVERAGEIF(Table2[Range(nm)], U33, Table2[SNR])</f>
        <v>0.49090909090909096</v>
      </c>
    </row>
    <row r="34" spans="2:29" ht="15.75" thickBot="1" x14ac:dyDescent="0.3">
      <c r="B34">
        <f>400+2*(Table1[[#This Row],[Column1]]-42)</f>
        <v>402</v>
      </c>
      <c r="C34">
        <f>MINUTE(Table1[[#This Row],[Time]])</f>
        <v>43</v>
      </c>
      <c r="D34" s="1">
        <v>0.44681556712962961</v>
      </c>
      <c r="E34" t="s">
        <v>27</v>
      </c>
      <c r="F34">
        <f>F33-0.5</f>
        <v>-122.5</v>
      </c>
      <c r="G34">
        <f>G33-0.5</f>
        <v>1.3</v>
      </c>
      <c r="K34">
        <f>400+2*(Table2[[#This Row],[Column1]]-13)</f>
        <v>402</v>
      </c>
      <c r="L34">
        <f>MINUTE(Table2[[#This Row],[Time]])</f>
        <v>14</v>
      </c>
      <c r="M34" s="1">
        <v>0.67668184027777778</v>
      </c>
      <c r="N34" t="s">
        <v>9</v>
      </c>
      <c r="O34" t="s">
        <v>11</v>
      </c>
      <c r="P34">
        <f t="shared" si="0"/>
        <v>-122</v>
      </c>
      <c r="Q34">
        <v>1.3</v>
      </c>
      <c r="U34" s="11">
        <v>460</v>
      </c>
      <c r="V34" s="6">
        <f>COUNTIFS(Table1[Range(nm)], U34, Table1[Type], "ACK")/COUNTIFS(Table1[Range(nm)], U34)</f>
        <v>0.4</v>
      </c>
      <c r="W34" s="7">
        <f>COUNTIFS(Table1[Range(nm)], $U34, Table1[Type], "SUT Rx Error")/COUNTIFS(Table1[Range(nm)], $U34)</f>
        <v>0.4</v>
      </c>
      <c r="X34" s="8">
        <f>AVERAGEIF(Table1[Range(nm)], U34, Table1[RSSI])</f>
        <v>-123.85</v>
      </c>
      <c r="Y34" s="9">
        <f>AVERAGEIF(Table1[Range(nm)], U34, Table1[SNR])</f>
        <v>-0.93999999999999984</v>
      </c>
      <c r="Z34" s="6">
        <f>COUNTIFS(Table2[Range(nm)], U34, Table2[Type], "ACK")/COUNTIFS(Table2[Range(nm)], U34)</f>
        <v>0.7</v>
      </c>
      <c r="AA34" s="7">
        <f>COUNTIFS(Table2[Range(nm)], $U34, Table2[Type], "SUT Rx Error")/COUNTIFS(Table2[Range(nm)], $U34)</f>
        <v>0.2</v>
      </c>
      <c r="AB34" s="8">
        <f>AVERAGEIF(Table2[Range(nm)], U34, Table2[Column2])</f>
        <v>-123.7</v>
      </c>
      <c r="AC34" s="9">
        <f>AVERAGEIF(Table2[Range(nm)], U34, Table2[SNR])</f>
        <v>-0.33999999999999997</v>
      </c>
    </row>
    <row r="35" spans="2:29" x14ac:dyDescent="0.25">
      <c r="B35">
        <f>400+2*(Table1[[#This Row],[Column1]]-42)</f>
        <v>402</v>
      </c>
      <c r="C35">
        <f>MINUTE(Table1[[#This Row],[Time]])</f>
        <v>43</v>
      </c>
      <c r="D35" s="1">
        <v>0.44684795138888889</v>
      </c>
      <c r="E35" t="s">
        <v>9</v>
      </c>
      <c r="F35">
        <v>-122</v>
      </c>
      <c r="G35">
        <v>1.5</v>
      </c>
      <c r="K35">
        <f>400+2*(Table2[[#This Row],[Column1]]-13)</f>
        <v>402</v>
      </c>
      <c r="L35">
        <f>MINUTE(Table2[[#This Row],[Time]])</f>
        <v>14</v>
      </c>
      <c r="M35" s="1">
        <v>0.67671423611111114</v>
      </c>
      <c r="N35" t="s">
        <v>9</v>
      </c>
      <c r="O35" t="s">
        <v>11</v>
      </c>
      <c r="P35">
        <f t="shared" si="0"/>
        <v>-122</v>
      </c>
      <c r="Q35">
        <v>1.5</v>
      </c>
    </row>
    <row r="36" spans="2:29" x14ac:dyDescent="0.25">
      <c r="B36">
        <f>400+2*(Table1[[#This Row],[Column1]]-42)</f>
        <v>402</v>
      </c>
      <c r="C36">
        <f>MINUTE(Table1[[#This Row],[Time]])</f>
        <v>43</v>
      </c>
      <c r="D36" s="1">
        <v>0.44688035879629634</v>
      </c>
      <c r="E36" t="s">
        <v>9</v>
      </c>
      <c r="F36">
        <v>-122</v>
      </c>
      <c r="G36">
        <v>1.8</v>
      </c>
      <c r="K36">
        <f>400+2*(Table2[[#This Row],[Column1]]-13)</f>
        <v>402</v>
      </c>
      <c r="L36">
        <f>MINUTE(Table2[[#This Row],[Time]])</f>
        <v>14</v>
      </c>
      <c r="M36" s="1">
        <v>0.67674664351851854</v>
      </c>
      <c r="N36" t="s">
        <v>9</v>
      </c>
      <c r="O36" t="s">
        <v>11</v>
      </c>
      <c r="P36">
        <f t="shared" si="0"/>
        <v>-122</v>
      </c>
      <c r="Q36">
        <v>1.5</v>
      </c>
    </row>
    <row r="37" spans="2:29" x14ac:dyDescent="0.25">
      <c r="B37">
        <f>400+2*(Table1[[#This Row],[Column1]]-42)</f>
        <v>402</v>
      </c>
      <c r="C37">
        <f>MINUTE(Table1[[#This Row],[Time]])</f>
        <v>43</v>
      </c>
      <c r="D37" s="1">
        <v>0.44691274305555556</v>
      </c>
      <c r="E37" t="s">
        <v>9</v>
      </c>
      <c r="F37">
        <v>-122</v>
      </c>
      <c r="G37">
        <v>1.3</v>
      </c>
      <c r="K37">
        <f>400+2*(Table2[[#This Row],[Column1]]-13)</f>
        <v>402</v>
      </c>
      <c r="L37">
        <f>MINUTE(Table2[[#This Row],[Time]])</f>
        <v>14</v>
      </c>
      <c r="M37" s="1">
        <v>0.67677903935185191</v>
      </c>
      <c r="N37" t="s">
        <v>9</v>
      </c>
      <c r="O37" t="s">
        <v>11</v>
      </c>
      <c r="P37">
        <f t="shared" si="0"/>
        <v>-122</v>
      </c>
      <c r="Q37">
        <v>1</v>
      </c>
    </row>
    <row r="38" spans="2:29" x14ac:dyDescent="0.25">
      <c r="B38">
        <f>400+2*(Table1[[#This Row],[Column1]]-42)</f>
        <v>402</v>
      </c>
      <c r="C38">
        <f>MINUTE(Table1[[#This Row],[Time]])</f>
        <v>43</v>
      </c>
      <c r="D38" s="1">
        <v>0.44694513888888887</v>
      </c>
      <c r="E38" t="s">
        <v>9</v>
      </c>
      <c r="F38">
        <v>-122</v>
      </c>
      <c r="G38">
        <v>1.5</v>
      </c>
      <c r="K38">
        <f>400+2*(Table2[[#This Row],[Column1]]-13)</f>
        <v>402</v>
      </c>
      <c r="L38">
        <f>MINUTE(Table2[[#This Row],[Time]])</f>
        <v>14</v>
      </c>
      <c r="M38" s="1">
        <v>0.67681143518518516</v>
      </c>
      <c r="N38" t="s">
        <v>9</v>
      </c>
      <c r="O38" t="s">
        <v>11</v>
      </c>
      <c r="P38">
        <f t="shared" si="0"/>
        <v>-122</v>
      </c>
      <c r="Q38">
        <v>1.3</v>
      </c>
    </row>
    <row r="39" spans="2:29" x14ac:dyDescent="0.25">
      <c r="B39">
        <f>400+2*(Table1[[#This Row],[Column1]]-42)</f>
        <v>402</v>
      </c>
      <c r="C39">
        <f>MINUTE(Table1[[#This Row],[Time]])</f>
        <v>43</v>
      </c>
      <c r="D39" s="1">
        <v>0.44697754629629632</v>
      </c>
      <c r="E39" t="s">
        <v>27</v>
      </c>
      <c r="F39">
        <f t="shared" ref="F39:F40" si="1">F38-0.5</f>
        <v>-122.5</v>
      </c>
      <c r="G39">
        <f t="shared" ref="G39:G40" si="2">G38-0.5</f>
        <v>1</v>
      </c>
      <c r="K39">
        <f>400+2*(Table2[[#This Row],[Column1]]-13)</f>
        <v>402</v>
      </c>
      <c r="L39">
        <f>MINUTE(Table2[[#This Row],[Time]])</f>
        <v>14</v>
      </c>
      <c r="M39" s="1">
        <v>0.67684383101851853</v>
      </c>
      <c r="N39" t="s">
        <v>9</v>
      </c>
      <c r="O39" t="s">
        <v>11</v>
      </c>
      <c r="P39">
        <f t="shared" si="0"/>
        <v>-122</v>
      </c>
      <c r="Q39">
        <v>1.3</v>
      </c>
    </row>
    <row r="40" spans="2:29" x14ac:dyDescent="0.25">
      <c r="B40">
        <f>400+2*(Table1[[#This Row],[Column1]]-42)</f>
        <v>402</v>
      </c>
      <c r="C40">
        <f>MINUTE(Table1[[#This Row],[Time]])</f>
        <v>43</v>
      </c>
      <c r="D40" s="1">
        <v>0.44700994212962963</v>
      </c>
      <c r="E40" t="s">
        <v>27</v>
      </c>
      <c r="F40">
        <f t="shared" si="1"/>
        <v>-123</v>
      </c>
      <c r="G40">
        <f t="shared" si="2"/>
        <v>0.5</v>
      </c>
      <c r="K40">
        <f>400+2*(Table2[[#This Row],[Column1]]-13)</f>
        <v>402</v>
      </c>
      <c r="L40">
        <f>MINUTE(Table2[[#This Row],[Time]])</f>
        <v>14</v>
      </c>
      <c r="M40" s="1">
        <v>0.67687622685185189</v>
      </c>
      <c r="N40" t="s">
        <v>9</v>
      </c>
      <c r="O40" t="s">
        <v>11</v>
      </c>
      <c r="P40">
        <f t="shared" si="0"/>
        <v>-122</v>
      </c>
      <c r="Q40">
        <v>1.5</v>
      </c>
    </row>
    <row r="41" spans="2:29" x14ac:dyDescent="0.25">
      <c r="B41">
        <f>400+2*(Table1[[#This Row],[Column1]]-42)</f>
        <v>402</v>
      </c>
      <c r="C41">
        <f>MINUTE(Table1[[#This Row],[Time]])</f>
        <v>43</v>
      </c>
      <c r="D41" s="1">
        <v>0.44704233796296294</v>
      </c>
      <c r="E41" t="s">
        <v>9</v>
      </c>
      <c r="F41">
        <v>-122</v>
      </c>
      <c r="G41">
        <v>1.5</v>
      </c>
      <c r="K41">
        <f>400+2*(Table2[[#This Row],[Column1]]-13)</f>
        <v>402</v>
      </c>
      <c r="L41">
        <f>MINUTE(Table2[[#This Row],[Time]])</f>
        <v>14</v>
      </c>
      <c r="M41" s="1">
        <v>0.67690862268518515</v>
      </c>
      <c r="N41" t="s">
        <v>9</v>
      </c>
      <c r="O41" t="s">
        <v>11</v>
      </c>
      <c r="P41">
        <f t="shared" si="0"/>
        <v>-122</v>
      </c>
      <c r="Q41">
        <v>1.5</v>
      </c>
    </row>
    <row r="42" spans="2:29" x14ac:dyDescent="0.25">
      <c r="B42">
        <f>400+2*(Table1[[#This Row],[Column1]]-42)</f>
        <v>402</v>
      </c>
      <c r="C42">
        <f>MINUTE(Table1[[#This Row],[Time]])</f>
        <v>43</v>
      </c>
      <c r="D42" s="1">
        <v>0.44707473379629625</v>
      </c>
      <c r="E42" t="s">
        <v>9</v>
      </c>
      <c r="F42">
        <v>-122</v>
      </c>
      <c r="G42">
        <v>2</v>
      </c>
      <c r="K42">
        <f>400+2*(Table2[[#This Row],[Column1]]-13)</f>
        <v>402</v>
      </c>
      <c r="L42">
        <f>MINUTE(Table2[[#This Row],[Time]])</f>
        <v>14</v>
      </c>
      <c r="M42" s="1">
        <v>0.67694101851851851</v>
      </c>
      <c r="N42" t="s">
        <v>9</v>
      </c>
      <c r="O42" t="s">
        <v>11</v>
      </c>
      <c r="P42">
        <f t="shared" si="0"/>
        <v>-122</v>
      </c>
      <c r="Q42">
        <v>1.8</v>
      </c>
    </row>
    <row r="43" spans="2:29" x14ac:dyDescent="0.25">
      <c r="B43">
        <f>400+2*(Table1[[#This Row],[Column1]]-42)</f>
        <v>402</v>
      </c>
      <c r="C43">
        <f>MINUTE(Table1[[#This Row],[Time]])</f>
        <v>43</v>
      </c>
      <c r="D43" s="1">
        <v>0.44710712962962962</v>
      </c>
      <c r="E43" t="s">
        <v>9</v>
      </c>
      <c r="F43">
        <v>-122</v>
      </c>
      <c r="G43">
        <v>1.5</v>
      </c>
      <c r="K43">
        <f>400+2*(Table2[[#This Row],[Column1]]-13)</f>
        <v>402</v>
      </c>
      <c r="L43">
        <f>MINUTE(Table2[[#This Row],[Time]])</f>
        <v>14</v>
      </c>
      <c r="M43" s="1">
        <v>0.67697341435185177</v>
      </c>
      <c r="N43" t="s">
        <v>27</v>
      </c>
      <c r="O43" t="str">
        <f>O42</f>
        <v>-122.0,</v>
      </c>
      <c r="P43">
        <f>P42-0.5</f>
        <v>-122.5</v>
      </c>
      <c r="Q43">
        <f>Q42-0.5</f>
        <v>1.3</v>
      </c>
    </row>
    <row r="44" spans="2:29" x14ac:dyDescent="0.25">
      <c r="B44">
        <f>400+2*(Table1[[#This Row],[Column1]]-42)</f>
        <v>402</v>
      </c>
      <c r="C44">
        <f>MINUTE(Table1[[#This Row],[Time]])</f>
        <v>43</v>
      </c>
      <c r="D44" s="1">
        <v>0.44713952546296298</v>
      </c>
      <c r="E44" t="s">
        <v>9</v>
      </c>
      <c r="F44">
        <v>-122</v>
      </c>
      <c r="G44">
        <v>1.3</v>
      </c>
      <c r="K44">
        <f>400+2*(Table2[[#This Row],[Column1]]-13)</f>
        <v>402</v>
      </c>
      <c r="L44">
        <f>MINUTE(Table2[[#This Row],[Time]])</f>
        <v>14</v>
      </c>
      <c r="M44" s="1">
        <v>0.67700581018518524</v>
      </c>
      <c r="N44" t="s">
        <v>9</v>
      </c>
      <c r="O44" t="s">
        <v>11</v>
      </c>
      <c r="P44">
        <f t="shared" si="0"/>
        <v>-122</v>
      </c>
      <c r="Q44">
        <v>1.8</v>
      </c>
    </row>
    <row r="45" spans="2:29" x14ac:dyDescent="0.25">
      <c r="B45">
        <f>400+2*(Table1[[#This Row],[Column1]]-42)</f>
        <v>402</v>
      </c>
      <c r="C45">
        <f>MINUTE(Table1[[#This Row],[Time]])</f>
        <v>43</v>
      </c>
      <c r="D45" s="1">
        <v>0.44717192129629635</v>
      </c>
      <c r="E45" t="s">
        <v>9</v>
      </c>
      <c r="F45">
        <v>-122</v>
      </c>
      <c r="G45">
        <v>1.5</v>
      </c>
      <c r="K45">
        <f>400+2*(Table2[[#This Row],[Column1]]-13)</f>
        <v>402</v>
      </c>
      <c r="L45">
        <f>MINUTE(Table2[[#This Row],[Time]])</f>
        <v>14</v>
      </c>
      <c r="M45" s="1">
        <v>0.67703819444444446</v>
      </c>
      <c r="N45" t="s">
        <v>27</v>
      </c>
      <c r="O45" t="str">
        <f>O44</f>
        <v>-122.0,</v>
      </c>
      <c r="P45">
        <f>P44-0.5</f>
        <v>-122.5</v>
      </c>
      <c r="Q45">
        <f>Q44-0.5</f>
        <v>1.3</v>
      </c>
    </row>
    <row r="46" spans="2:29" x14ac:dyDescent="0.25">
      <c r="B46">
        <f>400+2*(Table1[[#This Row],[Column1]]-42)</f>
        <v>402</v>
      </c>
      <c r="C46">
        <f>MINUTE(Table1[[#This Row],[Time]])</f>
        <v>43</v>
      </c>
      <c r="D46" s="1">
        <v>0.44720431712962966</v>
      </c>
      <c r="E46" t="s">
        <v>9</v>
      </c>
      <c r="F46">
        <v>-122</v>
      </c>
      <c r="G46">
        <v>1.5</v>
      </c>
      <c r="K46">
        <f>400+2*(Table2[[#This Row],[Column1]]-13)</f>
        <v>402</v>
      </c>
      <c r="L46">
        <f>MINUTE(Table2[[#This Row],[Time]])</f>
        <v>14</v>
      </c>
      <c r="M46" s="1">
        <v>0.67707060185185186</v>
      </c>
      <c r="N46" t="s">
        <v>9</v>
      </c>
      <c r="O46" t="s">
        <v>11</v>
      </c>
      <c r="P46">
        <f t="shared" si="0"/>
        <v>-122</v>
      </c>
      <c r="Q46">
        <v>1.5</v>
      </c>
    </row>
    <row r="47" spans="2:29" x14ac:dyDescent="0.25">
      <c r="B47">
        <f>400+2*(Table1[[#This Row],[Column1]]-42)</f>
        <v>404</v>
      </c>
      <c r="C47">
        <f>MINUTE(Table1[[#This Row],[Time]])</f>
        <v>44</v>
      </c>
      <c r="D47" s="1">
        <v>0.44723671296296297</v>
      </c>
      <c r="E47" t="s">
        <v>9</v>
      </c>
      <c r="F47">
        <v>-122</v>
      </c>
      <c r="G47">
        <v>1.8</v>
      </c>
      <c r="K47">
        <f>400+2*(Table2[[#This Row],[Column1]]-13)</f>
        <v>404</v>
      </c>
      <c r="L47">
        <f>MINUTE(Table2[[#This Row],[Time]])</f>
        <v>15</v>
      </c>
      <c r="M47" s="1">
        <v>0.67710298611111108</v>
      </c>
      <c r="N47" t="s">
        <v>9</v>
      </c>
      <c r="O47" t="s">
        <v>11</v>
      </c>
      <c r="P47">
        <f t="shared" si="0"/>
        <v>-122</v>
      </c>
      <c r="Q47">
        <v>1.5</v>
      </c>
    </row>
    <row r="48" spans="2:29" x14ac:dyDescent="0.25">
      <c r="B48">
        <f>400+2*(Table1[[#This Row],[Column1]]-42)</f>
        <v>404</v>
      </c>
      <c r="C48">
        <f>MINUTE(Table1[[#This Row],[Time]])</f>
        <v>44</v>
      </c>
      <c r="D48" s="1">
        <v>0.44726910879629628</v>
      </c>
      <c r="E48" t="s">
        <v>13</v>
      </c>
      <c r="F48">
        <f>F47-0.5</f>
        <v>-122.5</v>
      </c>
      <c r="G48">
        <f>G47-0.5</f>
        <v>1.3</v>
      </c>
      <c r="K48">
        <f>400+2*(Table2[[#This Row],[Column1]]-13)</f>
        <v>404</v>
      </c>
      <c r="L48">
        <f>MINUTE(Table2[[#This Row],[Time]])</f>
        <v>15</v>
      </c>
      <c r="M48" s="1">
        <v>0.67713538194444445</v>
      </c>
      <c r="N48" t="s">
        <v>9</v>
      </c>
      <c r="O48" t="s">
        <v>12</v>
      </c>
      <c r="P48">
        <f t="shared" si="0"/>
        <v>-123</v>
      </c>
      <c r="Q48">
        <v>-1</v>
      </c>
    </row>
    <row r="49" spans="2:17" x14ac:dyDescent="0.25">
      <c r="B49">
        <f>400+2*(Table1[[#This Row],[Column1]]-42)</f>
        <v>404</v>
      </c>
      <c r="C49">
        <f>MINUTE(Table1[[#This Row],[Time]])</f>
        <v>44</v>
      </c>
      <c r="D49" s="1">
        <v>0.44730150462962959</v>
      </c>
      <c r="E49" t="s">
        <v>9</v>
      </c>
      <c r="F49">
        <v>-123</v>
      </c>
      <c r="G49">
        <v>0</v>
      </c>
      <c r="K49">
        <f>400+2*(Table2[[#This Row],[Column1]]-13)</f>
        <v>404</v>
      </c>
      <c r="L49">
        <f>MINUTE(Table2[[#This Row],[Time]])</f>
        <v>15</v>
      </c>
      <c r="M49" s="1">
        <v>0.67716778935185185</v>
      </c>
      <c r="N49" t="s">
        <v>9</v>
      </c>
      <c r="O49" t="s">
        <v>12</v>
      </c>
      <c r="P49">
        <f t="shared" si="0"/>
        <v>-123</v>
      </c>
      <c r="Q49">
        <v>-1</v>
      </c>
    </row>
    <row r="50" spans="2:17" x14ac:dyDescent="0.25">
      <c r="B50">
        <f>400+2*(Table1[[#This Row],[Column1]]-42)</f>
        <v>404</v>
      </c>
      <c r="C50">
        <f>MINUTE(Table1[[#This Row],[Time]])</f>
        <v>44</v>
      </c>
      <c r="D50" s="1">
        <v>0.44733390046296295</v>
      </c>
      <c r="E50" t="s">
        <v>27</v>
      </c>
      <c r="F50">
        <f t="shared" ref="F50:F52" si="3">F49-0.5</f>
        <v>-123.5</v>
      </c>
      <c r="G50">
        <f t="shared" ref="G50:G52" si="4">G49-0.5</f>
        <v>-0.5</v>
      </c>
      <c r="K50">
        <f>400+2*(Table2[[#This Row],[Column1]]-13)</f>
        <v>404</v>
      </c>
      <c r="L50">
        <f>MINUTE(Table2[[#This Row],[Time]])</f>
        <v>15</v>
      </c>
      <c r="M50" s="1">
        <v>0.67720018518518521</v>
      </c>
      <c r="N50" t="s">
        <v>9</v>
      </c>
      <c r="O50" t="s">
        <v>11</v>
      </c>
      <c r="P50">
        <f t="shared" si="0"/>
        <v>-122</v>
      </c>
      <c r="Q50">
        <v>-1</v>
      </c>
    </row>
    <row r="51" spans="2:17" x14ac:dyDescent="0.25">
      <c r="B51">
        <f>400+2*(Table1[[#This Row],[Column1]]-42)</f>
        <v>404</v>
      </c>
      <c r="C51">
        <f>MINUTE(Table1[[#This Row],[Time]])</f>
        <v>44</v>
      </c>
      <c r="D51" s="1">
        <v>0.44736628472222223</v>
      </c>
      <c r="E51" t="s">
        <v>27</v>
      </c>
      <c r="F51">
        <f t="shared" si="3"/>
        <v>-124</v>
      </c>
      <c r="G51">
        <f t="shared" si="4"/>
        <v>-1</v>
      </c>
      <c r="K51">
        <f>400+2*(Table2[[#This Row],[Column1]]-13)</f>
        <v>404</v>
      </c>
      <c r="L51">
        <f>MINUTE(Table2[[#This Row],[Time]])</f>
        <v>15</v>
      </c>
      <c r="M51" s="1">
        <v>0.67723258101851846</v>
      </c>
      <c r="N51" t="s">
        <v>27</v>
      </c>
      <c r="O51" t="str">
        <f>O50</f>
        <v>-122.0,</v>
      </c>
      <c r="P51">
        <f>P50-0.5</f>
        <v>-122.5</v>
      </c>
      <c r="Q51">
        <f>Q50-0.5</f>
        <v>-1.5</v>
      </c>
    </row>
    <row r="52" spans="2:17" x14ac:dyDescent="0.25">
      <c r="B52">
        <f>400+2*(Table1[[#This Row],[Column1]]-42)</f>
        <v>404</v>
      </c>
      <c r="C52">
        <f>MINUTE(Table1[[#This Row],[Time]])</f>
        <v>44</v>
      </c>
      <c r="D52" s="1">
        <v>0.44739868055555554</v>
      </c>
      <c r="E52" t="s">
        <v>27</v>
      </c>
      <c r="F52">
        <f t="shared" si="3"/>
        <v>-124.5</v>
      </c>
      <c r="G52">
        <f t="shared" si="4"/>
        <v>-1.5</v>
      </c>
      <c r="K52">
        <f>400+2*(Table2[[#This Row],[Column1]]-13)</f>
        <v>404</v>
      </c>
      <c r="L52">
        <f>MINUTE(Table2[[#This Row],[Time]])</f>
        <v>15</v>
      </c>
      <c r="M52" s="1">
        <v>0.67726497685185194</v>
      </c>
      <c r="N52" t="s">
        <v>9</v>
      </c>
      <c r="O52" t="s">
        <v>11</v>
      </c>
      <c r="P52">
        <f t="shared" si="0"/>
        <v>-122</v>
      </c>
      <c r="Q52">
        <v>1.3</v>
      </c>
    </row>
    <row r="53" spans="2:17" x14ac:dyDescent="0.25">
      <c r="B53">
        <f>400+2*(Table1[[#This Row],[Column1]]-42)</f>
        <v>404</v>
      </c>
      <c r="C53">
        <f>MINUTE(Table1[[#This Row],[Time]])</f>
        <v>44</v>
      </c>
      <c r="D53" s="1">
        <v>0.44743108796296299</v>
      </c>
      <c r="E53" t="s">
        <v>9</v>
      </c>
      <c r="F53">
        <v>-122</v>
      </c>
      <c r="G53">
        <v>1.8</v>
      </c>
      <c r="K53">
        <f>400+2*(Table2[[#This Row],[Column1]]-13)</f>
        <v>404</v>
      </c>
      <c r="L53">
        <f>MINUTE(Table2[[#This Row],[Time]])</f>
        <v>15</v>
      </c>
      <c r="M53" s="1">
        <v>0.67729737268518519</v>
      </c>
      <c r="N53" t="s">
        <v>9</v>
      </c>
      <c r="O53" t="s">
        <v>11</v>
      </c>
      <c r="P53">
        <f t="shared" si="0"/>
        <v>-122</v>
      </c>
      <c r="Q53">
        <v>1.5</v>
      </c>
    </row>
    <row r="54" spans="2:17" x14ac:dyDescent="0.25">
      <c r="B54">
        <f>400+2*(Table1[[#This Row],[Column1]]-42)</f>
        <v>404</v>
      </c>
      <c r="C54">
        <f>MINUTE(Table1[[#This Row],[Time]])</f>
        <v>44</v>
      </c>
      <c r="D54" s="1">
        <v>0.4474634837962963</v>
      </c>
      <c r="E54" t="s">
        <v>9</v>
      </c>
      <c r="F54">
        <v>-122</v>
      </c>
      <c r="G54">
        <v>1.5</v>
      </c>
      <c r="K54">
        <f>400+2*(Table2[[#This Row],[Column1]]-13)</f>
        <v>404</v>
      </c>
      <c r="L54">
        <f>MINUTE(Table2[[#This Row],[Time]])</f>
        <v>15</v>
      </c>
      <c r="M54" s="1">
        <v>0.67732975694444442</v>
      </c>
      <c r="N54" t="s">
        <v>9</v>
      </c>
      <c r="O54" t="s">
        <v>11</v>
      </c>
      <c r="P54">
        <f t="shared" si="0"/>
        <v>-122</v>
      </c>
      <c r="Q54">
        <v>1.5</v>
      </c>
    </row>
    <row r="55" spans="2:17" x14ac:dyDescent="0.25">
      <c r="B55">
        <f>400+2*(Table1[[#This Row],[Column1]]-42)</f>
        <v>404</v>
      </c>
      <c r="C55">
        <f>MINUTE(Table1[[#This Row],[Time]])</f>
        <v>44</v>
      </c>
      <c r="D55" s="1">
        <v>0.44749587962962961</v>
      </c>
      <c r="E55" t="s">
        <v>9</v>
      </c>
      <c r="F55">
        <v>-122</v>
      </c>
      <c r="G55">
        <v>1.3</v>
      </c>
      <c r="K55">
        <f>400+2*(Table2[[#This Row],[Column1]]-13)</f>
        <v>404</v>
      </c>
      <c r="L55">
        <f>MINUTE(Table2[[#This Row],[Time]])</f>
        <v>15</v>
      </c>
      <c r="M55" s="1">
        <v>0.67736216435185181</v>
      </c>
      <c r="N55" t="s">
        <v>9</v>
      </c>
      <c r="O55" t="s">
        <v>11</v>
      </c>
      <c r="P55">
        <f t="shared" si="0"/>
        <v>-122</v>
      </c>
      <c r="Q55">
        <v>1.3</v>
      </c>
    </row>
    <row r="56" spans="2:17" x14ac:dyDescent="0.25">
      <c r="B56">
        <f>400+2*(Table1[[#This Row],[Column1]]-42)</f>
        <v>404</v>
      </c>
      <c r="C56">
        <f>MINUTE(Table1[[#This Row],[Time]])</f>
        <v>44</v>
      </c>
      <c r="D56" s="1">
        <v>0.44752827546296298</v>
      </c>
      <c r="E56" t="s">
        <v>9</v>
      </c>
      <c r="F56">
        <v>-122</v>
      </c>
      <c r="G56">
        <v>2</v>
      </c>
      <c r="K56">
        <f>400+2*(Table2[[#This Row],[Column1]]-13)</f>
        <v>404</v>
      </c>
      <c r="L56">
        <f>MINUTE(Table2[[#This Row],[Time]])</f>
        <v>15</v>
      </c>
      <c r="M56" s="1">
        <v>0.67739456018518518</v>
      </c>
      <c r="N56" t="s">
        <v>9</v>
      </c>
      <c r="O56" t="s">
        <v>11</v>
      </c>
      <c r="P56">
        <f t="shared" si="0"/>
        <v>-122</v>
      </c>
      <c r="Q56">
        <v>1.5</v>
      </c>
    </row>
    <row r="57" spans="2:17" x14ac:dyDescent="0.25">
      <c r="B57">
        <f>400+2*(Table1[[#This Row],[Column1]]-42)</f>
        <v>404</v>
      </c>
      <c r="C57">
        <f>MINUTE(Table1[[#This Row],[Time]])</f>
        <v>44</v>
      </c>
      <c r="D57" s="1">
        <v>0.44756067129629629</v>
      </c>
      <c r="E57" t="s">
        <v>9</v>
      </c>
      <c r="F57">
        <v>-122</v>
      </c>
      <c r="G57">
        <v>1.5</v>
      </c>
      <c r="K57">
        <f>400+2*(Table2[[#This Row],[Column1]]-13)</f>
        <v>404</v>
      </c>
      <c r="L57">
        <f>MINUTE(Table2[[#This Row],[Time]])</f>
        <v>15</v>
      </c>
      <c r="M57" s="1">
        <v>0.67742695601851854</v>
      </c>
      <c r="N57" t="s">
        <v>9</v>
      </c>
      <c r="O57" t="s">
        <v>11</v>
      </c>
      <c r="P57">
        <f t="shared" si="0"/>
        <v>-122</v>
      </c>
      <c r="Q57">
        <v>1.8</v>
      </c>
    </row>
    <row r="58" spans="2:17" x14ac:dyDescent="0.25">
      <c r="B58">
        <f>400+2*(Table1[[#This Row],[Column1]]-42)</f>
        <v>404</v>
      </c>
      <c r="C58">
        <f>MINUTE(Table1[[#This Row],[Time]])</f>
        <v>44</v>
      </c>
      <c r="D58" s="1">
        <v>0.4475930671296296</v>
      </c>
      <c r="E58" t="s">
        <v>9</v>
      </c>
      <c r="F58">
        <v>-122</v>
      </c>
      <c r="G58">
        <v>1</v>
      </c>
      <c r="K58">
        <f>400+2*(Table2[[#This Row],[Column1]]-13)</f>
        <v>404</v>
      </c>
      <c r="L58">
        <f>MINUTE(Table2[[#This Row],[Time]])</f>
        <v>15</v>
      </c>
      <c r="M58" s="1">
        <v>0.6774593518518518</v>
      </c>
      <c r="N58" t="s">
        <v>9</v>
      </c>
      <c r="O58" t="s">
        <v>11</v>
      </c>
      <c r="P58">
        <f t="shared" si="0"/>
        <v>-122</v>
      </c>
      <c r="Q58">
        <v>1.3</v>
      </c>
    </row>
    <row r="59" spans="2:17" x14ac:dyDescent="0.25">
      <c r="B59">
        <f>400+2*(Table1[[#This Row],[Column1]]-42)</f>
        <v>404</v>
      </c>
      <c r="C59">
        <f>MINUTE(Table1[[#This Row],[Time]])</f>
        <v>44</v>
      </c>
      <c r="D59" s="1">
        <v>0.44762546296296291</v>
      </c>
      <c r="E59" t="s">
        <v>9</v>
      </c>
      <c r="F59">
        <v>-122</v>
      </c>
      <c r="G59">
        <v>1.5</v>
      </c>
      <c r="K59">
        <f>400+2*(Table2[[#This Row],[Column1]]-13)</f>
        <v>404</v>
      </c>
      <c r="L59">
        <f>MINUTE(Table2[[#This Row],[Time]])</f>
        <v>15</v>
      </c>
      <c r="M59" s="1">
        <v>0.67749173611111113</v>
      </c>
      <c r="N59" t="s">
        <v>9</v>
      </c>
      <c r="O59" t="s">
        <v>11</v>
      </c>
      <c r="P59">
        <f t="shared" si="0"/>
        <v>-122</v>
      </c>
      <c r="Q59">
        <v>1.8</v>
      </c>
    </row>
    <row r="60" spans="2:17" x14ac:dyDescent="0.25">
      <c r="B60">
        <f>400+2*(Table1[[#This Row],[Column1]]-42)</f>
        <v>404</v>
      </c>
      <c r="C60">
        <f>MINUTE(Table1[[#This Row],[Time]])</f>
        <v>44</v>
      </c>
      <c r="D60" s="1">
        <v>0.44765785879629633</v>
      </c>
      <c r="E60" t="s">
        <v>9</v>
      </c>
      <c r="F60">
        <v>-118</v>
      </c>
      <c r="G60">
        <v>1.5</v>
      </c>
      <c r="K60">
        <f>400+2*(Table2[[#This Row],[Column1]]-13)</f>
        <v>404</v>
      </c>
      <c r="L60">
        <f>MINUTE(Table2[[#This Row],[Time]])</f>
        <v>15</v>
      </c>
      <c r="M60" s="1">
        <v>0.67752413194444439</v>
      </c>
      <c r="N60" t="s">
        <v>9</v>
      </c>
      <c r="O60" t="s">
        <v>11</v>
      </c>
      <c r="P60">
        <f t="shared" si="0"/>
        <v>-122</v>
      </c>
      <c r="Q60">
        <v>1.5</v>
      </c>
    </row>
    <row r="61" spans="2:17" x14ac:dyDescent="0.25">
      <c r="B61">
        <f>400+2*(Table1[[#This Row],[Column1]]-42)</f>
        <v>404</v>
      </c>
      <c r="C61">
        <f>MINUTE(Table1[[#This Row],[Time]])</f>
        <v>44</v>
      </c>
      <c r="D61" s="1">
        <v>0.44769025462962964</v>
      </c>
      <c r="E61" t="s">
        <v>9</v>
      </c>
      <c r="F61">
        <v>-122</v>
      </c>
      <c r="G61">
        <v>1.5</v>
      </c>
      <c r="K61">
        <f>400+2*(Table2[[#This Row],[Column1]]-13)</f>
        <v>404</v>
      </c>
      <c r="L61">
        <f>MINUTE(Table2[[#This Row],[Time]])</f>
        <v>15</v>
      </c>
      <c r="M61" s="1">
        <v>0.67755652777777775</v>
      </c>
      <c r="N61" t="s">
        <v>9</v>
      </c>
      <c r="O61" t="s">
        <v>11</v>
      </c>
      <c r="P61">
        <f t="shared" si="0"/>
        <v>-122</v>
      </c>
      <c r="Q61">
        <v>1.5</v>
      </c>
    </row>
    <row r="62" spans="2:17" x14ac:dyDescent="0.25">
      <c r="B62">
        <f>400+2*(Table1[[#This Row],[Column1]]-42)</f>
        <v>404</v>
      </c>
      <c r="C62">
        <f>MINUTE(Table1[[#This Row],[Time]])</f>
        <v>44</v>
      </c>
      <c r="D62" s="1">
        <v>0.447722650462963</v>
      </c>
      <c r="E62" t="s">
        <v>9</v>
      </c>
      <c r="F62">
        <v>-122</v>
      </c>
      <c r="G62">
        <v>1.8</v>
      </c>
      <c r="K62">
        <f>400+2*(Table2[[#This Row],[Column1]]-13)</f>
        <v>404</v>
      </c>
      <c r="L62">
        <f>MINUTE(Table2[[#This Row],[Time]])</f>
        <v>15</v>
      </c>
      <c r="M62" s="1">
        <v>0.67758893518518515</v>
      </c>
      <c r="N62" t="s">
        <v>9</v>
      </c>
      <c r="O62" t="s">
        <v>11</v>
      </c>
      <c r="P62">
        <f t="shared" si="0"/>
        <v>-122</v>
      </c>
      <c r="Q62">
        <v>1.5</v>
      </c>
    </row>
    <row r="63" spans="2:17" x14ac:dyDescent="0.25">
      <c r="B63">
        <f>400+2*(Table1[[#This Row],[Column1]]-42)</f>
        <v>404</v>
      </c>
      <c r="C63">
        <f>MINUTE(Table1[[#This Row],[Time]])</f>
        <v>44</v>
      </c>
      <c r="D63" s="1">
        <v>0.44775503472222228</v>
      </c>
      <c r="E63" t="s">
        <v>27</v>
      </c>
      <c r="F63">
        <f t="shared" ref="F63:F65" si="5">F62-0.5</f>
        <v>-122.5</v>
      </c>
      <c r="G63">
        <f t="shared" ref="G63:G65" si="6">G62-0.5</f>
        <v>1.3</v>
      </c>
      <c r="K63">
        <f>400+2*(Table2[[#This Row],[Column1]]-13)</f>
        <v>404</v>
      </c>
      <c r="L63">
        <f>MINUTE(Table2[[#This Row],[Time]])</f>
        <v>15</v>
      </c>
      <c r="M63" s="1">
        <v>0.67762131944444448</v>
      </c>
      <c r="N63" t="s">
        <v>9</v>
      </c>
      <c r="O63" t="s">
        <v>11</v>
      </c>
      <c r="P63">
        <f t="shared" si="0"/>
        <v>-122</v>
      </c>
      <c r="Q63">
        <v>1.5</v>
      </c>
    </row>
    <row r="64" spans="2:17" x14ac:dyDescent="0.25">
      <c r="B64">
        <f>400+2*(Table1[[#This Row],[Column1]]-42)</f>
        <v>404</v>
      </c>
      <c r="C64">
        <f>MINUTE(Table1[[#This Row],[Time]])</f>
        <v>44</v>
      </c>
      <c r="D64" s="1">
        <v>0.44778744212962962</v>
      </c>
      <c r="E64" t="s">
        <v>27</v>
      </c>
      <c r="F64">
        <f t="shared" si="5"/>
        <v>-123</v>
      </c>
      <c r="G64">
        <f t="shared" si="6"/>
        <v>0.8</v>
      </c>
      <c r="K64">
        <f>400+2*(Table2[[#This Row],[Column1]]-13)</f>
        <v>404</v>
      </c>
      <c r="L64">
        <f>MINUTE(Table2[[#This Row],[Time]])</f>
        <v>15</v>
      </c>
      <c r="M64" s="1">
        <v>0.67765371527777785</v>
      </c>
      <c r="N64" t="s">
        <v>9</v>
      </c>
      <c r="O64" t="s">
        <v>11</v>
      </c>
      <c r="P64">
        <f t="shared" si="0"/>
        <v>-122</v>
      </c>
      <c r="Q64">
        <v>1</v>
      </c>
    </row>
    <row r="65" spans="2:17" x14ac:dyDescent="0.25">
      <c r="B65">
        <f>400+2*(Table1[[#This Row],[Column1]]-42)</f>
        <v>404</v>
      </c>
      <c r="C65">
        <f>MINUTE(Table1[[#This Row],[Time]])</f>
        <v>44</v>
      </c>
      <c r="D65" s="1">
        <v>0.44781983796296293</v>
      </c>
      <c r="E65" t="s">
        <v>27</v>
      </c>
      <c r="F65">
        <f t="shared" si="5"/>
        <v>-123.5</v>
      </c>
      <c r="G65">
        <f t="shared" si="6"/>
        <v>0.30000000000000004</v>
      </c>
      <c r="K65">
        <f>400+2*(Table2[[#This Row],[Column1]]-13)</f>
        <v>404</v>
      </c>
      <c r="L65">
        <f>MINUTE(Table2[[#This Row],[Time]])</f>
        <v>15</v>
      </c>
      <c r="M65" s="1">
        <v>0.6776861111111111</v>
      </c>
      <c r="N65" t="s">
        <v>9</v>
      </c>
      <c r="O65" t="s">
        <v>11</v>
      </c>
      <c r="P65">
        <f t="shared" si="0"/>
        <v>-122</v>
      </c>
      <c r="Q65">
        <v>1.5</v>
      </c>
    </row>
    <row r="66" spans="2:17" x14ac:dyDescent="0.25">
      <c r="B66">
        <f>400+2*(Table1[[#This Row],[Column1]]-42)</f>
        <v>404</v>
      </c>
      <c r="C66">
        <f>MINUTE(Table1[[#This Row],[Time]])</f>
        <v>44</v>
      </c>
      <c r="D66" s="1">
        <v>0.44785223379629624</v>
      </c>
      <c r="E66" t="s">
        <v>9</v>
      </c>
      <c r="F66">
        <v>-122</v>
      </c>
      <c r="G66">
        <v>1.5</v>
      </c>
      <c r="K66">
        <f>400+2*(Table2[[#This Row],[Column1]]-13)</f>
        <v>404</v>
      </c>
      <c r="L66">
        <f>MINUTE(Table2[[#This Row],[Time]])</f>
        <v>15</v>
      </c>
      <c r="M66" s="1">
        <v>0.6777185185185185</v>
      </c>
      <c r="N66" t="s">
        <v>9</v>
      </c>
      <c r="O66" t="s">
        <v>11</v>
      </c>
      <c r="P66">
        <f t="shared" si="0"/>
        <v>-122</v>
      </c>
      <c r="Q66">
        <v>0.8</v>
      </c>
    </row>
    <row r="67" spans="2:17" x14ac:dyDescent="0.25">
      <c r="B67">
        <f>400+2*(Table1[[#This Row],[Column1]]-42)</f>
        <v>404</v>
      </c>
      <c r="C67">
        <f>MINUTE(Table1[[#This Row],[Time]])</f>
        <v>44</v>
      </c>
      <c r="D67" s="1">
        <v>0.44788462962962966</v>
      </c>
      <c r="E67" t="s">
        <v>9</v>
      </c>
      <c r="F67">
        <v>-122</v>
      </c>
      <c r="G67">
        <v>1.5</v>
      </c>
      <c r="K67">
        <f>400+2*(Table2[[#This Row],[Column1]]-13)</f>
        <v>404</v>
      </c>
      <c r="L67">
        <f>MINUTE(Table2[[#This Row],[Time]])</f>
        <v>15</v>
      </c>
      <c r="M67" s="1">
        <v>0.67775090277777783</v>
      </c>
      <c r="N67" t="s">
        <v>9</v>
      </c>
      <c r="O67" t="s">
        <v>11</v>
      </c>
      <c r="P67">
        <f t="shared" si="0"/>
        <v>-122</v>
      </c>
      <c r="Q67">
        <v>1.3</v>
      </c>
    </row>
    <row r="68" spans="2:17" x14ac:dyDescent="0.25">
      <c r="B68">
        <f>400+2*(Table1[[#This Row],[Column1]]-42)</f>
        <v>406</v>
      </c>
      <c r="C68">
        <f>MINUTE(Table1[[#This Row],[Time]])</f>
        <v>45</v>
      </c>
      <c r="D68" s="1">
        <v>0.44791702546296297</v>
      </c>
      <c r="E68" t="s">
        <v>9</v>
      </c>
      <c r="F68">
        <v>-122</v>
      </c>
      <c r="G68">
        <v>1.5</v>
      </c>
      <c r="K68">
        <f>400+2*(Table2[[#This Row],[Column1]]-13)</f>
        <v>406</v>
      </c>
      <c r="L68">
        <f>MINUTE(Table2[[#This Row],[Time]])</f>
        <v>16</v>
      </c>
      <c r="M68" s="1">
        <v>0.67778329861111108</v>
      </c>
      <c r="N68" t="s">
        <v>9</v>
      </c>
      <c r="O68" t="s">
        <v>11</v>
      </c>
      <c r="P68">
        <f t="shared" ref="P68:P131" si="7">VALUE(LEFT(O68,LEN(O68)-1))</f>
        <v>-122</v>
      </c>
      <c r="Q68">
        <v>1</v>
      </c>
    </row>
    <row r="69" spans="2:17" x14ac:dyDescent="0.25">
      <c r="B69">
        <f>400+2*(Table1[[#This Row],[Column1]]-42)</f>
        <v>406</v>
      </c>
      <c r="C69">
        <f>MINUTE(Table1[[#This Row],[Time]])</f>
        <v>45</v>
      </c>
      <c r="D69" s="1">
        <v>0.44794942129629634</v>
      </c>
      <c r="E69" t="s">
        <v>9</v>
      </c>
      <c r="F69">
        <v>-122</v>
      </c>
      <c r="G69">
        <v>2</v>
      </c>
      <c r="K69">
        <f>400+2*(Table2[[#This Row],[Column1]]-13)</f>
        <v>406</v>
      </c>
      <c r="L69">
        <f>MINUTE(Table2[[#This Row],[Time]])</f>
        <v>16</v>
      </c>
      <c r="M69" s="1">
        <v>0.67781569444444445</v>
      </c>
      <c r="N69" t="s">
        <v>9</v>
      </c>
      <c r="O69" t="s">
        <v>12</v>
      </c>
      <c r="P69">
        <f t="shared" si="7"/>
        <v>-123</v>
      </c>
      <c r="Q69">
        <v>-0.3</v>
      </c>
    </row>
    <row r="70" spans="2:17" x14ac:dyDescent="0.25">
      <c r="B70">
        <f>400+2*(Table1[[#This Row],[Column1]]-42)</f>
        <v>406</v>
      </c>
      <c r="C70">
        <f>MINUTE(Table1[[#This Row],[Time]])</f>
        <v>45</v>
      </c>
      <c r="D70" s="1">
        <v>0.4479818055555555</v>
      </c>
      <c r="E70" t="s">
        <v>9</v>
      </c>
      <c r="F70">
        <v>-123</v>
      </c>
      <c r="G70">
        <v>0</v>
      </c>
      <c r="K70">
        <f>400+2*(Table2[[#This Row],[Column1]]-13)</f>
        <v>406</v>
      </c>
      <c r="L70">
        <f>MINUTE(Table2[[#This Row],[Time]])</f>
        <v>16</v>
      </c>
      <c r="M70" s="1">
        <v>0.67784810185185185</v>
      </c>
      <c r="N70" t="s">
        <v>9</v>
      </c>
      <c r="O70" t="s">
        <v>19</v>
      </c>
      <c r="P70">
        <f t="shared" si="7"/>
        <v>-124</v>
      </c>
      <c r="Q70">
        <v>-1.3</v>
      </c>
    </row>
    <row r="71" spans="2:17" x14ac:dyDescent="0.25">
      <c r="B71">
        <f>400+2*(Table1[[#This Row],[Column1]]-42)</f>
        <v>406</v>
      </c>
      <c r="C71">
        <f>MINUTE(Table1[[#This Row],[Time]])</f>
        <v>45</v>
      </c>
      <c r="D71" s="1">
        <v>0.44801420138888892</v>
      </c>
      <c r="E71" t="s">
        <v>27</v>
      </c>
      <c r="F71">
        <f>F70-0.5</f>
        <v>-123.5</v>
      </c>
      <c r="G71">
        <f>G70-0.5</f>
        <v>-0.5</v>
      </c>
      <c r="K71">
        <f>400+2*(Table2[[#This Row],[Column1]]-13)</f>
        <v>406</v>
      </c>
      <c r="L71">
        <f>MINUTE(Table2[[#This Row],[Time]])</f>
        <v>16</v>
      </c>
      <c r="M71" s="1">
        <v>0.67788048611111118</v>
      </c>
      <c r="N71" t="s">
        <v>9</v>
      </c>
      <c r="O71" t="s">
        <v>12</v>
      </c>
      <c r="P71">
        <f t="shared" si="7"/>
        <v>-123</v>
      </c>
      <c r="Q71">
        <v>-1</v>
      </c>
    </row>
    <row r="72" spans="2:17" x14ac:dyDescent="0.25">
      <c r="B72">
        <f>400+2*(Table1[[#This Row],[Column1]]-42)</f>
        <v>406</v>
      </c>
      <c r="C72">
        <f>MINUTE(Table1[[#This Row],[Time]])</f>
        <v>45</v>
      </c>
      <c r="D72" s="1">
        <v>0.44804660879629626</v>
      </c>
      <c r="E72" t="s">
        <v>9</v>
      </c>
      <c r="F72">
        <v>-123</v>
      </c>
      <c r="G72">
        <v>-0.8</v>
      </c>
      <c r="K72">
        <f>400+2*(Table2[[#This Row],[Column1]]-13)</f>
        <v>406</v>
      </c>
      <c r="L72">
        <f>MINUTE(Table2[[#This Row],[Time]])</f>
        <v>16</v>
      </c>
      <c r="M72" s="1">
        <v>0.67791288194444443</v>
      </c>
      <c r="N72" t="s">
        <v>9</v>
      </c>
      <c r="O72" t="s">
        <v>12</v>
      </c>
      <c r="P72">
        <f t="shared" si="7"/>
        <v>-123</v>
      </c>
      <c r="Q72">
        <v>-1</v>
      </c>
    </row>
    <row r="73" spans="2:17" x14ac:dyDescent="0.25">
      <c r="B73">
        <f>400+2*(Table1[[#This Row],[Column1]]-42)</f>
        <v>406</v>
      </c>
      <c r="C73">
        <f>MINUTE(Table1[[#This Row],[Time]])</f>
        <v>45</v>
      </c>
      <c r="D73" s="1">
        <v>0.44807900462962963</v>
      </c>
      <c r="E73" t="s">
        <v>13</v>
      </c>
      <c r="F73">
        <f>F72-0.5</f>
        <v>-123.5</v>
      </c>
      <c r="G73">
        <f>G72-0.5</f>
        <v>-1.3</v>
      </c>
      <c r="K73">
        <f>400+2*(Table2[[#This Row],[Column1]]-13)</f>
        <v>406</v>
      </c>
      <c r="L73">
        <f>MINUTE(Table2[[#This Row],[Time]])</f>
        <v>16</v>
      </c>
      <c r="M73" s="1">
        <v>0.6779452777777778</v>
      </c>
      <c r="N73" t="s">
        <v>13</v>
      </c>
      <c r="O73" t="str">
        <f>O72</f>
        <v>-123.0,</v>
      </c>
      <c r="P73">
        <f>P72-0.5</f>
        <v>-123.5</v>
      </c>
      <c r="Q73">
        <f>Q72-0.5</f>
        <v>-1.5</v>
      </c>
    </row>
    <row r="74" spans="2:17" x14ac:dyDescent="0.25">
      <c r="B74">
        <f>400+2*(Table1[[#This Row],[Column1]]-42)</f>
        <v>406</v>
      </c>
      <c r="C74">
        <f>MINUTE(Table1[[#This Row],[Time]])</f>
        <v>45</v>
      </c>
      <c r="D74" s="1">
        <v>0.44811140046296294</v>
      </c>
      <c r="E74" t="s">
        <v>9</v>
      </c>
      <c r="F74">
        <v>-122</v>
      </c>
      <c r="G74">
        <v>2</v>
      </c>
      <c r="K74">
        <f>400+2*(Table2[[#This Row],[Column1]]-13)</f>
        <v>406</v>
      </c>
      <c r="L74">
        <f>MINUTE(Table2[[#This Row],[Time]])</f>
        <v>16</v>
      </c>
      <c r="M74" s="1">
        <v>0.6779776851851852</v>
      </c>
      <c r="N74" t="s">
        <v>9</v>
      </c>
      <c r="O74" t="s">
        <v>11</v>
      </c>
      <c r="P74">
        <f t="shared" si="7"/>
        <v>-122</v>
      </c>
      <c r="Q74">
        <v>1.8</v>
      </c>
    </row>
    <row r="75" spans="2:17" x14ac:dyDescent="0.25">
      <c r="B75">
        <f>400+2*(Table1[[#This Row],[Column1]]-42)</f>
        <v>406</v>
      </c>
      <c r="C75">
        <f>MINUTE(Table1[[#This Row],[Time]])</f>
        <v>45</v>
      </c>
      <c r="D75" s="1">
        <v>0.44814379629629636</v>
      </c>
      <c r="E75" t="s">
        <v>9</v>
      </c>
      <c r="F75">
        <v>-122</v>
      </c>
      <c r="G75">
        <v>1.8</v>
      </c>
      <c r="K75">
        <f>400+2*(Table2[[#This Row],[Column1]]-13)</f>
        <v>406</v>
      </c>
      <c r="L75">
        <f>MINUTE(Table2[[#This Row],[Time]])</f>
        <v>16</v>
      </c>
      <c r="M75" s="1">
        <v>0.67801008101851856</v>
      </c>
      <c r="N75" t="s">
        <v>9</v>
      </c>
      <c r="O75" t="s">
        <v>10</v>
      </c>
      <c r="P75">
        <f t="shared" si="7"/>
        <v>-121</v>
      </c>
      <c r="Q75">
        <v>1.5</v>
      </c>
    </row>
    <row r="76" spans="2:17" x14ac:dyDescent="0.25">
      <c r="B76">
        <f>400+2*(Table1[[#This Row],[Column1]]-42)</f>
        <v>406</v>
      </c>
      <c r="C76">
        <f>MINUTE(Table1[[#This Row],[Time]])</f>
        <v>45</v>
      </c>
      <c r="D76" s="1">
        <v>0.44817619212962967</v>
      </c>
      <c r="E76" t="s">
        <v>9</v>
      </c>
      <c r="F76">
        <v>-122</v>
      </c>
      <c r="G76">
        <v>1.3</v>
      </c>
      <c r="K76">
        <f>400+2*(Table2[[#This Row],[Column1]]-13)</f>
        <v>406</v>
      </c>
      <c r="L76">
        <f>MINUTE(Table2[[#This Row],[Time]])</f>
        <v>16</v>
      </c>
      <c r="M76" s="1">
        <v>0.67804246527777778</v>
      </c>
      <c r="N76" t="s">
        <v>9</v>
      </c>
      <c r="O76" t="s">
        <v>11</v>
      </c>
      <c r="P76">
        <f t="shared" si="7"/>
        <v>-122</v>
      </c>
      <c r="Q76">
        <v>0.8</v>
      </c>
    </row>
    <row r="77" spans="2:17" x14ac:dyDescent="0.25">
      <c r="B77">
        <f>400+2*(Table1[[#This Row],[Column1]]-42)</f>
        <v>406</v>
      </c>
      <c r="C77">
        <f>MINUTE(Table1[[#This Row],[Time]])</f>
        <v>45</v>
      </c>
      <c r="D77" s="1">
        <v>0.44820858796296298</v>
      </c>
      <c r="E77" t="s">
        <v>9</v>
      </c>
      <c r="F77">
        <v>-121</v>
      </c>
      <c r="G77">
        <v>1.8</v>
      </c>
      <c r="K77">
        <f>400+2*(Table2[[#This Row],[Column1]]-13)</f>
        <v>406</v>
      </c>
      <c r="L77">
        <f>MINUTE(Table2[[#This Row],[Time]])</f>
        <v>16</v>
      </c>
      <c r="M77" s="1">
        <v>0.67807486111111104</v>
      </c>
      <c r="N77" t="s">
        <v>9</v>
      </c>
      <c r="O77" t="s">
        <v>11</v>
      </c>
      <c r="P77">
        <f t="shared" si="7"/>
        <v>-122</v>
      </c>
      <c r="Q77">
        <v>1.3</v>
      </c>
    </row>
    <row r="78" spans="2:17" x14ac:dyDescent="0.25">
      <c r="B78">
        <f>400+2*(Table1[[#This Row],[Column1]]-42)</f>
        <v>406</v>
      </c>
      <c r="C78">
        <f>MINUTE(Table1[[#This Row],[Time]])</f>
        <v>45</v>
      </c>
      <c r="D78" s="1">
        <v>0.44824098379629629</v>
      </c>
      <c r="E78" t="s">
        <v>9</v>
      </c>
      <c r="F78">
        <v>-122</v>
      </c>
      <c r="G78">
        <v>1.5</v>
      </c>
      <c r="K78">
        <f>400+2*(Table2[[#This Row],[Column1]]-13)</f>
        <v>406</v>
      </c>
      <c r="L78">
        <f>MINUTE(Table2[[#This Row],[Time]])</f>
        <v>16</v>
      </c>
      <c r="M78" s="1">
        <v>0.67810726851851855</v>
      </c>
      <c r="N78" t="s">
        <v>9</v>
      </c>
      <c r="O78" t="s">
        <v>11</v>
      </c>
      <c r="P78">
        <f t="shared" si="7"/>
        <v>-122</v>
      </c>
      <c r="Q78">
        <v>1.5</v>
      </c>
    </row>
    <row r="79" spans="2:17" x14ac:dyDescent="0.25">
      <c r="B79">
        <f>400+2*(Table1[[#This Row],[Column1]]-42)</f>
        <v>406</v>
      </c>
      <c r="C79">
        <f>MINUTE(Table1[[#This Row],[Time]])</f>
        <v>45</v>
      </c>
      <c r="D79" s="1">
        <v>0.44827337962962965</v>
      </c>
      <c r="E79" t="s">
        <v>9</v>
      </c>
      <c r="F79">
        <v>-122</v>
      </c>
      <c r="G79">
        <v>1.5</v>
      </c>
      <c r="K79">
        <f>400+2*(Table2[[#This Row],[Column1]]-13)</f>
        <v>406</v>
      </c>
      <c r="L79">
        <f>MINUTE(Table2[[#This Row],[Time]])</f>
        <v>16</v>
      </c>
      <c r="M79" s="1">
        <v>0.67813965277777777</v>
      </c>
      <c r="N79" t="s">
        <v>9</v>
      </c>
      <c r="O79" t="s">
        <v>11</v>
      </c>
      <c r="P79">
        <f t="shared" si="7"/>
        <v>-122</v>
      </c>
      <c r="Q79">
        <v>1</v>
      </c>
    </row>
    <row r="80" spans="2:17" x14ac:dyDescent="0.25">
      <c r="B80">
        <f>400+2*(Table1[[#This Row],[Column1]]-42)</f>
        <v>406</v>
      </c>
      <c r="C80">
        <f>MINUTE(Table1[[#This Row],[Time]])</f>
        <v>45</v>
      </c>
      <c r="D80" s="1">
        <v>0.44830576388888893</v>
      </c>
      <c r="E80" t="s">
        <v>9</v>
      </c>
      <c r="F80">
        <v>-122</v>
      </c>
      <c r="G80">
        <v>1</v>
      </c>
      <c r="K80">
        <f>400+2*(Table2[[#This Row],[Column1]]-13)</f>
        <v>406</v>
      </c>
      <c r="L80">
        <f>MINUTE(Table2[[#This Row],[Time]])</f>
        <v>16</v>
      </c>
      <c r="M80" s="1">
        <v>0.67817206018518517</v>
      </c>
      <c r="N80" t="s">
        <v>9</v>
      </c>
      <c r="O80" t="s">
        <v>11</v>
      </c>
      <c r="P80">
        <f t="shared" si="7"/>
        <v>-122</v>
      </c>
      <c r="Q80">
        <v>1.3</v>
      </c>
    </row>
    <row r="81" spans="2:17" x14ac:dyDescent="0.25">
      <c r="B81">
        <f>400+2*(Table1[[#This Row],[Column1]]-42)</f>
        <v>406</v>
      </c>
      <c r="C81">
        <f>MINUTE(Table1[[#This Row],[Time]])</f>
        <v>45</v>
      </c>
      <c r="D81" s="1">
        <v>0.44833815972222224</v>
      </c>
      <c r="E81" t="s">
        <v>9</v>
      </c>
      <c r="F81">
        <v>-122</v>
      </c>
      <c r="G81">
        <v>1.5</v>
      </c>
      <c r="K81">
        <f>400+2*(Table2[[#This Row],[Column1]]-13)</f>
        <v>406</v>
      </c>
      <c r="L81">
        <f>MINUTE(Table2[[#This Row],[Time]])</f>
        <v>16</v>
      </c>
      <c r="M81" s="1">
        <v>0.6782044444444445</v>
      </c>
      <c r="N81" t="s">
        <v>9</v>
      </c>
      <c r="O81" t="s">
        <v>11</v>
      </c>
      <c r="P81">
        <f t="shared" si="7"/>
        <v>-122</v>
      </c>
      <c r="Q81">
        <v>1.5</v>
      </c>
    </row>
    <row r="82" spans="2:17" x14ac:dyDescent="0.25">
      <c r="B82">
        <f>400+2*(Table1[[#This Row],[Column1]]-42)</f>
        <v>406</v>
      </c>
      <c r="C82">
        <f>MINUTE(Table1[[#This Row],[Time]])</f>
        <v>45</v>
      </c>
      <c r="D82" s="1">
        <v>0.44837055555555555</v>
      </c>
      <c r="E82" t="s">
        <v>9</v>
      </c>
      <c r="F82">
        <v>-122</v>
      </c>
      <c r="G82">
        <v>1.8</v>
      </c>
      <c r="K82">
        <f>400+2*(Table2[[#This Row],[Column1]]-13)</f>
        <v>406</v>
      </c>
      <c r="L82">
        <f>MINUTE(Table2[[#This Row],[Time]])</f>
        <v>16</v>
      </c>
      <c r="M82" s="1">
        <v>0.67823685185185179</v>
      </c>
      <c r="N82" t="s">
        <v>9</v>
      </c>
      <c r="O82" t="s">
        <v>10</v>
      </c>
      <c r="P82">
        <f t="shared" si="7"/>
        <v>-121</v>
      </c>
      <c r="Q82">
        <v>1.8</v>
      </c>
    </row>
    <row r="83" spans="2:17" x14ac:dyDescent="0.25">
      <c r="B83">
        <f>400+2*(Table1[[#This Row],[Column1]]-42)</f>
        <v>406</v>
      </c>
      <c r="C83">
        <f>MINUTE(Table1[[#This Row],[Time]])</f>
        <v>45</v>
      </c>
      <c r="D83" s="1">
        <v>0.448402962962963</v>
      </c>
      <c r="E83" t="s">
        <v>9</v>
      </c>
      <c r="F83">
        <v>-122</v>
      </c>
      <c r="G83">
        <v>1.3</v>
      </c>
      <c r="K83">
        <f>400+2*(Table2[[#This Row],[Column1]]-13)</f>
        <v>406</v>
      </c>
      <c r="L83">
        <f>MINUTE(Table2[[#This Row],[Time]])</f>
        <v>16</v>
      </c>
      <c r="M83" s="1">
        <v>0.67826923611111112</v>
      </c>
      <c r="N83" t="s">
        <v>9</v>
      </c>
      <c r="O83" t="s">
        <v>10</v>
      </c>
      <c r="P83">
        <f t="shared" si="7"/>
        <v>-121</v>
      </c>
      <c r="Q83">
        <v>1.3</v>
      </c>
    </row>
    <row r="84" spans="2:17" x14ac:dyDescent="0.25">
      <c r="B84">
        <f>400+2*(Table1[[#This Row],[Column1]]-42)</f>
        <v>406</v>
      </c>
      <c r="C84">
        <f>MINUTE(Table1[[#This Row],[Time]])</f>
        <v>45</v>
      </c>
      <c r="D84" s="1">
        <v>0.44843535879629631</v>
      </c>
      <c r="E84" t="s">
        <v>9</v>
      </c>
      <c r="F84">
        <v>-122</v>
      </c>
      <c r="G84">
        <v>1.5</v>
      </c>
      <c r="K84">
        <f>400+2*(Table2[[#This Row],[Column1]]-13)</f>
        <v>406</v>
      </c>
      <c r="L84">
        <f>MINUTE(Table2[[#This Row],[Time]])</f>
        <v>16</v>
      </c>
      <c r="M84" s="1">
        <v>0.67830163194444448</v>
      </c>
      <c r="N84" t="s">
        <v>9</v>
      </c>
      <c r="O84" t="s">
        <v>11</v>
      </c>
      <c r="P84">
        <f t="shared" si="7"/>
        <v>-122</v>
      </c>
      <c r="Q84">
        <v>1.8</v>
      </c>
    </row>
    <row r="85" spans="2:17" x14ac:dyDescent="0.25">
      <c r="B85">
        <f>400+2*(Table1[[#This Row],[Column1]]-42)</f>
        <v>406</v>
      </c>
      <c r="C85">
        <f>MINUTE(Table1[[#This Row],[Time]])</f>
        <v>45</v>
      </c>
      <c r="D85" s="1">
        <v>0.4484677314814815</v>
      </c>
      <c r="E85" t="s">
        <v>9</v>
      </c>
      <c r="F85">
        <v>-122</v>
      </c>
      <c r="G85">
        <v>1.3</v>
      </c>
      <c r="K85">
        <f>400+2*(Table2[[#This Row],[Column1]]-13)</f>
        <v>406</v>
      </c>
      <c r="L85">
        <f>MINUTE(Table2[[#This Row],[Time]])</f>
        <v>16</v>
      </c>
      <c r="M85" s="1">
        <v>0.67833402777777774</v>
      </c>
      <c r="N85" t="s">
        <v>9</v>
      </c>
      <c r="O85" t="s">
        <v>11</v>
      </c>
      <c r="P85">
        <f t="shared" si="7"/>
        <v>-122</v>
      </c>
      <c r="Q85">
        <v>1</v>
      </c>
    </row>
    <row r="86" spans="2:17" x14ac:dyDescent="0.25">
      <c r="B86">
        <f>400+2*(Table1[[#This Row],[Column1]]-42)</f>
        <v>406</v>
      </c>
      <c r="C86">
        <f>MINUTE(Table1[[#This Row],[Time]])</f>
        <v>45</v>
      </c>
      <c r="D86" s="1">
        <v>0.44850015046296299</v>
      </c>
      <c r="E86" t="s">
        <v>9</v>
      </c>
      <c r="F86">
        <v>-122</v>
      </c>
      <c r="G86">
        <v>1.5</v>
      </c>
      <c r="K86">
        <f>400+2*(Table2[[#This Row],[Column1]]-13)</f>
        <v>406</v>
      </c>
      <c r="L86">
        <f>MINUTE(Table2[[#This Row],[Time]])</f>
        <v>16</v>
      </c>
      <c r="M86" s="1">
        <v>0.67836641203703707</v>
      </c>
      <c r="N86" t="s">
        <v>9</v>
      </c>
      <c r="O86" t="s">
        <v>11</v>
      </c>
      <c r="P86">
        <f t="shared" si="7"/>
        <v>-122</v>
      </c>
      <c r="Q86">
        <v>1.3</v>
      </c>
    </row>
    <row r="87" spans="2:17" x14ac:dyDescent="0.25">
      <c r="B87">
        <f>400+2*(Table1[[#This Row],[Column1]]-42)</f>
        <v>406</v>
      </c>
      <c r="C87">
        <f>MINUTE(Table1[[#This Row],[Time]])</f>
        <v>45</v>
      </c>
      <c r="D87" s="1">
        <v>0.44853252314814812</v>
      </c>
      <c r="E87" t="s">
        <v>9</v>
      </c>
      <c r="F87">
        <v>-122</v>
      </c>
      <c r="G87">
        <v>1.8</v>
      </c>
      <c r="K87">
        <f>400+2*(Table2[[#This Row],[Column1]]-13)</f>
        <v>406</v>
      </c>
      <c r="L87">
        <f>MINUTE(Table2[[#This Row],[Time]])</f>
        <v>16</v>
      </c>
      <c r="M87" s="1">
        <v>0.67839880787037032</v>
      </c>
      <c r="N87" t="s">
        <v>9</v>
      </c>
      <c r="O87" t="s">
        <v>11</v>
      </c>
      <c r="P87">
        <f t="shared" si="7"/>
        <v>-122</v>
      </c>
      <c r="Q87">
        <v>1.3</v>
      </c>
    </row>
    <row r="88" spans="2:17" x14ac:dyDescent="0.25">
      <c r="B88">
        <f>400+2*(Table1[[#This Row],[Column1]]-42)</f>
        <v>406</v>
      </c>
      <c r="C88">
        <f>MINUTE(Table1[[#This Row],[Time]])</f>
        <v>45</v>
      </c>
      <c r="D88" s="1">
        <v>0.44856494212962961</v>
      </c>
      <c r="E88" t="s">
        <v>27</v>
      </c>
      <c r="F88">
        <f>F87-0.5</f>
        <v>-122.5</v>
      </c>
      <c r="G88">
        <f>G87-0.5</f>
        <v>1.3</v>
      </c>
      <c r="K88">
        <f>400+2*(Table2[[#This Row],[Column1]]-13)</f>
        <v>406</v>
      </c>
      <c r="L88">
        <f>MINUTE(Table2[[#This Row],[Time]])</f>
        <v>16</v>
      </c>
      <c r="M88" s="1">
        <v>0.67843122685185187</v>
      </c>
      <c r="N88" t="s">
        <v>9</v>
      </c>
      <c r="O88" t="s">
        <v>11</v>
      </c>
      <c r="P88">
        <f t="shared" si="7"/>
        <v>-122</v>
      </c>
      <c r="Q88">
        <v>1.3</v>
      </c>
    </row>
    <row r="89" spans="2:17" x14ac:dyDescent="0.25">
      <c r="B89">
        <f>400+2*(Table1[[#This Row],[Column1]]-42)</f>
        <v>406</v>
      </c>
      <c r="C89">
        <f>MINUTE(Table1[[#This Row],[Time]])</f>
        <v>45</v>
      </c>
      <c r="D89" s="1">
        <v>0.44859733796296292</v>
      </c>
      <c r="E89" t="s">
        <v>9</v>
      </c>
      <c r="F89">
        <v>-122</v>
      </c>
      <c r="G89">
        <v>1.8</v>
      </c>
      <c r="K89">
        <f>400+2*(Table2[[#This Row],[Column1]]-13)</f>
        <v>406</v>
      </c>
      <c r="L89">
        <f>MINUTE(Table2[[#This Row],[Time]])</f>
        <v>16</v>
      </c>
      <c r="M89" s="1">
        <v>0.67846362268518512</v>
      </c>
      <c r="N89" t="s">
        <v>9</v>
      </c>
      <c r="O89" t="s">
        <v>11</v>
      </c>
      <c r="P89">
        <f t="shared" si="7"/>
        <v>-122</v>
      </c>
      <c r="Q89">
        <v>1.5</v>
      </c>
    </row>
    <row r="90" spans="2:17" x14ac:dyDescent="0.25">
      <c r="B90">
        <f>400+2*(Table1[[#This Row],[Column1]]-42)</f>
        <v>408</v>
      </c>
      <c r="C90">
        <f>MINUTE(Table1[[#This Row],[Time]])</f>
        <v>46</v>
      </c>
      <c r="D90" s="1">
        <v>0.44862973379629628</v>
      </c>
      <c r="E90" t="s">
        <v>9</v>
      </c>
      <c r="F90">
        <v>-122</v>
      </c>
      <c r="G90">
        <v>1.5</v>
      </c>
      <c r="K90">
        <f>400+2*(Table2[[#This Row],[Column1]]-13)</f>
        <v>408</v>
      </c>
      <c r="L90">
        <f>MINUTE(Table2[[#This Row],[Time]])</f>
        <v>17</v>
      </c>
      <c r="M90" s="1">
        <v>0.67849601851851848</v>
      </c>
      <c r="N90" t="s">
        <v>9</v>
      </c>
      <c r="O90" t="s">
        <v>11</v>
      </c>
      <c r="P90">
        <f t="shared" si="7"/>
        <v>-122</v>
      </c>
      <c r="Q90">
        <v>1.3</v>
      </c>
    </row>
    <row r="91" spans="2:17" x14ac:dyDescent="0.25">
      <c r="B91">
        <f>400+2*(Table1[[#This Row],[Column1]]-42)</f>
        <v>408</v>
      </c>
      <c r="C91">
        <f>MINUTE(Table1[[#This Row],[Time]])</f>
        <v>46</v>
      </c>
      <c r="D91" s="1">
        <v>0.44866212962962965</v>
      </c>
      <c r="E91" t="s">
        <v>27</v>
      </c>
      <c r="F91">
        <f>F90-0.5</f>
        <v>-122.5</v>
      </c>
      <c r="G91">
        <f>G90-0.5</f>
        <v>1</v>
      </c>
      <c r="K91">
        <f>400+2*(Table2[[#This Row],[Column1]]-13)</f>
        <v>408</v>
      </c>
      <c r="L91">
        <f>MINUTE(Table2[[#This Row],[Time]])</f>
        <v>17</v>
      </c>
      <c r="M91" s="1">
        <v>0.67852841435185185</v>
      </c>
      <c r="N91" t="s">
        <v>9</v>
      </c>
      <c r="O91" t="s">
        <v>12</v>
      </c>
      <c r="P91">
        <f t="shared" si="7"/>
        <v>-123</v>
      </c>
      <c r="Q91">
        <v>-1</v>
      </c>
    </row>
    <row r="92" spans="2:17" x14ac:dyDescent="0.25">
      <c r="B92">
        <f>400+2*(Table1[[#This Row],[Column1]]-42)</f>
        <v>408</v>
      </c>
      <c r="C92">
        <f>MINUTE(Table1[[#This Row],[Time]])</f>
        <v>46</v>
      </c>
      <c r="D92" s="1">
        <v>0.44869451388888887</v>
      </c>
      <c r="E92" t="s">
        <v>9</v>
      </c>
      <c r="F92">
        <v>-123</v>
      </c>
      <c r="G92">
        <v>-1</v>
      </c>
      <c r="K92">
        <f>400+2*(Table2[[#This Row],[Column1]]-13)</f>
        <v>408</v>
      </c>
      <c r="L92">
        <f>MINUTE(Table2[[#This Row],[Time]])</f>
        <v>17</v>
      </c>
      <c r="M92" s="1">
        <v>0.67856081018518521</v>
      </c>
      <c r="N92" t="s">
        <v>9</v>
      </c>
      <c r="O92" t="s">
        <v>12</v>
      </c>
      <c r="P92">
        <f t="shared" si="7"/>
        <v>-123</v>
      </c>
      <c r="Q92">
        <v>-0.8</v>
      </c>
    </row>
    <row r="93" spans="2:17" x14ac:dyDescent="0.25">
      <c r="B93">
        <f>400+2*(Table1[[#This Row],[Column1]]-42)</f>
        <v>408</v>
      </c>
      <c r="C93">
        <f>MINUTE(Table1[[#This Row],[Time]])</f>
        <v>46</v>
      </c>
      <c r="D93" s="1">
        <v>0.44872690972222218</v>
      </c>
      <c r="E93" t="s">
        <v>27</v>
      </c>
      <c r="F93">
        <f t="shared" ref="F93:F94" si="8">F92-0.5</f>
        <v>-123.5</v>
      </c>
      <c r="G93">
        <f t="shared" ref="G93:G94" si="9">G92-0.5</f>
        <v>-1.5</v>
      </c>
      <c r="K93">
        <f>400+2*(Table2[[#This Row],[Column1]]-13)</f>
        <v>408</v>
      </c>
      <c r="L93">
        <f>MINUTE(Table2[[#This Row],[Time]])</f>
        <v>17</v>
      </c>
      <c r="M93" s="1">
        <v>0.67859319444444444</v>
      </c>
      <c r="N93" t="s">
        <v>9</v>
      </c>
      <c r="O93" t="s">
        <v>12</v>
      </c>
      <c r="P93">
        <f t="shared" si="7"/>
        <v>-123</v>
      </c>
      <c r="Q93">
        <v>-0.8</v>
      </c>
    </row>
    <row r="94" spans="2:17" x14ac:dyDescent="0.25">
      <c r="B94">
        <f>400+2*(Table1[[#This Row],[Column1]]-42)</f>
        <v>408</v>
      </c>
      <c r="C94">
        <f>MINUTE(Table1[[#This Row],[Time]])</f>
        <v>46</v>
      </c>
      <c r="D94" s="1">
        <v>0.44875929398148146</v>
      </c>
      <c r="E94" t="s">
        <v>27</v>
      </c>
      <c r="F94">
        <f t="shared" si="8"/>
        <v>-124</v>
      </c>
      <c r="G94">
        <f t="shared" si="9"/>
        <v>-2</v>
      </c>
      <c r="K94">
        <f>400+2*(Table2[[#This Row],[Column1]]-13)</f>
        <v>408</v>
      </c>
      <c r="L94">
        <f>MINUTE(Table2[[#This Row],[Time]])</f>
        <v>17</v>
      </c>
      <c r="M94" s="1">
        <v>0.67862560185185183</v>
      </c>
      <c r="N94" t="s">
        <v>13</v>
      </c>
      <c r="O94" t="str">
        <f t="shared" ref="O94:O95" si="10">O93</f>
        <v>-123.0,</v>
      </c>
      <c r="P94">
        <f t="shared" ref="P94:P95" si="11">P93-0.5</f>
        <v>-123.5</v>
      </c>
      <c r="Q94">
        <f t="shared" ref="Q94:Q95" si="12">Q93-0.5</f>
        <v>-1.3</v>
      </c>
    </row>
    <row r="95" spans="2:17" x14ac:dyDescent="0.25">
      <c r="B95">
        <f>400+2*(Table1[[#This Row],[Column1]]-42)</f>
        <v>408</v>
      </c>
      <c r="C95">
        <f>MINUTE(Table1[[#This Row],[Time]])</f>
        <v>46</v>
      </c>
      <c r="D95" s="1">
        <v>0.44879170138888891</v>
      </c>
      <c r="E95" t="s">
        <v>9</v>
      </c>
      <c r="F95">
        <v>-122</v>
      </c>
      <c r="G95">
        <v>1.3</v>
      </c>
      <c r="K95">
        <f>400+2*(Table2[[#This Row],[Column1]]-13)</f>
        <v>408</v>
      </c>
      <c r="L95">
        <f>MINUTE(Table2[[#This Row],[Time]])</f>
        <v>17</v>
      </c>
      <c r="M95" s="1">
        <v>0.6786579976851852</v>
      </c>
      <c r="N95" t="s">
        <v>27</v>
      </c>
      <c r="O95" t="str">
        <f t="shared" si="10"/>
        <v>-123.0,</v>
      </c>
      <c r="P95">
        <f t="shared" si="11"/>
        <v>-124</v>
      </c>
      <c r="Q95">
        <f t="shared" si="12"/>
        <v>-1.8</v>
      </c>
    </row>
    <row r="96" spans="2:17" x14ac:dyDescent="0.25">
      <c r="B96">
        <f>400+2*(Table1[[#This Row],[Column1]]-42)</f>
        <v>408</v>
      </c>
      <c r="C96">
        <f>MINUTE(Table1[[#This Row],[Time]])</f>
        <v>46</v>
      </c>
      <c r="D96" s="1">
        <v>0.44882409722222222</v>
      </c>
      <c r="E96" t="s">
        <v>9</v>
      </c>
      <c r="F96">
        <v>-122</v>
      </c>
      <c r="G96">
        <v>1.8</v>
      </c>
      <c r="K96">
        <f>400+2*(Table2[[#This Row],[Column1]]-13)</f>
        <v>408</v>
      </c>
      <c r="L96">
        <f>MINUTE(Table2[[#This Row],[Time]])</f>
        <v>17</v>
      </c>
      <c r="M96" s="1">
        <v>0.67869038194444442</v>
      </c>
      <c r="N96" t="s">
        <v>9</v>
      </c>
      <c r="O96" t="s">
        <v>11</v>
      </c>
      <c r="P96">
        <f t="shared" si="7"/>
        <v>-122</v>
      </c>
      <c r="Q96">
        <v>1.3</v>
      </c>
    </row>
    <row r="97" spans="2:17" x14ac:dyDescent="0.25">
      <c r="B97">
        <f>400+2*(Table1[[#This Row],[Column1]]-42)</f>
        <v>408</v>
      </c>
      <c r="C97">
        <f>MINUTE(Table1[[#This Row],[Time]])</f>
        <v>46</v>
      </c>
      <c r="D97" s="1">
        <v>0.44885649305555558</v>
      </c>
      <c r="E97" t="s">
        <v>9</v>
      </c>
      <c r="F97">
        <v>-122</v>
      </c>
      <c r="G97">
        <v>1.8</v>
      </c>
      <c r="K97">
        <f>400+2*(Table2[[#This Row],[Column1]]-13)</f>
        <v>408</v>
      </c>
      <c r="L97">
        <f>MINUTE(Table2[[#This Row],[Time]])</f>
        <v>17</v>
      </c>
      <c r="M97" s="1">
        <v>0.67872277777777779</v>
      </c>
      <c r="N97" t="s">
        <v>9</v>
      </c>
      <c r="O97" t="s">
        <v>14</v>
      </c>
      <c r="P97">
        <f t="shared" si="7"/>
        <v>-118</v>
      </c>
      <c r="Q97">
        <v>1.5</v>
      </c>
    </row>
    <row r="98" spans="2:17" x14ac:dyDescent="0.25">
      <c r="B98">
        <f>400+2*(Table1[[#This Row],[Column1]]-42)</f>
        <v>408</v>
      </c>
      <c r="C98">
        <f>MINUTE(Table1[[#This Row],[Time]])</f>
        <v>46</v>
      </c>
      <c r="D98" s="1">
        <v>0.44888887731481486</v>
      </c>
      <c r="E98" t="s">
        <v>9</v>
      </c>
      <c r="F98">
        <v>-121</v>
      </c>
      <c r="G98">
        <v>1.5</v>
      </c>
      <c r="K98">
        <f>400+2*(Table2[[#This Row],[Column1]]-13)</f>
        <v>408</v>
      </c>
      <c r="L98">
        <f>MINUTE(Table2[[#This Row],[Time]])</f>
        <v>17</v>
      </c>
      <c r="M98" s="1">
        <v>0.67875517361111115</v>
      </c>
      <c r="N98" t="s">
        <v>9</v>
      </c>
      <c r="O98" t="s">
        <v>11</v>
      </c>
      <c r="P98">
        <f t="shared" si="7"/>
        <v>-122</v>
      </c>
      <c r="Q98">
        <v>0.8</v>
      </c>
    </row>
    <row r="99" spans="2:17" x14ac:dyDescent="0.25">
      <c r="B99">
        <f>400+2*(Table1[[#This Row],[Column1]]-42)</f>
        <v>408</v>
      </c>
      <c r="C99">
        <f>MINUTE(Table1[[#This Row],[Time]])</f>
        <v>46</v>
      </c>
      <c r="D99" s="1">
        <v>0.4489212847222222</v>
      </c>
      <c r="E99" t="s">
        <v>27</v>
      </c>
      <c r="F99">
        <f>F98-0.5</f>
        <v>-121.5</v>
      </c>
      <c r="G99">
        <f>G98-0.5</f>
        <v>1</v>
      </c>
      <c r="K99">
        <f>400+2*(Table2[[#This Row],[Column1]]-13)</f>
        <v>408</v>
      </c>
      <c r="L99">
        <f>MINUTE(Table2[[#This Row],[Time]])</f>
        <v>17</v>
      </c>
      <c r="M99" s="1">
        <v>0.67878755787037037</v>
      </c>
      <c r="N99" t="s">
        <v>9</v>
      </c>
      <c r="O99" t="s">
        <v>11</v>
      </c>
      <c r="P99">
        <f t="shared" si="7"/>
        <v>-122</v>
      </c>
      <c r="Q99">
        <v>1.3</v>
      </c>
    </row>
    <row r="100" spans="2:17" x14ac:dyDescent="0.25">
      <c r="B100">
        <f>400+2*(Table1[[#This Row],[Column1]]-42)</f>
        <v>408</v>
      </c>
      <c r="C100">
        <f>MINUTE(Table1[[#This Row],[Time]])</f>
        <v>46</v>
      </c>
      <c r="D100" s="1">
        <v>0.44895368055555551</v>
      </c>
      <c r="E100" t="s">
        <v>9</v>
      </c>
      <c r="F100">
        <v>-122</v>
      </c>
      <c r="G100">
        <v>1.5</v>
      </c>
      <c r="K100">
        <f>400+2*(Table2[[#This Row],[Column1]]-13)</f>
        <v>408</v>
      </c>
      <c r="L100">
        <f>MINUTE(Table2[[#This Row],[Time]])</f>
        <v>17</v>
      </c>
      <c r="M100" s="1">
        <v>0.67881996527777777</v>
      </c>
      <c r="N100" t="s">
        <v>9</v>
      </c>
      <c r="O100" t="s">
        <v>11</v>
      </c>
      <c r="P100">
        <f t="shared" si="7"/>
        <v>-122</v>
      </c>
      <c r="Q100">
        <v>1</v>
      </c>
    </row>
    <row r="101" spans="2:17" x14ac:dyDescent="0.25">
      <c r="B101">
        <f>400+2*(Table1[[#This Row],[Column1]]-42)</f>
        <v>408</v>
      </c>
      <c r="C101">
        <f>MINUTE(Table1[[#This Row],[Time]])</f>
        <v>46</v>
      </c>
      <c r="D101" s="1">
        <v>0.44898607638888888</v>
      </c>
      <c r="E101" t="s">
        <v>9</v>
      </c>
      <c r="F101">
        <v>-122</v>
      </c>
      <c r="G101">
        <v>1.3</v>
      </c>
      <c r="K101">
        <f>400+2*(Table2[[#This Row],[Column1]]-13)</f>
        <v>408</v>
      </c>
      <c r="L101">
        <f>MINUTE(Table2[[#This Row],[Time]])</f>
        <v>17</v>
      </c>
      <c r="M101" s="1">
        <v>0.67885236111111114</v>
      </c>
      <c r="N101" t="s">
        <v>9</v>
      </c>
      <c r="O101" t="s">
        <v>11</v>
      </c>
      <c r="P101">
        <f t="shared" si="7"/>
        <v>-122</v>
      </c>
      <c r="Q101">
        <v>1.5</v>
      </c>
    </row>
    <row r="102" spans="2:17" x14ac:dyDescent="0.25">
      <c r="B102">
        <f>400+2*(Table1[[#This Row],[Column1]]-42)</f>
        <v>408</v>
      </c>
      <c r="C102">
        <f>MINUTE(Table1[[#This Row],[Time]])</f>
        <v>46</v>
      </c>
      <c r="D102" s="1">
        <v>0.44901840277777783</v>
      </c>
      <c r="E102" t="s">
        <v>9</v>
      </c>
      <c r="F102">
        <v>-122</v>
      </c>
      <c r="G102">
        <v>1.5</v>
      </c>
      <c r="K102">
        <f>400+2*(Table2[[#This Row],[Column1]]-13)</f>
        <v>408</v>
      </c>
      <c r="L102">
        <f>MINUTE(Table2[[#This Row],[Time]])</f>
        <v>17</v>
      </c>
      <c r="M102" s="1">
        <v>0.67888475694444439</v>
      </c>
      <c r="N102" t="s">
        <v>9</v>
      </c>
      <c r="O102" t="s">
        <v>11</v>
      </c>
      <c r="P102">
        <f t="shared" si="7"/>
        <v>-122</v>
      </c>
      <c r="Q102">
        <v>1.5</v>
      </c>
    </row>
    <row r="103" spans="2:17" x14ac:dyDescent="0.25">
      <c r="B103">
        <f>400+2*(Table1[[#This Row],[Column1]]-42)</f>
        <v>408</v>
      </c>
      <c r="C103">
        <f>MINUTE(Table1[[#This Row],[Time]])</f>
        <v>46</v>
      </c>
      <c r="D103" s="1">
        <v>0.44905085648148146</v>
      </c>
      <c r="E103" t="s">
        <v>9</v>
      </c>
      <c r="F103">
        <v>-122</v>
      </c>
      <c r="G103">
        <v>1.5</v>
      </c>
      <c r="K103">
        <f>400+2*(Table2[[#This Row],[Column1]]-13)</f>
        <v>408</v>
      </c>
      <c r="L103">
        <f>MINUTE(Table2[[#This Row],[Time]])</f>
        <v>17</v>
      </c>
      <c r="M103" s="1">
        <v>0.67891715277777775</v>
      </c>
      <c r="N103" t="s">
        <v>9</v>
      </c>
      <c r="O103" t="s">
        <v>11</v>
      </c>
      <c r="P103">
        <f t="shared" si="7"/>
        <v>-122</v>
      </c>
      <c r="Q103">
        <v>1.3</v>
      </c>
    </row>
    <row r="104" spans="2:17" x14ac:dyDescent="0.25">
      <c r="B104">
        <f>400+2*(Table1[[#This Row],[Column1]]-42)</f>
        <v>408</v>
      </c>
      <c r="C104">
        <f>MINUTE(Table1[[#This Row],[Time]])</f>
        <v>46</v>
      </c>
      <c r="D104" s="1">
        <v>0.44908309027777782</v>
      </c>
      <c r="E104" t="s">
        <v>9</v>
      </c>
      <c r="F104">
        <v>-122</v>
      </c>
      <c r="G104">
        <v>1.5</v>
      </c>
      <c r="K104">
        <f>400+2*(Table2[[#This Row],[Column1]]-13)</f>
        <v>408</v>
      </c>
      <c r="L104">
        <f>MINUTE(Table2[[#This Row],[Time]])</f>
        <v>17</v>
      </c>
      <c r="M104" s="1">
        <v>0.67894954861111112</v>
      </c>
      <c r="N104" t="s">
        <v>9</v>
      </c>
      <c r="O104" t="s">
        <v>11</v>
      </c>
      <c r="P104">
        <f t="shared" si="7"/>
        <v>-122</v>
      </c>
      <c r="Q104">
        <v>1.8</v>
      </c>
    </row>
    <row r="105" spans="2:17" x14ac:dyDescent="0.25">
      <c r="B105">
        <f>400+2*(Table1[[#This Row],[Column1]]-42)</f>
        <v>408</v>
      </c>
      <c r="C105">
        <f>MINUTE(Table1[[#This Row],[Time]])</f>
        <v>46</v>
      </c>
      <c r="D105" s="1">
        <v>0.44911562499999996</v>
      </c>
      <c r="E105" t="s">
        <v>9</v>
      </c>
      <c r="F105">
        <v>-122</v>
      </c>
      <c r="G105">
        <v>1.5</v>
      </c>
      <c r="K105">
        <f>400+2*(Table2[[#This Row],[Column1]]-13)</f>
        <v>408</v>
      </c>
      <c r="L105">
        <f>MINUTE(Table2[[#This Row],[Time]])</f>
        <v>17</v>
      </c>
      <c r="M105" s="1">
        <v>0.67898194444444449</v>
      </c>
      <c r="N105" t="s">
        <v>27</v>
      </c>
      <c r="O105" t="str">
        <f>O104</f>
        <v>-122.0,</v>
      </c>
      <c r="P105">
        <f>P104-0.5</f>
        <v>-122.5</v>
      </c>
      <c r="Q105">
        <f>Q104-0.5</f>
        <v>1.3</v>
      </c>
    </row>
    <row r="106" spans="2:17" x14ac:dyDescent="0.25">
      <c r="B106">
        <f>400+2*(Table1[[#This Row],[Column1]]-42)</f>
        <v>408</v>
      </c>
      <c r="C106">
        <f>MINUTE(Table1[[#This Row],[Time]])</f>
        <v>46</v>
      </c>
      <c r="D106" s="1">
        <v>0.44914805555555554</v>
      </c>
      <c r="E106" t="s">
        <v>9</v>
      </c>
      <c r="F106">
        <v>-122</v>
      </c>
      <c r="G106">
        <v>1.8</v>
      </c>
      <c r="K106">
        <f>400+2*(Table2[[#This Row],[Column1]]-13)</f>
        <v>408</v>
      </c>
      <c r="L106">
        <f>MINUTE(Table2[[#This Row],[Time]])</f>
        <v>17</v>
      </c>
      <c r="M106" s="1">
        <v>0.67901434027777774</v>
      </c>
      <c r="N106" t="s">
        <v>9</v>
      </c>
      <c r="O106" t="s">
        <v>11</v>
      </c>
      <c r="P106">
        <f t="shared" si="7"/>
        <v>-122</v>
      </c>
      <c r="Q106">
        <v>1.3</v>
      </c>
    </row>
    <row r="107" spans="2:17" x14ac:dyDescent="0.25">
      <c r="B107">
        <f>400+2*(Table1[[#This Row],[Column1]]-42)</f>
        <v>408</v>
      </c>
      <c r="C107">
        <f>MINUTE(Table1[[#This Row],[Time]])</f>
        <v>46</v>
      </c>
      <c r="D107" s="1">
        <v>0.44918041666666669</v>
      </c>
      <c r="E107" t="s">
        <v>9</v>
      </c>
      <c r="F107">
        <v>-122</v>
      </c>
      <c r="G107">
        <v>1.5</v>
      </c>
      <c r="K107">
        <f>400+2*(Table2[[#This Row],[Column1]]-13)</f>
        <v>408</v>
      </c>
      <c r="L107">
        <f>MINUTE(Table2[[#This Row],[Time]])</f>
        <v>17</v>
      </c>
      <c r="M107" s="1">
        <v>0.6790467361111111</v>
      </c>
      <c r="N107" t="s">
        <v>9</v>
      </c>
      <c r="O107" t="s">
        <v>11</v>
      </c>
      <c r="P107">
        <f t="shared" si="7"/>
        <v>-122</v>
      </c>
      <c r="Q107">
        <v>1.8</v>
      </c>
    </row>
    <row r="108" spans="2:17" x14ac:dyDescent="0.25">
      <c r="B108">
        <f>400+2*(Table1[[#This Row],[Column1]]-42)</f>
        <v>408</v>
      </c>
      <c r="C108">
        <f>MINUTE(Table1[[#This Row],[Time]])</f>
        <v>46</v>
      </c>
      <c r="D108" s="1">
        <v>0.44921284722222221</v>
      </c>
      <c r="E108" t="s">
        <v>9</v>
      </c>
      <c r="F108">
        <v>-122</v>
      </c>
      <c r="G108">
        <v>1</v>
      </c>
      <c r="K108">
        <f>400+2*(Table2[[#This Row],[Column1]]-13)</f>
        <v>408</v>
      </c>
      <c r="L108">
        <f>MINUTE(Table2[[#This Row],[Time]])</f>
        <v>17</v>
      </c>
      <c r="M108" s="1">
        <v>0.67907913194444447</v>
      </c>
      <c r="N108" t="s">
        <v>9</v>
      </c>
      <c r="O108" t="s">
        <v>11</v>
      </c>
      <c r="P108">
        <f t="shared" si="7"/>
        <v>-122</v>
      </c>
      <c r="Q108">
        <v>1.5</v>
      </c>
    </row>
    <row r="109" spans="2:17" x14ac:dyDescent="0.25">
      <c r="B109">
        <f>400+2*(Table1[[#This Row],[Column1]]-42)</f>
        <v>408</v>
      </c>
      <c r="C109">
        <f>MINUTE(Table1[[#This Row],[Time]])</f>
        <v>46</v>
      </c>
      <c r="D109" s="1">
        <v>0.44924524305555552</v>
      </c>
      <c r="E109" t="s">
        <v>9</v>
      </c>
      <c r="F109">
        <v>-122</v>
      </c>
      <c r="G109">
        <v>1.5</v>
      </c>
      <c r="K109">
        <f>400+2*(Table2[[#This Row],[Column1]]-13)</f>
        <v>408</v>
      </c>
      <c r="L109">
        <f>MINUTE(Table2[[#This Row],[Time]])</f>
        <v>17</v>
      </c>
      <c r="M109" s="1">
        <v>0.67911152777777772</v>
      </c>
      <c r="N109" t="s">
        <v>9</v>
      </c>
      <c r="O109" t="s">
        <v>11</v>
      </c>
      <c r="P109">
        <f t="shared" si="7"/>
        <v>-122</v>
      </c>
      <c r="Q109">
        <v>1.5</v>
      </c>
    </row>
    <row r="110" spans="2:17" x14ac:dyDescent="0.25">
      <c r="B110">
        <f>400+2*(Table1[[#This Row],[Column1]]-42)</f>
        <v>408</v>
      </c>
      <c r="C110">
        <f>MINUTE(Table1[[#This Row],[Time]])</f>
        <v>46</v>
      </c>
      <c r="D110" s="1">
        <v>0.44927763888888894</v>
      </c>
      <c r="E110" t="s">
        <v>9</v>
      </c>
      <c r="F110">
        <v>-122</v>
      </c>
      <c r="G110">
        <v>1.8</v>
      </c>
      <c r="K110">
        <f>400+2*(Table2[[#This Row],[Column1]]-13)</f>
        <v>408</v>
      </c>
      <c r="L110">
        <f>MINUTE(Table2[[#This Row],[Time]])</f>
        <v>17</v>
      </c>
      <c r="M110" s="1">
        <v>0.6791439236111112</v>
      </c>
      <c r="N110" t="s">
        <v>9</v>
      </c>
      <c r="O110" t="s">
        <v>10</v>
      </c>
      <c r="P110">
        <f t="shared" si="7"/>
        <v>-121</v>
      </c>
      <c r="Q110">
        <v>1.3</v>
      </c>
    </row>
    <row r="111" spans="2:17" x14ac:dyDescent="0.25">
      <c r="B111">
        <f>400+2*(Table1[[#This Row],[Column1]]-42)</f>
        <v>410</v>
      </c>
      <c r="C111">
        <f>MINUTE(Table1[[#This Row],[Time]])</f>
        <v>47</v>
      </c>
      <c r="D111" s="1">
        <v>0.44931002314814811</v>
      </c>
      <c r="E111" t="s">
        <v>9</v>
      </c>
      <c r="F111">
        <v>-122</v>
      </c>
      <c r="G111">
        <v>1.3</v>
      </c>
      <c r="K111">
        <f>400+2*(Table2[[#This Row],[Column1]]-13)</f>
        <v>410</v>
      </c>
      <c r="L111">
        <f>MINUTE(Table2[[#This Row],[Time]])</f>
        <v>18</v>
      </c>
      <c r="M111" s="1">
        <v>0.67917631944444445</v>
      </c>
      <c r="N111" t="s">
        <v>9</v>
      </c>
      <c r="O111" t="s">
        <v>17</v>
      </c>
      <c r="P111">
        <f t="shared" si="7"/>
        <v>-117</v>
      </c>
      <c r="Q111">
        <v>1.5</v>
      </c>
    </row>
    <row r="112" spans="2:17" x14ac:dyDescent="0.25">
      <c r="B112">
        <f>400+2*(Table1[[#This Row],[Column1]]-42)</f>
        <v>410</v>
      </c>
      <c r="C112">
        <f>MINUTE(Table1[[#This Row],[Time]])</f>
        <v>47</v>
      </c>
      <c r="D112" s="1">
        <v>0.44934243055555556</v>
      </c>
      <c r="E112" t="s">
        <v>13</v>
      </c>
      <c r="F112">
        <f>F111-0.5</f>
        <v>-122.5</v>
      </c>
      <c r="G112">
        <f>G111-0.5</f>
        <v>0.8</v>
      </c>
      <c r="K112">
        <f>400+2*(Table2[[#This Row],[Column1]]-13)</f>
        <v>410</v>
      </c>
      <c r="L112">
        <f>MINUTE(Table2[[#This Row],[Time]])</f>
        <v>18</v>
      </c>
      <c r="M112" s="1">
        <v>0.67920871527777782</v>
      </c>
      <c r="N112" t="s">
        <v>13</v>
      </c>
      <c r="O112" t="str">
        <f>O111</f>
        <v>-117.0,</v>
      </c>
      <c r="P112">
        <f>P111-0.5</f>
        <v>-117.5</v>
      </c>
      <c r="Q112">
        <f>Q111-0.5</f>
        <v>1</v>
      </c>
    </row>
    <row r="113" spans="2:17" x14ac:dyDescent="0.25">
      <c r="B113">
        <f>400+2*(Table1[[#This Row],[Column1]]-42)</f>
        <v>410</v>
      </c>
      <c r="C113">
        <f>MINUTE(Table1[[#This Row],[Time]])</f>
        <v>47</v>
      </c>
      <c r="D113" s="1">
        <v>0.44937482638888887</v>
      </c>
      <c r="E113" t="s">
        <v>9</v>
      </c>
      <c r="F113">
        <v>-123</v>
      </c>
      <c r="G113">
        <v>-0.5</v>
      </c>
      <c r="K113">
        <f>400+2*(Table2[[#This Row],[Column1]]-13)</f>
        <v>410</v>
      </c>
      <c r="L113">
        <f>MINUTE(Table2[[#This Row],[Time]])</f>
        <v>18</v>
      </c>
      <c r="M113" s="1">
        <v>0.67924111111111107</v>
      </c>
      <c r="N113" t="s">
        <v>9</v>
      </c>
      <c r="O113" t="s">
        <v>12</v>
      </c>
      <c r="P113">
        <f t="shared" si="7"/>
        <v>-123</v>
      </c>
      <c r="Q113">
        <v>-0.8</v>
      </c>
    </row>
    <row r="114" spans="2:17" x14ac:dyDescent="0.25">
      <c r="B114">
        <f>400+2*(Table1[[#This Row],[Column1]]-42)</f>
        <v>410</v>
      </c>
      <c r="C114">
        <f>MINUTE(Table1[[#This Row],[Time]])</f>
        <v>47</v>
      </c>
      <c r="D114" s="1">
        <v>0.44940722222222224</v>
      </c>
      <c r="E114" t="s">
        <v>9</v>
      </c>
      <c r="F114">
        <v>-123</v>
      </c>
      <c r="G114">
        <v>-0.5</v>
      </c>
      <c r="K114">
        <f>400+2*(Table2[[#This Row],[Column1]]-13)</f>
        <v>410</v>
      </c>
      <c r="L114">
        <f>MINUTE(Table2[[#This Row],[Time]])</f>
        <v>18</v>
      </c>
      <c r="M114" s="1">
        <v>0.67927350694444444</v>
      </c>
      <c r="N114" t="s">
        <v>9</v>
      </c>
      <c r="O114" t="s">
        <v>19</v>
      </c>
      <c r="P114">
        <f t="shared" si="7"/>
        <v>-124</v>
      </c>
      <c r="Q114">
        <v>-1.5</v>
      </c>
    </row>
    <row r="115" spans="2:17" x14ac:dyDescent="0.25">
      <c r="B115">
        <f>400+2*(Table1[[#This Row],[Column1]]-42)</f>
        <v>410</v>
      </c>
      <c r="C115">
        <f>MINUTE(Table1[[#This Row],[Time]])</f>
        <v>47</v>
      </c>
      <c r="D115" s="1">
        <v>0.44943961805555555</v>
      </c>
      <c r="E115" t="s">
        <v>9</v>
      </c>
      <c r="F115">
        <v>-123</v>
      </c>
      <c r="G115">
        <v>-0.5</v>
      </c>
      <c r="K115">
        <f>400+2*(Table2[[#This Row],[Column1]]-13)</f>
        <v>410</v>
      </c>
      <c r="L115">
        <f>MINUTE(Table2[[#This Row],[Time]])</f>
        <v>18</v>
      </c>
      <c r="M115" s="1">
        <v>0.6793059027777778</v>
      </c>
      <c r="N115" t="s">
        <v>9</v>
      </c>
      <c r="O115" t="s">
        <v>19</v>
      </c>
      <c r="P115">
        <f t="shared" si="7"/>
        <v>-124</v>
      </c>
      <c r="Q115">
        <v>-1.3</v>
      </c>
    </row>
    <row r="116" spans="2:17" x14ac:dyDescent="0.25">
      <c r="B116">
        <f>400+2*(Table1[[#This Row],[Column1]]-42)</f>
        <v>410</v>
      </c>
      <c r="C116">
        <f>MINUTE(Table1[[#This Row],[Time]])</f>
        <v>47</v>
      </c>
      <c r="D116" s="1">
        <v>0.44947200231481482</v>
      </c>
      <c r="E116" t="s">
        <v>13</v>
      </c>
      <c r="F116">
        <f>F115-0.5</f>
        <v>-123.5</v>
      </c>
      <c r="G116">
        <f>G115-0.5</f>
        <v>-1</v>
      </c>
      <c r="K116">
        <f>400+2*(Table2[[#This Row],[Column1]]-13)</f>
        <v>410</v>
      </c>
      <c r="L116">
        <f>MINUTE(Table2[[#This Row],[Time]])</f>
        <v>18</v>
      </c>
      <c r="M116" s="1">
        <v>0.67933829861111106</v>
      </c>
      <c r="N116" t="s">
        <v>27</v>
      </c>
      <c r="O116" t="str">
        <f>O115</f>
        <v>-124.0,</v>
      </c>
      <c r="P116">
        <f>P115-0.5</f>
        <v>-124.5</v>
      </c>
      <c r="Q116">
        <f>Q115-0.5</f>
        <v>-1.8</v>
      </c>
    </row>
    <row r="117" spans="2:17" x14ac:dyDescent="0.25">
      <c r="B117">
        <f>400+2*(Table1[[#This Row],[Column1]]-42)</f>
        <v>410</v>
      </c>
      <c r="C117">
        <f>MINUTE(Table1[[#This Row],[Time]])</f>
        <v>47</v>
      </c>
      <c r="D117" s="1">
        <v>0.44950442129629631</v>
      </c>
      <c r="E117" t="s">
        <v>9</v>
      </c>
      <c r="F117">
        <v>-123</v>
      </c>
      <c r="G117">
        <v>1.5</v>
      </c>
      <c r="K117">
        <f>400+2*(Table2[[#This Row],[Column1]]-13)</f>
        <v>410</v>
      </c>
      <c r="L117">
        <f>MINUTE(Table2[[#This Row],[Time]])</f>
        <v>18</v>
      </c>
      <c r="M117" s="1">
        <v>0.67937069444444442</v>
      </c>
      <c r="N117" t="s">
        <v>9</v>
      </c>
      <c r="O117" t="s">
        <v>15</v>
      </c>
      <c r="P117">
        <f t="shared" si="7"/>
        <v>-120</v>
      </c>
      <c r="Q117">
        <v>0.5</v>
      </c>
    </row>
    <row r="118" spans="2:17" x14ac:dyDescent="0.25">
      <c r="B118">
        <f>400+2*(Table1[[#This Row],[Column1]]-42)</f>
        <v>410</v>
      </c>
      <c r="C118">
        <f>MINUTE(Table1[[#This Row],[Time]])</f>
        <v>47</v>
      </c>
      <c r="D118" s="1">
        <v>0.4495367939814815</v>
      </c>
      <c r="E118" t="s">
        <v>9</v>
      </c>
      <c r="F118">
        <v>-123</v>
      </c>
      <c r="G118">
        <v>1</v>
      </c>
      <c r="K118">
        <f>400+2*(Table2[[#This Row],[Column1]]-13)</f>
        <v>410</v>
      </c>
      <c r="L118">
        <f>MINUTE(Table2[[#This Row],[Time]])</f>
        <v>18</v>
      </c>
      <c r="M118" s="1">
        <v>0.67940309027777779</v>
      </c>
      <c r="N118" t="s">
        <v>9</v>
      </c>
      <c r="O118" t="s">
        <v>12</v>
      </c>
      <c r="P118">
        <f t="shared" si="7"/>
        <v>-123</v>
      </c>
      <c r="Q118">
        <v>0.3</v>
      </c>
    </row>
    <row r="119" spans="2:17" x14ac:dyDescent="0.25">
      <c r="B119">
        <f>400+2*(Table1[[#This Row],[Column1]]-42)</f>
        <v>410</v>
      </c>
      <c r="C119">
        <f>MINUTE(Table1[[#This Row],[Time]])</f>
        <v>47</v>
      </c>
      <c r="D119" s="1">
        <v>0.44956920138888889</v>
      </c>
      <c r="E119" t="s">
        <v>9</v>
      </c>
      <c r="F119">
        <v>-119</v>
      </c>
      <c r="G119">
        <v>0.5</v>
      </c>
      <c r="K119">
        <f>400+2*(Table2[[#This Row],[Column1]]-13)</f>
        <v>410</v>
      </c>
      <c r="L119">
        <f>MINUTE(Table2[[#This Row],[Time]])</f>
        <v>18</v>
      </c>
      <c r="M119" s="1">
        <v>0.67943548611111115</v>
      </c>
      <c r="N119" t="s">
        <v>9</v>
      </c>
      <c r="O119" t="s">
        <v>11</v>
      </c>
      <c r="P119">
        <f t="shared" si="7"/>
        <v>-122</v>
      </c>
      <c r="Q119">
        <v>0.8</v>
      </c>
    </row>
    <row r="120" spans="2:17" x14ac:dyDescent="0.25">
      <c r="B120">
        <f>400+2*(Table1[[#This Row],[Column1]]-42)</f>
        <v>410</v>
      </c>
      <c r="C120">
        <f>MINUTE(Table1[[#This Row],[Time]])</f>
        <v>47</v>
      </c>
      <c r="D120" s="1">
        <v>0.44960158564814812</v>
      </c>
      <c r="E120" t="s">
        <v>9</v>
      </c>
      <c r="F120">
        <v>-123</v>
      </c>
      <c r="G120">
        <v>0.5</v>
      </c>
      <c r="K120">
        <f>400+2*(Table2[[#This Row],[Column1]]-13)</f>
        <v>410</v>
      </c>
      <c r="L120">
        <f>MINUTE(Table2[[#This Row],[Time]])</f>
        <v>18</v>
      </c>
      <c r="M120" s="1">
        <v>0.67946788194444441</v>
      </c>
      <c r="N120" t="s">
        <v>9</v>
      </c>
      <c r="O120" t="s">
        <v>12</v>
      </c>
      <c r="P120">
        <f t="shared" si="7"/>
        <v>-123</v>
      </c>
      <c r="Q120">
        <v>0.5</v>
      </c>
    </row>
    <row r="121" spans="2:17" x14ac:dyDescent="0.25">
      <c r="B121">
        <f>400+2*(Table1[[#This Row],[Column1]]-42)</f>
        <v>410</v>
      </c>
      <c r="C121">
        <f>MINUTE(Table1[[#This Row],[Time]])</f>
        <v>47</v>
      </c>
      <c r="D121" s="1">
        <v>0.44963399305555557</v>
      </c>
      <c r="E121" t="s">
        <v>27</v>
      </c>
      <c r="F121">
        <f>F120-0.5</f>
        <v>-123.5</v>
      </c>
      <c r="G121">
        <f>G120-0.5</f>
        <v>0</v>
      </c>
      <c r="K121">
        <f>400+2*(Table2[[#This Row],[Column1]]-13)</f>
        <v>410</v>
      </c>
      <c r="L121">
        <f>MINUTE(Table2[[#This Row],[Time]])</f>
        <v>18</v>
      </c>
      <c r="M121" s="1">
        <v>0.67950027777777777</v>
      </c>
      <c r="N121" t="s">
        <v>9</v>
      </c>
      <c r="O121" t="s">
        <v>12</v>
      </c>
      <c r="P121">
        <f t="shared" si="7"/>
        <v>-123</v>
      </c>
      <c r="Q121">
        <v>0.3</v>
      </c>
    </row>
    <row r="122" spans="2:17" x14ac:dyDescent="0.25">
      <c r="B122">
        <f>400+2*(Table1[[#This Row],[Column1]]-42)</f>
        <v>410</v>
      </c>
      <c r="C122">
        <f>MINUTE(Table1[[#This Row],[Time]])</f>
        <v>47</v>
      </c>
      <c r="D122" s="1">
        <v>0.44966638888888888</v>
      </c>
      <c r="E122" t="s">
        <v>9</v>
      </c>
      <c r="F122">
        <v>-123</v>
      </c>
      <c r="G122">
        <v>0.3</v>
      </c>
      <c r="K122">
        <f>400+2*(Table2[[#This Row],[Column1]]-13)</f>
        <v>410</v>
      </c>
      <c r="L122">
        <f>MINUTE(Table2[[#This Row],[Time]])</f>
        <v>18</v>
      </c>
      <c r="M122" s="1">
        <v>0.67953266203703711</v>
      </c>
      <c r="N122" t="s">
        <v>9</v>
      </c>
      <c r="O122" t="s">
        <v>16</v>
      </c>
      <c r="P122">
        <f t="shared" si="7"/>
        <v>-119</v>
      </c>
      <c r="Q122">
        <v>-0.3</v>
      </c>
    </row>
    <row r="123" spans="2:17" x14ac:dyDescent="0.25">
      <c r="B123">
        <f>400+2*(Table1[[#This Row],[Column1]]-42)</f>
        <v>410</v>
      </c>
      <c r="C123">
        <f>MINUTE(Table1[[#This Row],[Time]])</f>
        <v>47</v>
      </c>
      <c r="D123" s="1">
        <v>0.44969878472222219</v>
      </c>
      <c r="E123" t="s">
        <v>9</v>
      </c>
      <c r="F123">
        <v>-123</v>
      </c>
      <c r="G123">
        <v>0.8</v>
      </c>
      <c r="K123">
        <f>400+2*(Table2[[#This Row],[Column1]]-13)</f>
        <v>410</v>
      </c>
      <c r="L123">
        <f>MINUTE(Table2[[#This Row],[Time]])</f>
        <v>18</v>
      </c>
      <c r="M123" s="1">
        <v>0.67956506944444439</v>
      </c>
      <c r="N123" t="s">
        <v>9</v>
      </c>
      <c r="O123" t="s">
        <v>12</v>
      </c>
      <c r="P123">
        <f t="shared" si="7"/>
        <v>-123</v>
      </c>
      <c r="Q123">
        <v>0.5</v>
      </c>
    </row>
    <row r="124" spans="2:17" x14ac:dyDescent="0.25">
      <c r="B124">
        <f>400+2*(Table1[[#This Row],[Column1]]-42)</f>
        <v>410</v>
      </c>
      <c r="C124">
        <f>MINUTE(Table1[[#This Row],[Time]])</f>
        <v>47</v>
      </c>
      <c r="D124" s="1">
        <v>0.44973118055555555</v>
      </c>
      <c r="E124" t="s">
        <v>27</v>
      </c>
      <c r="F124">
        <f>F123-0.5</f>
        <v>-123.5</v>
      </c>
      <c r="G124">
        <f>G123-0.5</f>
        <v>0.30000000000000004</v>
      </c>
      <c r="K124">
        <f>400+2*(Table2[[#This Row],[Column1]]-13)</f>
        <v>410</v>
      </c>
      <c r="L124">
        <f>MINUTE(Table2[[#This Row],[Time]])</f>
        <v>18</v>
      </c>
      <c r="M124" s="1">
        <v>0.67959746527777776</v>
      </c>
      <c r="N124" t="s">
        <v>9</v>
      </c>
      <c r="O124" t="s">
        <v>12</v>
      </c>
      <c r="P124">
        <f t="shared" si="7"/>
        <v>-123</v>
      </c>
      <c r="Q124">
        <v>0.5</v>
      </c>
    </row>
    <row r="125" spans="2:17" x14ac:dyDescent="0.25">
      <c r="B125">
        <f>400+2*(Table1[[#This Row],[Column1]]-42)</f>
        <v>410</v>
      </c>
      <c r="C125">
        <f>MINUTE(Table1[[#This Row],[Time]])</f>
        <v>47</v>
      </c>
      <c r="D125" s="1">
        <v>0.44976357638888886</v>
      </c>
      <c r="E125" t="s">
        <v>9</v>
      </c>
      <c r="F125">
        <v>-123</v>
      </c>
      <c r="G125">
        <v>0.5</v>
      </c>
      <c r="K125">
        <f>400+2*(Table2[[#This Row],[Column1]]-13)</f>
        <v>410</v>
      </c>
      <c r="L125">
        <f>MINUTE(Table2[[#This Row],[Time]])</f>
        <v>18</v>
      </c>
      <c r="M125" s="1">
        <v>0.67962986111111112</v>
      </c>
      <c r="N125" t="s">
        <v>9</v>
      </c>
      <c r="O125" t="s">
        <v>12</v>
      </c>
      <c r="P125">
        <f t="shared" si="7"/>
        <v>-123</v>
      </c>
      <c r="Q125">
        <v>0.5</v>
      </c>
    </row>
    <row r="126" spans="2:17" x14ac:dyDescent="0.25">
      <c r="B126">
        <f>400+2*(Table1[[#This Row],[Column1]]-42)</f>
        <v>410</v>
      </c>
      <c r="C126">
        <f>MINUTE(Table1[[#This Row],[Time]])</f>
        <v>47</v>
      </c>
      <c r="D126" s="1">
        <v>0.44979597222222228</v>
      </c>
      <c r="E126" t="s">
        <v>9</v>
      </c>
      <c r="F126">
        <v>-123</v>
      </c>
      <c r="G126">
        <v>0.5</v>
      </c>
      <c r="K126">
        <f>400+2*(Table2[[#This Row],[Column1]]-13)</f>
        <v>410</v>
      </c>
      <c r="L126">
        <f>MINUTE(Table2[[#This Row],[Time]])</f>
        <v>18</v>
      </c>
      <c r="M126" s="1">
        <v>0.67966225694444449</v>
      </c>
      <c r="N126" t="s">
        <v>9</v>
      </c>
      <c r="O126" t="s">
        <v>12</v>
      </c>
      <c r="P126">
        <f t="shared" si="7"/>
        <v>-123</v>
      </c>
      <c r="Q126">
        <v>0.5</v>
      </c>
    </row>
    <row r="127" spans="2:17" x14ac:dyDescent="0.25">
      <c r="B127">
        <f>400+2*(Table1[[#This Row],[Column1]]-42)</f>
        <v>410</v>
      </c>
      <c r="C127">
        <f>MINUTE(Table1[[#This Row],[Time]])</f>
        <v>47</v>
      </c>
      <c r="D127" s="1">
        <v>0.44982836805555559</v>
      </c>
      <c r="E127" t="s">
        <v>9</v>
      </c>
      <c r="F127">
        <v>-123</v>
      </c>
      <c r="G127">
        <v>0.8</v>
      </c>
      <c r="K127">
        <f>400+2*(Table2[[#This Row],[Column1]]-13)</f>
        <v>410</v>
      </c>
      <c r="L127">
        <f>MINUTE(Table2[[#This Row],[Time]])</f>
        <v>18</v>
      </c>
      <c r="M127" s="1">
        <v>0.67969465277777785</v>
      </c>
      <c r="N127" t="s">
        <v>9</v>
      </c>
      <c r="O127" t="s">
        <v>12</v>
      </c>
      <c r="P127">
        <f t="shared" si="7"/>
        <v>-123</v>
      </c>
      <c r="Q127">
        <v>0.5</v>
      </c>
    </row>
    <row r="128" spans="2:17" x14ac:dyDescent="0.25">
      <c r="B128">
        <f>400+2*(Table1[[#This Row],[Column1]]-42)</f>
        <v>410</v>
      </c>
      <c r="C128">
        <f>MINUTE(Table1[[#This Row],[Time]])</f>
        <v>47</v>
      </c>
      <c r="D128" s="1">
        <v>0.4498607638888889</v>
      </c>
      <c r="E128" t="s">
        <v>9</v>
      </c>
      <c r="F128">
        <v>-123</v>
      </c>
      <c r="G128">
        <v>1.3</v>
      </c>
      <c r="K128">
        <f>400+2*(Table2[[#This Row],[Column1]]-13)</f>
        <v>410</v>
      </c>
      <c r="L128">
        <f>MINUTE(Table2[[#This Row],[Time]])</f>
        <v>18</v>
      </c>
      <c r="M128" s="1">
        <v>0.67972704861111111</v>
      </c>
      <c r="N128" t="s">
        <v>9</v>
      </c>
      <c r="O128" t="s">
        <v>12</v>
      </c>
      <c r="P128">
        <f t="shared" si="7"/>
        <v>-123</v>
      </c>
      <c r="Q128">
        <v>0.8</v>
      </c>
    </row>
    <row r="129" spans="2:17" x14ac:dyDescent="0.25">
      <c r="B129">
        <f>400+2*(Table1[[#This Row],[Column1]]-42)</f>
        <v>410</v>
      </c>
      <c r="C129">
        <f>MINUTE(Table1[[#This Row],[Time]])</f>
        <v>47</v>
      </c>
      <c r="D129" s="1">
        <v>0.44989315972222221</v>
      </c>
      <c r="E129" t="s">
        <v>9</v>
      </c>
      <c r="F129">
        <v>-122</v>
      </c>
      <c r="G129">
        <v>1</v>
      </c>
      <c r="K129">
        <f>400+2*(Table2[[#This Row],[Column1]]-13)</f>
        <v>410</v>
      </c>
      <c r="L129">
        <f>MINUTE(Table2[[#This Row],[Time]])</f>
        <v>18</v>
      </c>
      <c r="M129" s="1">
        <v>0.67975944444444447</v>
      </c>
      <c r="N129" t="s">
        <v>9</v>
      </c>
      <c r="O129" t="s">
        <v>12</v>
      </c>
      <c r="P129">
        <f t="shared" si="7"/>
        <v>-123</v>
      </c>
      <c r="Q129">
        <v>0.8</v>
      </c>
    </row>
    <row r="130" spans="2:17" x14ac:dyDescent="0.25">
      <c r="B130">
        <f>400+2*(Table1[[#This Row],[Column1]]-42)</f>
        <v>410</v>
      </c>
      <c r="C130">
        <f>MINUTE(Table1[[#This Row],[Time]])</f>
        <v>47</v>
      </c>
      <c r="D130" s="1">
        <v>0.44992555555555552</v>
      </c>
      <c r="E130" t="s">
        <v>9</v>
      </c>
      <c r="F130">
        <v>-123</v>
      </c>
      <c r="G130">
        <v>0.5</v>
      </c>
      <c r="K130">
        <f>400+2*(Table2[[#This Row],[Column1]]-13)</f>
        <v>410</v>
      </c>
      <c r="L130">
        <f>MINUTE(Table2[[#This Row],[Time]])</f>
        <v>18</v>
      </c>
      <c r="M130" s="1">
        <v>0.67979184027777773</v>
      </c>
      <c r="N130" t="s">
        <v>9</v>
      </c>
      <c r="O130" t="s">
        <v>12</v>
      </c>
      <c r="P130">
        <f t="shared" si="7"/>
        <v>-123</v>
      </c>
      <c r="Q130">
        <v>0.8</v>
      </c>
    </row>
    <row r="131" spans="2:17" x14ac:dyDescent="0.25">
      <c r="B131">
        <f>400+2*(Table1[[#This Row],[Column1]]-42)</f>
        <v>410</v>
      </c>
      <c r="C131">
        <f>MINUTE(Table1[[#This Row],[Time]])</f>
        <v>47</v>
      </c>
      <c r="D131" s="1">
        <v>0.44995795138888889</v>
      </c>
      <c r="E131" t="s">
        <v>9</v>
      </c>
      <c r="F131">
        <v>-122</v>
      </c>
      <c r="G131">
        <v>0.5</v>
      </c>
      <c r="K131">
        <f>400+2*(Table2[[#This Row],[Column1]]-13)</f>
        <v>410</v>
      </c>
      <c r="L131">
        <f>MINUTE(Table2[[#This Row],[Time]])</f>
        <v>18</v>
      </c>
      <c r="M131" s="1">
        <v>0.67982423611111109</v>
      </c>
      <c r="N131" t="s">
        <v>9</v>
      </c>
      <c r="O131" t="s">
        <v>12</v>
      </c>
      <c r="P131">
        <f t="shared" si="7"/>
        <v>-123</v>
      </c>
      <c r="Q131">
        <v>0.8</v>
      </c>
    </row>
    <row r="132" spans="2:17" x14ac:dyDescent="0.25">
      <c r="B132">
        <f>400+2*(Table1[[#This Row],[Column1]]-42)</f>
        <v>410</v>
      </c>
      <c r="C132">
        <f>MINUTE(Table1[[#This Row],[Time]])</f>
        <v>47</v>
      </c>
      <c r="D132" s="1">
        <v>0.4499903472222222</v>
      </c>
      <c r="E132" t="s">
        <v>9</v>
      </c>
      <c r="F132">
        <v>-123</v>
      </c>
      <c r="G132">
        <v>0.8</v>
      </c>
      <c r="K132">
        <f>400+2*(Table2[[#This Row],[Column1]]-13)</f>
        <v>412</v>
      </c>
      <c r="L132">
        <f>MINUTE(Table2[[#This Row],[Time]])</f>
        <v>19</v>
      </c>
      <c r="M132" s="1">
        <v>0.67985663194444446</v>
      </c>
      <c r="N132" t="s">
        <v>9</v>
      </c>
      <c r="O132" t="s">
        <v>12</v>
      </c>
      <c r="P132">
        <f t="shared" ref="P132:P195" si="13">VALUE(LEFT(O132,LEN(O132)-1))</f>
        <v>-123</v>
      </c>
      <c r="Q132">
        <v>0.5</v>
      </c>
    </row>
    <row r="133" spans="2:17" x14ac:dyDescent="0.25">
      <c r="B133">
        <f>400+2*(Table1[[#This Row],[Column1]]-42)</f>
        <v>412</v>
      </c>
      <c r="C133">
        <f>MINUTE(Table1[[#This Row],[Time]])</f>
        <v>48</v>
      </c>
      <c r="D133" s="1">
        <v>0.45002274305555551</v>
      </c>
      <c r="E133" t="s">
        <v>27</v>
      </c>
      <c r="F133">
        <f>F132-0.5</f>
        <v>-123.5</v>
      </c>
      <c r="G133">
        <f>G132-0.5</f>
        <v>0.30000000000000004</v>
      </c>
      <c r="K133">
        <f>400+2*(Table2[[#This Row],[Column1]]-13)</f>
        <v>412</v>
      </c>
      <c r="L133">
        <f>MINUTE(Table2[[#This Row],[Time]])</f>
        <v>19</v>
      </c>
      <c r="M133" s="1">
        <v>0.67988902777777771</v>
      </c>
      <c r="N133" t="s">
        <v>9</v>
      </c>
      <c r="O133" t="s">
        <v>12</v>
      </c>
      <c r="P133">
        <f t="shared" si="13"/>
        <v>-123</v>
      </c>
      <c r="Q133">
        <v>0.8</v>
      </c>
    </row>
    <row r="134" spans="2:17" x14ac:dyDescent="0.25">
      <c r="B134">
        <f>400+2*(Table1[[#This Row],[Column1]]-42)</f>
        <v>412</v>
      </c>
      <c r="C134">
        <f>MINUTE(Table1[[#This Row],[Time]])</f>
        <v>48</v>
      </c>
      <c r="D134" s="1">
        <v>0.45005513888888893</v>
      </c>
      <c r="E134" t="s">
        <v>9</v>
      </c>
      <c r="F134">
        <v>-124</v>
      </c>
      <c r="G134">
        <v>-1.3</v>
      </c>
      <c r="K134">
        <f>400+2*(Table2[[#This Row],[Column1]]-13)</f>
        <v>412</v>
      </c>
      <c r="L134">
        <f>MINUTE(Table2[[#This Row],[Time]])</f>
        <v>19</v>
      </c>
      <c r="M134" s="1">
        <v>0.67992142361111119</v>
      </c>
      <c r="N134" t="s">
        <v>9</v>
      </c>
      <c r="O134" t="s">
        <v>19</v>
      </c>
      <c r="P134">
        <f t="shared" si="13"/>
        <v>-124</v>
      </c>
      <c r="Q134">
        <v>-1.5</v>
      </c>
    </row>
    <row r="135" spans="2:17" x14ac:dyDescent="0.25">
      <c r="B135">
        <f>400+2*(Table1[[#This Row],[Column1]]-42)</f>
        <v>412</v>
      </c>
      <c r="C135">
        <f>MINUTE(Table1[[#This Row],[Time]])</f>
        <v>48</v>
      </c>
      <c r="D135" s="1">
        <v>0.45008753472222224</v>
      </c>
      <c r="E135" t="s">
        <v>27</v>
      </c>
      <c r="F135">
        <f>F134-0.5</f>
        <v>-124.5</v>
      </c>
      <c r="G135">
        <f>G134-0.5</f>
        <v>-1.8</v>
      </c>
      <c r="K135">
        <f>400+2*(Table2[[#This Row],[Column1]]-13)</f>
        <v>412</v>
      </c>
      <c r="L135">
        <f>MINUTE(Table2[[#This Row],[Time]])</f>
        <v>19</v>
      </c>
      <c r="M135" s="1">
        <v>0.67995381944444444</v>
      </c>
      <c r="N135" t="s">
        <v>9</v>
      </c>
      <c r="O135" t="s">
        <v>19</v>
      </c>
      <c r="P135">
        <f t="shared" si="13"/>
        <v>-124</v>
      </c>
      <c r="Q135">
        <v>-1.8</v>
      </c>
    </row>
    <row r="136" spans="2:17" x14ac:dyDescent="0.25">
      <c r="B136">
        <f>400+2*(Table1[[#This Row],[Column1]]-42)</f>
        <v>412</v>
      </c>
      <c r="C136">
        <f>MINUTE(Table1[[#This Row],[Time]])</f>
        <v>48</v>
      </c>
      <c r="D136" s="1">
        <v>0.45011993055555555</v>
      </c>
      <c r="E136" t="s">
        <v>9</v>
      </c>
      <c r="F136">
        <v>-124</v>
      </c>
      <c r="G136">
        <v>-1.5</v>
      </c>
      <c r="K136">
        <f>400+2*(Table2[[#This Row],[Column1]]-13)</f>
        <v>412</v>
      </c>
      <c r="L136">
        <f>MINUTE(Table2[[#This Row],[Time]])</f>
        <v>19</v>
      </c>
      <c r="M136" s="1">
        <v>0.67998621527777781</v>
      </c>
      <c r="N136" t="s">
        <v>9</v>
      </c>
      <c r="O136" t="s">
        <v>19</v>
      </c>
      <c r="P136">
        <f t="shared" si="13"/>
        <v>-124</v>
      </c>
      <c r="Q136">
        <v>-1.8</v>
      </c>
    </row>
    <row r="137" spans="2:17" x14ac:dyDescent="0.25">
      <c r="B137">
        <f>400+2*(Table1[[#This Row],[Column1]]-42)</f>
        <v>412</v>
      </c>
      <c r="C137">
        <f>MINUTE(Table1[[#This Row],[Time]])</f>
        <v>48</v>
      </c>
      <c r="D137" s="1">
        <v>0.45015232638888891</v>
      </c>
      <c r="E137" t="s">
        <v>13</v>
      </c>
      <c r="F137">
        <f>F136-0.5</f>
        <v>-124.5</v>
      </c>
      <c r="G137">
        <f>G136-0.5</f>
        <v>-2</v>
      </c>
      <c r="K137">
        <f>400+2*(Table2[[#This Row],[Column1]]-13)</f>
        <v>412</v>
      </c>
      <c r="L137">
        <f>MINUTE(Table2[[#This Row],[Time]])</f>
        <v>19</v>
      </c>
      <c r="M137" s="1">
        <v>0.68001861111111106</v>
      </c>
      <c r="N137" t="s">
        <v>13</v>
      </c>
      <c r="O137" t="str">
        <f>O136</f>
        <v>-124.0,</v>
      </c>
      <c r="P137">
        <f>P136-0.5</f>
        <v>-124.5</v>
      </c>
      <c r="Q137">
        <f>Q136-0.5</f>
        <v>-2.2999999999999998</v>
      </c>
    </row>
    <row r="138" spans="2:17" x14ac:dyDescent="0.25">
      <c r="B138">
        <f>400+2*(Table1[[#This Row],[Column1]]-42)</f>
        <v>412</v>
      </c>
      <c r="C138">
        <f>MINUTE(Table1[[#This Row],[Time]])</f>
        <v>48</v>
      </c>
      <c r="D138" s="1">
        <v>0.45018471064814819</v>
      </c>
      <c r="E138" t="s">
        <v>9</v>
      </c>
      <c r="F138">
        <v>-123</v>
      </c>
      <c r="G138">
        <v>1.5</v>
      </c>
      <c r="K138">
        <f>400+2*(Table2[[#This Row],[Column1]]-13)</f>
        <v>412</v>
      </c>
      <c r="L138">
        <f>MINUTE(Table2[[#This Row],[Time]])</f>
        <v>19</v>
      </c>
      <c r="M138" s="1">
        <v>0.68005100694444442</v>
      </c>
      <c r="N138" t="s">
        <v>9</v>
      </c>
      <c r="O138" t="s">
        <v>12</v>
      </c>
      <c r="P138">
        <f t="shared" si="13"/>
        <v>-123</v>
      </c>
      <c r="Q138">
        <v>0.5</v>
      </c>
    </row>
    <row r="139" spans="2:17" x14ac:dyDescent="0.25">
      <c r="B139">
        <f>400+2*(Table1[[#This Row],[Column1]]-42)</f>
        <v>412</v>
      </c>
      <c r="C139">
        <f>MINUTE(Table1[[#This Row],[Time]])</f>
        <v>48</v>
      </c>
      <c r="D139" s="1">
        <v>0.45021711805555553</v>
      </c>
      <c r="E139" t="s">
        <v>9</v>
      </c>
      <c r="F139">
        <v>-123</v>
      </c>
      <c r="G139">
        <v>0.8</v>
      </c>
      <c r="K139">
        <f>400+2*(Table2[[#This Row],[Column1]]-13)</f>
        <v>412</v>
      </c>
      <c r="L139">
        <f>MINUTE(Table2[[#This Row],[Time]])</f>
        <v>19</v>
      </c>
      <c r="M139" s="1">
        <v>0.68008340277777779</v>
      </c>
      <c r="N139" t="s">
        <v>9</v>
      </c>
      <c r="O139" t="s">
        <v>12</v>
      </c>
      <c r="P139">
        <f t="shared" si="13"/>
        <v>-123</v>
      </c>
      <c r="Q139">
        <v>0.5</v>
      </c>
    </row>
    <row r="140" spans="2:17" x14ac:dyDescent="0.25">
      <c r="B140">
        <f>400+2*(Table1[[#This Row],[Column1]]-42)</f>
        <v>412</v>
      </c>
      <c r="C140">
        <f>MINUTE(Table1[[#This Row],[Time]])</f>
        <v>48</v>
      </c>
      <c r="D140" s="1">
        <v>0.45024951388888884</v>
      </c>
      <c r="E140" t="s">
        <v>9</v>
      </c>
      <c r="F140">
        <v>-123</v>
      </c>
      <c r="G140">
        <v>0.8</v>
      </c>
      <c r="K140">
        <f>400+2*(Table2[[#This Row],[Column1]]-13)</f>
        <v>412</v>
      </c>
      <c r="L140">
        <f>MINUTE(Table2[[#This Row],[Time]])</f>
        <v>19</v>
      </c>
      <c r="M140" s="1">
        <v>0.68011579861111104</v>
      </c>
      <c r="N140" t="s">
        <v>9</v>
      </c>
      <c r="O140" t="s">
        <v>12</v>
      </c>
      <c r="P140">
        <f t="shared" si="13"/>
        <v>-123</v>
      </c>
      <c r="Q140">
        <v>0.5</v>
      </c>
    </row>
    <row r="141" spans="2:17" x14ac:dyDescent="0.25">
      <c r="B141">
        <f>400+2*(Table1[[#This Row],[Column1]]-42)</f>
        <v>412</v>
      </c>
      <c r="C141">
        <f>MINUTE(Table1[[#This Row],[Time]])</f>
        <v>48</v>
      </c>
      <c r="D141" s="1">
        <v>0.45028190972222226</v>
      </c>
      <c r="E141" t="s">
        <v>9</v>
      </c>
      <c r="F141">
        <v>-123</v>
      </c>
      <c r="G141">
        <v>0.5</v>
      </c>
      <c r="K141">
        <f>400+2*(Table2[[#This Row],[Column1]]-13)</f>
        <v>412</v>
      </c>
      <c r="L141">
        <f>MINUTE(Table2[[#This Row],[Time]])</f>
        <v>19</v>
      </c>
      <c r="M141" s="1">
        <v>0.68014819444444441</v>
      </c>
      <c r="N141" t="s">
        <v>9</v>
      </c>
      <c r="O141" t="s">
        <v>12</v>
      </c>
      <c r="P141">
        <f t="shared" si="13"/>
        <v>-123</v>
      </c>
      <c r="Q141">
        <v>0.8</v>
      </c>
    </row>
    <row r="142" spans="2:17" x14ac:dyDescent="0.25">
      <c r="B142">
        <f>400+2*(Table1[[#This Row],[Column1]]-42)</f>
        <v>412</v>
      </c>
      <c r="C142">
        <f>MINUTE(Table1[[#This Row],[Time]])</f>
        <v>48</v>
      </c>
      <c r="D142" s="1">
        <v>0.45031430555555557</v>
      </c>
      <c r="E142" t="s">
        <v>27</v>
      </c>
      <c r="F142">
        <f>F141-0.5</f>
        <v>-123.5</v>
      </c>
      <c r="G142">
        <f>G141-0.5</f>
        <v>0</v>
      </c>
      <c r="K142">
        <f>400+2*(Table2[[#This Row],[Column1]]-13)</f>
        <v>412</v>
      </c>
      <c r="L142">
        <f>MINUTE(Table2[[#This Row],[Time]])</f>
        <v>19</v>
      </c>
      <c r="M142" s="1">
        <v>0.68018059027777777</v>
      </c>
      <c r="N142" t="s">
        <v>9</v>
      </c>
      <c r="O142" t="s">
        <v>12</v>
      </c>
      <c r="P142">
        <f t="shared" si="13"/>
        <v>-123</v>
      </c>
      <c r="Q142">
        <v>0.3</v>
      </c>
    </row>
    <row r="143" spans="2:17" x14ac:dyDescent="0.25">
      <c r="B143">
        <f>400+2*(Table1[[#This Row],[Column1]]-42)</f>
        <v>412</v>
      </c>
      <c r="C143">
        <f>MINUTE(Table1[[#This Row],[Time]])</f>
        <v>48</v>
      </c>
      <c r="D143" s="1">
        <v>0.45034670138888888</v>
      </c>
      <c r="E143" t="s">
        <v>9</v>
      </c>
      <c r="F143">
        <v>-123</v>
      </c>
      <c r="G143">
        <v>0.8</v>
      </c>
      <c r="K143">
        <f>400+2*(Table2[[#This Row],[Column1]]-13)</f>
        <v>412</v>
      </c>
      <c r="L143">
        <f>MINUTE(Table2[[#This Row],[Time]])</f>
        <v>19</v>
      </c>
      <c r="M143" s="1">
        <v>0.68021298611111114</v>
      </c>
      <c r="N143" t="s">
        <v>9</v>
      </c>
      <c r="O143" t="s">
        <v>12</v>
      </c>
      <c r="P143">
        <f t="shared" si="13"/>
        <v>-123</v>
      </c>
      <c r="Q143">
        <v>0.8</v>
      </c>
    </row>
    <row r="144" spans="2:17" x14ac:dyDescent="0.25">
      <c r="B144">
        <f>400+2*(Table1[[#This Row],[Column1]]-42)</f>
        <v>412</v>
      </c>
      <c r="C144">
        <f>MINUTE(Table1[[#This Row],[Time]])</f>
        <v>48</v>
      </c>
      <c r="D144" s="1">
        <v>0.45037909722222225</v>
      </c>
      <c r="E144" t="s">
        <v>9</v>
      </c>
      <c r="F144">
        <v>-123</v>
      </c>
      <c r="G144">
        <v>0.5</v>
      </c>
      <c r="K144">
        <f>400+2*(Table2[[#This Row],[Column1]]-13)</f>
        <v>412</v>
      </c>
      <c r="L144">
        <f>MINUTE(Table2[[#This Row],[Time]])</f>
        <v>19</v>
      </c>
      <c r="M144" s="1">
        <v>0.6802453819444445</v>
      </c>
      <c r="N144" t="s">
        <v>9</v>
      </c>
      <c r="O144" t="s">
        <v>12</v>
      </c>
      <c r="P144">
        <f t="shared" si="13"/>
        <v>-123</v>
      </c>
      <c r="Q144">
        <v>0.8</v>
      </c>
    </row>
    <row r="145" spans="2:17" x14ac:dyDescent="0.25">
      <c r="B145">
        <f>400+2*(Table1[[#This Row],[Column1]]-42)</f>
        <v>412</v>
      </c>
      <c r="C145">
        <f>MINUTE(Table1[[#This Row],[Time]])</f>
        <v>48</v>
      </c>
      <c r="D145" s="1">
        <v>0.45041149305555556</v>
      </c>
      <c r="E145" t="s">
        <v>9</v>
      </c>
      <c r="F145">
        <v>-123</v>
      </c>
      <c r="G145">
        <v>0.8</v>
      </c>
      <c r="K145">
        <f>400+2*(Table2[[#This Row],[Column1]]-13)</f>
        <v>412</v>
      </c>
      <c r="L145">
        <f>MINUTE(Table2[[#This Row],[Time]])</f>
        <v>19</v>
      </c>
      <c r="M145" s="1">
        <v>0.68027777777777776</v>
      </c>
      <c r="N145" t="s">
        <v>9</v>
      </c>
      <c r="O145" t="s">
        <v>12</v>
      </c>
      <c r="P145">
        <f t="shared" si="13"/>
        <v>-123</v>
      </c>
      <c r="Q145">
        <v>1</v>
      </c>
    </row>
    <row r="146" spans="2:17" x14ac:dyDescent="0.25">
      <c r="B146">
        <f>400+2*(Table1[[#This Row],[Column1]]-42)</f>
        <v>412</v>
      </c>
      <c r="C146">
        <f>MINUTE(Table1[[#This Row],[Time]])</f>
        <v>48</v>
      </c>
      <c r="D146" s="1">
        <v>0.45044388888888887</v>
      </c>
      <c r="E146" t="s">
        <v>27</v>
      </c>
      <c r="F146">
        <f>F145-0.5</f>
        <v>-123.5</v>
      </c>
      <c r="G146">
        <f>G145-0.5</f>
        <v>0.30000000000000004</v>
      </c>
      <c r="K146">
        <f>400+2*(Table2[[#This Row],[Column1]]-13)</f>
        <v>412</v>
      </c>
      <c r="L146">
        <f>MINUTE(Table2[[#This Row],[Time]])</f>
        <v>19</v>
      </c>
      <c r="M146" s="1">
        <v>0.68031017361111112</v>
      </c>
      <c r="N146" t="s">
        <v>9</v>
      </c>
      <c r="O146" t="s">
        <v>11</v>
      </c>
      <c r="P146">
        <f t="shared" si="13"/>
        <v>-122</v>
      </c>
      <c r="Q146">
        <v>0.5</v>
      </c>
    </row>
    <row r="147" spans="2:17" x14ac:dyDescent="0.25">
      <c r="B147">
        <f>400+2*(Table1[[#This Row],[Column1]]-42)</f>
        <v>412</v>
      </c>
      <c r="C147">
        <f>MINUTE(Table1[[#This Row],[Time]])</f>
        <v>48</v>
      </c>
      <c r="D147" s="1">
        <v>0.45047628472222218</v>
      </c>
      <c r="E147" t="s">
        <v>9</v>
      </c>
      <c r="F147">
        <v>-123</v>
      </c>
      <c r="G147">
        <v>0.8</v>
      </c>
      <c r="K147">
        <f>400+2*(Table2[[#This Row],[Column1]]-13)</f>
        <v>412</v>
      </c>
      <c r="L147">
        <f>MINUTE(Table2[[#This Row],[Time]])</f>
        <v>19</v>
      </c>
      <c r="M147" s="1">
        <v>0.68034256944444438</v>
      </c>
      <c r="N147" t="s">
        <v>9</v>
      </c>
      <c r="O147" t="s">
        <v>12</v>
      </c>
      <c r="P147">
        <f t="shared" si="13"/>
        <v>-123</v>
      </c>
      <c r="Q147">
        <v>0.8</v>
      </c>
    </row>
    <row r="148" spans="2:17" x14ac:dyDescent="0.25">
      <c r="B148">
        <f>400+2*(Table1[[#This Row],[Column1]]-42)</f>
        <v>412</v>
      </c>
      <c r="C148">
        <f>MINUTE(Table1[[#This Row],[Time]])</f>
        <v>48</v>
      </c>
      <c r="D148" s="1">
        <v>0.45050866898148151</v>
      </c>
      <c r="E148" t="s">
        <v>9</v>
      </c>
      <c r="F148">
        <v>-123</v>
      </c>
      <c r="G148">
        <v>0.8</v>
      </c>
      <c r="K148">
        <f>400+2*(Table2[[#This Row],[Column1]]-13)</f>
        <v>412</v>
      </c>
      <c r="L148">
        <f>MINUTE(Table2[[#This Row],[Time]])</f>
        <v>19</v>
      </c>
      <c r="M148" s="1">
        <v>0.68037496527777774</v>
      </c>
      <c r="N148" t="s">
        <v>27</v>
      </c>
      <c r="O148" t="str">
        <f t="shared" ref="O148:O149" si="14">O147</f>
        <v>-123.0,</v>
      </c>
      <c r="P148">
        <f t="shared" ref="P148:P149" si="15">P147-0.5</f>
        <v>-123.5</v>
      </c>
      <c r="Q148">
        <f t="shared" ref="Q148:Q149" si="16">Q147-0.5</f>
        <v>0.30000000000000004</v>
      </c>
    </row>
    <row r="149" spans="2:17" x14ac:dyDescent="0.25">
      <c r="B149">
        <f>400+2*(Table1[[#This Row],[Column1]]-42)</f>
        <v>412</v>
      </c>
      <c r="C149">
        <f>MINUTE(Table1[[#This Row],[Time]])</f>
        <v>48</v>
      </c>
      <c r="D149" s="1">
        <v>0.45054106481481482</v>
      </c>
      <c r="E149" t="s">
        <v>9</v>
      </c>
      <c r="F149">
        <v>-123</v>
      </c>
      <c r="G149">
        <v>1</v>
      </c>
      <c r="K149">
        <f>400+2*(Table2[[#This Row],[Column1]]-13)</f>
        <v>412</v>
      </c>
      <c r="L149">
        <f>MINUTE(Table2[[#This Row],[Time]])</f>
        <v>19</v>
      </c>
      <c r="M149" s="1">
        <v>0.68040734953703708</v>
      </c>
      <c r="N149" t="s">
        <v>27</v>
      </c>
      <c r="O149" t="str">
        <f t="shared" si="14"/>
        <v>-123.0,</v>
      </c>
      <c r="P149">
        <f t="shared" si="15"/>
        <v>-124</v>
      </c>
      <c r="Q149">
        <f t="shared" si="16"/>
        <v>-0.19999999999999996</v>
      </c>
    </row>
    <row r="150" spans="2:17" x14ac:dyDescent="0.25">
      <c r="B150">
        <f>400+2*(Table1[[#This Row],[Column1]]-42)</f>
        <v>412</v>
      </c>
      <c r="C150">
        <f>MINUTE(Table1[[#This Row],[Time]])</f>
        <v>48</v>
      </c>
      <c r="D150" s="1">
        <v>0.45057347222222227</v>
      </c>
      <c r="E150" t="s">
        <v>9</v>
      </c>
      <c r="F150">
        <v>-123</v>
      </c>
      <c r="G150">
        <v>0.8</v>
      </c>
      <c r="K150">
        <f>400+2*(Table2[[#This Row],[Column1]]-13)</f>
        <v>412</v>
      </c>
      <c r="L150">
        <f>MINUTE(Table2[[#This Row],[Time]])</f>
        <v>19</v>
      </c>
      <c r="M150" s="1">
        <v>0.68043975694444447</v>
      </c>
      <c r="N150" t="s">
        <v>9</v>
      </c>
      <c r="O150" t="s">
        <v>12</v>
      </c>
      <c r="P150">
        <f t="shared" si="13"/>
        <v>-123</v>
      </c>
      <c r="Q150">
        <v>0.8</v>
      </c>
    </row>
    <row r="151" spans="2:17" x14ac:dyDescent="0.25">
      <c r="B151">
        <f>400+2*(Table1[[#This Row],[Column1]]-42)</f>
        <v>412</v>
      </c>
      <c r="C151">
        <f>MINUTE(Table1[[#This Row],[Time]])</f>
        <v>48</v>
      </c>
      <c r="D151" s="1">
        <v>0.45060586805555558</v>
      </c>
      <c r="E151" t="s">
        <v>9</v>
      </c>
      <c r="F151">
        <v>-123</v>
      </c>
      <c r="G151">
        <v>1</v>
      </c>
      <c r="K151">
        <f>400+2*(Table2[[#This Row],[Column1]]-13)</f>
        <v>412</v>
      </c>
      <c r="L151">
        <f>MINUTE(Table2[[#This Row],[Time]])</f>
        <v>19</v>
      </c>
      <c r="M151" s="1">
        <v>0.68047215277777784</v>
      </c>
      <c r="N151" t="s">
        <v>9</v>
      </c>
      <c r="O151" t="s">
        <v>12</v>
      </c>
      <c r="P151">
        <f t="shared" si="13"/>
        <v>-123</v>
      </c>
      <c r="Q151">
        <v>0.5</v>
      </c>
    </row>
    <row r="152" spans="2:17" x14ac:dyDescent="0.25">
      <c r="B152">
        <f>400+2*(Table1[[#This Row],[Column1]]-42)</f>
        <v>412</v>
      </c>
      <c r="C152">
        <f>MINUTE(Table1[[#This Row],[Time]])</f>
        <v>48</v>
      </c>
      <c r="D152" s="1">
        <v>0.45063826388888889</v>
      </c>
      <c r="E152" t="s">
        <v>9</v>
      </c>
      <c r="F152">
        <v>-123</v>
      </c>
      <c r="G152">
        <v>0.8</v>
      </c>
      <c r="K152">
        <f>400+2*(Table2[[#This Row],[Column1]]-13)</f>
        <v>412</v>
      </c>
      <c r="L152">
        <f>MINUTE(Table2[[#This Row],[Time]])</f>
        <v>19</v>
      </c>
      <c r="M152" s="1">
        <v>0.68050454861111109</v>
      </c>
      <c r="N152" t="s">
        <v>9</v>
      </c>
      <c r="O152" t="s">
        <v>12</v>
      </c>
      <c r="P152">
        <f t="shared" si="13"/>
        <v>-123</v>
      </c>
      <c r="Q152">
        <v>0.3</v>
      </c>
    </row>
    <row r="153" spans="2:17" x14ac:dyDescent="0.25">
      <c r="B153">
        <f>400+2*(Table1[[#This Row],[Column1]]-42)</f>
        <v>412</v>
      </c>
      <c r="C153">
        <f>MINUTE(Table1[[#This Row],[Time]])</f>
        <v>48</v>
      </c>
      <c r="D153" s="1">
        <v>0.4506706597222222</v>
      </c>
      <c r="E153" t="s">
        <v>9</v>
      </c>
      <c r="F153">
        <v>-123</v>
      </c>
      <c r="G153">
        <v>1</v>
      </c>
      <c r="K153">
        <f>400+2*(Table2[[#This Row],[Column1]]-13)</f>
        <v>412</v>
      </c>
      <c r="L153">
        <f>MINUTE(Table2[[#This Row],[Time]])</f>
        <v>19</v>
      </c>
      <c r="M153" s="1">
        <v>0.68053694444444446</v>
      </c>
      <c r="N153" t="s">
        <v>9</v>
      </c>
      <c r="O153" t="s">
        <v>12</v>
      </c>
      <c r="P153">
        <f t="shared" si="13"/>
        <v>-123</v>
      </c>
      <c r="Q153">
        <v>0.8</v>
      </c>
    </row>
    <row r="154" spans="2:17" x14ac:dyDescent="0.25">
      <c r="B154">
        <f>400+2*(Table1[[#This Row],[Column1]]-42)</f>
        <v>414</v>
      </c>
      <c r="C154">
        <f>MINUTE(Table1[[#This Row],[Time]])</f>
        <v>49</v>
      </c>
      <c r="D154" s="1">
        <v>0.45070305555555557</v>
      </c>
      <c r="E154" t="s">
        <v>27</v>
      </c>
      <c r="F154">
        <f t="shared" ref="F154:F155" si="17">F153-0.5</f>
        <v>-123.5</v>
      </c>
      <c r="G154">
        <f t="shared" ref="G154:G155" si="18">G153-0.5</f>
        <v>0.5</v>
      </c>
      <c r="K154">
        <f>400+2*(Table2[[#This Row],[Column1]]-13)</f>
        <v>414</v>
      </c>
      <c r="L154">
        <f>MINUTE(Table2[[#This Row],[Time]])</f>
        <v>20</v>
      </c>
      <c r="M154" s="1">
        <v>0.68056934027777771</v>
      </c>
      <c r="N154" t="s">
        <v>9</v>
      </c>
      <c r="O154" t="s">
        <v>12</v>
      </c>
      <c r="P154">
        <f t="shared" si="13"/>
        <v>-123</v>
      </c>
      <c r="Q154">
        <v>0.5</v>
      </c>
    </row>
    <row r="155" spans="2:17" x14ac:dyDescent="0.25">
      <c r="B155">
        <f>400+2*(Table1[[#This Row],[Column1]]-42)</f>
        <v>414</v>
      </c>
      <c r="C155">
        <f>MINUTE(Table1[[#This Row],[Time]])</f>
        <v>49</v>
      </c>
      <c r="D155" s="1">
        <v>0.45073545138888887</v>
      </c>
      <c r="E155" t="s">
        <v>13</v>
      </c>
      <c r="F155">
        <f t="shared" si="17"/>
        <v>-124</v>
      </c>
      <c r="G155">
        <f t="shared" si="18"/>
        <v>0</v>
      </c>
      <c r="K155">
        <f>400+2*(Table2[[#This Row],[Column1]]-13)</f>
        <v>414</v>
      </c>
      <c r="L155">
        <f>MINUTE(Table2[[#This Row],[Time]])</f>
        <v>20</v>
      </c>
      <c r="M155" s="1">
        <v>0.68060173611111108</v>
      </c>
      <c r="N155" t="s">
        <v>13</v>
      </c>
      <c r="O155" t="str">
        <f>O154</f>
        <v>-123.0,</v>
      </c>
      <c r="P155">
        <f>P154-0.5</f>
        <v>-123.5</v>
      </c>
      <c r="Q155">
        <f>Q154-0.5</f>
        <v>0</v>
      </c>
    </row>
    <row r="156" spans="2:17" x14ac:dyDescent="0.25">
      <c r="B156">
        <f>400+2*(Table1[[#This Row],[Column1]]-42)</f>
        <v>414</v>
      </c>
      <c r="C156">
        <f>MINUTE(Table1[[#This Row],[Time]])</f>
        <v>49</v>
      </c>
      <c r="D156" s="1">
        <v>0.45076784722222218</v>
      </c>
      <c r="E156" t="s">
        <v>9</v>
      </c>
      <c r="F156">
        <v>-124</v>
      </c>
      <c r="G156">
        <v>-1.3</v>
      </c>
      <c r="K156">
        <f>400+2*(Table2[[#This Row],[Column1]]-13)</f>
        <v>414</v>
      </c>
      <c r="L156">
        <f>MINUTE(Table2[[#This Row],[Time]])</f>
        <v>20</v>
      </c>
      <c r="M156" s="1">
        <v>0.68063413194444444</v>
      </c>
      <c r="N156" t="s">
        <v>9</v>
      </c>
      <c r="O156" t="s">
        <v>19</v>
      </c>
      <c r="P156">
        <f t="shared" si="13"/>
        <v>-124</v>
      </c>
      <c r="Q156">
        <v>-1.5</v>
      </c>
    </row>
    <row r="157" spans="2:17" x14ac:dyDescent="0.25">
      <c r="B157">
        <f>400+2*(Table1[[#This Row],[Column1]]-42)</f>
        <v>414</v>
      </c>
      <c r="C157">
        <f>MINUTE(Table1[[#This Row],[Time]])</f>
        <v>49</v>
      </c>
      <c r="D157" s="1">
        <v>0.45080024305555561</v>
      </c>
      <c r="E157" t="s">
        <v>9</v>
      </c>
      <c r="F157">
        <v>-124</v>
      </c>
      <c r="G157">
        <v>-1.5</v>
      </c>
      <c r="K157">
        <f>400+2*(Table2[[#This Row],[Column1]]-13)</f>
        <v>414</v>
      </c>
      <c r="L157">
        <f>MINUTE(Table2[[#This Row],[Time]])</f>
        <v>20</v>
      </c>
      <c r="M157" s="1">
        <v>0.68066652777777781</v>
      </c>
      <c r="N157" t="s">
        <v>9</v>
      </c>
      <c r="O157" t="s">
        <v>19</v>
      </c>
      <c r="P157">
        <f t="shared" si="13"/>
        <v>-124</v>
      </c>
      <c r="Q157">
        <v>-1.8</v>
      </c>
    </row>
    <row r="158" spans="2:17" x14ac:dyDescent="0.25">
      <c r="B158">
        <f>400+2*(Table1[[#This Row],[Column1]]-42)</f>
        <v>414</v>
      </c>
      <c r="C158">
        <f>MINUTE(Table1[[#This Row],[Time]])</f>
        <v>49</v>
      </c>
      <c r="D158" s="1">
        <v>0.45083263888888891</v>
      </c>
      <c r="E158" t="s">
        <v>9</v>
      </c>
      <c r="F158">
        <v>-124</v>
      </c>
      <c r="G158">
        <v>-1.8</v>
      </c>
      <c r="K158">
        <f>400+2*(Table2[[#This Row],[Column1]]-13)</f>
        <v>414</v>
      </c>
      <c r="L158">
        <f>MINUTE(Table2[[#This Row],[Time]])</f>
        <v>20</v>
      </c>
      <c r="M158" s="1">
        <v>0.68069892361111117</v>
      </c>
      <c r="N158" t="s">
        <v>27</v>
      </c>
      <c r="O158" t="str">
        <f t="shared" ref="O158:O159" si="19">O157</f>
        <v>-124.0,</v>
      </c>
      <c r="P158">
        <f t="shared" ref="P158:P159" si="20">P157-0.5</f>
        <v>-124.5</v>
      </c>
      <c r="Q158">
        <f t="shared" ref="Q158:Q159" si="21">Q157-0.5</f>
        <v>-2.2999999999999998</v>
      </c>
    </row>
    <row r="159" spans="2:17" x14ac:dyDescent="0.25">
      <c r="B159">
        <f>400+2*(Table1[[#This Row],[Column1]]-42)</f>
        <v>414</v>
      </c>
      <c r="C159">
        <f>MINUTE(Table1[[#This Row],[Time]])</f>
        <v>49</v>
      </c>
      <c r="D159" s="1">
        <v>0.45086503472222222</v>
      </c>
      <c r="E159" t="s">
        <v>13</v>
      </c>
      <c r="F159">
        <f>F158-0.5</f>
        <v>-124.5</v>
      </c>
      <c r="G159">
        <f>G158-0.5</f>
        <v>-2.2999999999999998</v>
      </c>
      <c r="K159">
        <f>400+2*(Table2[[#This Row],[Column1]]-13)</f>
        <v>414</v>
      </c>
      <c r="L159">
        <f>MINUTE(Table2[[#This Row],[Time]])</f>
        <v>20</v>
      </c>
      <c r="M159" s="1">
        <v>0.68073131944444443</v>
      </c>
      <c r="N159" t="s">
        <v>13</v>
      </c>
      <c r="O159" t="str">
        <f t="shared" si="19"/>
        <v>-124.0,</v>
      </c>
      <c r="P159">
        <f t="shared" si="20"/>
        <v>-125</v>
      </c>
      <c r="Q159">
        <f t="shared" si="21"/>
        <v>-2.8</v>
      </c>
    </row>
    <row r="160" spans="2:17" x14ac:dyDescent="0.25">
      <c r="B160">
        <f>400+2*(Table1[[#This Row],[Column1]]-42)</f>
        <v>414</v>
      </c>
      <c r="C160">
        <f>MINUTE(Table1[[#This Row],[Time]])</f>
        <v>49</v>
      </c>
      <c r="D160" s="1">
        <v>0.45089743055555553</v>
      </c>
      <c r="E160" t="s">
        <v>9</v>
      </c>
      <c r="F160">
        <v>-123</v>
      </c>
      <c r="G160">
        <v>1.3</v>
      </c>
      <c r="K160">
        <f>400+2*(Table2[[#This Row],[Column1]]-13)</f>
        <v>414</v>
      </c>
      <c r="L160">
        <f>MINUTE(Table2[[#This Row],[Time]])</f>
        <v>20</v>
      </c>
      <c r="M160" s="1">
        <v>0.68076371527777779</v>
      </c>
      <c r="N160" t="s">
        <v>9</v>
      </c>
      <c r="O160" t="s">
        <v>12</v>
      </c>
      <c r="P160">
        <f t="shared" si="13"/>
        <v>-123</v>
      </c>
      <c r="Q160">
        <v>1</v>
      </c>
    </row>
    <row r="161" spans="2:17" x14ac:dyDescent="0.25">
      <c r="B161">
        <f>400+2*(Table1[[#This Row],[Column1]]-42)</f>
        <v>414</v>
      </c>
      <c r="C161">
        <f>MINUTE(Table1[[#This Row],[Time]])</f>
        <v>49</v>
      </c>
      <c r="D161" s="1">
        <v>0.4509298263888889</v>
      </c>
      <c r="E161" t="s">
        <v>9</v>
      </c>
      <c r="F161">
        <v>-123</v>
      </c>
      <c r="G161">
        <v>0.5</v>
      </c>
      <c r="K161">
        <f>400+2*(Table2[[#This Row],[Column1]]-13)</f>
        <v>414</v>
      </c>
      <c r="L161">
        <f>MINUTE(Table2[[#This Row],[Time]])</f>
        <v>20</v>
      </c>
      <c r="M161" s="1">
        <v>0.68079611111111116</v>
      </c>
      <c r="N161" t="s">
        <v>9</v>
      </c>
      <c r="O161" t="s">
        <v>12</v>
      </c>
      <c r="P161">
        <f t="shared" si="13"/>
        <v>-123</v>
      </c>
      <c r="Q161">
        <v>0.5</v>
      </c>
    </row>
    <row r="162" spans="2:17" x14ac:dyDescent="0.25">
      <c r="B162">
        <f>400+2*(Table1[[#This Row],[Column1]]-42)</f>
        <v>414</v>
      </c>
      <c r="C162">
        <f>MINUTE(Table1[[#This Row],[Time]])</f>
        <v>49</v>
      </c>
      <c r="D162" s="1">
        <v>0.45096222222222221</v>
      </c>
      <c r="E162" t="s">
        <v>9</v>
      </c>
      <c r="F162">
        <v>-123</v>
      </c>
      <c r="G162">
        <v>0.8</v>
      </c>
      <c r="K162">
        <f>400+2*(Table2[[#This Row],[Column1]]-13)</f>
        <v>414</v>
      </c>
      <c r="L162">
        <f>MINUTE(Table2[[#This Row],[Time]])</f>
        <v>20</v>
      </c>
      <c r="M162" s="1">
        <v>0.68082850694444441</v>
      </c>
      <c r="N162" t="s">
        <v>9</v>
      </c>
      <c r="O162" t="s">
        <v>12</v>
      </c>
      <c r="P162">
        <f t="shared" si="13"/>
        <v>-123</v>
      </c>
      <c r="Q162">
        <v>0.8</v>
      </c>
    </row>
    <row r="163" spans="2:17" x14ac:dyDescent="0.25">
      <c r="B163">
        <f>400+2*(Table1[[#This Row],[Column1]]-42)</f>
        <v>414</v>
      </c>
      <c r="C163">
        <f>MINUTE(Table1[[#This Row],[Time]])</f>
        <v>49</v>
      </c>
      <c r="D163" s="1">
        <v>0.45099461805555552</v>
      </c>
      <c r="E163" t="s">
        <v>9</v>
      </c>
      <c r="F163">
        <v>-123</v>
      </c>
      <c r="G163">
        <v>1</v>
      </c>
      <c r="K163">
        <f>400+2*(Table2[[#This Row],[Column1]]-13)</f>
        <v>414</v>
      </c>
      <c r="L163">
        <f>MINUTE(Table2[[#This Row],[Time]])</f>
        <v>20</v>
      </c>
      <c r="M163" s="1">
        <v>0.68086089120370374</v>
      </c>
      <c r="N163" t="s">
        <v>9</v>
      </c>
      <c r="O163" t="s">
        <v>12</v>
      </c>
      <c r="P163">
        <f t="shared" si="13"/>
        <v>-123</v>
      </c>
      <c r="Q163">
        <v>0.8</v>
      </c>
    </row>
    <row r="164" spans="2:17" x14ac:dyDescent="0.25">
      <c r="B164">
        <f>400+2*(Table1[[#This Row],[Column1]]-42)</f>
        <v>414</v>
      </c>
      <c r="C164">
        <f>MINUTE(Table1[[#This Row],[Time]])</f>
        <v>49</v>
      </c>
      <c r="D164" s="1">
        <v>0.45102701388888883</v>
      </c>
      <c r="E164" t="s">
        <v>9</v>
      </c>
      <c r="F164">
        <v>-123</v>
      </c>
      <c r="G164">
        <v>0.8</v>
      </c>
      <c r="K164">
        <f>400+2*(Table2[[#This Row],[Column1]]-13)</f>
        <v>414</v>
      </c>
      <c r="L164">
        <f>MINUTE(Table2[[#This Row],[Time]])</f>
        <v>20</v>
      </c>
      <c r="M164" s="1">
        <v>0.68089329861111103</v>
      </c>
      <c r="N164" t="s">
        <v>9</v>
      </c>
      <c r="O164" t="s">
        <v>12</v>
      </c>
      <c r="P164">
        <f t="shared" si="13"/>
        <v>-123</v>
      </c>
      <c r="Q164">
        <v>0.8</v>
      </c>
    </row>
    <row r="165" spans="2:17" x14ac:dyDescent="0.25">
      <c r="B165">
        <f>400+2*(Table1[[#This Row],[Column1]]-42)</f>
        <v>414</v>
      </c>
      <c r="C165">
        <f>MINUTE(Table1[[#This Row],[Time]])</f>
        <v>49</v>
      </c>
      <c r="D165" s="1">
        <v>0.45105940972222225</v>
      </c>
      <c r="E165" t="s">
        <v>9</v>
      </c>
      <c r="F165">
        <v>-123</v>
      </c>
      <c r="G165">
        <v>0.8</v>
      </c>
      <c r="K165">
        <f>400+2*(Table2[[#This Row],[Column1]]-13)</f>
        <v>414</v>
      </c>
      <c r="L165">
        <f>MINUTE(Table2[[#This Row],[Time]])</f>
        <v>20</v>
      </c>
      <c r="M165" s="1">
        <v>0.68092569444444451</v>
      </c>
      <c r="N165" t="s">
        <v>9</v>
      </c>
      <c r="O165" t="s">
        <v>12</v>
      </c>
      <c r="P165">
        <f t="shared" si="13"/>
        <v>-123</v>
      </c>
      <c r="Q165">
        <v>0.5</v>
      </c>
    </row>
    <row r="166" spans="2:17" x14ac:dyDescent="0.25">
      <c r="B166">
        <f>400+2*(Table1[[#This Row],[Column1]]-42)</f>
        <v>414</v>
      </c>
      <c r="C166">
        <f>MINUTE(Table1[[#This Row],[Time]])</f>
        <v>49</v>
      </c>
      <c r="D166" s="1">
        <v>0.45109180555555556</v>
      </c>
      <c r="E166" t="s">
        <v>9</v>
      </c>
      <c r="F166">
        <v>-123</v>
      </c>
      <c r="G166">
        <v>0.5</v>
      </c>
      <c r="K166">
        <f>400+2*(Table2[[#This Row],[Column1]]-13)</f>
        <v>414</v>
      </c>
      <c r="L166">
        <f>MINUTE(Table2[[#This Row],[Time]])</f>
        <v>20</v>
      </c>
      <c r="M166" s="1">
        <v>0.68095809027777776</v>
      </c>
      <c r="N166" t="s">
        <v>9</v>
      </c>
      <c r="O166" t="s">
        <v>12</v>
      </c>
      <c r="P166">
        <f t="shared" si="13"/>
        <v>-123</v>
      </c>
      <c r="Q166">
        <v>0.8</v>
      </c>
    </row>
    <row r="167" spans="2:17" x14ac:dyDescent="0.25">
      <c r="B167">
        <f>400+2*(Table1[[#This Row],[Column1]]-42)</f>
        <v>414</v>
      </c>
      <c r="C167">
        <f>MINUTE(Table1[[#This Row],[Time]])</f>
        <v>49</v>
      </c>
      <c r="D167" s="1">
        <v>0.45112420138888892</v>
      </c>
      <c r="E167" t="s">
        <v>27</v>
      </c>
      <c r="F167">
        <f>F166-0.5</f>
        <v>-123.5</v>
      </c>
      <c r="G167">
        <f>G166-0.5</f>
        <v>0</v>
      </c>
      <c r="K167">
        <f>400+2*(Table2[[#This Row],[Column1]]-13)</f>
        <v>414</v>
      </c>
      <c r="L167">
        <f>MINUTE(Table2[[#This Row],[Time]])</f>
        <v>20</v>
      </c>
      <c r="M167" s="1">
        <v>0.68099048611111113</v>
      </c>
      <c r="N167" t="s">
        <v>9</v>
      </c>
      <c r="O167" t="s">
        <v>12</v>
      </c>
      <c r="P167">
        <f t="shared" si="13"/>
        <v>-123</v>
      </c>
      <c r="Q167">
        <v>1</v>
      </c>
    </row>
    <row r="168" spans="2:17" x14ac:dyDescent="0.25">
      <c r="B168">
        <f>400+2*(Table1[[#This Row],[Column1]]-42)</f>
        <v>414</v>
      </c>
      <c r="C168">
        <f>MINUTE(Table1[[#This Row],[Time]])</f>
        <v>49</v>
      </c>
      <c r="D168" s="1">
        <v>0.45115659722222223</v>
      </c>
      <c r="E168" t="s">
        <v>9</v>
      </c>
      <c r="F168">
        <v>-117</v>
      </c>
      <c r="G168">
        <v>0.5</v>
      </c>
      <c r="K168">
        <f>400+2*(Table2[[#This Row],[Column1]]-13)</f>
        <v>414</v>
      </c>
      <c r="L168">
        <f>MINUTE(Table2[[#This Row],[Time]])</f>
        <v>20</v>
      </c>
      <c r="M168" s="1">
        <v>0.68102288194444449</v>
      </c>
      <c r="N168" t="s">
        <v>9</v>
      </c>
      <c r="O168" t="s">
        <v>12</v>
      </c>
      <c r="P168">
        <f t="shared" si="13"/>
        <v>-123</v>
      </c>
      <c r="Q168">
        <v>1</v>
      </c>
    </row>
    <row r="169" spans="2:17" x14ac:dyDescent="0.25">
      <c r="B169">
        <f>400+2*(Table1[[#This Row],[Column1]]-42)</f>
        <v>414</v>
      </c>
      <c r="C169">
        <f>MINUTE(Table1[[#This Row],[Time]])</f>
        <v>49</v>
      </c>
      <c r="D169" s="1">
        <v>0.45118899305555554</v>
      </c>
      <c r="E169" t="s">
        <v>9</v>
      </c>
      <c r="F169">
        <v>-123</v>
      </c>
      <c r="G169">
        <v>1</v>
      </c>
      <c r="K169">
        <f>400+2*(Table2[[#This Row],[Column1]]-13)</f>
        <v>414</v>
      </c>
      <c r="L169">
        <f>MINUTE(Table2[[#This Row],[Time]])</f>
        <v>20</v>
      </c>
      <c r="M169" s="1">
        <v>0.68105527777777775</v>
      </c>
      <c r="N169" t="s">
        <v>9</v>
      </c>
      <c r="O169" t="s">
        <v>12</v>
      </c>
      <c r="P169">
        <f t="shared" si="13"/>
        <v>-123</v>
      </c>
      <c r="Q169">
        <v>0.3</v>
      </c>
    </row>
    <row r="170" spans="2:17" x14ac:dyDescent="0.25">
      <c r="B170">
        <f>400+2*(Table1[[#This Row],[Column1]]-42)</f>
        <v>414</v>
      </c>
      <c r="C170">
        <f>MINUTE(Table1[[#This Row],[Time]])</f>
        <v>49</v>
      </c>
      <c r="D170" s="1">
        <v>0.45122137731481482</v>
      </c>
      <c r="E170" t="s">
        <v>9</v>
      </c>
      <c r="F170">
        <v>-119</v>
      </c>
      <c r="G170">
        <v>0.8</v>
      </c>
      <c r="K170">
        <f>400+2*(Table2[[#This Row],[Column1]]-13)</f>
        <v>414</v>
      </c>
      <c r="L170">
        <f>MINUTE(Table2[[#This Row],[Time]])</f>
        <v>20</v>
      </c>
      <c r="M170" s="1">
        <v>0.68108767361111111</v>
      </c>
      <c r="N170" t="s">
        <v>9</v>
      </c>
      <c r="O170" t="s">
        <v>12</v>
      </c>
      <c r="P170">
        <f t="shared" si="13"/>
        <v>-123</v>
      </c>
      <c r="Q170">
        <v>0.5</v>
      </c>
    </row>
    <row r="171" spans="2:17" x14ac:dyDescent="0.25">
      <c r="B171">
        <f>400+2*(Table1[[#This Row],[Column1]]-42)</f>
        <v>414</v>
      </c>
      <c r="C171">
        <f>MINUTE(Table1[[#This Row],[Time]])</f>
        <v>49</v>
      </c>
      <c r="D171" s="1">
        <v>0.45125378472222222</v>
      </c>
      <c r="E171" t="s">
        <v>9</v>
      </c>
      <c r="F171">
        <v>-118</v>
      </c>
      <c r="G171">
        <v>0.5</v>
      </c>
      <c r="K171">
        <f>400+2*(Table2[[#This Row],[Column1]]-13)</f>
        <v>414</v>
      </c>
      <c r="L171">
        <f>MINUTE(Table2[[#This Row],[Time]])</f>
        <v>20</v>
      </c>
      <c r="M171" s="1">
        <v>0.68112006944444436</v>
      </c>
      <c r="N171" t="s">
        <v>27</v>
      </c>
      <c r="O171" t="str">
        <f>O170</f>
        <v>-123.0,</v>
      </c>
      <c r="P171">
        <f>P170-0.5</f>
        <v>-123.5</v>
      </c>
      <c r="Q171">
        <f>Q170-0.5</f>
        <v>0</v>
      </c>
    </row>
    <row r="172" spans="2:17" x14ac:dyDescent="0.25">
      <c r="B172">
        <f>400+2*(Table1[[#This Row],[Column1]]-42)</f>
        <v>414</v>
      </c>
      <c r="C172">
        <f>MINUTE(Table1[[#This Row],[Time]])</f>
        <v>49</v>
      </c>
      <c r="D172" s="1">
        <v>0.45128618055555553</v>
      </c>
      <c r="E172" t="s">
        <v>9</v>
      </c>
      <c r="F172">
        <v>-123</v>
      </c>
      <c r="G172">
        <v>0.8</v>
      </c>
      <c r="K172">
        <f>400+2*(Table2[[#This Row],[Column1]]-13)</f>
        <v>414</v>
      </c>
      <c r="L172">
        <f>MINUTE(Table2[[#This Row],[Time]])</f>
        <v>20</v>
      </c>
      <c r="M172" s="1">
        <v>0.68115246527777773</v>
      </c>
      <c r="N172" t="s">
        <v>9</v>
      </c>
      <c r="O172" t="s">
        <v>12</v>
      </c>
      <c r="P172">
        <f t="shared" si="13"/>
        <v>-123</v>
      </c>
      <c r="Q172">
        <v>0.8</v>
      </c>
    </row>
    <row r="173" spans="2:17" x14ac:dyDescent="0.25">
      <c r="B173">
        <f>400+2*(Table1[[#This Row],[Column1]]-42)</f>
        <v>414</v>
      </c>
      <c r="C173">
        <f>MINUTE(Table1[[#This Row],[Time]])</f>
        <v>49</v>
      </c>
      <c r="D173" s="1">
        <v>0.45131857638888895</v>
      </c>
      <c r="E173" t="s">
        <v>9</v>
      </c>
      <c r="F173">
        <v>-123</v>
      </c>
      <c r="G173">
        <v>0.8</v>
      </c>
      <c r="K173">
        <f>400+2*(Table2[[#This Row],[Column1]]-13)</f>
        <v>414</v>
      </c>
      <c r="L173">
        <f>MINUTE(Table2[[#This Row],[Time]])</f>
        <v>20</v>
      </c>
      <c r="M173" s="1">
        <v>0.6811848611111111</v>
      </c>
      <c r="N173" t="s">
        <v>9</v>
      </c>
      <c r="O173" t="s">
        <v>12</v>
      </c>
      <c r="P173">
        <f t="shared" si="13"/>
        <v>-123</v>
      </c>
      <c r="Q173">
        <v>0.8</v>
      </c>
    </row>
    <row r="174" spans="2:17" x14ac:dyDescent="0.25">
      <c r="B174">
        <f>400+2*(Table1[[#This Row],[Column1]]-42)</f>
        <v>414</v>
      </c>
      <c r="C174">
        <f>MINUTE(Table1[[#This Row],[Time]])</f>
        <v>49</v>
      </c>
      <c r="D174" s="1">
        <v>0.45135096064814811</v>
      </c>
      <c r="E174" t="s">
        <v>9</v>
      </c>
      <c r="F174">
        <v>-123</v>
      </c>
      <c r="G174">
        <v>0.8</v>
      </c>
      <c r="K174">
        <f>400+2*(Table2[[#This Row],[Column1]]-13)</f>
        <v>414</v>
      </c>
      <c r="L174">
        <f>MINUTE(Table2[[#This Row],[Time]])</f>
        <v>20</v>
      </c>
      <c r="M174" s="1">
        <v>0.68121725694444446</v>
      </c>
      <c r="N174" t="s">
        <v>27</v>
      </c>
      <c r="O174" t="str">
        <f>O173</f>
        <v>-123.0,</v>
      </c>
      <c r="P174">
        <f>P173-0.5</f>
        <v>-123.5</v>
      </c>
      <c r="Q174">
        <f>Q173-0.5</f>
        <v>0.30000000000000004</v>
      </c>
    </row>
    <row r="175" spans="2:17" x14ac:dyDescent="0.25">
      <c r="B175">
        <f>400+2*(Table1[[#This Row],[Column1]]-42)</f>
        <v>416</v>
      </c>
      <c r="C175">
        <f>MINUTE(Table1[[#This Row],[Time]])</f>
        <v>50</v>
      </c>
      <c r="D175" s="1">
        <v>0.45138336805555557</v>
      </c>
      <c r="E175" t="s">
        <v>27</v>
      </c>
      <c r="F175">
        <f>F174-0.5</f>
        <v>-123.5</v>
      </c>
      <c r="G175">
        <f>G174-0.5</f>
        <v>0.30000000000000004</v>
      </c>
      <c r="K175">
        <f>400+2*(Table2[[#This Row],[Column1]]-13)</f>
        <v>416</v>
      </c>
      <c r="L175">
        <f>MINUTE(Table2[[#This Row],[Time]])</f>
        <v>21</v>
      </c>
      <c r="M175" s="1">
        <v>0.68124964120370368</v>
      </c>
      <c r="N175" t="s">
        <v>9</v>
      </c>
      <c r="O175" t="s">
        <v>12</v>
      </c>
      <c r="P175">
        <f t="shared" si="13"/>
        <v>-123</v>
      </c>
      <c r="Q175">
        <v>1</v>
      </c>
    </row>
    <row r="176" spans="2:17" x14ac:dyDescent="0.25">
      <c r="B176">
        <f>400+2*(Table1[[#This Row],[Column1]]-42)</f>
        <v>416</v>
      </c>
      <c r="C176">
        <f>MINUTE(Table1[[#This Row],[Time]])</f>
        <v>50</v>
      </c>
      <c r="D176" s="1">
        <v>0.45141576388888888</v>
      </c>
      <c r="E176" t="s">
        <v>9</v>
      </c>
      <c r="F176">
        <v>-123</v>
      </c>
      <c r="G176">
        <v>0.5</v>
      </c>
      <c r="K176">
        <f>400+2*(Table2[[#This Row],[Column1]]-13)</f>
        <v>416</v>
      </c>
      <c r="L176">
        <f>MINUTE(Table2[[#This Row],[Time]])</f>
        <v>21</v>
      </c>
      <c r="M176" s="1">
        <v>0.68128203703703705</v>
      </c>
      <c r="N176" t="s">
        <v>9</v>
      </c>
      <c r="O176" t="s">
        <v>12</v>
      </c>
      <c r="P176">
        <f t="shared" si="13"/>
        <v>-123</v>
      </c>
      <c r="Q176">
        <v>0.5</v>
      </c>
    </row>
    <row r="177" spans="2:17" x14ac:dyDescent="0.25">
      <c r="B177">
        <f>400+2*(Table1[[#This Row],[Column1]]-42)</f>
        <v>416</v>
      </c>
      <c r="C177">
        <f>MINUTE(Table1[[#This Row],[Time]])</f>
        <v>50</v>
      </c>
      <c r="D177" s="1">
        <v>0.45144815972222219</v>
      </c>
      <c r="E177" t="s">
        <v>9</v>
      </c>
      <c r="F177">
        <v>-124</v>
      </c>
      <c r="G177">
        <v>-1.5</v>
      </c>
      <c r="K177">
        <f>400+2*(Table2[[#This Row],[Column1]]-13)</f>
        <v>416</v>
      </c>
      <c r="L177">
        <f>MINUTE(Table2[[#This Row],[Time]])</f>
        <v>21</v>
      </c>
      <c r="M177" s="1">
        <v>0.68131444444444444</v>
      </c>
      <c r="N177" t="s">
        <v>9</v>
      </c>
      <c r="O177" t="s">
        <v>15</v>
      </c>
      <c r="P177">
        <f t="shared" si="13"/>
        <v>-120</v>
      </c>
      <c r="Q177">
        <v>-2.7</v>
      </c>
    </row>
    <row r="178" spans="2:17" x14ac:dyDescent="0.25">
      <c r="B178">
        <f>400+2*(Table1[[#This Row],[Column1]]-42)</f>
        <v>416</v>
      </c>
      <c r="C178">
        <f>MINUTE(Table1[[#This Row],[Time]])</f>
        <v>50</v>
      </c>
      <c r="D178" s="1">
        <v>0.45148054398148152</v>
      </c>
      <c r="E178" t="s">
        <v>27</v>
      </c>
      <c r="F178">
        <f t="shared" ref="F178:F180" si="22">F177-0.5</f>
        <v>-124.5</v>
      </c>
      <c r="G178">
        <f t="shared" ref="G178:G180" si="23">G177-0.5</f>
        <v>-2</v>
      </c>
      <c r="K178">
        <f>400+2*(Table2[[#This Row],[Column1]]-13)</f>
        <v>416</v>
      </c>
      <c r="L178">
        <f>MINUTE(Table2[[#This Row],[Time]])</f>
        <v>21</v>
      </c>
      <c r="M178" s="1">
        <v>0.68134684027777781</v>
      </c>
      <c r="N178" t="s">
        <v>9</v>
      </c>
      <c r="O178" t="s">
        <v>19</v>
      </c>
      <c r="P178">
        <f t="shared" si="13"/>
        <v>-124</v>
      </c>
      <c r="Q178">
        <v>-1.3</v>
      </c>
    </row>
    <row r="179" spans="2:17" x14ac:dyDescent="0.25">
      <c r="B179">
        <f>400+2*(Table1[[#This Row],[Column1]]-42)</f>
        <v>416</v>
      </c>
      <c r="C179">
        <f>MINUTE(Table1[[#This Row],[Time]])</f>
        <v>50</v>
      </c>
      <c r="D179" s="1">
        <v>0.45151295138888886</v>
      </c>
      <c r="E179" t="s">
        <v>27</v>
      </c>
      <c r="F179">
        <f t="shared" si="22"/>
        <v>-125</v>
      </c>
      <c r="G179">
        <f t="shared" si="23"/>
        <v>-2.5</v>
      </c>
      <c r="K179">
        <f>400+2*(Table2[[#This Row],[Column1]]-13)</f>
        <v>416</v>
      </c>
      <c r="L179">
        <f>MINUTE(Table2[[#This Row],[Time]])</f>
        <v>21</v>
      </c>
      <c r="M179" s="1">
        <v>0.68137923611111106</v>
      </c>
      <c r="N179" t="s">
        <v>9</v>
      </c>
      <c r="O179" t="s">
        <v>19</v>
      </c>
      <c r="P179">
        <f t="shared" si="13"/>
        <v>-124</v>
      </c>
      <c r="Q179">
        <v>-1.5</v>
      </c>
    </row>
    <row r="180" spans="2:17" x14ac:dyDescent="0.25">
      <c r="B180">
        <f>400+2*(Table1[[#This Row],[Column1]]-42)</f>
        <v>416</v>
      </c>
      <c r="C180">
        <f>MINUTE(Table1[[#This Row],[Time]])</f>
        <v>50</v>
      </c>
      <c r="D180" s="1">
        <v>0.45154534722222217</v>
      </c>
      <c r="E180" t="s">
        <v>13</v>
      </c>
      <c r="F180">
        <f t="shared" si="22"/>
        <v>-125.5</v>
      </c>
      <c r="G180">
        <f t="shared" si="23"/>
        <v>-3</v>
      </c>
      <c r="K180">
        <f>400+2*(Table2[[#This Row],[Column1]]-13)</f>
        <v>416</v>
      </c>
      <c r="L180">
        <f>MINUTE(Table2[[#This Row],[Time]])</f>
        <v>21</v>
      </c>
      <c r="M180" s="1">
        <v>0.68141163194444443</v>
      </c>
      <c r="N180" t="s">
        <v>13</v>
      </c>
      <c r="O180" t="str">
        <f>O179</f>
        <v>-124.0,</v>
      </c>
      <c r="P180">
        <f>P179-0.5</f>
        <v>-124.5</v>
      </c>
      <c r="Q180">
        <f>Q179-0.5</f>
        <v>-2</v>
      </c>
    </row>
    <row r="181" spans="2:17" x14ac:dyDescent="0.25">
      <c r="B181">
        <f>400+2*(Table1[[#This Row],[Column1]]-42)</f>
        <v>416</v>
      </c>
      <c r="C181">
        <f>MINUTE(Table1[[#This Row],[Time]])</f>
        <v>50</v>
      </c>
      <c r="D181" s="1">
        <v>0.45157774305555559</v>
      </c>
      <c r="E181" t="s">
        <v>9</v>
      </c>
      <c r="F181">
        <v>-123</v>
      </c>
      <c r="G181">
        <v>1</v>
      </c>
      <c r="K181">
        <f>400+2*(Table2[[#This Row],[Column1]]-13)</f>
        <v>416</v>
      </c>
      <c r="L181">
        <f>MINUTE(Table2[[#This Row],[Time]])</f>
        <v>21</v>
      </c>
      <c r="M181" s="1">
        <v>0.68144402777777779</v>
      </c>
      <c r="N181" t="s">
        <v>9</v>
      </c>
      <c r="O181" t="s">
        <v>12</v>
      </c>
      <c r="P181">
        <f t="shared" si="13"/>
        <v>-123</v>
      </c>
      <c r="Q181">
        <v>0.8</v>
      </c>
    </row>
    <row r="182" spans="2:17" x14ac:dyDescent="0.25">
      <c r="B182">
        <f>400+2*(Table1[[#This Row],[Column1]]-42)</f>
        <v>416</v>
      </c>
      <c r="C182">
        <f>MINUTE(Table1[[#This Row],[Time]])</f>
        <v>50</v>
      </c>
      <c r="D182" s="1">
        <v>0.4516101388888889</v>
      </c>
      <c r="E182" t="s">
        <v>9</v>
      </c>
      <c r="F182">
        <v>-123</v>
      </c>
      <c r="G182">
        <v>0.8</v>
      </c>
      <c r="K182">
        <f>400+2*(Table2[[#This Row],[Column1]]-13)</f>
        <v>416</v>
      </c>
      <c r="L182">
        <f>MINUTE(Table2[[#This Row],[Time]])</f>
        <v>21</v>
      </c>
      <c r="M182" s="1">
        <v>0.68147642361111116</v>
      </c>
      <c r="N182" t="s">
        <v>9</v>
      </c>
      <c r="O182" t="s">
        <v>12</v>
      </c>
      <c r="P182">
        <f t="shared" si="13"/>
        <v>-123</v>
      </c>
      <c r="Q182">
        <v>0.5</v>
      </c>
    </row>
    <row r="183" spans="2:17" x14ac:dyDescent="0.25">
      <c r="B183">
        <f>400+2*(Table1[[#This Row],[Column1]]-42)</f>
        <v>416</v>
      </c>
      <c r="C183">
        <f>MINUTE(Table1[[#This Row],[Time]])</f>
        <v>50</v>
      </c>
      <c r="D183" s="1">
        <v>0.45164252314814812</v>
      </c>
      <c r="E183" t="s">
        <v>27</v>
      </c>
      <c r="F183">
        <f t="shared" ref="F183:F184" si="24">F182-0.5</f>
        <v>-123.5</v>
      </c>
      <c r="G183">
        <f t="shared" ref="G183:G184" si="25">G182-0.5</f>
        <v>0.30000000000000004</v>
      </c>
      <c r="K183">
        <f>400+2*(Table2[[#This Row],[Column1]]-13)</f>
        <v>416</v>
      </c>
      <c r="L183">
        <f>MINUTE(Table2[[#This Row],[Time]])</f>
        <v>21</v>
      </c>
      <c r="M183" s="1">
        <v>0.68150881944444441</v>
      </c>
      <c r="N183" t="s">
        <v>9</v>
      </c>
      <c r="O183" t="s">
        <v>12</v>
      </c>
      <c r="P183">
        <f t="shared" si="13"/>
        <v>-123</v>
      </c>
      <c r="Q183">
        <v>0.8</v>
      </c>
    </row>
    <row r="184" spans="2:17" x14ac:dyDescent="0.25">
      <c r="B184">
        <f>400+2*(Table1[[#This Row],[Column1]]-42)</f>
        <v>416</v>
      </c>
      <c r="C184">
        <f>MINUTE(Table1[[#This Row],[Time]])</f>
        <v>50</v>
      </c>
      <c r="D184" s="1">
        <v>0.45167493055555558</v>
      </c>
      <c r="E184" t="s">
        <v>27</v>
      </c>
      <c r="F184">
        <f t="shared" si="24"/>
        <v>-124</v>
      </c>
      <c r="G184">
        <f t="shared" si="25"/>
        <v>-0.19999999999999996</v>
      </c>
      <c r="K184">
        <f>400+2*(Table2[[#This Row],[Column1]]-13)</f>
        <v>416</v>
      </c>
      <c r="L184">
        <f>MINUTE(Table2[[#This Row],[Time]])</f>
        <v>21</v>
      </c>
      <c r="M184" s="1">
        <v>0.68154121527777778</v>
      </c>
      <c r="N184" t="s">
        <v>27</v>
      </c>
      <c r="O184" t="str">
        <f>O183</f>
        <v>-123.0,</v>
      </c>
      <c r="P184">
        <f>P183-0.5</f>
        <v>-123.5</v>
      </c>
      <c r="Q184">
        <f>Q183-0.5</f>
        <v>0.30000000000000004</v>
      </c>
    </row>
    <row r="185" spans="2:17" x14ac:dyDescent="0.25">
      <c r="B185">
        <f>400+2*(Table1[[#This Row],[Column1]]-42)</f>
        <v>416</v>
      </c>
      <c r="C185">
        <f>MINUTE(Table1[[#This Row],[Time]])</f>
        <v>50</v>
      </c>
      <c r="D185" s="1">
        <v>0.45170732638888889</v>
      </c>
      <c r="E185" t="s">
        <v>9</v>
      </c>
      <c r="F185">
        <v>-123</v>
      </c>
      <c r="G185">
        <v>0.8</v>
      </c>
      <c r="K185">
        <f>400+2*(Table2[[#This Row],[Column1]]-13)</f>
        <v>416</v>
      </c>
      <c r="L185">
        <f>MINUTE(Table2[[#This Row],[Time]])</f>
        <v>21</v>
      </c>
      <c r="M185" s="1">
        <v>0.68157361111111114</v>
      </c>
      <c r="N185" t="s">
        <v>9</v>
      </c>
      <c r="O185" t="s">
        <v>12</v>
      </c>
      <c r="P185">
        <f t="shared" si="13"/>
        <v>-123</v>
      </c>
      <c r="Q185">
        <v>0.8</v>
      </c>
    </row>
    <row r="186" spans="2:17" x14ac:dyDescent="0.25">
      <c r="B186">
        <f>400+2*(Table1[[#This Row],[Column1]]-42)</f>
        <v>416</v>
      </c>
      <c r="C186">
        <f>MINUTE(Table1[[#This Row],[Time]])</f>
        <v>50</v>
      </c>
      <c r="D186" s="1">
        <v>0.45173971064814816</v>
      </c>
      <c r="E186" t="s">
        <v>9</v>
      </c>
      <c r="F186">
        <v>-118</v>
      </c>
      <c r="G186">
        <v>0.5</v>
      </c>
      <c r="K186">
        <f>400+2*(Table2[[#This Row],[Column1]]-13)</f>
        <v>416</v>
      </c>
      <c r="L186">
        <f>MINUTE(Table2[[#This Row],[Time]])</f>
        <v>21</v>
      </c>
      <c r="M186" s="1">
        <v>0.6816060069444444</v>
      </c>
      <c r="N186" t="s">
        <v>9</v>
      </c>
      <c r="O186" t="s">
        <v>12</v>
      </c>
      <c r="P186">
        <f t="shared" si="13"/>
        <v>-123</v>
      </c>
      <c r="Q186">
        <v>0.8</v>
      </c>
    </row>
    <row r="187" spans="2:17" x14ac:dyDescent="0.25">
      <c r="B187">
        <f>400+2*(Table1[[#This Row],[Column1]]-42)</f>
        <v>416</v>
      </c>
      <c r="C187">
        <f>MINUTE(Table1[[#This Row],[Time]])</f>
        <v>50</v>
      </c>
      <c r="D187" s="1">
        <v>0.45177210648148147</v>
      </c>
      <c r="E187" t="s">
        <v>9</v>
      </c>
      <c r="F187">
        <v>-123</v>
      </c>
      <c r="G187">
        <v>0.8</v>
      </c>
      <c r="K187">
        <f>400+2*(Table2[[#This Row],[Column1]]-13)</f>
        <v>416</v>
      </c>
      <c r="L187">
        <f>MINUTE(Table2[[#This Row],[Time]])</f>
        <v>21</v>
      </c>
      <c r="M187" s="1">
        <v>0.68163840277777776</v>
      </c>
      <c r="N187" t="s">
        <v>9</v>
      </c>
      <c r="O187" t="s">
        <v>12</v>
      </c>
      <c r="P187">
        <f t="shared" si="13"/>
        <v>-123</v>
      </c>
      <c r="Q187">
        <v>0.5</v>
      </c>
    </row>
    <row r="188" spans="2:17" x14ac:dyDescent="0.25">
      <c r="B188">
        <f>400+2*(Table1[[#This Row],[Column1]]-42)</f>
        <v>416</v>
      </c>
      <c r="C188">
        <f>MINUTE(Table1[[#This Row],[Time]])</f>
        <v>50</v>
      </c>
      <c r="D188" s="1">
        <v>0.45180450231481484</v>
      </c>
      <c r="E188" t="s">
        <v>9</v>
      </c>
      <c r="F188">
        <v>-123</v>
      </c>
      <c r="G188">
        <v>0.8</v>
      </c>
      <c r="K188">
        <f>400+2*(Table2[[#This Row],[Column1]]-13)</f>
        <v>416</v>
      </c>
      <c r="L188">
        <f>MINUTE(Table2[[#This Row],[Time]])</f>
        <v>21</v>
      </c>
      <c r="M188" s="1">
        <v>0.68167079861111113</v>
      </c>
      <c r="N188" t="s">
        <v>9</v>
      </c>
      <c r="O188" t="s">
        <v>11</v>
      </c>
      <c r="P188">
        <f t="shared" si="13"/>
        <v>-122</v>
      </c>
      <c r="Q188">
        <v>0.8</v>
      </c>
    </row>
    <row r="189" spans="2:17" x14ac:dyDescent="0.25">
      <c r="B189">
        <f>400+2*(Table1[[#This Row],[Column1]]-42)</f>
        <v>416</v>
      </c>
      <c r="C189">
        <f>MINUTE(Table1[[#This Row],[Time]])</f>
        <v>50</v>
      </c>
      <c r="D189" s="1">
        <v>0.45183689814814815</v>
      </c>
      <c r="E189" t="s">
        <v>9</v>
      </c>
      <c r="F189">
        <v>-123</v>
      </c>
      <c r="G189">
        <v>1</v>
      </c>
      <c r="K189">
        <f>400+2*(Table2[[#This Row],[Column1]]-13)</f>
        <v>416</v>
      </c>
      <c r="L189">
        <f>MINUTE(Table2[[#This Row],[Time]])</f>
        <v>21</v>
      </c>
      <c r="M189" s="1">
        <v>0.68170318287037035</v>
      </c>
      <c r="N189" t="s">
        <v>27</v>
      </c>
      <c r="O189" t="str">
        <f>O188</f>
        <v>-122.0,</v>
      </c>
      <c r="P189">
        <f>P188-0.5</f>
        <v>-122.5</v>
      </c>
      <c r="Q189">
        <f>Q188-0.5</f>
        <v>0.30000000000000004</v>
      </c>
    </row>
    <row r="190" spans="2:17" x14ac:dyDescent="0.25">
      <c r="B190">
        <f>400+2*(Table1[[#This Row],[Column1]]-42)</f>
        <v>416</v>
      </c>
      <c r="C190">
        <f>MINUTE(Table1[[#This Row],[Time]])</f>
        <v>50</v>
      </c>
      <c r="D190" s="1">
        <v>0.4518693055555556</v>
      </c>
      <c r="E190" t="s">
        <v>9</v>
      </c>
      <c r="F190">
        <v>-123</v>
      </c>
      <c r="G190">
        <v>0.5</v>
      </c>
      <c r="K190">
        <f>400+2*(Table2[[#This Row],[Column1]]-13)</f>
        <v>416</v>
      </c>
      <c r="L190">
        <f>MINUTE(Table2[[#This Row],[Time]])</f>
        <v>21</v>
      </c>
      <c r="M190" s="1">
        <v>0.68173559027777775</v>
      </c>
      <c r="N190" t="s">
        <v>9</v>
      </c>
      <c r="O190" t="s">
        <v>12</v>
      </c>
      <c r="P190">
        <f t="shared" si="13"/>
        <v>-123</v>
      </c>
      <c r="Q190">
        <v>0.5</v>
      </c>
    </row>
    <row r="191" spans="2:17" x14ac:dyDescent="0.25">
      <c r="B191">
        <f>400+2*(Table1[[#This Row],[Column1]]-42)</f>
        <v>416</v>
      </c>
      <c r="C191">
        <f>MINUTE(Table1[[#This Row],[Time]])</f>
        <v>50</v>
      </c>
      <c r="D191" s="1">
        <v>0.45190170138888891</v>
      </c>
      <c r="E191" t="s">
        <v>27</v>
      </c>
      <c r="F191">
        <f t="shared" ref="F191:F193" si="26">F190-0.5</f>
        <v>-123.5</v>
      </c>
      <c r="G191">
        <f t="shared" ref="G191:G193" si="27">G190-0.5</f>
        <v>0</v>
      </c>
      <c r="K191">
        <f>400+2*(Table2[[#This Row],[Column1]]-13)</f>
        <v>416</v>
      </c>
      <c r="L191">
        <f>MINUTE(Table2[[#This Row],[Time]])</f>
        <v>21</v>
      </c>
      <c r="M191" s="1">
        <v>0.68176798611111111</v>
      </c>
      <c r="N191" t="s">
        <v>9</v>
      </c>
      <c r="O191" t="s">
        <v>12</v>
      </c>
      <c r="P191">
        <f t="shared" si="13"/>
        <v>-123</v>
      </c>
      <c r="Q191">
        <v>0.8</v>
      </c>
    </row>
    <row r="192" spans="2:17" x14ac:dyDescent="0.25">
      <c r="B192">
        <f>400+2*(Table1[[#This Row],[Column1]]-42)</f>
        <v>416</v>
      </c>
      <c r="C192">
        <f>MINUTE(Table1[[#This Row],[Time]])</f>
        <v>50</v>
      </c>
      <c r="D192" s="1">
        <v>0.45193407407407404</v>
      </c>
      <c r="E192" t="s">
        <v>27</v>
      </c>
      <c r="F192">
        <f t="shared" si="26"/>
        <v>-124</v>
      </c>
      <c r="G192">
        <f t="shared" si="27"/>
        <v>-0.5</v>
      </c>
      <c r="K192">
        <f>400+2*(Table2[[#This Row],[Column1]]-13)</f>
        <v>416</v>
      </c>
      <c r="L192">
        <f>MINUTE(Table2[[#This Row],[Time]])</f>
        <v>21</v>
      </c>
      <c r="M192" s="1">
        <v>0.68180038194444448</v>
      </c>
      <c r="N192" t="s">
        <v>9</v>
      </c>
      <c r="O192" t="s">
        <v>12</v>
      </c>
      <c r="P192">
        <f t="shared" si="13"/>
        <v>-123</v>
      </c>
      <c r="Q192">
        <v>0.3</v>
      </c>
    </row>
    <row r="193" spans="2:17" x14ac:dyDescent="0.25">
      <c r="B193">
        <f>400+2*(Table1[[#This Row],[Column1]]-42)</f>
        <v>416</v>
      </c>
      <c r="C193">
        <f>MINUTE(Table1[[#This Row],[Time]])</f>
        <v>50</v>
      </c>
      <c r="D193" s="1">
        <v>0.4519664814814815</v>
      </c>
      <c r="E193" t="s">
        <v>27</v>
      </c>
      <c r="F193">
        <f t="shared" si="26"/>
        <v>-124.5</v>
      </c>
      <c r="G193">
        <f t="shared" si="27"/>
        <v>-1</v>
      </c>
      <c r="K193">
        <f>400+2*(Table2[[#This Row],[Column1]]-13)</f>
        <v>416</v>
      </c>
      <c r="L193">
        <f>MINUTE(Table2[[#This Row],[Time]])</f>
        <v>21</v>
      </c>
      <c r="M193" s="1">
        <v>0.68183277777777773</v>
      </c>
      <c r="N193" t="s">
        <v>9</v>
      </c>
      <c r="O193" t="s">
        <v>12</v>
      </c>
      <c r="P193">
        <f t="shared" si="13"/>
        <v>-123</v>
      </c>
      <c r="Q193">
        <v>0.8</v>
      </c>
    </row>
    <row r="194" spans="2:17" x14ac:dyDescent="0.25">
      <c r="B194">
        <f>400+2*(Table1[[#This Row],[Column1]]-42)</f>
        <v>416</v>
      </c>
      <c r="C194">
        <f>MINUTE(Table1[[#This Row],[Time]])</f>
        <v>50</v>
      </c>
      <c r="D194" s="1">
        <v>0.45199887731481481</v>
      </c>
      <c r="E194" t="s">
        <v>9</v>
      </c>
      <c r="F194">
        <v>-123</v>
      </c>
      <c r="G194">
        <v>0.5</v>
      </c>
      <c r="K194">
        <f>400+2*(Table2[[#This Row],[Column1]]-13)</f>
        <v>416</v>
      </c>
      <c r="L194">
        <f>MINUTE(Table2[[#This Row],[Time]])</f>
        <v>21</v>
      </c>
      <c r="M194" s="1">
        <v>0.6818651736111111</v>
      </c>
      <c r="N194" t="s">
        <v>9</v>
      </c>
      <c r="O194" t="s">
        <v>12</v>
      </c>
      <c r="P194">
        <f t="shared" si="13"/>
        <v>-123</v>
      </c>
      <c r="Q194">
        <v>0.3</v>
      </c>
    </row>
    <row r="195" spans="2:17" x14ac:dyDescent="0.25">
      <c r="B195">
        <f>400+2*(Table1[[#This Row],[Column1]]-42)</f>
        <v>416</v>
      </c>
      <c r="C195">
        <f>MINUTE(Table1[[#This Row],[Time]])</f>
        <v>50</v>
      </c>
      <c r="D195" s="1">
        <v>0.4520312847222222</v>
      </c>
      <c r="E195" t="s">
        <v>9</v>
      </c>
      <c r="F195">
        <v>-123</v>
      </c>
      <c r="G195">
        <v>0.8</v>
      </c>
      <c r="K195">
        <f>400+2*(Table2[[#This Row],[Column1]]-13)</f>
        <v>416</v>
      </c>
      <c r="L195">
        <f>MINUTE(Table2[[#This Row],[Time]])</f>
        <v>21</v>
      </c>
      <c r="M195" s="1">
        <v>0.68189756944444446</v>
      </c>
      <c r="N195" t="s">
        <v>9</v>
      </c>
      <c r="O195" t="s">
        <v>12</v>
      </c>
      <c r="P195">
        <f t="shared" si="13"/>
        <v>-123</v>
      </c>
      <c r="Q195">
        <v>0.5</v>
      </c>
    </row>
    <row r="196" spans="2:17" x14ac:dyDescent="0.25">
      <c r="B196">
        <f>400+2*(Table1[[#This Row],[Column1]]-42)</f>
        <v>416</v>
      </c>
      <c r="C196">
        <f>MINUTE(Table1[[#This Row],[Time]])</f>
        <v>50</v>
      </c>
      <c r="D196" s="1">
        <v>0.45206368055555557</v>
      </c>
      <c r="E196" t="s">
        <v>9</v>
      </c>
      <c r="F196">
        <v>-123</v>
      </c>
      <c r="G196">
        <v>0.5</v>
      </c>
      <c r="K196">
        <f>400+2*(Table2[[#This Row],[Column1]]-13)</f>
        <v>416</v>
      </c>
      <c r="L196">
        <f>MINUTE(Table2[[#This Row],[Time]])</f>
        <v>21</v>
      </c>
      <c r="M196" s="1">
        <v>0.68192996527777783</v>
      </c>
      <c r="N196" t="s">
        <v>27</v>
      </c>
      <c r="O196" t="str">
        <f>O195</f>
        <v>-123.0,</v>
      </c>
      <c r="P196">
        <f>P195-0.5</f>
        <v>-123.5</v>
      </c>
      <c r="Q196">
        <f>Q195-0.5</f>
        <v>0</v>
      </c>
    </row>
    <row r="197" spans="2:17" x14ac:dyDescent="0.25">
      <c r="B197">
        <f>400+2*(Table1[[#This Row],[Column1]]-42)</f>
        <v>418</v>
      </c>
      <c r="C197">
        <f>MINUTE(Table1[[#This Row],[Time]])</f>
        <v>51</v>
      </c>
      <c r="D197" s="1">
        <v>0.45209607638888893</v>
      </c>
      <c r="E197" t="s">
        <v>9</v>
      </c>
      <c r="F197">
        <v>-123</v>
      </c>
      <c r="G197">
        <v>0.8</v>
      </c>
      <c r="K197">
        <f>400+2*(Table2[[#This Row],[Column1]]-13)</f>
        <v>418</v>
      </c>
      <c r="L197">
        <f>MINUTE(Table2[[#This Row],[Time]])</f>
        <v>22</v>
      </c>
      <c r="M197" s="1">
        <v>0.68196236111111119</v>
      </c>
      <c r="N197" t="s">
        <v>9</v>
      </c>
      <c r="O197" t="s">
        <v>11</v>
      </c>
      <c r="P197">
        <f t="shared" ref="P196:P259" si="28">VALUE(LEFT(O197,LEN(O197)-1))</f>
        <v>-122</v>
      </c>
      <c r="Q197">
        <v>0.5</v>
      </c>
    </row>
    <row r="198" spans="2:17" x14ac:dyDescent="0.25">
      <c r="B198">
        <f>400+2*(Table1[[#This Row],[Column1]]-42)</f>
        <v>418</v>
      </c>
      <c r="C198">
        <f>MINUTE(Table1[[#This Row],[Time]])</f>
        <v>51</v>
      </c>
      <c r="D198" s="1">
        <v>0.45212847222222224</v>
      </c>
      <c r="E198" t="s">
        <v>13</v>
      </c>
      <c r="F198">
        <f>F197-0.5</f>
        <v>-123.5</v>
      </c>
      <c r="G198">
        <f>G197-0.5</f>
        <v>0.30000000000000004</v>
      </c>
      <c r="K198">
        <f>400+2*(Table2[[#This Row],[Column1]]-13)</f>
        <v>418</v>
      </c>
      <c r="L198">
        <f>MINUTE(Table2[[#This Row],[Time]])</f>
        <v>22</v>
      </c>
      <c r="M198" s="1">
        <v>0.68199475694444445</v>
      </c>
      <c r="N198" t="s">
        <v>9</v>
      </c>
      <c r="O198" t="s">
        <v>19</v>
      </c>
      <c r="P198">
        <f t="shared" si="28"/>
        <v>-124</v>
      </c>
      <c r="Q198">
        <v>-1.5</v>
      </c>
    </row>
    <row r="199" spans="2:17" x14ac:dyDescent="0.25">
      <c r="B199">
        <f>400+2*(Table1[[#This Row],[Column1]]-42)</f>
        <v>418</v>
      </c>
      <c r="C199">
        <f>MINUTE(Table1[[#This Row],[Time]])</f>
        <v>51</v>
      </c>
      <c r="D199" s="1">
        <v>0.45216086805555555</v>
      </c>
      <c r="E199" t="s">
        <v>9</v>
      </c>
      <c r="F199">
        <v>-124</v>
      </c>
      <c r="G199">
        <v>-1.3</v>
      </c>
      <c r="K199">
        <f>400+2*(Table2[[#This Row],[Column1]]-13)</f>
        <v>418</v>
      </c>
      <c r="L199">
        <f>MINUTE(Table2[[#This Row],[Time]])</f>
        <v>22</v>
      </c>
      <c r="M199" s="1">
        <v>0.68202715277777781</v>
      </c>
      <c r="N199" t="s">
        <v>9</v>
      </c>
      <c r="O199" t="s">
        <v>19</v>
      </c>
      <c r="P199">
        <f t="shared" si="28"/>
        <v>-124</v>
      </c>
      <c r="Q199">
        <v>-1</v>
      </c>
    </row>
    <row r="200" spans="2:17" x14ac:dyDescent="0.25">
      <c r="B200">
        <f>400+2*(Table1[[#This Row],[Column1]]-42)</f>
        <v>418</v>
      </c>
      <c r="C200">
        <f>MINUTE(Table1[[#This Row],[Time]])</f>
        <v>51</v>
      </c>
      <c r="D200" s="1">
        <v>0.45219325231481483</v>
      </c>
      <c r="E200" t="s">
        <v>27</v>
      </c>
      <c r="F200">
        <f t="shared" ref="F200:F202" si="29">F199-0.5</f>
        <v>-124.5</v>
      </c>
      <c r="G200">
        <f t="shared" ref="G200:G202" si="30">G199-0.5</f>
        <v>-1.8</v>
      </c>
      <c r="K200">
        <f>400+2*(Table2[[#This Row],[Column1]]-13)</f>
        <v>418</v>
      </c>
      <c r="L200">
        <f>MINUTE(Table2[[#This Row],[Time]])</f>
        <v>22</v>
      </c>
      <c r="M200" s="1">
        <v>0.68205954861111107</v>
      </c>
      <c r="N200" t="s">
        <v>27</v>
      </c>
      <c r="O200" t="str">
        <f t="shared" ref="O200:O201" si="31">O199</f>
        <v>-124.0,</v>
      </c>
      <c r="P200">
        <f t="shared" ref="P200:P201" si="32">P199-0.5</f>
        <v>-124.5</v>
      </c>
      <c r="Q200">
        <f t="shared" ref="Q200:Q201" si="33">Q199-0.5</f>
        <v>-1.5</v>
      </c>
    </row>
    <row r="201" spans="2:17" x14ac:dyDescent="0.25">
      <c r="B201">
        <f>400+2*(Table1[[#This Row],[Column1]]-42)</f>
        <v>418</v>
      </c>
      <c r="C201">
        <f>MINUTE(Table1[[#This Row],[Time]])</f>
        <v>51</v>
      </c>
      <c r="D201" s="1">
        <v>0.45222565972222223</v>
      </c>
      <c r="E201" t="s">
        <v>27</v>
      </c>
      <c r="F201">
        <f t="shared" si="29"/>
        <v>-125</v>
      </c>
      <c r="G201">
        <f t="shared" si="30"/>
        <v>-2.2999999999999998</v>
      </c>
      <c r="K201">
        <f>400+2*(Table2[[#This Row],[Column1]]-13)</f>
        <v>418</v>
      </c>
      <c r="L201">
        <f>MINUTE(Table2[[#This Row],[Time]])</f>
        <v>22</v>
      </c>
      <c r="M201" s="1">
        <v>0.6820919328703704</v>
      </c>
      <c r="N201" t="s">
        <v>27</v>
      </c>
      <c r="O201" t="str">
        <f t="shared" si="31"/>
        <v>-124.0,</v>
      </c>
      <c r="P201">
        <f t="shared" si="32"/>
        <v>-125</v>
      </c>
      <c r="Q201">
        <f t="shared" si="33"/>
        <v>-2</v>
      </c>
    </row>
    <row r="202" spans="2:17" x14ac:dyDescent="0.25">
      <c r="B202">
        <f>400+2*(Table1[[#This Row],[Column1]]-42)</f>
        <v>418</v>
      </c>
      <c r="C202">
        <f>MINUTE(Table1[[#This Row],[Time]])</f>
        <v>51</v>
      </c>
      <c r="D202" s="1">
        <v>0.45225804398148151</v>
      </c>
      <c r="E202" t="s">
        <v>13</v>
      </c>
      <c r="F202">
        <f t="shared" si="29"/>
        <v>-125.5</v>
      </c>
      <c r="G202">
        <f t="shared" si="30"/>
        <v>-2.8</v>
      </c>
      <c r="K202">
        <f>400+2*(Table2[[#This Row],[Column1]]-13)</f>
        <v>418</v>
      </c>
      <c r="L202">
        <f>MINUTE(Table2[[#This Row],[Time]])</f>
        <v>22</v>
      </c>
      <c r="M202" s="1">
        <v>0.6821243402777778</v>
      </c>
      <c r="N202" t="s">
        <v>9</v>
      </c>
      <c r="O202" t="s">
        <v>12</v>
      </c>
      <c r="P202">
        <f t="shared" si="28"/>
        <v>-123</v>
      </c>
      <c r="Q202">
        <v>0.8</v>
      </c>
    </row>
    <row r="203" spans="2:17" x14ac:dyDescent="0.25">
      <c r="B203">
        <f>400+2*(Table1[[#This Row],[Column1]]-42)</f>
        <v>418</v>
      </c>
      <c r="C203">
        <f>MINUTE(Table1[[#This Row],[Time]])</f>
        <v>51</v>
      </c>
      <c r="D203" s="1">
        <v>0.45229045138888885</v>
      </c>
      <c r="E203" t="s">
        <v>9</v>
      </c>
      <c r="F203">
        <v>-123</v>
      </c>
      <c r="G203">
        <v>1</v>
      </c>
      <c r="K203">
        <f>400+2*(Table2[[#This Row],[Column1]]-13)</f>
        <v>418</v>
      </c>
      <c r="L203">
        <f>MINUTE(Table2[[#This Row],[Time]])</f>
        <v>22</v>
      </c>
      <c r="M203" s="1">
        <v>0.68215673611111105</v>
      </c>
      <c r="N203" t="s">
        <v>9</v>
      </c>
      <c r="O203" t="s">
        <v>12</v>
      </c>
      <c r="P203">
        <f t="shared" si="28"/>
        <v>-123</v>
      </c>
      <c r="Q203">
        <v>1</v>
      </c>
    </row>
    <row r="204" spans="2:17" x14ac:dyDescent="0.25">
      <c r="B204">
        <f>400+2*(Table1[[#This Row],[Column1]]-42)</f>
        <v>418</v>
      </c>
      <c r="C204">
        <f>MINUTE(Table1[[#This Row],[Time]])</f>
        <v>51</v>
      </c>
      <c r="D204" s="1">
        <v>0.45232282407407409</v>
      </c>
      <c r="E204" t="s">
        <v>27</v>
      </c>
      <c r="F204">
        <f t="shared" ref="F204:F206" si="34">F203-0.5</f>
        <v>-123.5</v>
      </c>
      <c r="G204">
        <f t="shared" ref="G204:G206" si="35">G203-0.5</f>
        <v>0.5</v>
      </c>
      <c r="K204">
        <f>400+2*(Table2[[#This Row],[Column1]]-13)</f>
        <v>418</v>
      </c>
      <c r="L204">
        <f>MINUTE(Table2[[#This Row],[Time]])</f>
        <v>22</v>
      </c>
      <c r="M204" s="1">
        <v>0.68218913194444453</v>
      </c>
      <c r="N204" t="s">
        <v>9</v>
      </c>
      <c r="O204" t="s">
        <v>12</v>
      </c>
      <c r="P204">
        <f t="shared" si="28"/>
        <v>-123</v>
      </c>
      <c r="Q204">
        <v>1</v>
      </c>
    </row>
    <row r="205" spans="2:17" x14ac:dyDescent="0.25">
      <c r="B205">
        <f>400+2*(Table1[[#This Row],[Column1]]-42)</f>
        <v>418</v>
      </c>
      <c r="C205">
        <f>MINUTE(Table1[[#This Row],[Time]])</f>
        <v>51</v>
      </c>
      <c r="D205" s="1">
        <v>0.45235524305555558</v>
      </c>
      <c r="E205" t="s">
        <v>27</v>
      </c>
      <c r="F205">
        <f t="shared" si="34"/>
        <v>-124</v>
      </c>
      <c r="G205">
        <f t="shared" si="35"/>
        <v>0</v>
      </c>
      <c r="K205">
        <f>400+2*(Table2[[#This Row],[Column1]]-13)</f>
        <v>418</v>
      </c>
      <c r="L205">
        <f>MINUTE(Table2[[#This Row],[Time]])</f>
        <v>22</v>
      </c>
      <c r="M205" s="1">
        <v>0.68222152777777778</v>
      </c>
      <c r="N205" t="s">
        <v>9</v>
      </c>
      <c r="O205" t="s">
        <v>12</v>
      </c>
      <c r="P205">
        <f t="shared" si="28"/>
        <v>-123</v>
      </c>
      <c r="Q205">
        <v>0.8</v>
      </c>
    </row>
    <row r="206" spans="2:17" x14ac:dyDescent="0.25">
      <c r="B206">
        <f>400+2*(Table1[[#This Row],[Column1]]-42)</f>
        <v>418</v>
      </c>
      <c r="C206">
        <f>MINUTE(Table1[[#This Row],[Time]])</f>
        <v>51</v>
      </c>
      <c r="D206" s="1">
        <v>0.45238763888888889</v>
      </c>
      <c r="E206" t="s">
        <v>27</v>
      </c>
      <c r="F206">
        <f t="shared" si="34"/>
        <v>-124.5</v>
      </c>
      <c r="G206">
        <f t="shared" si="35"/>
        <v>-0.5</v>
      </c>
      <c r="K206">
        <f>400+2*(Table2[[#This Row],[Column1]]-13)</f>
        <v>418</v>
      </c>
      <c r="L206">
        <f>MINUTE(Table2[[#This Row],[Time]])</f>
        <v>22</v>
      </c>
      <c r="M206" s="1">
        <v>0.68225392361111115</v>
      </c>
      <c r="N206" t="s">
        <v>9</v>
      </c>
      <c r="O206" t="s">
        <v>12</v>
      </c>
      <c r="P206">
        <f t="shared" si="28"/>
        <v>-123</v>
      </c>
      <c r="Q206">
        <v>0.5</v>
      </c>
    </row>
    <row r="207" spans="2:17" x14ac:dyDescent="0.25">
      <c r="B207">
        <f>400+2*(Table1[[#This Row],[Column1]]-42)</f>
        <v>418</v>
      </c>
      <c r="C207">
        <f>MINUTE(Table1[[#This Row],[Time]])</f>
        <v>51</v>
      </c>
      <c r="D207" s="1">
        <v>0.45242003472222225</v>
      </c>
      <c r="E207" t="s">
        <v>9</v>
      </c>
      <c r="F207">
        <v>-121</v>
      </c>
      <c r="G207">
        <v>0.3</v>
      </c>
      <c r="K207">
        <f>400+2*(Table2[[#This Row],[Column1]]-13)</f>
        <v>418</v>
      </c>
      <c r="L207">
        <f>MINUTE(Table2[[#This Row],[Time]])</f>
        <v>22</v>
      </c>
      <c r="M207" s="1">
        <v>0.6822863194444444</v>
      </c>
      <c r="N207" t="s">
        <v>9</v>
      </c>
      <c r="O207" t="s">
        <v>12</v>
      </c>
      <c r="P207">
        <f t="shared" si="28"/>
        <v>-123</v>
      </c>
      <c r="Q207">
        <v>0.8</v>
      </c>
    </row>
    <row r="208" spans="2:17" x14ac:dyDescent="0.25">
      <c r="B208">
        <f>400+2*(Table1[[#This Row],[Column1]]-42)</f>
        <v>418</v>
      </c>
      <c r="C208">
        <f>MINUTE(Table1[[#This Row],[Time]])</f>
        <v>51</v>
      </c>
      <c r="D208" s="1">
        <v>0.45245243055555556</v>
      </c>
      <c r="E208" t="s">
        <v>27</v>
      </c>
      <c r="F208">
        <f t="shared" ref="F208:F209" si="36">F207-0.5</f>
        <v>-121.5</v>
      </c>
      <c r="G208">
        <f t="shared" ref="G208:G209" si="37">G207-0.5</f>
        <v>-0.2</v>
      </c>
      <c r="K208">
        <f>400+2*(Table2[[#This Row],[Column1]]-13)</f>
        <v>418</v>
      </c>
      <c r="L208">
        <f>MINUTE(Table2[[#This Row],[Time]])</f>
        <v>22</v>
      </c>
      <c r="M208" s="1">
        <v>0.68231870370370373</v>
      </c>
      <c r="N208" t="s">
        <v>9</v>
      </c>
      <c r="O208" t="s">
        <v>12</v>
      </c>
      <c r="P208">
        <f t="shared" si="28"/>
        <v>-123</v>
      </c>
      <c r="Q208">
        <v>0.5</v>
      </c>
    </row>
    <row r="209" spans="2:17" x14ac:dyDescent="0.25">
      <c r="B209">
        <f>400+2*(Table1[[#This Row],[Column1]]-42)</f>
        <v>418</v>
      </c>
      <c r="C209">
        <f>MINUTE(Table1[[#This Row],[Time]])</f>
        <v>51</v>
      </c>
      <c r="D209" s="1">
        <v>0.4524848032407407</v>
      </c>
      <c r="E209" t="s">
        <v>27</v>
      </c>
      <c r="F209">
        <f t="shared" si="36"/>
        <v>-122</v>
      </c>
      <c r="G209">
        <f t="shared" si="37"/>
        <v>-0.7</v>
      </c>
      <c r="K209">
        <f>400+2*(Table2[[#This Row],[Column1]]-13)</f>
        <v>418</v>
      </c>
      <c r="L209">
        <f>MINUTE(Table2[[#This Row],[Time]])</f>
        <v>22</v>
      </c>
      <c r="M209" s="1">
        <v>0.6823510995370371</v>
      </c>
      <c r="N209" t="s">
        <v>9</v>
      </c>
      <c r="O209" t="s">
        <v>12</v>
      </c>
      <c r="P209">
        <f t="shared" si="28"/>
        <v>-123</v>
      </c>
      <c r="Q209">
        <v>0.8</v>
      </c>
    </row>
    <row r="210" spans="2:17" x14ac:dyDescent="0.25">
      <c r="B210">
        <f>400+2*(Table1[[#This Row],[Column1]]-42)</f>
        <v>418</v>
      </c>
      <c r="C210">
        <f>MINUTE(Table1[[#This Row],[Time]])</f>
        <v>51</v>
      </c>
      <c r="D210" s="1">
        <v>0.45251722222222218</v>
      </c>
      <c r="E210" t="s">
        <v>9</v>
      </c>
      <c r="F210">
        <v>-123</v>
      </c>
      <c r="G210">
        <v>0.5</v>
      </c>
      <c r="K210">
        <f>400+2*(Table2[[#This Row],[Column1]]-13)</f>
        <v>418</v>
      </c>
      <c r="L210">
        <f>MINUTE(Table2[[#This Row],[Time]])</f>
        <v>22</v>
      </c>
      <c r="M210" s="1">
        <v>0.68238350694444438</v>
      </c>
      <c r="N210" t="s">
        <v>9</v>
      </c>
      <c r="O210" t="s">
        <v>12</v>
      </c>
      <c r="P210">
        <f t="shared" si="28"/>
        <v>-123</v>
      </c>
      <c r="Q210">
        <v>0.8</v>
      </c>
    </row>
    <row r="211" spans="2:17" x14ac:dyDescent="0.25">
      <c r="B211">
        <f>400+2*(Table1[[#This Row],[Column1]]-42)</f>
        <v>418</v>
      </c>
      <c r="C211">
        <f>MINUTE(Table1[[#This Row],[Time]])</f>
        <v>51</v>
      </c>
      <c r="D211" s="1">
        <v>0.45254961805555549</v>
      </c>
      <c r="E211" t="s">
        <v>9</v>
      </c>
      <c r="F211">
        <v>-123</v>
      </c>
      <c r="G211">
        <v>0.8</v>
      </c>
      <c r="K211">
        <f>400+2*(Table2[[#This Row],[Column1]]-13)</f>
        <v>418</v>
      </c>
      <c r="L211">
        <f>MINUTE(Table2[[#This Row],[Time]])</f>
        <v>22</v>
      </c>
      <c r="M211" s="1">
        <v>0.68241590277777775</v>
      </c>
      <c r="N211" t="s">
        <v>9</v>
      </c>
      <c r="O211" t="s">
        <v>14</v>
      </c>
      <c r="P211">
        <f t="shared" si="28"/>
        <v>-118</v>
      </c>
      <c r="Q211">
        <v>0.8</v>
      </c>
    </row>
    <row r="212" spans="2:17" x14ac:dyDescent="0.25">
      <c r="B212">
        <f>400+2*(Table1[[#This Row],[Column1]]-42)</f>
        <v>418</v>
      </c>
      <c r="C212">
        <f>MINUTE(Table1[[#This Row],[Time]])</f>
        <v>51</v>
      </c>
      <c r="D212" s="1">
        <v>0.45258201388888891</v>
      </c>
      <c r="E212" t="s">
        <v>27</v>
      </c>
      <c r="F212">
        <f>F211-0.5</f>
        <v>-123.5</v>
      </c>
      <c r="G212">
        <f>G211-0.5</f>
        <v>0.30000000000000004</v>
      </c>
      <c r="K212">
        <f>400+2*(Table2[[#This Row],[Column1]]-13)</f>
        <v>418</v>
      </c>
      <c r="L212">
        <f>MINUTE(Table2[[#This Row],[Time]])</f>
        <v>22</v>
      </c>
      <c r="M212" s="1">
        <v>0.68244829861111111</v>
      </c>
      <c r="N212" t="s">
        <v>9</v>
      </c>
      <c r="O212" t="s">
        <v>12</v>
      </c>
      <c r="P212">
        <f t="shared" si="28"/>
        <v>-123</v>
      </c>
      <c r="Q212">
        <v>0.8</v>
      </c>
    </row>
    <row r="213" spans="2:17" x14ac:dyDescent="0.25">
      <c r="B213">
        <f>400+2*(Table1[[#This Row],[Column1]]-42)</f>
        <v>418</v>
      </c>
      <c r="C213">
        <f>MINUTE(Table1[[#This Row],[Time]])</f>
        <v>51</v>
      </c>
      <c r="D213" s="1">
        <v>0.45261440972222222</v>
      </c>
      <c r="E213" t="s">
        <v>9</v>
      </c>
      <c r="F213">
        <v>-123</v>
      </c>
      <c r="G213">
        <v>0.8</v>
      </c>
      <c r="K213">
        <f>400+2*(Table2[[#This Row],[Column1]]-13)</f>
        <v>418</v>
      </c>
      <c r="L213">
        <f>MINUTE(Table2[[#This Row],[Time]])</f>
        <v>22</v>
      </c>
      <c r="M213" s="1">
        <v>0.68248069444444448</v>
      </c>
      <c r="N213" t="s">
        <v>9</v>
      </c>
      <c r="O213" t="s">
        <v>11</v>
      </c>
      <c r="P213">
        <f t="shared" si="28"/>
        <v>-122</v>
      </c>
      <c r="Q213">
        <v>0.5</v>
      </c>
    </row>
    <row r="214" spans="2:17" x14ac:dyDescent="0.25">
      <c r="B214">
        <f>400+2*(Table1[[#This Row],[Column1]]-42)</f>
        <v>418</v>
      </c>
      <c r="C214">
        <f>MINUTE(Table1[[#This Row],[Time]])</f>
        <v>51</v>
      </c>
      <c r="D214" s="1">
        <v>0.45264680555555559</v>
      </c>
      <c r="E214" t="s">
        <v>27</v>
      </c>
      <c r="F214">
        <f>F213-0.5</f>
        <v>-123.5</v>
      </c>
      <c r="G214">
        <f>G213-0.5</f>
        <v>0.30000000000000004</v>
      </c>
      <c r="K214">
        <f>400+2*(Table2[[#This Row],[Column1]]-13)</f>
        <v>418</v>
      </c>
      <c r="L214">
        <f>MINUTE(Table2[[#This Row],[Time]])</f>
        <v>22</v>
      </c>
      <c r="M214" s="1">
        <v>0.6825130787037037</v>
      </c>
      <c r="N214" t="s">
        <v>9</v>
      </c>
      <c r="O214" t="s">
        <v>12</v>
      </c>
      <c r="P214">
        <f t="shared" si="28"/>
        <v>-123</v>
      </c>
      <c r="Q214">
        <v>0.8</v>
      </c>
    </row>
    <row r="215" spans="2:17" x14ac:dyDescent="0.25">
      <c r="B215">
        <f>400+2*(Table1[[#This Row],[Column1]]-42)</f>
        <v>418</v>
      </c>
      <c r="C215">
        <f>MINUTE(Table1[[#This Row],[Time]])</f>
        <v>51</v>
      </c>
      <c r="D215" s="1">
        <v>0.4526792013888889</v>
      </c>
      <c r="E215" t="s">
        <v>9</v>
      </c>
      <c r="F215">
        <v>-123</v>
      </c>
      <c r="G215">
        <v>0.5</v>
      </c>
      <c r="K215">
        <f>400+2*(Table2[[#This Row],[Column1]]-13)</f>
        <v>418</v>
      </c>
      <c r="L215">
        <f>MINUTE(Table2[[#This Row],[Time]])</f>
        <v>22</v>
      </c>
      <c r="M215" s="1">
        <v>0.68254547453703696</v>
      </c>
      <c r="N215" t="s">
        <v>9</v>
      </c>
      <c r="O215" t="s">
        <v>12</v>
      </c>
      <c r="P215">
        <f t="shared" si="28"/>
        <v>-123</v>
      </c>
      <c r="Q215">
        <v>0.8</v>
      </c>
    </row>
    <row r="216" spans="2:17" x14ac:dyDescent="0.25">
      <c r="B216">
        <f>400+2*(Table1[[#This Row],[Column1]]-42)</f>
        <v>418</v>
      </c>
      <c r="C216">
        <f>MINUTE(Table1[[#This Row],[Time]])</f>
        <v>51</v>
      </c>
      <c r="D216" s="1">
        <v>0.45271159722222221</v>
      </c>
      <c r="E216" t="s">
        <v>9</v>
      </c>
      <c r="F216">
        <v>-123</v>
      </c>
      <c r="G216">
        <v>0.5</v>
      </c>
      <c r="K216">
        <f>400+2*(Table2[[#This Row],[Column1]]-13)</f>
        <v>418</v>
      </c>
      <c r="L216">
        <f>MINUTE(Table2[[#This Row],[Time]])</f>
        <v>22</v>
      </c>
      <c r="M216" s="1">
        <v>0.68257788194444446</v>
      </c>
      <c r="N216" t="s">
        <v>9</v>
      </c>
      <c r="O216" t="s">
        <v>12</v>
      </c>
      <c r="P216">
        <f t="shared" si="28"/>
        <v>-123</v>
      </c>
      <c r="Q216">
        <v>0.5</v>
      </c>
    </row>
    <row r="217" spans="2:17" x14ac:dyDescent="0.25">
      <c r="B217">
        <f>400+2*(Table1[[#This Row],[Column1]]-42)</f>
        <v>418</v>
      </c>
      <c r="C217">
        <f>MINUTE(Table1[[#This Row],[Time]])</f>
        <v>51</v>
      </c>
      <c r="D217" s="1">
        <v>0.45274398148148148</v>
      </c>
      <c r="E217" t="s">
        <v>9</v>
      </c>
      <c r="F217">
        <v>-123</v>
      </c>
      <c r="G217">
        <v>1.3</v>
      </c>
      <c r="K217">
        <f>400+2*(Table2[[#This Row],[Column1]]-13)</f>
        <v>418</v>
      </c>
      <c r="L217">
        <f>MINUTE(Table2[[#This Row],[Time]])</f>
        <v>22</v>
      </c>
      <c r="M217" s="1">
        <v>0.68261027777777772</v>
      </c>
      <c r="N217" t="s">
        <v>9</v>
      </c>
      <c r="O217" t="s">
        <v>12</v>
      </c>
      <c r="P217">
        <f t="shared" si="28"/>
        <v>-123</v>
      </c>
      <c r="Q217">
        <v>0.5</v>
      </c>
    </row>
    <row r="218" spans="2:17" x14ac:dyDescent="0.25">
      <c r="B218">
        <f>400+2*(Table1[[#This Row],[Column1]]-42)</f>
        <v>420</v>
      </c>
      <c r="C218">
        <f>MINUTE(Table1[[#This Row],[Time]])</f>
        <v>52</v>
      </c>
      <c r="D218" s="1">
        <v>0.45277637731481485</v>
      </c>
      <c r="E218" t="s">
        <v>9</v>
      </c>
      <c r="F218">
        <v>-123</v>
      </c>
      <c r="G218">
        <v>1</v>
      </c>
      <c r="K218">
        <f>400+2*(Table2[[#This Row],[Column1]]-13)</f>
        <v>420</v>
      </c>
      <c r="L218">
        <f>MINUTE(Table2[[#This Row],[Time]])</f>
        <v>23</v>
      </c>
      <c r="M218" s="1">
        <v>0.68264267361111108</v>
      </c>
      <c r="N218" t="s">
        <v>9</v>
      </c>
      <c r="O218" t="s">
        <v>12</v>
      </c>
      <c r="P218">
        <f t="shared" si="28"/>
        <v>-123</v>
      </c>
      <c r="Q218">
        <v>0.8</v>
      </c>
    </row>
    <row r="219" spans="2:17" x14ac:dyDescent="0.25">
      <c r="B219">
        <f>400+2*(Table1[[#This Row],[Column1]]-42)</f>
        <v>420</v>
      </c>
      <c r="C219">
        <f>MINUTE(Table1[[#This Row],[Time]])</f>
        <v>52</v>
      </c>
      <c r="D219" s="1">
        <v>0.45280876157407413</v>
      </c>
      <c r="E219" t="s">
        <v>9</v>
      </c>
      <c r="F219">
        <v>-123</v>
      </c>
      <c r="G219">
        <v>0.5</v>
      </c>
      <c r="K219">
        <f>400+2*(Table2[[#This Row],[Column1]]-13)</f>
        <v>420</v>
      </c>
      <c r="L219">
        <f>MINUTE(Table2[[#This Row],[Time]])</f>
        <v>23</v>
      </c>
      <c r="M219" s="1">
        <v>0.68267506944444445</v>
      </c>
      <c r="N219" t="s">
        <v>9</v>
      </c>
      <c r="O219" t="s">
        <v>12</v>
      </c>
      <c r="P219">
        <f t="shared" si="28"/>
        <v>-123</v>
      </c>
      <c r="Q219">
        <v>0.8</v>
      </c>
    </row>
    <row r="220" spans="2:17" x14ac:dyDescent="0.25">
      <c r="B220">
        <f>400+2*(Table1[[#This Row],[Column1]]-42)</f>
        <v>420</v>
      </c>
      <c r="C220">
        <f>MINUTE(Table1[[#This Row],[Time]])</f>
        <v>52</v>
      </c>
      <c r="D220" s="1">
        <v>0.45284116898148147</v>
      </c>
      <c r="E220" t="s">
        <v>9</v>
      </c>
      <c r="F220">
        <v>-124</v>
      </c>
      <c r="G220">
        <v>-1.5</v>
      </c>
      <c r="K220">
        <f>400+2*(Table2[[#This Row],[Column1]]-13)</f>
        <v>420</v>
      </c>
      <c r="L220">
        <f>MINUTE(Table2[[#This Row],[Time]])</f>
        <v>23</v>
      </c>
      <c r="M220" s="1">
        <v>0.68270746527777781</v>
      </c>
      <c r="N220" t="s">
        <v>9</v>
      </c>
      <c r="O220" t="s">
        <v>19</v>
      </c>
      <c r="P220">
        <f t="shared" si="28"/>
        <v>-124</v>
      </c>
      <c r="Q220">
        <v>-1.5</v>
      </c>
    </row>
    <row r="221" spans="2:17" x14ac:dyDescent="0.25">
      <c r="B221">
        <f>400+2*(Table1[[#This Row],[Column1]]-42)</f>
        <v>420</v>
      </c>
      <c r="C221">
        <f>MINUTE(Table1[[#This Row],[Time]])</f>
        <v>52</v>
      </c>
      <c r="D221" s="1">
        <v>0.45287357638888892</v>
      </c>
      <c r="E221" t="s">
        <v>27</v>
      </c>
      <c r="F221">
        <f>F220-0.5</f>
        <v>-124.5</v>
      </c>
      <c r="G221">
        <f>G220-0.5</f>
        <v>-2</v>
      </c>
      <c r="K221">
        <f>400+2*(Table2[[#This Row],[Column1]]-13)</f>
        <v>420</v>
      </c>
      <c r="L221">
        <f>MINUTE(Table2[[#This Row],[Time]])</f>
        <v>23</v>
      </c>
      <c r="M221" s="1">
        <v>0.68273986111111118</v>
      </c>
      <c r="N221" t="s">
        <v>9</v>
      </c>
      <c r="O221" t="s">
        <v>19</v>
      </c>
      <c r="P221">
        <f t="shared" si="28"/>
        <v>-124</v>
      </c>
      <c r="Q221">
        <v>-1.8</v>
      </c>
    </row>
    <row r="222" spans="2:17" x14ac:dyDescent="0.25">
      <c r="B222">
        <f>400+2*(Table1[[#This Row],[Column1]]-42)</f>
        <v>420</v>
      </c>
      <c r="C222">
        <f>MINUTE(Table1[[#This Row],[Time]])</f>
        <v>52</v>
      </c>
      <c r="D222" s="1">
        <v>0.45290597222222223</v>
      </c>
      <c r="E222" t="s">
        <v>9</v>
      </c>
      <c r="F222">
        <v>-124</v>
      </c>
      <c r="G222">
        <v>-1</v>
      </c>
      <c r="K222">
        <f>400+2*(Table2[[#This Row],[Column1]]-13)</f>
        <v>420</v>
      </c>
      <c r="L222">
        <f>MINUTE(Table2[[#This Row],[Time]])</f>
        <v>23</v>
      </c>
      <c r="M222" s="1">
        <v>0.68277225694444443</v>
      </c>
      <c r="N222" t="s">
        <v>9</v>
      </c>
      <c r="O222" t="s">
        <v>19</v>
      </c>
      <c r="P222">
        <f t="shared" si="28"/>
        <v>-124</v>
      </c>
      <c r="Q222">
        <v>-1.3</v>
      </c>
    </row>
    <row r="223" spans="2:17" x14ac:dyDescent="0.25">
      <c r="B223">
        <f>400+2*(Table1[[#This Row],[Column1]]-42)</f>
        <v>420</v>
      </c>
      <c r="C223">
        <f>MINUTE(Table1[[#This Row],[Time]])</f>
        <v>52</v>
      </c>
      <c r="D223" s="1">
        <v>0.45293836805555554</v>
      </c>
      <c r="E223" t="s">
        <v>13</v>
      </c>
      <c r="F223">
        <f>F222-0.5</f>
        <v>-124.5</v>
      </c>
      <c r="G223">
        <f>G222-0.5</f>
        <v>-1.5</v>
      </c>
      <c r="K223">
        <f>400+2*(Table2[[#This Row],[Column1]]-13)</f>
        <v>420</v>
      </c>
      <c r="L223">
        <f>MINUTE(Table2[[#This Row],[Time]])</f>
        <v>23</v>
      </c>
      <c r="M223" s="1">
        <v>0.6828046527777778</v>
      </c>
      <c r="N223" t="s">
        <v>13</v>
      </c>
      <c r="O223" t="str">
        <f>O222</f>
        <v>-124.0,</v>
      </c>
      <c r="P223">
        <f>P222-0.5</f>
        <v>-124.5</v>
      </c>
      <c r="Q223">
        <f>Q222-0.5</f>
        <v>-1.8</v>
      </c>
    </row>
    <row r="224" spans="2:17" x14ac:dyDescent="0.25">
      <c r="B224">
        <f>400+2*(Table1[[#This Row],[Column1]]-42)</f>
        <v>420</v>
      </c>
      <c r="C224">
        <f>MINUTE(Table1[[#This Row],[Time]])</f>
        <v>52</v>
      </c>
      <c r="D224" s="1">
        <v>0.45297075231481482</v>
      </c>
      <c r="E224" t="s">
        <v>9</v>
      </c>
      <c r="F224">
        <v>-123</v>
      </c>
      <c r="G224">
        <v>0.5</v>
      </c>
      <c r="K224">
        <f>400+2*(Table2[[#This Row],[Column1]]-13)</f>
        <v>420</v>
      </c>
      <c r="L224">
        <f>MINUTE(Table2[[#This Row],[Time]])</f>
        <v>23</v>
      </c>
      <c r="M224" s="1">
        <v>0.68283703703703702</v>
      </c>
      <c r="N224" t="s">
        <v>9</v>
      </c>
      <c r="O224" t="s">
        <v>11</v>
      </c>
      <c r="P224">
        <f t="shared" si="28"/>
        <v>-122</v>
      </c>
      <c r="Q224">
        <v>1</v>
      </c>
    </row>
    <row r="225" spans="2:17" x14ac:dyDescent="0.25">
      <c r="B225">
        <f>400+2*(Table1[[#This Row],[Column1]]-42)</f>
        <v>420</v>
      </c>
      <c r="C225">
        <f>MINUTE(Table1[[#This Row],[Time]])</f>
        <v>52</v>
      </c>
      <c r="D225" s="1">
        <v>0.45300315972222222</v>
      </c>
      <c r="E225" t="s">
        <v>9</v>
      </c>
      <c r="F225">
        <v>-123</v>
      </c>
      <c r="G225">
        <v>0.5</v>
      </c>
      <c r="K225">
        <f>400+2*(Table2[[#This Row],[Column1]]-13)</f>
        <v>420</v>
      </c>
      <c r="L225">
        <f>MINUTE(Table2[[#This Row],[Time]])</f>
        <v>23</v>
      </c>
      <c r="M225" s="1">
        <v>0.68286944444444442</v>
      </c>
      <c r="N225" t="s">
        <v>9</v>
      </c>
      <c r="O225" t="s">
        <v>12</v>
      </c>
      <c r="P225">
        <f t="shared" si="28"/>
        <v>-123</v>
      </c>
      <c r="Q225">
        <v>0.5</v>
      </c>
    </row>
    <row r="226" spans="2:17" x14ac:dyDescent="0.25">
      <c r="B226">
        <f>400+2*(Table1[[#This Row],[Column1]]-42)</f>
        <v>420</v>
      </c>
      <c r="C226">
        <f>MINUTE(Table1[[#This Row],[Time]])</f>
        <v>52</v>
      </c>
      <c r="D226" s="1">
        <v>0.45303554398148149</v>
      </c>
      <c r="E226" t="s">
        <v>9</v>
      </c>
      <c r="F226">
        <v>-123</v>
      </c>
      <c r="G226">
        <v>0.8</v>
      </c>
      <c r="K226">
        <f>400+2*(Table2[[#This Row],[Column1]]-13)</f>
        <v>420</v>
      </c>
      <c r="L226">
        <f>MINUTE(Table2[[#This Row],[Time]])</f>
        <v>23</v>
      </c>
      <c r="M226" s="1">
        <v>0.68290184027777778</v>
      </c>
      <c r="N226" t="s">
        <v>9</v>
      </c>
      <c r="O226" t="s">
        <v>12</v>
      </c>
      <c r="P226">
        <f t="shared" si="28"/>
        <v>-123</v>
      </c>
      <c r="Q226">
        <v>0.8</v>
      </c>
    </row>
    <row r="227" spans="2:17" x14ac:dyDescent="0.25">
      <c r="B227">
        <f>400+2*(Table1[[#This Row],[Column1]]-42)</f>
        <v>420</v>
      </c>
      <c r="C227">
        <f>MINUTE(Table1[[#This Row],[Time]])</f>
        <v>52</v>
      </c>
      <c r="D227" s="1">
        <v>0.45306792824074077</v>
      </c>
      <c r="E227" t="s">
        <v>9</v>
      </c>
      <c r="F227">
        <v>-123</v>
      </c>
      <c r="G227">
        <v>0.5</v>
      </c>
      <c r="K227">
        <f>400+2*(Table2[[#This Row],[Column1]]-13)</f>
        <v>420</v>
      </c>
      <c r="L227">
        <f>MINUTE(Table2[[#This Row],[Time]])</f>
        <v>23</v>
      </c>
      <c r="M227" s="1">
        <v>0.682934224537037</v>
      </c>
      <c r="N227" t="s">
        <v>9</v>
      </c>
      <c r="O227" t="s">
        <v>12</v>
      </c>
      <c r="P227">
        <f t="shared" si="28"/>
        <v>-123</v>
      </c>
      <c r="Q227">
        <v>0.8</v>
      </c>
    </row>
    <row r="228" spans="2:17" x14ac:dyDescent="0.25">
      <c r="B228">
        <f>400+2*(Table1[[#This Row],[Column1]]-42)</f>
        <v>420</v>
      </c>
      <c r="C228">
        <f>MINUTE(Table1[[#This Row],[Time]])</f>
        <v>52</v>
      </c>
      <c r="D228" s="1">
        <v>0.45310034722222226</v>
      </c>
      <c r="E228" t="s">
        <v>27</v>
      </c>
      <c r="F228">
        <f>F227-0.5</f>
        <v>-123.5</v>
      </c>
      <c r="G228">
        <f>G227-0.5</f>
        <v>0</v>
      </c>
      <c r="K228">
        <f>400+2*(Table2[[#This Row],[Column1]]-13)</f>
        <v>420</v>
      </c>
      <c r="L228">
        <f>MINUTE(Table2[[#This Row],[Time]])</f>
        <v>23</v>
      </c>
      <c r="M228" s="1">
        <v>0.68296663194444451</v>
      </c>
      <c r="N228" t="s">
        <v>9</v>
      </c>
      <c r="O228" t="s">
        <v>12</v>
      </c>
      <c r="P228">
        <f t="shared" si="28"/>
        <v>-123</v>
      </c>
      <c r="Q228">
        <v>0.8</v>
      </c>
    </row>
    <row r="229" spans="2:17" x14ac:dyDescent="0.25">
      <c r="B229">
        <f>400+2*(Table1[[#This Row],[Column1]]-42)</f>
        <v>420</v>
      </c>
      <c r="C229">
        <f>MINUTE(Table1[[#This Row],[Time]])</f>
        <v>52</v>
      </c>
      <c r="D229" s="1">
        <v>0.45313273148148148</v>
      </c>
      <c r="E229" t="s">
        <v>9</v>
      </c>
      <c r="F229">
        <v>-122</v>
      </c>
      <c r="G229">
        <v>1.3</v>
      </c>
      <c r="K229">
        <f>400+2*(Table2[[#This Row],[Column1]]-13)</f>
        <v>420</v>
      </c>
      <c r="L229">
        <f>MINUTE(Table2[[#This Row],[Time]])</f>
        <v>23</v>
      </c>
      <c r="M229" s="1">
        <v>0.68299902777777777</v>
      </c>
      <c r="N229" t="s">
        <v>9</v>
      </c>
      <c r="O229" t="s">
        <v>12</v>
      </c>
      <c r="P229">
        <f t="shared" si="28"/>
        <v>-123</v>
      </c>
      <c r="Q229">
        <v>0.8</v>
      </c>
    </row>
    <row r="230" spans="2:17" x14ac:dyDescent="0.25">
      <c r="B230">
        <f>400+2*(Table1[[#This Row],[Column1]]-42)</f>
        <v>420</v>
      </c>
      <c r="C230">
        <f>MINUTE(Table1[[#This Row],[Time]])</f>
        <v>52</v>
      </c>
      <c r="D230" s="1">
        <v>0.45316513888888887</v>
      </c>
      <c r="E230" t="s">
        <v>27</v>
      </c>
      <c r="F230">
        <f>F229-0.5</f>
        <v>-122.5</v>
      </c>
      <c r="G230">
        <f>G229-0.5</f>
        <v>0.8</v>
      </c>
      <c r="K230">
        <f>400+2*(Table2[[#This Row],[Column1]]-13)</f>
        <v>420</v>
      </c>
      <c r="L230">
        <f>MINUTE(Table2[[#This Row],[Time]])</f>
        <v>23</v>
      </c>
      <c r="M230" s="1">
        <v>0.68303141203703699</v>
      </c>
      <c r="N230" t="s">
        <v>9</v>
      </c>
      <c r="O230" t="s">
        <v>12</v>
      </c>
      <c r="P230">
        <f t="shared" si="28"/>
        <v>-123</v>
      </c>
      <c r="Q230">
        <v>0.3</v>
      </c>
    </row>
    <row r="231" spans="2:17" x14ac:dyDescent="0.25">
      <c r="B231">
        <f>400+2*(Table1[[#This Row],[Column1]]-42)</f>
        <v>420</v>
      </c>
      <c r="C231">
        <f>MINUTE(Table1[[#This Row],[Time]])</f>
        <v>52</v>
      </c>
      <c r="D231" s="1">
        <v>0.45319752314814821</v>
      </c>
      <c r="E231" t="s">
        <v>9</v>
      </c>
      <c r="F231">
        <v>-122</v>
      </c>
      <c r="G231">
        <v>0.8</v>
      </c>
      <c r="K231">
        <f>400+2*(Table2[[#This Row],[Column1]]-13)</f>
        <v>420</v>
      </c>
      <c r="L231">
        <f>MINUTE(Table2[[#This Row],[Time]])</f>
        <v>23</v>
      </c>
      <c r="M231" s="1">
        <v>0.6830638194444445</v>
      </c>
      <c r="N231" t="s">
        <v>9</v>
      </c>
      <c r="O231" t="s">
        <v>12</v>
      </c>
      <c r="P231">
        <f t="shared" si="28"/>
        <v>-123</v>
      </c>
      <c r="Q231">
        <v>1</v>
      </c>
    </row>
    <row r="232" spans="2:17" x14ac:dyDescent="0.25">
      <c r="B232">
        <f>400+2*(Table1[[#This Row],[Column1]]-42)</f>
        <v>420</v>
      </c>
      <c r="C232">
        <f>MINUTE(Table1[[#This Row],[Time]])</f>
        <v>52</v>
      </c>
      <c r="D232" s="1">
        <v>0.45322993055555555</v>
      </c>
      <c r="E232" t="s">
        <v>9</v>
      </c>
      <c r="F232">
        <v>-123</v>
      </c>
      <c r="G232">
        <v>1</v>
      </c>
      <c r="K232">
        <f>400+2*(Table2[[#This Row],[Column1]]-13)</f>
        <v>420</v>
      </c>
      <c r="L232">
        <f>MINUTE(Table2[[#This Row],[Time]])</f>
        <v>23</v>
      </c>
      <c r="M232" s="1">
        <v>0.68309620370370372</v>
      </c>
      <c r="N232" t="s">
        <v>9</v>
      </c>
      <c r="O232" t="s">
        <v>12</v>
      </c>
      <c r="P232">
        <f t="shared" si="28"/>
        <v>-123</v>
      </c>
      <c r="Q232">
        <v>1</v>
      </c>
    </row>
    <row r="233" spans="2:17" x14ac:dyDescent="0.25">
      <c r="B233">
        <f>400+2*(Table1[[#This Row],[Column1]]-42)</f>
        <v>420</v>
      </c>
      <c r="C233">
        <f>MINUTE(Table1[[#This Row],[Time]])</f>
        <v>52</v>
      </c>
      <c r="D233" s="1">
        <v>0.45326231481481483</v>
      </c>
      <c r="E233" t="s">
        <v>9</v>
      </c>
      <c r="F233">
        <v>-123</v>
      </c>
      <c r="G233">
        <v>1</v>
      </c>
      <c r="K233">
        <f>400+2*(Table2[[#This Row],[Column1]]-13)</f>
        <v>420</v>
      </c>
      <c r="L233">
        <f>MINUTE(Table2[[#This Row],[Time]])</f>
        <v>23</v>
      </c>
      <c r="M233" s="1">
        <v>0.68312861111111112</v>
      </c>
      <c r="N233" t="s">
        <v>9</v>
      </c>
      <c r="O233" t="s">
        <v>12</v>
      </c>
      <c r="P233">
        <f t="shared" si="28"/>
        <v>-123</v>
      </c>
      <c r="Q233">
        <v>0.8</v>
      </c>
    </row>
    <row r="234" spans="2:17" x14ac:dyDescent="0.25">
      <c r="B234">
        <f>400+2*(Table1[[#This Row],[Column1]]-42)</f>
        <v>420</v>
      </c>
      <c r="C234">
        <f>MINUTE(Table1[[#This Row],[Time]])</f>
        <v>52</v>
      </c>
      <c r="D234" s="1">
        <v>0.45329472222222217</v>
      </c>
      <c r="E234" t="s">
        <v>9</v>
      </c>
      <c r="F234">
        <v>-123</v>
      </c>
      <c r="G234">
        <v>0.8</v>
      </c>
      <c r="K234">
        <f>400+2*(Table2[[#This Row],[Column1]]-13)</f>
        <v>420</v>
      </c>
      <c r="L234">
        <f>MINUTE(Table2[[#This Row],[Time]])</f>
        <v>23</v>
      </c>
      <c r="M234" s="1">
        <v>0.68316100694444437</v>
      </c>
      <c r="N234" t="s">
        <v>9</v>
      </c>
      <c r="O234" t="s">
        <v>12</v>
      </c>
      <c r="P234">
        <f t="shared" si="28"/>
        <v>-123</v>
      </c>
      <c r="Q234">
        <v>1</v>
      </c>
    </row>
    <row r="235" spans="2:17" x14ac:dyDescent="0.25">
      <c r="B235">
        <f>400+2*(Table1[[#This Row],[Column1]]-42)</f>
        <v>420</v>
      </c>
      <c r="C235">
        <f>MINUTE(Table1[[#This Row],[Time]])</f>
        <v>52</v>
      </c>
      <c r="D235" s="1">
        <v>0.4533271064814815</v>
      </c>
      <c r="E235" t="s">
        <v>27</v>
      </c>
      <c r="F235">
        <f>F234-0.5</f>
        <v>-123.5</v>
      </c>
      <c r="G235">
        <f>G234-0.5</f>
        <v>0.30000000000000004</v>
      </c>
      <c r="K235">
        <f>400+2*(Table2[[#This Row],[Column1]]-13)</f>
        <v>420</v>
      </c>
      <c r="L235">
        <f>MINUTE(Table2[[#This Row],[Time]])</f>
        <v>23</v>
      </c>
      <c r="M235" s="1">
        <v>0.6831933912037037</v>
      </c>
      <c r="N235" t="s">
        <v>9</v>
      </c>
      <c r="O235" t="s">
        <v>12</v>
      </c>
      <c r="P235">
        <f t="shared" si="28"/>
        <v>-123</v>
      </c>
      <c r="Q235">
        <v>0.5</v>
      </c>
    </row>
    <row r="236" spans="2:17" x14ac:dyDescent="0.25">
      <c r="B236">
        <f>400+2*(Table1[[#This Row],[Column1]]-42)</f>
        <v>420</v>
      </c>
      <c r="C236">
        <f>MINUTE(Table1[[#This Row],[Time]])</f>
        <v>52</v>
      </c>
      <c r="D236" s="1">
        <v>0.45335950231481481</v>
      </c>
      <c r="E236" t="s">
        <v>9</v>
      </c>
      <c r="F236">
        <v>-123</v>
      </c>
      <c r="G236">
        <v>0.5</v>
      </c>
      <c r="K236">
        <f>400+2*(Table2[[#This Row],[Column1]]-13)</f>
        <v>420</v>
      </c>
      <c r="L236">
        <f>MINUTE(Table2[[#This Row],[Time]])</f>
        <v>23</v>
      </c>
      <c r="M236" s="1">
        <v>0.6832257986111111</v>
      </c>
      <c r="N236" t="s">
        <v>27</v>
      </c>
      <c r="O236" t="str">
        <f t="shared" ref="O236:O237" si="38">O235</f>
        <v>-123.0,</v>
      </c>
      <c r="P236">
        <f t="shared" ref="P236:P237" si="39">P235-0.5</f>
        <v>-123.5</v>
      </c>
      <c r="Q236">
        <f t="shared" ref="Q236:Q237" si="40">Q235-0.5</f>
        <v>0</v>
      </c>
    </row>
    <row r="237" spans="2:17" x14ac:dyDescent="0.25">
      <c r="B237">
        <f>400+2*(Table1[[#This Row],[Column1]]-42)</f>
        <v>420</v>
      </c>
      <c r="C237">
        <f>MINUTE(Table1[[#This Row],[Time]])</f>
        <v>52</v>
      </c>
      <c r="D237" s="1">
        <v>0.45339190972222226</v>
      </c>
      <c r="E237" t="s">
        <v>9</v>
      </c>
      <c r="F237">
        <v>-123</v>
      </c>
      <c r="G237">
        <v>0.3</v>
      </c>
      <c r="K237">
        <f>400+2*(Table2[[#This Row],[Column1]]-13)</f>
        <v>420</v>
      </c>
      <c r="L237">
        <f>MINUTE(Table2[[#This Row],[Time]])</f>
        <v>23</v>
      </c>
      <c r="M237" s="1">
        <v>0.68325819444444447</v>
      </c>
      <c r="N237" t="s">
        <v>27</v>
      </c>
      <c r="O237" t="str">
        <f t="shared" si="38"/>
        <v>-123.0,</v>
      </c>
      <c r="P237">
        <f t="shared" si="39"/>
        <v>-124</v>
      </c>
      <c r="Q237">
        <f t="shared" si="40"/>
        <v>-0.5</v>
      </c>
    </row>
    <row r="238" spans="2:17" x14ac:dyDescent="0.25">
      <c r="B238">
        <f>400+2*(Table1[[#This Row],[Column1]]-42)</f>
        <v>420</v>
      </c>
      <c r="C238">
        <f>MINUTE(Table1[[#This Row],[Time]])</f>
        <v>52</v>
      </c>
      <c r="D238" s="1">
        <v>0.45342429398148143</v>
      </c>
      <c r="E238" t="s">
        <v>9</v>
      </c>
      <c r="F238">
        <v>-123</v>
      </c>
      <c r="G238">
        <v>0.8</v>
      </c>
      <c r="K238">
        <f>400+2*(Table2[[#This Row],[Column1]]-13)</f>
        <v>420</v>
      </c>
      <c r="L238">
        <f>MINUTE(Table2[[#This Row],[Time]])</f>
        <v>23</v>
      </c>
      <c r="M238" s="1">
        <v>0.68329059027777783</v>
      </c>
      <c r="N238" t="s">
        <v>9</v>
      </c>
      <c r="O238" t="s">
        <v>12</v>
      </c>
      <c r="P238">
        <f t="shared" si="28"/>
        <v>-123</v>
      </c>
      <c r="Q238">
        <v>0.8</v>
      </c>
    </row>
    <row r="239" spans="2:17" x14ac:dyDescent="0.25">
      <c r="B239">
        <f>400+2*(Table1[[#This Row],[Column1]]-42)</f>
        <v>420</v>
      </c>
      <c r="C239">
        <f>MINUTE(Table1[[#This Row],[Time]])</f>
        <v>52</v>
      </c>
      <c r="D239" s="1">
        <v>0.45345667824074071</v>
      </c>
      <c r="E239" t="s">
        <v>9</v>
      </c>
      <c r="F239">
        <v>-119</v>
      </c>
      <c r="G239">
        <v>0.8</v>
      </c>
      <c r="K239">
        <f>400+2*(Table2[[#This Row],[Column1]]-13)</f>
        <v>420</v>
      </c>
      <c r="L239">
        <f>MINUTE(Table2[[#This Row],[Time]])</f>
        <v>23</v>
      </c>
      <c r="M239" s="1">
        <v>0.68332298611111109</v>
      </c>
      <c r="N239" t="s">
        <v>9</v>
      </c>
      <c r="O239" t="s">
        <v>12</v>
      </c>
      <c r="P239">
        <f t="shared" si="28"/>
        <v>-123</v>
      </c>
      <c r="Q239">
        <v>0.5</v>
      </c>
    </row>
    <row r="240" spans="2:17" x14ac:dyDescent="0.25">
      <c r="B240">
        <f>400+2*(Table1[[#This Row],[Column1]]-42)</f>
        <v>422</v>
      </c>
      <c r="C240">
        <f>MINUTE(Table1[[#This Row],[Time]])</f>
        <v>53</v>
      </c>
      <c r="D240" s="1">
        <v>0.45348909722222219</v>
      </c>
      <c r="E240" t="s">
        <v>9</v>
      </c>
      <c r="F240">
        <v>-123</v>
      </c>
      <c r="G240">
        <v>0.8</v>
      </c>
      <c r="K240">
        <f>400+2*(Table2[[#This Row],[Column1]]-13)</f>
        <v>422</v>
      </c>
      <c r="L240">
        <f>MINUTE(Table2[[#This Row],[Time]])</f>
        <v>24</v>
      </c>
      <c r="M240" s="1">
        <v>0.68335537037037042</v>
      </c>
      <c r="N240" t="s">
        <v>9</v>
      </c>
      <c r="O240" t="s">
        <v>12</v>
      </c>
      <c r="P240">
        <f t="shared" si="28"/>
        <v>-123</v>
      </c>
      <c r="Q240">
        <v>0.8</v>
      </c>
    </row>
    <row r="241" spans="2:17" x14ac:dyDescent="0.25">
      <c r="B241">
        <f>400+2*(Table1[[#This Row],[Column1]]-42)</f>
        <v>422</v>
      </c>
      <c r="C241">
        <f>MINUTE(Table1[[#This Row],[Time]])</f>
        <v>53</v>
      </c>
      <c r="D241" s="1">
        <v>0.45352148148148147</v>
      </c>
      <c r="E241" t="s">
        <v>9</v>
      </c>
      <c r="F241">
        <v>-124</v>
      </c>
      <c r="G241">
        <v>-1.3</v>
      </c>
      <c r="K241">
        <f>400+2*(Table2[[#This Row],[Column1]]-13)</f>
        <v>422</v>
      </c>
      <c r="L241">
        <f>MINUTE(Table2[[#This Row],[Time]])</f>
        <v>24</v>
      </c>
      <c r="M241" s="1">
        <v>0.68338777777777771</v>
      </c>
      <c r="N241" t="s">
        <v>9</v>
      </c>
      <c r="O241" t="s">
        <v>19</v>
      </c>
      <c r="P241">
        <f t="shared" si="28"/>
        <v>-124</v>
      </c>
      <c r="Q241">
        <v>-1.5</v>
      </c>
    </row>
    <row r="242" spans="2:17" x14ac:dyDescent="0.25">
      <c r="B242">
        <f>400+2*(Table1[[#This Row],[Column1]]-42)</f>
        <v>422</v>
      </c>
      <c r="C242">
        <f>MINUTE(Table1[[#This Row],[Time]])</f>
        <v>53</v>
      </c>
      <c r="D242" s="1">
        <v>0.45355388888888887</v>
      </c>
      <c r="E242" t="s">
        <v>9</v>
      </c>
      <c r="F242">
        <v>-124</v>
      </c>
      <c r="G242">
        <v>-1.3</v>
      </c>
      <c r="K242">
        <f>400+2*(Table2[[#This Row],[Column1]]-13)</f>
        <v>422</v>
      </c>
      <c r="L242">
        <f>MINUTE(Table2[[#This Row],[Time]])</f>
        <v>24</v>
      </c>
      <c r="M242" s="1">
        <v>0.68342016203703704</v>
      </c>
      <c r="N242" t="s">
        <v>9</v>
      </c>
      <c r="O242" t="s">
        <v>19</v>
      </c>
      <c r="P242">
        <f t="shared" si="28"/>
        <v>-124</v>
      </c>
      <c r="Q242">
        <v>-1.8</v>
      </c>
    </row>
    <row r="243" spans="2:17" x14ac:dyDescent="0.25">
      <c r="B243">
        <f>400+2*(Table1[[#This Row],[Column1]]-42)</f>
        <v>422</v>
      </c>
      <c r="C243">
        <f>MINUTE(Table1[[#This Row],[Time]])</f>
        <v>53</v>
      </c>
      <c r="D243" s="1">
        <v>0.45358627314814814</v>
      </c>
      <c r="E243" t="s">
        <v>27</v>
      </c>
      <c r="F243">
        <f t="shared" ref="F243:F244" si="41">F242-0.5</f>
        <v>-124.5</v>
      </c>
      <c r="G243">
        <f t="shared" ref="G243:G244" si="42">G242-0.5</f>
        <v>-1.8</v>
      </c>
      <c r="K243">
        <f>400+2*(Table2[[#This Row],[Column1]]-13)</f>
        <v>422</v>
      </c>
      <c r="L243">
        <f>MINUTE(Table2[[#This Row],[Time]])</f>
        <v>24</v>
      </c>
      <c r="M243" s="1">
        <v>0.68345256944444444</v>
      </c>
      <c r="N243" t="s">
        <v>9</v>
      </c>
      <c r="O243" t="s">
        <v>19</v>
      </c>
      <c r="P243">
        <f t="shared" si="28"/>
        <v>-124</v>
      </c>
      <c r="Q243">
        <v>-1.5</v>
      </c>
    </row>
    <row r="244" spans="2:17" x14ac:dyDescent="0.25">
      <c r="B244">
        <f>400+2*(Table1[[#This Row],[Column1]]-42)</f>
        <v>422</v>
      </c>
      <c r="C244">
        <f>MINUTE(Table1[[#This Row],[Time]])</f>
        <v>53</v>
      </c>
      <c r="D244" s="1">
        <v>0.45361866898148145</v>
      </c>
      <c r="E244" t="s">
        <v>27</v>
      </c>
      <c r="F244">
        <f t="shared" si="41"/>
        <v>-125</v>
      </c>
      <c r="G244">
        <f t="shared" si="42"/>
        <v>-2.2999999999999998</v>
      </c>
      <c r="K244">
        <f>400+2*(Table2[[#This Row],[Column1]]-13)</f>
        <v>422</v>
      </c>
      <c r="L244">
        <f>MINUTE(Table2[[#This Row],[Time]])</f>
        <v>24</v>
      </c>
      <c r="M244" s="1">
        <v>0.68348495370370366</v>
      </c>
      <c r="N244" t="s">
        <v>27</v>
      </c>
      <c r="O244" t="str">
        <f>O243</f>
        <v>-124.0,</v>
      </c>
      <c r="P244">
        <f>P243-0.5</f>
        <v>-124.5</v>
      </c>
      <c r="Q244">
        <f>Q243-0.5</f>
        <v>-2</v>
      </c>
    </row>
    <row r="245" spans="2:17" x14ac:dyDescent="0.25">
      <c r="B245">
        <f>400+2*(Table1[[#This Row],[Column1]]-42)</f>
        <v>422</v>
      </c>
      <c r="C245">
        <f>MINUTE(Table1[[#This Row],[Time]])</f>
        <v>53</v>
      </c>
      <c r="D245" s="1">
        <v>0.45365106481481476</v>
      </c>
      <c r="E245" t="s">
        <v>9</v>
      </c>
      <c r="F245">
        <v>-122</v>
      </c>
      <c r="G245">
        <v>1</v>
      </c>
      <c r="K245">
        <f>400+2*(Table2[[#This Row],[Column1]]-13)</f>
        <v>422</v>
      </c>
      <c r="L245">
        <f>MINUTE(Table2[[#This Row],[Time]])</f>
        <v>24</v>
      </c>
      <c r="M245" s="1">
        <v>0.68351736111111117</v>
      </c>
      <c r="N245" t="s">
        <v>9</v>
      </c>
      <c r="O245" t="s">
        <v>12</v>
      </c>
      <c r="P245">
        <f t="shared" si="28"/>
        <v>-123</v>
      </c>
      <c r="Q245">
        <v>1.5</v>
      </c>
    </row>
    <row r="246" spans="2:17" x14ac:dyDescent="0.25">
      <c r="B246">
        <f>400+2*(Table1[[#This Row],[Column1]]-42)</f>
        <v>422</v>
      </c>
      <c r="C246">
        <f>MINUTE(Table1[[#This Row],[Time]])</f>
        <v>53</v>
      </c>
      <c r="D246" s="1">
        <v>0.45368346064814813</v>
      </c>
      <c r="E246" t="s">
        <v>9</v>
      </c>
      <c r="F246">
        <v>-123</v>
      </c>
      <c r="G246">
        <v>0.8</v>
      </c>
      <c r="K246">
        <f>400+2*(Table2[[#This Row],[Column1]]-13)</f>
        <v>422</v>
      </c>
      <c r="L246">
        <f>MINUTE(Table2[[#This Row],[Time]])</f>
        <v>24</v>
      </c>
      <c r="M246" s="1">
        <v>0.68354975694444442</v>
      </c>
      <c r="N246" t="s">
        <v>9</v>
      </c>
      <c r="O246" t="s">
        <v>12</v>
      </c>
      <c r="P246">
        <f t="shared" si="28"/>
        <v>-123</v>
      </c>
      <c r="Q246">
        <v>1.3</v>
      </c>
    </row>
    <row r="247" spans="2:17" x14ac:dyDescent="0.25">
      <c r="B247">
        <f>400+2*(Table1[[#This Row],[Column1]]-42)</f>
        <v>422</v>
      </c>
      <c r="C247">
        <f>MINUTE(Table1[[#This Row],[Time]])</f>
        <v>53</v>
      </c>
      <c r="D247" s="1">
        <v>0.45371585648148149</v>
      </c>
      <c r="E247" t="s">
        <v>27</v>
      </c>
      <c r="F247">
        <f>F246-0.5</f>
        <v>-123.5</v>
      </c>
      <c r="G247">
        <f>G246-0.5</f>
        <v>0.30000000000000004</v>
      </c>
      <c r="K247">
        <f>400+2*(Table2[[#This Row],[Column1]]-13)</f>
        <v>422</v>
      </c>
      <c r="L247">
        <f>MINUTE(Table2[[#This Row],[Time]])</f>
        <v>24</v>
      </c>
      <c r="M247" s="1">
        <v>0.68358215277777779</v>
      </c>
      <c r="N247" t="s">
        <v>9</v>
      </c>
      <c r="O247" t="s">
        <v>12</v>
      </c>
      <c r="P247">
        <f t="shared" si="28"/>
        <v>-123</v>
      </c>
      <c r="Q247">
        <v>0.8</v>
      </c>
    </row>
    <row r="248" spans="2:17" x14ac:dyDescent="0.25">
      <c r="B248">
        <f>400+2*(Table1[[#This Row],[Column1]]-42)</f>
        <v>422</v>
      </c>
      <c r="C248">
        <f>MINUTE(Table1[[#This Row],[Time]])</f>
        <v>53</v>
      </c>
      <c r="D248" s="1">
        <v>0.45374825231481486</v>
      </c>
      <c r="E248" t="s">
        <v>9</v>
      </c>
      <c r="F248">
        <v>-123</v>
      </c>
      <c r="G248">
        <v>0.8</v>
      </c>
      <c r="K248">
        <f>400+2*(Table2[[#This Row],[Column1]]-13)</f>
        <v>422</v>
      </c>
      <c r="L248">
        <f>MINUTE(Table2[[#This Row],[Time]])</f>
        <v>24</v>
      </c>
      <c r="M248" s="1">
        <v>0.68361454861111115</v>
      </c>
      <c r="N248" t="s">
        <v>9</v>
      </c>
      <c r="O248" t="s">
        <v>12</v>
      </c>
      <c r="P248">
        <f t="shared" si="28"/>
        <v>-123</v>
      </c>
      <c r="Q248">
        <v>1</v>
      </c>
    </row>
    <row r="249" spans="2:17" x14ac:dyDescent="0.25">
      <c r="B249">
        <f>400+2*(Table1[[#This Row],[Column1]]-42)</f>
        <v>422</v>
      </c>
      <c r="C249">
        <f>MINUTE(Table1[[#This Row],[Time]])</f>
        <v>53</v>
      </c>
      <c r="D249" s="1">
        <v>0.45378063657407403</v>
      </c>
      <c r="E249" t="s">
        <v>9</v>
      </c>
      <c r="F249">
        <v>-123</v>
      </c>
      <c r="G249">
        <v>0.8</v>
      </c>
      <c r="K249">
        <f>400+2*(Table2[[#This Row],[Column1]]-13)</f>
        <v>422</v>
      </c>
      <c r="L249">
        <f>MINUTE(Table2[[#This Row],[Time]])</f>
        <v>24</v>
      </c>
      <c r="M249" s="1">
        <v>0.6836469444444444</v>
      </c>
      <c r="N249" t="s">
        <v>9</v>
      </c>
      <c r="O249" t="s">
        <v>12</v>
      </c>
      <c r="P249">
        <f t="shared" si="28"/>
        <v>-123</v>
      </c>
      <c r="Q249">
        <v>1</v>
      </c>
    </row>
    <row r="250" spans="2:17" x14ac:dyDescent="0.25">
      <c r="B250">
        <f>400+2*(Table1[[#This Row],[Column1]]-42)</f>
        <v>422</v>
      </c>
      <c r="C250">
        <f>MINUTE(Table1[[#This Row],[Time]])</f>
        <v>53</v>
      </c>
      <c r="D250" s="1">
        <v>0.45381304398148148</v>
      </c>
      <c r="E250" t="s">
        <v>9</v>
      </c>
      <c r="F250">
        <v>-123</v>
      </c>
      <c r="G250">
        <v>1.3</v>
      </c>
      <c r="K250">
        <f>400+2*(Table2[[#This Row],[Column1]]-13)</f>
        <v>422</v>
      </c>
      <c r="L250">
        <f>MINUTE(Table2[[#This Row],[Time]])</f>
        <v>24</v>
      </c>
      <c r="M250" s="1">
        <v>0.68367934027777777</v>
      </c>
      <c r="N250" t="s">
        <v>9</v>
      </c>
      <c r="O250" t="s">
        <v>12</v>
      </c>
      <c r="P250">
        <f t="shared" si="28"/>
        <v>-123</v>
      </c>
      <c r="Q250">
        <v>1</v>
      </c>
    </row>
    <row r="251" spans="2:17" x14ac:dyDescent="0.25">
      <c r="B251">
        <f>400+2*(Table1[[#This Row],[Column1]]-42)</f>
        <v>422</v>
      </c>
      <c r="C251">
        <f>MINUTE(Table1[[#This Row],[Time]])</f>
        <v>53</v>
      </c>
      <c r="D251" s="1">
        <v>0.45384543981481479</v>
      </c>
      <c r="E251" t="s">
        <v>27</v>
      </c>
      <c r="F251">
        <f>F250-0.5</f>
        <v>-123.5</v>
      </c>
      <c r="G251">
        <f>G250-0.5</f>
        <v>0.8</v>
      </c>
      <c r="K251">
        <f>400+2*(Table2[[#This Row],[Column1]]-13)</f>
        <v>422</v>
      </c>
      <c r="L251">
        <f>MINUTE(Table2[[#This Row],[Time]])</f>
        <v>24</v>
      </c>
      <c r="M251" s="1">
        <v>0.68371172453703699</v>
      </c>
      <c r="N251" t="s">
        <v>9</v>
      </c>
      <c r="O251" t="s">
        <v>12</v>
      </c>
      <c r="P251">
        <f t="shared" si="28"/>
        <v>-123</v>
      </c>
      <c r="Q251">
        <v>0.8</v>
      </c>
    </row>
    <row r="252" spans="2:17" x14ac:dyDescent="0.25">
      <c r="B252">
        <f>400+2*(Table1[[#This Row],[Column1]]-42)</f>
        <v>422</v>
      </c>
      <c r="C252">
        <f>MINUTE(Table1[[#This Row],[Time]])</f>
        <v>53</v>
      </c>
      <c r="D252" s="1">
        <v>0.45387783564814815</v>
      </c>
      <c r="E252" t="s">
        <v>9</v>
      </c>
      <c r="F252">
        <v>-123</v>
      </c>
      <c r="G252">
        <v>0.8</v>
      </c>
      <c r="K252">
        <f>400+2*(Table2[[#This Row],[Column1]]-13)</f>
        <v>422</v>
      </c>
      <c r="L252">
        <f>MINUTE(Table2[[#This Row],[Time]])</f>
        <v>24</v>
      </c>
      <c r="M252" s="1">
        <v>0.68374412037037036</v>
      </c>
      <c r="N252" t="s">
        <v>9</v>
      </c>
      <c r="O252" t="s">
        <v>12</v>
      </c>
      <c r="P252">
        <f t="shared" si="28"/>
        <v>-123</v>
      </c>
      <c r="Q252">
        <v>0.8</v>
      </c>
    </row>
    <row r="253" spans="2:17" x14ac:dyDescent="0.25">
      <c r="B253">
        <f>400+2*(Table1[[#This Row],[Column1]]-42)</f>
        <v>422</v>
      </c>
      <c r="C253">
        <f>MINUTE(Table1[[#This Row],[Time]])</f>
        <v>53</v>
      </c>
      <c r="D253" s="1">
        <v>0.45391023148148146</v>
      </c>
      <c r="E253" t="s">
        <v>9</v>
      </c>
      <c r="F253">
        <v>-123</v>
      </c>
      <c r="G253">
        <v>0.5</v>
      </c>
      <c r="K253">
        <f>400+2*(Table2[[#This Row],[Column1]]-13)</f>
        <v>422</v>
      </c>
      <c r="L253">
        <f>MINUTE(Table2[[#This Row],[Time]])</f>
        <v>24</v>
      </c>
      <c r="M253" s="1">
        <v>0.68377650462962969</v>
      </c>
      <c r="N253" t="s">
        <v>9</v>
      </c>
      <c r="O253" t="s">
        <v>12</v>
      </c>
      <c r="P253">
        <f t="shared" si="28"/>
        <v>-123</v>
      </c>
      <c r="Q253">
        <v>0.8</v>
      </c>
    </row>
    <row r="254" spans="2:17" x14ac:dyDescent="0.25">
      <c r="B254">
        <f>400+2*(Table1[[#This Row],[Column1]]-42)</f>
        <v>422</v>
      </c>
      <c r="C254">
        <f>MINUTE(Table1[[#This Row],[Time]])</f>
        <v>53</v>
      </c>
      <c r="D254" s="1">
        <v>0.45394262731481477</v>
      </c>
      <c r="E254" t="s">
        <v>9</v>
      </c>
      <c r="F254">
        <v>-123</v>
      </c>
      <c r="G254">
        <v>1</v>
      </c>
      <c r="K254">
        <f>400+2*(Table2[[#This Row],[Column1]]-13)</f>
        <v>422</v>
      </c>
      <c r="L254">
        <f>MINUTE(Table2[[#This Row],[Time]])</f>
        <v>24</v>
      </c>
      <c r="M254" s="1">
        <v>0.68380892361111112</v>
      </c>
      <c r="N254" t="s">
        <v>9</v>
      </c>
      <c r="O254" t="s">
        <v>11</v>
      </c>
      <c r="P254">
        <f t="shared" si="28"/>
        <v>-122</v>
      </c>
      <c r="Q254">
        <v>0.5</v>
      </c>
    </row>
    <row r="255" spans="2:17" x14ac:dyDescent="0.25">
      <c r="B255">
        <f>400+2*(Table1[[#This Row],[Column1]]-42)</f>
        <v>422</v>
      </c>
      <c r="C255">
        <f>MINUTE(Table1[[#This Row],[Time]])</f>
        <v>53</v>
      </c>
      <c r="D255" s="1">
        <v>0.45397502314814819</v>
      </c>
      <c r="E255" t="s">
        <v>9</v>
      </c>
      <c r="F255">
        <v>-123</v>
      </c>
      <c r="G255">
        <v>1</v>
      </c>
      <c r="K255">
        <f>400+2*(Table2[[#This Row],[Column1]]-13)</f>
        <v>422</v>
      </c>
      <c r="L255">
        <f>MINUTE(Table2[[#This Row],[Time]])</f>
        <v>24</v>
      </c>
      <c r="M255" s="1">
        <v>0.68384130787037045</v>
      </c>
      <c r="N255" t="s">
        <v>9</v>
      </c>
      <c r="O255" t="s">
        <v>12</v>
      </c>
      <c r="P255">
        <f t="shared" si="28"/>
        <v>-123</v>
      </c>
      <c r="Q255">
        <v>1</v>
      </c>
    </row>
    <row r="256" spans="2:17" x14ac:dyDescent="0.25">
      <c r="B256">
        <f>400+2*(Table1[[#This Row],[Column1]]-42)</f>
        <v>422</v>
      </c>
      <c r="C256">
        <f>MINUTE(Table1[[#This Row],[Time]])</f>
        <v>53</v>
      </c>
      <c r="D256" s="1">
        <v>0.45400740740740736</v>
      </c>
      <c r="E256" t="s">
        <v>9</v>
      </c>
      <c r="F256">
        <v>-123</v>
      </c>
      <c r="G256">
        <v>0.8</v>
      </c>
      <c r="K256">
        <f>400+2*(Table2[[#This Row],[Column1]]-13)</f>
        <v>422</v>
      </c>
      <c r="L256">
        <f>MINUTE(Table2[[#This Row],[Time]])</f>
        <v>24</v>
      </c>
      <c r="M256" s="1">
        <v>0.68387371527777774</v>
      </c>
      <c r="N256" t="s">
        <v>9</v>
      </c>
      <c r="O256" t="s">
        <v>11</v>
      </c>
      <c r="P256">
        <f t="shared" si="28"/>
        <v>-122</v>
      </c>
      <c r="Q256">
        <v>1.3</v>
      </c>
    </row>
    <row r="257" spans="2:17" x14ac:dyDescent="0.25">
      <c r="B257">
        <f>400+2*(Table1[[#This Row],[Column1]]-42)</f>
        <v>422</v>
      </c>
      <c r="C257">
        <f>MINUTE(Table1[[#This Row],[Time]])</f>
        <v>53</v>
      </c>
      <c r="D257" s="1">
        <v>0.45403981481481481</v>
      </c>
      <c r="E257" t="s">
        <v>9</v>
      </c>
      <c r="F257">
        <v>-123</v>
      </c>
      <c r="G257">
        <v>1</v>
      </c>
      <c r="K257">
        <f>400+2*(Table2[[#This Row],[Column1]]-13)</f>
        <v>422</v>
      </c>
      <c r="L257">
        <f>MINUTE(Table2[[#This Row],[Time]])</f>
        <v>24</v>
      </c>
      <c r="M257" s="1">
        <v>0.6839061111111111</v>
      </c>
      <c r="N257" t="s">
        <v>9</v>
      </c>
      <c r="O257" t="s">
        <v>12</v>
      </c>
      <c r="P257">
        <f t="shared" si="28"/>
        <v>-123</v>
      </c>
      <c r="Q257">
        <v>1</v>
      </c>
    </row>
    <row r="258" spans="2:17" x14ac:dyDescent="0.25">
      <c r="B258">
        <f>400+2*(Table1[[#This Row],[Column1]]-42)</f>
        <v>422</v>
      </c>
      <c r="C258">
        <f>MINUTE(Table1[[#This Row],[Time]])</f>
        <v>53</v>
      </c>
      <c r="D258" s="1">
        <v>0.45407221064814812</v>
      </c>
      <c r="E258" t="s">
        <v>27</v>
      </c>
      <c r="F258">
        <f>F257-0.5</f>
        <v>-123.5</v>
      </c>
      <c r="G258">
        <f>G257-0.5</f>
        <v>0.5</v>
      </c>
      <c r="K258">
        <f>400+2*(Table2[[#This Row],[Column1]]-13)</f>
        <v>422</v>
      </c>
      <c r="L258">
        <f>MINUTE(Table2[[#This Row],[Time]])</f>
        <v>24</v>
      </c>
      <c r="M258" s="1">
        <v>0.68393850694444436</v>
      </c>
      <c r="N258" t="s">
        <v>9</v>
      </c>
      <c r="O258" t="s">
        <v>12</v>
      </c>
      <c r="P258">
        <f t="shared" si="28"/>
        <v>-123</v>
      </c>
      <c r="Q258">
        <v>1</v>
      </c>
    </row>
    <row r="259" spans="2:17" x14ac:dyDescent="0.25">
      <c r="B259">
        <f>400+2*(Table1[[#This Row],[Column1]]-42)</f>
        <v>422</v>
      </c>
      <c r="C259">
        <f>MINUTE(Table1[[#This Row],[Time]])</f>
        <v>53</v>
      </c>
      <c r="D259" s="1">
        <v>0.45410460648148149</v>
      </c>
      <c r="E259" t="s">
        <v>9</v>
      </c>
      <c r="F259">
        <v>-123</v>
      </c>
      <c r="G259">
        <v>0.8</v>
      </c>
      <c r="K259">
        <f>400+2*(Table2[[#This Row],[Column1]]-13)</f>
        <v>422</v>
      </c>
      <c r="L259">
        <f>MINUTE(Table2[[#This Row],[Time]])</f>
        <v>24</v>
      </c>
      <c r="M259" s="1">
        <v>0.68397090277777783</v>
      </c>
      <c r="N259" t="s">
        <v>9</v>
      </c>
      <c r="O259" t="s">
        <v>12</v>
      </c>
      <c r="P259">
        <f t="shared" si="28"/>
        <v>-123</v>
      </c>
      <c r="Q259">
        <v>0.8</v>
      </c>
    </row>
    <row r="260" spans="2:17" x14ac:dyDescent="0.25">
      <c r="B260">
        <f>400+2*(Table1[[#This Row],[Column1]]-42)</f>
        <v>422</v>
      </c>
      <c r="C260">
        <f>MINUTE(Table1[[#This Row],[Time]])</f>
        <v>53</v>
      </c>
      <c r="D260" s="1">
        <v>0.4541370023148148</v>
      </c>
      <c r="E260" t="s">
        <v>9</v>
      </c>
      <c r="F260">
        <v>-123</v>
      </c>
      <c r="G260">
        <v>0.8</v>
      </c>
      <c r="K260">
        <f>400+2*(Table2[[#This Row],[Column1]]-13)</f>
        <v>422</v>
      </c>
      <c r="L260">
        <f>MINUTE(Table2[[#This Row],[Time]])</f>
        <v>24</v>
      </c>
      <c r="M260" s="1">
        <v>0.68400328703703706</v>
      </c>
      <c r="N260" t="s">
        <v>9</v>
      </c>
      <c r="O260" t="s">
        <v>12</v>
      </c>
      <c r="P260">
        <f t="shared" ref="P260:P323" si="43">VALUE(LEFT(O260,LEN(O260)-1))</f>
        <v>-123</v>
      </c>
      <c r="Q260">
        <v>1</v>
      </c>
    </row>
    <row r="261" spans="2:17" x14ac:dyDescent="0.25">
      <c r="B261">
        <f>400+2*(Table1[[#This Row],[Column1]]-42)</f>
        <v>424</v>
      </c>
      <c r="C261">
        <f>MINUTE(Table1[[#This Row],[Time]])</f>
        <v>54</v>
      </c>
      <c r="D261" s="1">
        <v>0.45416939814814811</v>
      </c>
      <c r="E261" t="s">
        <v>9</v>
      </c>
      <c r="F261">
        <v>-123</v>
      </c>
      <c r="G261">
        <v>0.8</v>
      </c>
      <c r="K261">
        <f>400+2*(Table2[[#This Row],[Column1]]-13)</f>
        <v>424</v>
      </c>
      <c r="L261">
        <f>MINUTE(Table2[[#This Row],[Time]])</f>
        <v>25</v>
      </c>
      <c r="M261" s="1">
        <v>0.68403568287037031</v>
      </c>
      <c r="N261" t="s">
        <v>9</v>
      </c>
      <c r="O261" t="s">
        <v>12</v>
      </c>
      <c r="P261">
        <f t="shared" si="43"/>
        <v>-123</v>
      </c>
      <c r="Q261">
        <v>1</v>
      </c>
    </row>
    <row r="262" spans="2:17" x14ac:dyDescent="0.25">
      <c r="B262">
        <f>400+2*(Table1[[#This Row],[Column1]]-42)</f>
        <v>424</v>
      </c>
      <c r="C262">
        <f>MINUTE(Table1[[#This Row],[Time]])</f>
        <v>54</v>
      </c>
      <c r="D262" s="1">
        <v>0.45420179398148153</v>
      </c>
      <c r="E262" t="s">
        <v>9</v>
      </c>
      <c r="F262">
        <v>-123</v>
      </c>
      <c r="G262">
        <v>0.8</v>
      </c>
      <c r="K262">
        <f>400+2*(Table2[[#This Row],[Column1]]-13)</f>
        <v>424</v>
      </c>
      <c r="L262">
        <f>MINUTE(Table2[[#This Row],[Time]])</f>
        <v>25</v>
      </c>
      <c r="M262" s="1">
        <v>0.68406809027777782</v>
      </c>
      <c r="N262" t="s">
        <v>13</v>
      </c>
      <c r="O262" t="str">
        <f>O261</f>
        <v>-123.0,</v>
      </c>
      <c r="P262">
        <f>P261-0.5</f>
        <v>-123.5</v>
      </c>
      <c r="Q262">
        <f>Q261-0.5</f>
        <v>0.5</v>
      </c>
    </row>
    <row r="263" spans="2:17" x14ac:dyDescent="0.25">
      <c r="B263">
        <f>400+2*(Table1[[#This Row],[Column1]]-42)</f>
        <v>424</v>
      </c>
      <c r="C263">
        <f>MINUTE(Table1[[#This Row],[Time]])</f>
        <v>54</v>
      </c>
      <c r="D263" s="1">
        <v>0.45423418981481484</v>
      </c>
      <c r="E263" t="s">
        <v>9</v>
      </c>
      <c r="F263">
        <v>-124</v>
      </c>
      <c r="G263">
        <v>-1</v>
      </c>
      <c r="K263">
        <f>400+2*(Table2[[#This Row],[Column1]]-13)</f>
        <v>424</v>
      </c>
      <c r="L263">
        <f>MINUTE(Table2[[#This Row],[Time]])</f>
        <v>25</v>
      </c>
      <c r="M263" s="1">
        <v>0.68410048611111107</v>
      </c>
      <c r="N263" t="s">
        <v>9</v>
      </c>
      <c r="O263" t="s">
        <v>19</v>
      </c>
      <c r="P263">
        <f t="shared" si="43"/>
        <v>-124</v>
      </c>
      <c r="Q263">
        <v>-1.5</v>
      </c>
    </row>
    <row r="264" spans="2:17" x14ac:dyDescent="0.25">
      <c r="B264">
        <f>400+2*(Table1[[#This Row],[Column1]]-42)</f>
        <v>424</v>
      </c>
      <c r="C264">
        <f>MINUTE(Table1[[#This Row],[Time]])</f>
        <v>54</v>
      </c>
      <c r="D264" s="1">
        <v>0.45426658564814815</v>
      </c>
      <c r="E264" t="s">
        <v>9</v>
      </c>
      <c r="F264">
        <v>-124</v>
      </c>
      <c r="G264">
        <v>-1.5</v>
      </c>
      <c r="K264">
        <f>400+2*(Table2[[#This Row],[Column1]]-13)</f>
        <v>424</v>
      </c>
      <c r="L264">
        <f>MINUTE(Table2[[#This Row],[Time]])</f>
        <v>25</v>
      </c>
      <c r="M264" s="1">
        <v>0.68413288194444444</v>
      </c>
      <c r="N264" t="s">
        <v>9</v>
      </c>
      <c r="O264" t="s">
        <v>19</v>
      </c>
      <c r="P264">
        <f t="shared" si="43"/>
        <v>-124</v>
      </c>
      <c r="Q264">
        <v>-1.5</v>
      </c>
    </row>
    <row r="265" spans="2:17" x14ac:dyDescent="0.25">
      <c r="B265">
        <f>400+2*(Table1[[#This Row],[Column1]]-42)</f>
        <v>424</v>
      </c>
      <c r="C265">
        <f>MINUTE(Table1[[#This Row],[Time]])</f>
        <v>54</v>
      </c>
      <c r="D265" s="1">
        <v>0.45429898148148151</v>
      </c>
      <c r="E265" t="s">
        <v>27</v>
      </c>
      <c r="F265">
        <f t="shared" ref="F265:F266" si="44">F264-0.5</f>
        <v>-124.5</v>
      </c>
      <c r="G265">
        <f t="shared" ref="G265:G266" si="45">G264-0.5</f>
        <v>-2</v>
      </c>
      <c r="K265">
        <f>400+2*(Table2[[#This Row],[Column1]]-13)</f>
        <v>424</v>
      </c>
      <c r="L265">
        <f>MINUTE(Table2[[#This Row],[Time]])</f>
        <v>25</v>
      </c>
      <c r="M265" s="1">
        <v>0.68416526620370366</v>
      </c>
      <c r="N265" t="s">
        <v>9</v>
      </c>
      <c r="O265" t="s">
        <v>15</v>
      </c>
      <c r="P265">
        <f t="shared" si="43"/>
        <v>-120</v>
      </c>
      <c r="Q265">
        <v>-1.5</v>
      </c>
    </row>
    <row r="266" spans="2:17" x14ac:dyDescent="0.25">
      <c r="B266">
        <f>400+2*(Table1[[#This Row],[Column1]]-42)</f>
        <v>424</v>
      </c>
      <c r="C266">
        <f>MINUTE(Table1[[#This Row],[Time]])</f>
        <v>54</v>
      </c>
      <c r="D266" s="1">
        <v>0.45433137731481482</v>
      </c>
      <c r="E266" t="s">
        <v>13</v>
      </c>
      <c r="F266">
        <f t="shared" si="44"/>
        <v>-125</v>
      </c>
      <c r="G266">
        <f t="shared" si="45"/>
        <v>-2.5</v>
      </c>
      <c r="K266">
        <f>400+2*(Table2[[#This Row],[Column1]]-13)</f>
        <v>424</v>
      </c>
      <c r="L266">
        <f>MINUTE(Table2[[#This Row],[Time]])</f>
        <v>25</v>
      </c>
      <c r="M266" s="1">
        <v>0.68419766203703702</v>
      </c>
      <c r="N266" t="s">
        <v>13</v>
      </c>
      <c r="O266" t="str">
        <f>O265</f>
        <v>-120.0,</v>
      </c>
      <c r="P266">
        <f>P265-0.5</f>
        <v>-120.5</v>
      </c>
      <c r="Q266">
        <f>Q265-0.5</f>
        <v>-2</v>
      </c>
    </row>
    <row r="267" spans="2:17" x14ac:dyDescent="0.25">
      <c r="B267">
        <f>400+2*(Table1[[#This Row],[Column1]]-42)</f>
        <v>424</v>
      </c>
      <c r="C267">
        <f>MINUTE(Table1[[#This Row],[Time]])</f>
        <v>54</v>
      </c>
      <c r="D267" s="1">
        <v>0.45436377314814813</v>
      </c>
      <c r="E267" t="s">
        <v>9</v>
      </c>
      <c r="F267">
        <v>-122</v>
      </c>
      <c r="G267">
        <v>1</v>
      </c>
      <c r="K267">
        <f>400+2*(Table2[[#This Row],[Column1]]-13)</f>
        <v>424</v>
      </c>
      <c r="L267">
        <f>MINUTE(Table2[[#This Row],[Time]])</f>
        <v>25</v>
      </c>
      <c r="M267" s="1">
        <v>0.68423006944444442</v>
      </c>
      <c r="N267" t="s">
        <v>9</v>
      </c>
      <c r="O267" t="s">
        <v>12</v>
      </c>
      <c r="P267">
        <f t="shared" si="43"/>
        <v>-123</v>
      </c>
      <c r="Q267">
        <v>1</v>
      </c>
    </row>
    <row r="268" spans="2:17" x14ac:dyDescent="0.25">
      <c r="B268">
        <f>400+2*(Table1[[#This Row],[Column1]]-42)</f>
        <v>424</v>
      </c>
      <c r="C268">
        <f>MINUTE(Table1[[#This Row],[Time]])</f>
        <v>54</v>
      </c>
      <c r="D268" s="1">
        <v>0.45439616898148144</v>
      </c>
      <c r="E268" t="s">
        <v>9</v>
      </c>
      <c r="F268">
        <v>-123</v>
      </c>
      <c r="G268">
        <v>0.8</v>
      </c>
      <c r="K268">
        <f>400+2*(Table2[[#This Row],[Column1]]-13)</f>
        <v>424</v>
      </c>
      <c r="L268">
        <f>MINUTE(Table2[[#This Row],[Time]])</f>
        <v>25</v>
      </c>
      <c r="M268" s="1">
        <v>0.68426246527777779</v>
      </c>
      <c r="N268" t="s">
        <v>9</v>
      </c>
      <c r="O268" t="s">
        <v>12</v>
      </c>
      <c r="P268">
        <f t="shared" si="43"/>
        <v>-123</v>
      </c>
      <c r="Q268">
        <v>1</v>
      </c>
    </row>
    <row r="269" spans="2:17" x14ac:dyDescent="0.25">
      <c r="B269">
        <f>400+2*(Table1[[#This Row],[Column1]]-42)</f>
        <v>424</v>
      </c>
      <c r="C269">
        <f>MINUTE(Table1[[#This Row],[Time]])</f>
        <v>54</v>
      </c>
      <c r="D269" s="1">
        <v>0.45442856481481481</v>
      </c>
      <c r="E269" t="s">
        <v>9</v>
      </c>
      <c r="F269">
        <v>-123</v>
      </c>
      <c r="G269">
        <v>0.5</v>
      </c>
      <c r="K269">
        <f>400+2*(Table2[[#This Row],[Column1]]-13)</f>
        <v>424</v>
      </c>
      <c r="L269">
        <f>MINUTE(Table2[[#This Row],[Time]])</f>
        <v>25</v>
      </c>
      <c r="M269" s="1">
        <v>0.68429486111111115</v>
      </c>
      <c r="N269" t="s">
        <v>9</v>
      </c>
      <c r="O269" t="s">
        <v>12</v>
      </c>
      <c r="P269">
        <f t="shared" si="43"/>
        <v>-123</v>
      </c>
      <c r="Q269">
        <v>1</v>
      </c>
    </row>
    <row r="270" spans="2:17" x14ac:dyDescent="0.25">
      <c r="B270">
        <f>400+2*(Table1[[#This Row],[Column1]]-42)</f>
        <v>424</v>
      </c>
      <c r="C270">
        <f>MINUTE(Table1[[#This Row],[Time]])</f>
        <v>54</v>
      </c>
      <c r="D270" s="1">
        <v>0.45446096064814817</v>
      </c>
      <c r="E270" t="s">
        <v>9</v>
      </c>
      <c r="F270">
        <v>-123</v>
      </c>
      <c r="G270">
        <v>1.3</v>
      </c>
      <c r="K270">
        <f>400+2*(Table2[[#This Row],[Column1]]-13)</f>
        <v>424</v>
      </c>
      <c r="L270">
        <f>MINUTE(Table2[[#This Row],[Time]])</f>
        <v>25</v>
      </c>
      <c r="M270" s="1">
        <v>0.68432725694444441</v>
      </c>
      <c r="N270" t="s">
        <v>9</v>
      </c>
      <c r="O270" t="s">
        <v>12</v>
      </c>
      <c r="P270">
        <f t="shared" si="43"/>
        <v>-123</v>
      </c>
      <c r="Q270">
        <v>1</v>
      </c>
    </row>
    <row r="271" spans="2:17" x14ac:dyDescent="0.25">
      <c r="B271">
        <f>400+2*(Table1[[#This Row],[Column1]]-42)</f>
        <v>424</v>
      </c>
      <c r="C271">
        <f>MINUTE(Table1[[#This Row],[Time]])</f>
        <v>54</v>
      </c>
      <c r="D271" s="1">
        <v>0.45449335648148154</v>
      </c>
      <c r="E271" t="s">
        <v>9</v>
      </c>
      <c r="F271">
        <v>-123</v>
      </c>
      <c r="G271">
        <v>0.5</v>
      </c>
      <c r="K271">
        <f>400+2*(Table2[[#This Row],[Column1]]-13)</f>
        <v>424</v>
      </c>
      <c r="L271">
        <f>MINUTE(Table2[[#This Row],[Time]])</f>
        <v>25</v>
      </c>
      <c r="M271" s="1">
        <v>0.68435964120370374</v>
      </c>
      <c r="N271" t="s">
        <v>9</v>
      </c>
      <c r="O271" t="s">
        <v>16</v>
      </c>
      <c r="P271">
        <f t="shared" si="43"/>
        <v>-119</v>
      </c>
      <c r="Q271">
        <v>0.8</v>
      </c>
    </row>
    <row r="272" spans="2:17" x14ac:dyDescent="0.25">
      <c r="B272">
        <f>400+2*(Table1[[#This Row],[Column1]]-42)</f>
        <v>424</v>
      </c>
      <c r="C272">
        <f>MINUTE(Table1[[#This Row],[Time]])</f>
        <v>54</v>
      </c>
      <c r="D272" s="1">
        <v>0.45452575231481485</v>
      </c>
      <c r="E272" t="s">
        <v>9</v>
      </c>
      <c r="F272">
        <v>-123</v>
      </c>
      <c r="G272">
        <v>0.8</v>
      </c>
      <c r="K272">
        <f>400+2*(Table2[[#This Row],[Column1]]-13)</f>
        <v>424</v>
      </c>
      <c r="L272">
        <f>MINUTE(Table2[[#This Row],[Time]])</f>
        <v>25</v>
      </c>
      <c r="M272" s="1">
        <v>0.68439204861111114</v>
      </c>
      <c r="N272" t="s">
        <v>9</v>
      </c>
      <c r="O272" t="s">
        <v>12</v>
      </c>
      <c r="P272">
        <f t="shared" si="43"/>
        <v>-123</v>
      </c>
      <c r="Q272">
        <v>0.5</v>
      </c>
    </row>
    <row r="273" spans="2:17" x14ac:dyDescent="0.25">
      <c r="B273">
        <f>400+2*(Table1[[#This Row],[Column1]]-42)</f>
        <v>424</v>
      </c>
      <c r="C273">
        <f>MINUTE(Table1[[#This Row],[Time]])</f>
        <v>54</v>
      </c>
      <c r="D273" s="1">
        <v>0.45455814814814816</v>
      </c>
      <c r="E273" t="s">
        <v>27</v>
      </c>
      <c r="F273">
        <f>F272-0.5</f>
        <v>-123.5</v>
      </c>
      <c r="G273">
        <f>G272-0.5</f>
        <v>0.30000000000000004</v>
      </c>
      <c r="K273">
        <f>400+2*(Table2[[#This Row],[Column1]]-13)</f>
        <v>424</v>
      </c>
      <c r="L273">
        <f>MINUTE(Table2[[#This Row],[Time]])</f>
        <v>25</v>
      </c>
      <c r="M273" s="1">
        <v>0.68442444444444439</v>
      </c>
      <c r="N273" t="s">
        <v>9</v>
      </c>
      <c r="O273" t="s">
        <v>12</v>
      </c>
      <c r="P273">
        <f t="shared" si="43"/>
        <v>-123</v>
      </c>
      <c r="Q273">
        <v>0.8</v>
      </c>
    </row>
    <row r="274" spans="2:17" x14ac:dyDescent="0.25">
      <c r="B274">
        <f>400+2*(Table1[[#This Row],[Column1]]-42)</f>
        <v>424</v>
      </c>
      <c r="C274">
        <f>MINUTE(Table1[[#This Row],[Time]])</f>
        <v>54</v>
      </c>
      <c r="D274" s="1">
        <v>0.45459054398148147</v>
      </c>
      <c r="E274" t="s">
        <v>9</v>
      </c>
      <c r="F274">
        <v>-123</v>
      </c>
      <c r="G274">
        <v>0.8</v>
      </c>
      <c r="K274">
        <f>400+2*(Table2[[#This Row],[Column1]]-13)</f>
        <v>424</v>
      </c>
      <c r="L274">
        <f>MINUTE(Table2[[#This Row],[Time]])</f>
        <v>25</v>
      </c>
      <c r="M274" s="1">
        <v>0.68445684027777787</v>
      </c>
      <c r="N274" t="s">
        <v>9</v>
      </c>
      <c r="O274" t="s">
        <v>12</v>
      </c>
      <c r="P274">
        <f t="shared" si="43"/>
        <v>-123</v>
      </c>
      <c r="Q274">
        <v>0.8</v>
      </c>
    </row>
    <row r="275" spans="2:17" x14ac:dyDescent="0.25">
      <c r="B275">
        <f>400+2*(Table1[[#This Row],[Column1]]-42)</f>
        <v>424</v>
      </c>
      <c r="C275">
        <f>MINUTE(Table1[[#This Row],[Time]])</f>
        <v>54</v>
      </c>
      <c r="D275" s="1">
        <v>0.45462293981481477</v>
      </c>
      <c r="E275" t="s">
        <v>9</v>
      </c>
      <c r="F275">
        <v>-123</v>
      </c>
      <c r="G275">
        <v>0.5</v>
      </c>
      <c r="K275">
        <f>400+2*(Table2[[#This Row],[Column1]]-13)</f>
        <v>424</v>
      </c>
      <c r="L275">
        <f>MINUTE(Table2[[#This Row],[Time]])</f>
        <v>25</v>
      </c>
      <c r="M275" s="1">
        <v>0.68448923611111112</v>
      </c>
      <c r="N275" t="s">
        <v>9</v>
      </c>
      <c r="O275" t="s">
        <v>12</v>
      </c>
      <c r="P275">
        <f t="shared" si="43"/>
        <v>-123</v>
      </c>
      <c r="Q275">
        <v>0.8</v>
      </c>
    </row>
    <row r="276" spans="2:17" x14ac:dyDescent="0.25">
      <c r="B276">
        <f>400+2*(Table1[[#This Row],[Column1]]-42)</f>
        <v>424</v>
      </c>
      <c r="C276">
        <f>MINUTE(Table1[[#This Row],[Time]])</f>
        <v>54</v>
      </c>
      <c r="D276" s="1">
        <v>0.45465533564814814</v>
      </c>
      <c r="E276" t="s">
        <v>9</v>
      </c>
      <c r="F276">
        <v>-123</v>
      </c>
      <c r="G276">
        <v>0.8</v>
      </c>
      <c r="K276">
        <f>400+2*(Table2[[#This Row],[Column1]]-13)</f>
        <v>424</v>
      </c>
      <c r="L276">
        <f>MINUTE(Table2[[#This Row],[Time]])</f>
        <v>25</v>
      </c>
      <c r="M276" s="1">
        <v>0.68452163194444449</v>
      </c>
      <c r="N276" t="s">
        <v>9</v>
      </c>
      <c r="O276" t="s">
        <v>12</v>
      </c>
      <c r="P276">
        <f t="shared" si="43"/>
        <v>-123</v>
      </c>
      <c r="Q276">
        <v>0.5</v>
      </c>
    </row>
    <row r="277" spans="2:17" x14ac:dyDescent="0.25">
      <c r="B277">
        <f>400+2*(Table1[[#This Row],[Column1]]-42)</f>
        <v>424</v>
      </c>
      <c r="C277">
        <f>MINUTE(Table1[[#This Row],[Time]])</f>
        <v>54</v>
      </c>
      <c r="D277" s="1">
        <v>0.45468773148148145</v>
      </c>
      <c r="E277" t="s">
        <v>9</v>
      </c>
      <c r="F277">
        <v>-123</v>
      </c>
      <c r="G277">
        <v>0.8</v>
      </c>
      <c r="K277">
        <f>400+2*(Table2[[#This Row],[Column1]]-13)</f>
        <v>424</v>
      </c>
      <c r="L277">
        <f>MINUTE(Table2[[#This Row],[Time]])</f>
        <v>25</v>
      </c>
      <c r="M277" s="1">
        <v>0.68455401620370371</v>
      </c>
      <c r="N277" t="s">
        <v>9</v>
      </c>
      <c r="O277" t="s">
        <v>12</v>
      </c>
      <c r="P277">
        <f t="shared" si="43"/>
        <v>-123</v>
      </c>
      <c r="Q277">
        <v>0.8</v>
      </c>
    </row>
    <row r="278" spans="2:17" x14ac:dyDescent="0.25">
      <c r="B278">
        <f>400+2*(Table1[[#This Row],[Column1]]-42)</f>
        <v>424</v>
      </c>
      <c r="C278">
        <f>MINUTE(Table1[[#This Row],[Time]])</f>
        <v>54</v>
      </c>
      <c r="D278" s="1">
        <v>0.45472012731481487</v>
      </c>
      <c r="E278" t="s">
        <v>9</v>
      </c>
      <c r="F278">
        <v>-123</v>
      </c>
      <c r="G278">
        <v>1</v>
      </c>
      <c r="K278">
        <f>400+2*(Table2[[#This Row],[Column1]]-13)</f>
        <v>424</v>
      </c>
      <c r="L278">
        <f>MINUTE(Table2[[#This Row],[Time]])</f>
        <v>25</v>
      </c>
      <c r="M278" s="1">
        <v>0.68458641203703707</v>
      </c>
      <c r="N278" t="s">
        <v>27</v>
      </c>
      <c r="O278" t="str">
        <f>O277</f>
        <v>-123.0,</v>
      </c>
      <c r="P278">
        <f>P277-0.5</f>
        <v>-123.5</v>
      </c>
      <c r="Q278">
        <f>Q277-0.5</f>
        <v>0.30000000000000004</v>
      </c>
    </row>
    <row r="279" spans="2:17" x14ac:dyDescent="0.25">
      <c r="B279">
        <f>400+2*(Table1[[#This Row],[Column1]]-42)</f>
        <v>424</v>
      </c>
      <c r="C279">
        <f>MINUTE(Table1[[#This Row],[Time]])</f>
        <v>54</v>
      </c>
      <c r="D279" s="1">
        <v>0.45475252314814818</v>
      </c>
      <c r="E279" t="s">
        <v>9</v>
      </c>
      <c r="F279">
        <v>-123</v>
      </c>
      <c r="G279">
        <v>0.8</v>
      </c>
      <c r="K279">
        <f>400+2*(Table2[[#This Row],[Column1]]-13)</f>
        <v>424</v>
      </c>
      <c r="L279">
        <f>MINUTE(Table2[[#This Row],[Time]])</f>
        <v>25</v>
      </c>
      <c r="M279" s="1">
        <v>0.68461880787037044</v>
      </c>
      <c r="N279" t="s">
        <v>9</v>
      </c>
      <c r="O279" t="s">
        <v>12</v>
      </c>
      <c r="P279">
        <f t="shared" si="43"/>
        <v>-123</v>
      </c>
      <c r="Q279">
        <v>1</v>
      </c>
    </row>
    <row r="280" spans="2:17" x14ac:dyDescent="0.25">
      <c r="B280">
        <f>400+2*(Table1[[#This Row],[Column1]]-42)</f>
        <v>424</v>
      </c>
      <c r="C280">
        <f>MINUTE(Table1[[#This Row],[Time]])</f>
        <v>54</v>
      </c>
      <c r="D280" s="1">
        <v>0.45478491898148149</v>
      </c>
      <c r="E280" t="s">
        <v>9</v>
      </c>
      <c r="F280">
        <v>-123</v>
      </c>
      <c r="G280">
        <v>1</v>
      </c>
      <c r="K280">
        <f>400+2*(Table2[[#This Row],[Column1]]-13)</f>
        <v>424</v>
      </c>
      <c r="L280">
        <f>MINUTE(Table2[[#This Row],[Time]])</f>
        <v>25</v>
      </c>
      <c r="M280" s="1">
        <v>0.68465121527777772</v>
      </c>
      <c r="N280" t="s">
        <v>9</v>
      </c>
      <c r="O280" t="s">
        <v>12</v>
      </c>
      <c r="P280">
        <f t="shared" si="43"/>
        <v>-123</v>
      </c>
      <c r="Q280">
        <v>0.5</v>
      </c>
    </row>
    <row r="281" spans="2:17" x14ac:dyDescent="0.25">
      <c r="B281">
        <f>400+2*(Table1[[#This Row],[Column1]]-42)</f>
        <v>424</v>
      </c>
      <c r="C281">
        <f>MINUTE(Table1[[#This Row],[Time]])</f>
        <v>54</v>
      </c>
      <c r="D281" s="1">
        <v>0.4548173148148148</v>
      </c>
      <c r="E281" t="s">
        <v>9</v>
      </c>
      <c r="F281">
        <v>-118</v>
      </c>
      <c r="G281">
        <v>0.8</v>
      </c>
      <c r="K281">
        <f>400+2*(Table2[[#This Row],[Column1]]-13)</f>
        <v>424</v>
      </c>
      <c r="L281">
        <f>MINUTE(Table2[[#This Row],[Time]])</f>
        <v>25</v>
      </c>
      <c r="M281" s="1">
        <v>0.68468359953703706</v>
      </c>
      <c r="N281" t="s">
        <v>9</v>
      </c>
      <c r="O281" t="s">
        <v>12</v>
      </c>
      <c r="P281">
        <f t="shared" si="43"/>
        <v>-123</v>
      </c>
      <c r="Q281">
        <v>1.3</v>
      </c>
    </row>
    <row r="282" spans="2:17" x14ac:dyDescent="0.25">
      <c r="B282">
        <f>400+2*(Table1[[#This Row],[Column1]]-42)</f>
        <v>424</v>
      </c>
      <c r="C282">
        <f>MINUTE(Table1[[#This Row],[Time]])</f>
        <v>54</v>
      </c>
      <c r="D282" s="1">
        <v>0.45484971064814816</v>
      </c>
      <c r="E282" t="s">
        <v>9</v>
      </c>
      <c r="F282">
        <v>-123</v>
      </c>
      <c r="G282">
        <v>1</v>
      </c>
      <c r="K282">
        <f>400+2*(Table2[[#This Row],[Column1]]-13)</f>
        <v>424</v>
      </c>
      <c r="L282">
        <f>MINUTE(Table2[[#This Row],[Time]])</f>
        <v>25</v>
      </c>
      <c r="M282" s="1">
        <v>0.68471600694444446</v>
      </c>
      <c r="N282" t="s">
        <v>9</v>
      </c>
      <c r="O282" t="s">
        <v>12</v>
      </c>
      <c r="P282">
        <f t="shared" si="43"/>
        <v>-123</v>
      </c>
      <c r="Q282">
        <v>0.5</v>
      </c>
    </row>
    <row r="283" spans="2:17" x14ac:dyDescent="0.25">
      <c r="B283">
        <f>400+2*(Table1[[#This Row],[Column1]]-42)</f>
        <v>426</v>
      </c>
      <c r="C283">
        <f>MINUTE(Table1[[#This Row],[Time]])</f>
        <v>55</v>
      </c>
      <c r="D283" s="1">
        <v>0.45488210648148147</v>
      </c>
      <c r="E283" t="s">
        <v>9</v>
      </c>
      <c r="F283">
        <v>-123</v>
      </c>
      <c r="G283">
        <v>0.5</v>
      </c>
      <c r="K283">
        <f>400+2*(Table2[[#This Row],[Column1]]-13)</f>
        <v>426</v>
      </c>
      <c r="L283">
        <f>MINUTE(Table2[[#This Row],[Time]])</f>
        <v>26</v>
      </c>
      <c r="M283" s="1">
        <v>0.68474839120370368</v>
      </c>
      <c r="N283" t="s">
        <v>9</v>
      </c>
      <c r="O283" t="s">
        <v>12</v>
      </c>
      <c r="P283">
        <f t="shared" si="43"/>
        <v>-123</v>
      </c>
      <c r="Q283">
        <v>0.5</v>
      </c>
    </row>
    <row r="284" spans="2:17" x14ac:dyDescent="0.25">
      <c r="B284">
        <f>400+2*(Table1[[#This Row],[Column1]]-42)</f>
        <v>426</v>
      </c>
      <c r="C284">
        <f>MINUTE(Table1[[#This Row],[Time]])</f>
        <v>55</v>
      </c>
      <c r="D284" s="1">
        <v>0.45491450231481478</v>
      </c>
      <c r="E284" t="s">
        <v>9</v>
      </c>
      <c r="F284">
        <v>-124</v>
      </c>
      <c r="G284">
        <v>-1.5</v>
      </c>
      <c r="K284">
        <f>400+2*(Table2[[#This Row],[Column1]]-13)</f>
        <v>426</v>
      </c>
      <c r="L284">
        <f>MINUTE(Table2[[#This Row],[Time]])</f>
        <v>26</v>
      </c>
      <c r="M284" s="1">
        <v>0.68478078703703704</v>
      </c>
      <c r="N284" t="s">
        <v>9</v>
      </c>
      <c r="O284" t="s">
        <v>19</v>
      </c>
      <c r="P284">
        <f t="shared" si="43"/>
        <v>-124</v>
      </c>
      <c r="Q284">
        <v>-1.3</v>
      </c>
    </row>
    <row r="285" spans="2:17" x14ac:dyDescent="0.25">
      <c r="B285">
        <f>400+2*(Table1[[#This Row],[Column1]]-42)</f>
        <v>426</v>
      </c>
      <c r="C285">
        <f>MINUTE(Table1[[#This Row],[Time]])</f>
        <v>55</v>
      </c>
      <c r="D285" s="1">
        <v>0.45494689814814809</v>
      </c>
      <c r="E285" t="s">
        <v>27</v>
      </c>
      <c r="F285">
        <f t="shared" ref="F285:F287" si="46">F284-0.5</f>
        <v>-124.5</v>
      </c>
      <c r="G285">
        <f t="shared" ref="G285:G287" si="47">G284-0.5</f>
        <v>-2</v>
      </c>
      <c r="K285">
        <f>400+2*(Table2[[#This Row],[Column1]]-13)</f>
        <v>426</v>
      </c>
      <c r="L285">
        <f>MINUTE(Table2[[#This Row],[Time]])</f>
        <v>26</v>
      </c>
      <c r="M285" s="1">
        <v>0.68481319444444444</v>
      </c>
      <c r="N285" t="s">
        <v>9</v>
      </c>
      <c r="O285" t="s">
        <v>19</v>
      </c>
      <c r="P285">
        <f t="shared" si="43"/>
        <v>-124</v>
      </c>
      <c r="Q285">
        <v>-1.5</v>
      </c>
    </row>
    <row r="286" spans="2:17" x14ac:dyDescent="0.25">
      <c r="B286">
        <f>400+2*(Table1[[#This Row],[Column1]]-42)</f>
        <v>426</v>
      </c>
      <c r="C286">
        <f>MINUTE(Table1[[#This Row],[Time]])</f>
        <v>55</v>
      </c>
      <c r="D286" s="1">
        <v>0.45497929398148151</v>
      </c>
      <c r="E286" t="s">
        <v>27</v>
      </c>
      <c r="F286">
        <f t="shared" si="46"/>
        <v>-125</v>
      </c>
      <c r="G286">
        <f t="shared" si="47"/>
        <v>-2.5</v>
      </c>
      <c r="K286">
        <f>400+2*(Table2[[#This Row],[Column1]]-13)</f>
        <v>426</v>
      </c>
      <c r="L286">
        <f>MINUTE(Table2[[#This Row],[Time]])</f>
        <v>26</v>
      </c>
      <c r="M286" s="1">
        <v>0.68484557870370377</v>
      </c>
      <c r="N286" t="s">
        <v>9</v>
      </c>
      <c r="O286" t="s">
        <v>19</v>
      </c>
      <c r="P286">
        <f t="shared" si="43"/>
        <v>-124</v>
      </c>
      <c r="Q286">
        <v>-1.3</v>
      </c>
    </row>
    <row r="287" spans="2:17" x14ac:dyDescent="0.25">
      <c r="B287">
        <f>400+2*(Table1[[#This Row],[Column1]]-42)</f>
        <v>426</v>
      </c>
      <c r="C287">
        <f>MINUTE(Table1[[#This Row],[Time]])</f>
        <v>55</v>
      </c>
      <c r="D287" s="1">
        <v>0.45501168981481482</v>
      </c>
      <c r="E287" t="s">
        <v>27</v>
      </c>
      <c r="F287">
        <f t="shared" si="46"/>
        <v>-125.5</v>
      </c>
      <c r="G287">
        <f t="shared" si="47"/>
        <v>-3</v>
      </c>
      <c r="K287">
        <f>400+2*(Table2[[#This Row],[Column1]]-13)</f>
        <v>426</v>
      </c>
      <c r="L287">
        <f>MINUTE(Table2[[#This Row],[Time]])</f>
        <v>26</v>
      </c>
      <c r="M287" s="1">
        <v>0.68487797453703703</v>
      </c>
      <c r="N287" t="s">
        <v>13</v>
      </c>
      <c r="O287" t="str">
        <f>O286</f>
        <v>-124.0,</v>
      </c>
      <c r="P287">
        <f>P286-0.5</f>
        <v>-124.5</v>
      </c>
      <c r="Q287">
        <f>Q286-0.5</f>
        <v>-1.8</v>
      </c>
    </row>
    <row r="288" spans="2:17" x14ac:dyDescent="0.25">
      <c r="B288">
        <f>400+2*(Table1[[#This Row],[Column1]]-42)</f>
        <v>426</v>
      </c>
      <c r="C288">
        <f>MINUTE(Table1[[#This Row],[Time]])</f>
        <v>55</v>
      </c>
      <c r="D288" s="1">
        <v>0.45504408564814813</v>
      </c>
      <c r="E288" t="s">
        <v>9</v>
      </c>
      <c r="F288">
        <v>-123</v>
      </c>
      <c r="G288">
        <v>0</v>
      </c>
      <c r="K288">
        <f>400+2*(Table2[[#This Row],[Column1]]-13)</f>
        <v>426</v>
      </c>
      <c r="L288">
        <f>MINUTE(Table2[[#This Row],[Time]])</f>
        <v>26</v>
      </c>
      <c r="M288" s="1">
        <v>0.68491038194444442</v>
      </c>
      <c r="N288" t="s">
        <v>9</v>
      </c>
      <c r="O288" t="s">
        <v>12</v>
      </c>
      <c r="P288">
        <f t="shared" si="43"/>
        <v>-123</v>
      </c>
      <c r="Q288">
        <v>1.3</v>
      </c>
    </row>
    <row r="289" spans="2:17" x14ac:dyDescent="0.25">
      <c r="B289">
        <f>400+2*(Table1[[#This Row],[Column1]]-42)</f>
        <v>426</v>
      </c>
      <c r="C289">
        <f>MINUTE(Table1[[#This Row],[Time]])</f>
        <v>55</v>
      </c>
      <c r="D289" s="1">
        <v>0.4550764814814815</v>
      </c>
      <c r="E289" t="s">
        <v>9</v>
      </c>
      <c r="F289">
        <v>-123</v>
      </c>
      <c r="G289">
        <v>0.3</v>
      </c>
      <c r="K289">
        <f>400+2*(Table2[[#This Row],[Column1]]-13)</f>
        <v>426</v>
      </c>
      <c r="L289">
        <f>MINUTE(Table2[[#This Row],[Time]])</f>
        <v>26</v>
      </c>
      <c r="M289" s="1">
        <v>0.68494277777777779</v>
      </c>
      <c r="N289" t="s">
        <v>9</v>
      </c>
      <c r="O289" t="s">
        <v>12</v>
      </c>
      <c r="P289">
        <f t="shared" si="43"/>
        <v>-123</v>
      </c>
      <c r="Q289">
        <v>0.8</v>
      </c>
    </row>
    <row r="290" spans="2:17" x14ac:dyDescent="0.25">
      <c r="B290">
        <f>400+2*(Table1[[#This Row],[Column1]]-42)</f>
        <v>426</v>
      </c>
      <c r="C290">
        <f>MINUTE(Table1[[#This Row],[Time]])</f>
        <v>55</v>
      </c>
      <c r="D290" s="1">
        <v>0.45510887731481481</v>
      </c>
      <c r="E290" t="s">
        <v>9</v>
      </c>
      <c r="F290">
        <v>-123</v>
      </c>
      <c r="G290">
        <v>0.5</v>
      </c>
      <c r="K290">
        <f>400+2*(Table2[[#This Row],[Column1]]-13)</f>
        <v>426</v>
      </c>
      <c r="L290">
        <f>MINUTE(Table2[[#This Row],[Time]])</f>
        <v>26</v>
      </c>
      <c r="M290" s="1">
        <v>0.68497517361111115</v>
      </c>
      <c r="N290" t="s">
        <v>9</v>
      </c>
      <c r="O290" t="s">
        <v>12</v>
      </c>
      <c r="P290">
        <f t="shared" si="43"/>
        <v>-123</v>
      </c>
      <c r="Q290">
        <v>0.5</v>
      </c>
    </row>
    <row r="291" spans="2:17" x14ac:dyDescent="0.25">
      <c r="B291">
        <f>400+2*(Table1[[#This Row],[Column1]]-42)</f>
        <v>426</v>
      </c>
      <c r="C291">
        <f>MINUTE(Table1[[#This Row],[Time]])</f>
        <v>55</v>
      </c>
      <c r="D291" s="1">
        <v>0.45514126157407409</v>
      </c>
      <c r="E291" t="s">
        <v>9</v>
      </c>
      <c r="F291">
        <v>-123</v>
      </c>
      <c r="G291">
        <v>1</v>
      </c>
      <c r="K291">
        <f>400+2*(Table2[[#This Row],[Column1]]-13)</f>
        <v>426</v>
      </c>
      <c r="L291">
        <f>MINUTE(Table2[[#This Row],[Time]])</f>
        <v>26</v>
      </c>
      <c r="M291" s="1">
        <v>0.68500756944444452</v>
      </c>
      <c r="N291" t="s">
        <v>9</v>
      </c>
      <c r="O291" t="s">
        <v>12</v>
      </c>
      <c r="P291">
        <f t="shared" si="43"/>
        <v>-123</v>
      </c>
      <c r="Q291">
        <v>0.8</v>
      </c>
    </row>
    <row r="292" spans="2:17" x14ac:dyDescent="0.25">
      <c r="B292">
        <f>400+2*(Table1[[#This Row],[Column1]]-42)</f>
        <v>426</v>
      </c>
      <c r="C292">
        <f>MINUTE(Table1[[#This Row],[Time]])</f>
        <v>55</v>
      </c>
      <c r="D292" s="1">
        <v>0.45517366898148143</v>
      </c>
      <c r="E292" t="s">
        <v>9</v>
      </c>
      <c r="F292">
        <v>-123</v>
      </c>
      <c r="G292">
        <v>0.5</v>
      </c>
      <c r="K292">
        <f>400+2*(Table2[[#This Row],[Column1]]-13)</f>
        <v>426</v>
      </c>
      <c r="L292">
        <f>MINUTE(Table2[[#This Row],[Time]])</f>
        <v>26</v>
      </c>
      <c r="M292" s="1">
        <v>0.68503996527777777</v>
      </c>
      <c r="N292" t="s">
        <v>9</v>
      </c>
      <c r="O292" t="s">
        <v>12</v>
      </c>
      <c r="P292">
        <f t="shared" si="43"/>
        <v>-123</v>
      </c>
      <c r="Q292">
        <v>1</v>
      </c>
    </row>
    <row r="293" spans="2:17" x14ac:dyDescent="0.25">
      <c r="B293">
        <f>400+2*(Table1[[#This Row],[Column1]]-42)</f>
        <v>426</v>
      </c>
      <c r="C293">
        <f>MINUTE(Table1[[#This Row],[Time]])</f>
        <v>55</v>
      </c>
      <c r="D293" s="1">
        <v>0.45520606481481479</v>
      </c>
      <c r="E293" t="s">
        <v>9</v>
      </c>
      <c r="F293">
        <v>-123</v>
      </c>
      <c r="G293">
        <v>0.8</v>
      </c>
      <c r="K293">
        <f>400+2*(Table2[[#This Row],[Column1]]-13)</f>
        <v>426</v>
      </c>
      <c r="L293">
        <f>MINUTE(Table2[[#This Row],[Time]])</f>
        <v>26</v>
      </c>
      <c r="M293" s="1">
        <v>0.68507236111111114</v>
      </c>
      <c r="N293" t="s">
        <v>27</v>
      </c>
      <c r="O293" t="str">
        <f>O292</f>
        <v>-123.0,</v>
      </c>
      <c r="P293">
        <f>P292-0.5</f>
        <v>-123.5</v>
      </c>
      <c r="Q293">
        <f>Q292-0.5</f>
        <v>0.5</v>
      </c>
    </row>
    <row r="294" spans="2:17" x14ac:dyDescent="0.25">
      <c r="B294">
        <f>400+2*(Table1[[#This Row],[Column1]]-42)</f>
        <v>426</v>
      </c>
      <c r="C294">
        <f>MINUTE(Table1[[#This Row],[Time]])</f>
        <v>55</v>
      </c>
      <c r="D294" s="1">
        <v>0.45523846064814816</v>
      </c>
      <c r="E294" t="s">
        <v>9</v>
      </c>
      <c r="F294">
        <v>-123</v>
      </c>
      <c r="G294">
        <v>1</v>
      </c>
      <c r="K294">
        <f>400+2*(Table2[[#This Row],[Column1]]-13)</f>
        <v>426</v>
      </c>
      <c r="L294">
        <f>MINUTE(Table2[[#This Row],[Time]])</f>
        <v>26</v>
      </c>
      <c r="M294" s="1">
        <v>0.68510475694444439</v>
      </c>
      <c r="N294" t="s">
        <v>9</v>
      </c>
      <c r="O294" t="s">
        <v>12</v>
      </c>
      <c r="P294">
        <f t="shared" si="43"/>
        <v>-123</v>
      </c>
      <c r="Q294">
        <v>1</v>
      </c>
    </row>
    <row r="295" spans="2:17" x14ac:dyDescent="0.25">
      <c r="B295">
        <f>400+2*(Table1[[#This Row],[Column1]]-42)</f>
        <v>426</v>
      </c>
      <c r="C295">
        <f>MINUTE(Table1[[#This Row],[Time]])</f>
        <v>55</v>
      </c>
      <c r="D295" s="1">
        <v>0.45527085648148152</v>
      </c>
      <c r="E295" t="s">
        <v>9</v>
      </c>
      <c r="F295">
        <v>-123</v>
      </c>
      <c r="G295">
        <v>0.5</v>
      </c>
      <c r="K295">
        <f>400+2*(Table2[[#This Row],[Column1]]-13)</f>
        <v>426</v>
      </c>
      <c r="L295">
        <f>MINUTE(Table2[[#This Row],[Time]])</f>
        <v>26</v>
      </c>
      <c r="M295" s="1">
        <v>0.68513715277777776</v>
      </c>
      <c r="N295" t="s">
        <v>9</v>
      </c>
      <c r="O295" t="s">
        <v>12</v>
      </c>
      <c r="P295">
        <f t="shared" si="43"/>
        <v>-123</v>
      </c>
      <c r="Q295">
        <v>0.8</v>
      </c>
    </row>
    <row r="296" spans="2:17" x14ac:dyDescent="0.25">
      <c r="B296">
        <f>400+2*(Table1[[#This Row],[Column1]]-42)</f>
        <v>426</v>
      </c>
      <c r="C296">
        <f>MINUTE(Table1[[#This Row],[Time]])</f>
        <v>55</v>
      </c>
      <c r="D296" s="1">
        <v>0.45530325231481483</v>
      </c>
      <c r="E296" t="s">
        <v>9</v>
      </c>
      <c r="F296">
        <v>-123</v>
      </c>
      <c r="G296">
        <v>1.3</v>
      </c>
      <c r="K296">
        <f>400+2*(Table2[[#This Row],[Column1]]-13)</f>
        <v>426</v>
      </c>
      <c r="L296">
        <f>MINUTE(Table2[[#This Row],[Time]])</f>
        <v>26</v>
      </c>
      <c r="M296" s="1">
        <v>0.68516954861111112</v>
      </c>
      <c r="N296" t="s">
        <v>9</v>
      </c>
      <c r="O296" t="s">
        <v>12</v>
      </c>
      <c r="P296">
        <f t="shared" si="43"/>
        <v>-123</v>
      </c>
      <c r="Q296">
        <v>0.8</v>
      </c>
    </row>
    <row r="297" spans="2:17" x14ac:dyDescent="0.25">
      <c r="B297">
        <f>400+2*(Table1[[#This Row],[Column1]]-42)</f>
        <v>426</v>
      </c>
      <c r="C297">
        <f>MINUTE(Table1[[#This Row],[Time]])</f>
        <v>55</v>
      </c>
      <c r="D297" s="1">
        <v>0.45533563657407411</v>
      </c>
      <c r="E297" t="s">
        <v>9</v>
      </c>
      <c r="F297">
        <v>-123</v>
      </c>
      <c r="G297">
        <v>0.8</v>
      </c>
      <c r="K297">
        <f>400+2*(Table2[[#This Row],[Column1]]-13)</f>
        <v>426</v>
      </c>
      <c r="L297">
        <f>MINUTE(Table2[[#This Row],[Time]])</f>
        <v>26</v>
      </c>
      <c r="M297" s="1">
        <v>0.68520194444444438</v>
      </c>
      <c r="N297" t="s">
        <v>9</v>
      </c>
      <c r="O297" t="s">
        <v>12</v>
      </c>
      <c r="P297">
        <f t="shared" si="43"/>
        <v>-123</v>
      </c>
      <c r="Q297">
        <v>0.8</v>
      </c>
    </row>
    <row r="298" spans="2:17" x14ac:dyDescent="0.25">
      <c r="B298">
        <f>400+2*(Table1[[#This Row],[Column1]]-42)</f>
        <v>426</v>
      </c>
      <c r="C298">
        <f>MINUTE(Table1[[#This Row],[Time]])</f>
        <v>55</v>
      </c>
      <c r="D298" s="1">
        <v>0.45536803240740742</v>
      </c>
      <c r="E298" t="s">
        <v>27</v>
      </c>
      <c r="F298">
        <f>F297-0.5</f>
        <v>-123.5</v>
      </c>
      <c r="G298">
        <f>G297-0.5</f>
        <v>0.30000000000000004</v>
      </c>
      <c r="K298">
        <f>400+2*(Table2[[#This Row],[Column1]]-13)</f>
        <v>426</v>
      </c>
      <c r="L298">
        <f>MINUTE(Table2[[#This Row],[Time]])</f>
        <v>26</v>
      </c>
      <c r="M298" s="1">
        <v>0.68523432870370371</v>
      </c>
      <c r="N298" t="s">
        <v>9</v>
      </c>
      <c r="O298" t="s">
        <v>12</v>
      </c>
      <c r="P298">
        <f t="shared" si="43"/>
        <v>-123</v>
      </c>
      <c r="Q298">
        <v>0.8</v>
      </c>
    </row>
    <row r="299" spans="2:17" x14ac:dyDescent="0.25">
      <c r="B299">
        <f>400+2*(Table1[[#This Row],[Column1]]-42)</f>
        <v>426</v>
      </c>
      <c r="C299">
        <f>MINUTE(Table1[[#This Row],[Time]])</f>
        <v>55</v>
      </c>
      <c r="D299" s="1">
        <v>0.45540043981481482</v>
      </c>
      <c r="E299" t="s">
        <v>9</v>
      </c>
      <c r="F299">
        <v>-123</v>
      </c>
      <c r="G299">
        <v>0.5</v>
      </c>
      <c r="K299">
        <f>400+2*(Table2[[#This Row],[Column1]]-13)</f>
        <v>426</v>
      </c>
      <c r="L299">
        <f>MINUTE(Table2[[#This Row],[Time]])</f>
        <v>26</v>
      </c>
      <c r="M299" s="1">
        <v>0.68526672453703696</v>
      </c>
      <c r="N299" t="s">
        <v>9</v>
      </c>
      <c r="O299" t="s">
        <v>12</v>
      </c>
      <c r="P299">
        <f t="shared" si="43"/>
        <v>-123</v>
      </c>
      <c r="Q299">
        <v>1</v>
      </c>
    </row>
    <row r="300" spans="2:17" x14ac:dyDescent="0.25">
      <c r="B300">
        <f>400+2*(Table1[[#This Row],[Column1]]-42)</f>
        <v>426</v>
      </c>
      <c r="C300">
        <f>MINUTE(Table1[[#This Row],[Time]])</f>
        <v>55</v>
      </c>
      <c r="D300" s="1">
        <v>0.45543283564814813</v>
      </c>
      <c r="E300" t="s">
        <v>27</v>
      </c>
      <c r="F300">
        <f t="shared" ref="F300:F301" si="48">F299-0.5</f>
        <v>-123.5</v>
      </c>
      <c r="G300">
        <f t="shared" ref="G300:G301" si="49">G299-0.5</f>
        <v>0</v>
      </c>
      <c r="K300">
        <f>400+2*(Table2[[#This Row],[Column1]]-13)</f>
        <v>426</v>
      </c>
      <c r="L300">
        <f>MINUTE(Table2[[#This Row],[Time]])</f>
        <v>26</v>
      </c>
      <c r="M300" s="1">
        <v>0.68529913194444447</v>
      </c>
      <c r="N300" t="s">
        <v>9</v>
      </c>
      <c r="O300" t="s">
        <v>12</v>
      </c>
      <c r="P300">
        <f t="shared" si="43"/>
        <v>-123</v>
      </c>
      <c r="Q300">
        <v>1</v>
      </c>
    </row>
    <row r="301" spans="2:17" x14ac:dyDescent="0.25">
      <c r="B301">
        <f>400+2*(Table1[[#This Row],[Column1]]-42)</f>
        <v>426</v>
      </c>
      <c r="C301">
        <f>MINUTE(Table1[[#This Row],[Time]])</f>
        <v>55</v>
      </c>
      <c r="D301" s="1">
        <v>0.4554652199074074</v>
      </c>
      <c r="E301" t="s">
        <v>27</v>
      </c>
      <c r="F301">
        <f t="shared" si="48"/>
        <v>-124</v>
      </c>
      <c r="G301">
        <f t="shared" si="49"/>
        <v>-0.5</v>
      </c>
      <c r="K301">
        <f>400+2*(Table2[[#This Row],[Column1]]-13)</f>
        <v>426</v>
      </c>
      <c r="L301">
        <f>MINUTE(Table2[[#This Row],[Time]])</f>
        <v>26</v>
      </c>
      <c r="M301" s="1">
        <v>0.68533152777777773</v>
      </c>
      <c r="N301" t="s">
        <v>9</v>
      </c>
      <c r="O301" t="s">
        <v>12</v>
      </c>
      <c r="P301">
        <f t="shared" si="43"/>
        <v>-123</v>
      </c>
      <c r="Q301">
        <v>0.8</v>
      </c>
    </row>
    <row r="302" spans="2:17" x14ac:dyDescent="0.25">
      <c r="B302">
        <f>400+2*(Table1[[#This Row],[Column1]]-42)</f>
        <v>426</v>
      </c>
      <c r="C302">
        <f>MINUTE(Table1[[#This Row],[Time]])</f>
        <v>55</v>
      </c>
      <c r="D302" s="1">
        <v>0.45549762731481486</v>
      </c>
      <c r="E302" t="s">
        <v>9</v>
      </c>
      <c r="F302">
        <v>-123</v>
      </c>
      <c r="G302">
        <v>1</v>
      </c>
      <c r="K302">
        <f>400+2*(Table2[[#This Row],[Column1]]-13)</f>
        <v>426</v>
      </c>
      <c r="L302">
        <f>MINUTE(Table2[[#This Row],[Time]])</f>
        <v>26</v>
      </c>
      <c r="M302" s="1">
        <v>0.68536392361111109</v>
      </c>
      <c r="N302" t="s">
        <v>9</v>
      </c>
      <c r="O302" t="s">
        <v>12</v>
      </c>
      <c r="P302">
        <f t="shared" si="43"/>
        <v>-123</v>
      </c>
      <c r="Q302">
        <v>0.5</v>
      </c>
    </row>
    <row r="303" spans="2:17" x14ac:dyDescent="0.25">
      <c r="B303">
        <f>400+2*(Table1[[#This Row],[Column1]]-42)</f>
        <v>426</v>
      </c>
      <c r="C303">
        <f>MINUTE(Table1[[#This Row],[Time]])</f>
        <v>55</v>
      </c>
      <c r="D303" s="1">
        <v>0.45553002314814817</v>
      </c>
      <c r="E303" t="s">
        <v>9</v>
      </c>
      <c r="F303">
        <v>-123</v>
      </c>
      <c r="G303">
        <v>1</v>
      </c>
      <c r="K303">
        <f>400+2*(Table2[[#This Row],[Column1]]-13)</f>
        <v>426</v>
      </c>
      <c r="L303">
        <f>MINUTE(Table2[[#This Row],[Time]])</f>
        <v>26</v>
      </c>
      <c r="M303" s="1">
        <v>0.68539630787037042</v>
      </c>
      <c r="N303" t="s">
        <v>9</v>
      </c>
      <c r="O303" t="s">
        <v>12</v>
      </c>
      <c r="P303">
        <f t="shared" si="43"/>
        <v>-123</v>
      </c>
      <c r="Q303">
        <v>0.5</v>
      </c>
    </row>
    <row r="304" spans="2:17" x14ac:dyDescent="0.25">
      <c r="B304">
        <f>400+2*(Table1[[#This Row],[Column1]]-42)</f>
        <v>428</v>
      </c>
      <c r="C304">
        <f>MINUTE(Table1[[#This Row],[Time]])</f>
        <v>56</v>
      </c>
      <c r="D304" s="1">
        <v>0.45556241898148148</v>
      </c>
      <c r="E304" t="s">
        <v>9</v>
      </c>
      <c r="F304">
        <v>-123</v>
      </c>
      <c r="G304">
        <v>0.8</v>
      </c>
      <c r="K304">
        <f>400+2*(Table2[[#This Row],[Column1]]-13)</f>
        <v>428</v>
      </c>
      <c r="L304">
        <f>MINUTE(Table2[[#This Row],[Time]])</f>
        <v>27</v>
      </c>
      <c r="M304" s="1">
        <v>0.68542871527777771</v>
      </c>
      <c r="N304" t="s">
        <v>9</v>
      </c>
      <c r="O304" t="s">
        <v>12</v>
      </c>
      <c r="P304">
        <f t="shared" si="43"/>
        <v>-123</v>
      </c>
      <c r="Q304">
        <v>1</v>
      </c>
    </row>
    <row r="305" spans="2:17" x14ac:dyDescent="0.25">
      <c r="B305">
        <f>400+2*(Table1[[#This Row],[Column1]]-42)</f>
        <v>428</v>
      </c>
      <c r="C305">
        <f>MINUTE(Table1[[#This Row],[Time]])</f>
        <v>56</v>
      </c>
      <c r="D305" s="1">
        <v>0.45559481481481479</v>
      </c>
      <c r="E305" t="s">
        <v>13</v>
      </c>
      <c r="F305">
        <f>F304-0.5</f>
        <v>-123.5</v>
      </c>
      <c r="G305">
        <f>G304-0.5</f>
        <v>0.30000000000000004</v>
      </c>
      <c r="K305">
        <f>400+2*(Table2[[#This Row],[Column1]]-13)</f>
        <v>428</v>
      </c>
      <c r="L305">
        <f>MINUTE(Table2[[#This Row],[Time]])</f>
        <v>27</v>
      </c>
      <c r="M305" s="1">
        <v>0.68546111111111108</v>
      </c>
      <c r="N305" t="s">
        <v>13</v>
      </c>
      <c r="O305" t="str">
        <f>O304</f>
        <v>-123.0,</v>
      </c>
      <c r="P305">
        <f>P304-0.5</f>
        <v>-123.5</v>
      </c>
      <c r="Q305">
        <f>Q304-0.5</f>
        <v>0.5</v>
      </c>
    </row>
    <row r="306" spans="2:17" x14ac:dyDescent="0.25">
      <c r="B306">
        <f>400+2*(Table1[[#This Row],[Column1]]-42)</f>
        <v>428</v>
      </c>
      <c r="C306">
        <f>MINUTE(Table1[[#This Row],[Time]])</f>
        <v>56</v>
      </c>
      <c r="D306" s="1">
        <v>0.45562719907407412</v>
      </c>
      <c r="E306" t="s">
        <v>9</v>
      </c>
      <c r="F306">
        <v>-124</v>
      </c>
      <c r="G306">
        <v>-1.5</v>
      </c>
      <c r="K306">
        <f>400+2*(Table2[[#This Row],[Column1]]-13)</f>
        <v>428</v>
      </c>
      <c r="L306">
        <f>MINUTE(Table2[[#This Row],[Time]])</f>
        <v>27</v>
      </c>
      <c r="M306" s="1">
        <v>0.68549349537037041</v>
      </c>
      <c r="N306" t="s">
        <v>9</v>
      </c>
      <c r="O306" t="s">
        <v>19</v>
      </c>
      <c r="P306">
        <f t="shared" si="43"/>
        <v>-124</v>
      </c>
      <c r="Q306">
        <v>-1.3</v>
      </c>
    </row>
    <row r="307" spans="2:17" x14ac:dyDescent="0.25">
      <c r="B307">
        <f>400+2*(Table1[[#This Row],[Column1]]-42)</f>
        <v>428</v>
      </c>
      <c r="C307">
        <f>MINUTE(Table1[[#This Row],[Time]])</f>
        <v>56</v>
      </c>
      <c r="D307" s="1">
        <v>0.45565960648148146</v>
      </c>
      <c r="E307" t="s">
        <v>9</v>
      </c>
      <c r="F307">
        <v>-124</v>
      </c>
      <c r="G307">
        <v>-1.5</v>
      </c>
      <c r="K307">
        <f>400+2*(Table2[[#This Row],[Column1]]-13)</f>
        <v>428</v>
      </c>
      <c r="L307">
        <f>MINUTE(Table2[[#This Row],[Time]])</f>
        <v>27</v>
      </c>
      <c r="M307" s="1">
        <v>0.68552590277777781</v>
      </c>
      <c r="N307" t="s">
        <v>27</v>
      </c>
      <c r="O307" t="str">
        <f t="shared" ref="O307:O309" si="50">O306</f>
        <v>-124.0,</v>
      </c>
      <c r="P307">
        <f t="shared" ref="P307:P309" si="51">P306-0.5</f>
        <v>-124.5</v>
      </c>
      <c r="Q307">
        <f t="shared" ref="Q307:Q309" si="52">Q306-0.5</f>
        <v>-1.8</v>
      </c>
    </row>
    <row r="308" spans="2:17" x14ac:dyDescent="0.25">
      <c r="B308">
        <f>400+2*(Table1[[#This Row],[Column1]]-42)</f>
        <v>428</v>
      </c>
      <c r="C308">
        <f>MINUTE(Table1[[#This Row],[Time]])</f>
        <v>56</v>
      </c>
      <c r="D308" s="1">
        <v>0.45569199074074074</v>
      </c>
      <c r="E308" t="s">
        <v>27</v>
      </c>
      <c r="F308">
        <f>F307-0.5</f>
        <v>-124.5</v>
      </c>
      <c r="G308">
        <f>G307-0.5</f>
        <v>-2</v>
      </c>
      <c r="K308">
        <f>400+2*(Table2[[#This Row],[Column1]]-13)</f>
        <v>428</v>
      </c>
      <c r="L308">
        <f>MINUTE(Table2[[#This Row],[Time]])</f>
        <v>27</v>
      </c>
      <c r="M308" s="1">
        <v>0.68555829861111117</v>
      </c>
      <c r="N308" t="s">
        <v>27</v>
      </c>
      <c r="O308" t="str">
        <f t="shared" si="50"/>
        <v>-124.0,</v>
      </c>
      <c r="P308">
        <f t="shared" si="51"/>
        <v>-125</v>
      </c>
      <c r="Q308">
        <f t="shared" si="52"/>
        <v>-2.2999999999999998</v>
      </c>
    </row>
    <row r="309" spans="2:17" x14ac:dyDescent="0.25">
      <c r="B309">
        <f>400+2*(Table1[[#This Row],[Column1]]-42)</f>
        <v>428</v>
      </c>
      <c r="C309">
        <f>MINUTE(Table1[[#This Row],[Time]])</f>
        <v>56</v>
      </c>
      <c r="D309" s="1">
        <v>0.45572439814814819</v>
      </c>
      <c r="E309" t="s">
        <v>9</v>
      </c>
      <c r="F309">
        <v>-123</v>
      </c>
      <c r="G309">
        <v>0.3</v>
      </c>
      <c r="K309">
        <f>400+2*(Table2[[#This Row],[Column1]]-13)</f>
        <v>428</v>
      </c>
      <c r="L309">
        <f>MINUTE(Table2[[#This Row],[Time]])</f>
        <v>27</v>
      </c>
      <c r="M309" s="1">
        <v>0.68559069444444443</v>
      </c>
      <c r="N309" t="s">
        <v>13</v>
      </c>
      <c r="O309" t="str">
        <f t="shared" si="50"/>
        <v>-124.0,</v>
      </c>
      <c r="P309">
        <f t="shared" si="51"/>
        <v>-125.5</v>
      </c>
      <c r="Q309">
        <f t="shared" si="52"/>
        <v>-2.8</v>
      </c>
    </row>
    <row r="310" spans="2:17" x14ac:dyDescent="0.25">
      <c r="B310">
        <f>400+2*(Table1[[#This Row],[Column1]]-42)</f>
        <v>428</v>
      </c>
      <c r="C310">
        <f>MINUTE(Table1[[#This Row],[Time]])</f>
        <v>56</v>
      </c>
      <c r="D310" s="1">
        <v>0.45575678240740741</v>
      </c>
      <c r="E310" t="s">
        <v>9</v>
      </c>
      <c r="F310">
        <v>-123</v>
      </c>
      <c r="G310">
        <v>1</v>
      </c>
      <c r="K310">
        <f>400+2*(Table2[[#This Row],[Column1]]-13)</f>
        <v>428</v>
      </c>
      <c r="L310">
        <f>MINUTE(Table2[[#This Row],[Time]])</f>
        <v>27</v>
      </c>
      <c r="M310" s="1">
        <v>0.68562309027777779</v>
      </c>
      <c r="N310" t="s">
        <v>9</v>
      </c>
      <c r="O310" t="s">
        <v>12</v>
      </c>
      <c r="P310">
        <f t="shared" si="43"/>
        <v>-123</v>
      </c>
      <c r="Q310">
        <v>1.3</v>
      </c>
    </row>
    <row r="311" spans="2:17" x14ac:dyDescent="0.25">
      <c r="B311">
        <f>400+2*(Table1[[#This Row],[Column1]]-42)</f>
        <v>428</v>
      </c>
      <c r="C311">
        <f>MINUTE(Table1[[#This Row],[Time]])</f>
        <v>56</v>
      </c>
      <c r="D311" s="1">
        <v>0.45578918981481481</v>
      </c>
      <c r="E311" t="s">
        <v>9</v>
      </c>
      <c r="F311">
        <v>-123</v>
      </c>
      <c r="G311">
        <v>0.8</v>
      </c>
      <c r="K311">
        <f>400+2*(Table2[[#This Row],[Column1]]-13)</f>
        <v>428</v>
      </c>
      <c r="L311">
        <f>MINUTE(Table2[[#This Row],[Time]])</f>
        <v>27</v>
      </c>
      <c r="M311" s="1">
        <v>0.68565547453703701</v>
      </c>
      <c r="N311" t="s">
        <v>27</v>
      </c>
      <c r="O311" t="str">
        <f>O310</f>
        <v>-123.0,</v>
      </c>
      <c r="P311">
        <f>P310-0.5</f>
        <v>-123.5</v>
      </c>
      <c r="Q311">
        <f>Q310-0.5</f>
        <v>0.8</v>
      </c>
    </row>
    <row r="312" spans="2:17" x14ac:dyDescent="0.25">
      <c r="B312">
        <f>400+2*(Table1[[#This Row],[Column1]]-42)</f>
        <v>428</v>
      </c>
      <c r="C312">
        <f>MINUTE(Table1[[#This Row],[Time]])</f>
        <v>56</v>
      </c>
      <c r="D312" s="1">
        <v>0.45582158564814818</v>
      </c>
      <c r="E312" t="s">
        <v>9</v>
      </c>
      <c r="F312">
        <v>-123</v>
      </c>
      <c r="G312">
        <v>0.8</v>
      </c>
      <c r="K312">
        <f>400+2*(Table2[[#This Row],[Column1]]-13)</f>
        <v>428</v>
      </c>
      <c r="L312">
        <f>MINUTE(Table2[[#This Row],[Time]])</f>
        <v>27</v>
      </c>
      <c r="M312" s="1">
        <v>0.68568787037037038</v>
      </c>
      <c r="N312" t="s">
        <v>9</v>
      </c>
      <c r="O312" t="s">
        <v>11</v>
      </c>
      <c r="P312">
        <f t="shared" si="43"/>
        <v>-122</v>
      </c>
      <c r="Q312">
        <v>0.8</v>
      </c>
    </row>
    <row r="313" spans="2:17" x14ac:dyDescent="0.25">
      <c r="B313">
        <f>400+2*(Table1[[#This Row],[Column1]]-42)</f>
        <v>428</v>
      </c>
      <c r="C313">
        <f>MINUTE(Table1[[#This Row],[Time]])</f>
        <v>56</v>
      </c>
      <c r="D313" s="1">
        <v>0.45585398148148149</v>
      </c>
      <c r="E313" t="s">
        <v>9</v>
      </c>
      <c r="F313">
        <v>-123</v>
      </c>
      <c r="G313">
        <v>1</v>
      </c>
      <c r="K313">
        <f>400+2*(Table2[[#This Row],[Column1]]-13)</f>
        <v>428</v>
      </c>
      <c r="L313">
        <f>MINUTE(Table2[[#This Row],[Time]])</f>
        <v>27</v>
      </c>
      <c r="M313" s="1">
        <v>0.68572027777777778</v>
      </c>
      <c r="N313" t="s">
        <v>9</v>
      </c>
      <c r="O313" t="s">
        <v>12</v>
      </c>
      <c r="P313">
        <f t="shared" si="43"/>
        <v>-123</v>
      </c>
      <c r="Q313">
        <v>0.8</v>
      </c>
    </row>
    <row r="314" spans="2:17" x14ac:dyDescent="0.25">
      <c r="B314">
        <f>400+2*(Table1[[#This Row],[Column1]]-42)</f>
        <v>428</v>
      </c>
      <c r="C314">
        <f>MINUTE(Table1[[#This Row],[Time]])</f>
        <v>56</v>
      </c>
      <c r="D314" s="1">
        <v>0.45588637731481479</v>
      </c>
      <c r="E314" t="s">
        <v>27</v>
      </c>
      <c r="F314">
        <f>F313-0.5</f>
        <v>-123.5</v>
      </c>
      <c r="G314">
        <f>G313-0.5</f>
        <v>0.5</v>
      </c>
      <c r="K314">
        <f>400+2*(Table2[[#This Row],[Column1]]-13)</f>
        <v>428</v>
      </c>
      <c r="L314">
        <f>MINUTE(Table2[[#This Row],[Time]])</f>
        <v>27</v>
      </c>
      <c r="M314" s="1">
        <v>0.68575267361111114</v>
      </c>
      <c r="N314" t="s">
        <v>9</v>
      </c>
      <c r="O314" t="s">
        <v>12</v>
      </c>
      <c r="P314">
        <f t="shared" si="43"/>
        <v>-123</v>
      </c>
      <c r="Q314">
        <v>0.5</v>
      </c>
    </row>
    <row r="315" spans="2:17" x14ac:dyDescent="0.25">
      <c r="B315">
        <f>400+2*(Table1[[#This Row],[Column1]]-42)</f>
        <v>428</v>
      </c>
      <c r="C315">
        <f>MINUTE(Table1[[#This Row],[Time]])</f>
        <v>56</v>
      </c>
      <c r="D315" s="1">
        <v>0.45591876157407407</v>
      </c>
      <c r="E315" t="s">
        <v>9</v>
      </c>
      <c r="F315">
        <v>-123</v>
      </c>
      <c r="G315">
        <v>0.8</v>
      </c>
      <c r="K315">
        <f>400+2*(Table2[[#This Row],[Column1]]-13)</f>
        <v>428</v>
      </c>
      <c r="L315">
        <f>MINUTE(Table2[[#This Row],[Time]])</f>
        <v>27</v>
      </c>
      <c r="M315" s="1">
        <v>0.68578506944444451</v>
      </c>
      <c r="N315" t="s">
        <v>9</v>
      </c>
      <c r="O315" t="s">
        <v>12</v>
      </c>
      <c r="P315">
        <f t="shared" si="43"/>
        <v>-123</v>
      </c>
      <c r="Q315">
        <v>0.8</v>
      </c>
    </row>
    <row r="316" spans="2:17" x14ac:dyDescent="0.25">
      <c r="B316">
        <f>400+2*(Table1[[#This Row],[Column1]]-42)</f>
        <v>428</v>
      </c>
      <c r="C316">
        <f>MINUTE(Table1[[#This Row],[Time]])</f>
        <v>56</v>
      </c>
      <c r="D316" s="1">
        <v>0.45595115740740744</v>
      </c>
      <c r="E316" t="s">
        <v>9</v>
      </c>
      <c r="F316">
        <v>-123</v>
      </c>
      <c r="G316">
        <v>1</v>
      </c>
      <c r="K316">
        <f>400+2*(Table2[[#This Row],[Column1]]-13)</f>
        <v>428</v>
      </c>
      <c r="L316">
        <f>MINUTE(Table2[[#This Row],[Time]])</f>
        <v>27</v>
      </c>
      <c r="M316" s="1">
        <v>0.68581746527777776</v>
      </c>
      <c r="N316" t="s">
        <v>9</v>
      </c>
      <c r="O316" t="s">
        <v>12</v>
      </c>
      <c r="P316">
        <f t="shared" si="43"/>
        <v>-123</v>
      </c>
      <c r="Q316">
        <v>0.5</v>
      </c>
    </row>
    <row r="317" spans="2:17" x14ac:dyDescent="0.25">
      <c r="B317">
        <f>400+2*(Table1[[#This Row],[Column1]]-42)</f>
        <v>428</v>
      </c>
      <c r="C317">
        <f>MINUTE(Table1[[#This Row],[Time]])</f>
        <v>56</v>
      </c>
      <c r="D317" s="1">
        <v>0.45598356481481483</v>
      </c>
      <c r="E317" t="s">
        <v>9</v>
      </c>
      <c r="F317">
        <v>-123</v>
      </c>
      <c r="G317">
        <v>0.8</v>
      </c>
      <c r="K317">
        <f>400+2*(Table2[[#This Row],[Column1]]-13)</f>
        <v>428</v>
      </c>
      <c r="L317">
        <f>MINUTE(Table2[[#This Row],[Time]])</f>
        <v>27</v>
      </c>
      <c r="M317" s="1">
        <v>0.68584986111111113</v>
      </c>
      <c r="N317" t="s">
        <v>9</v>
      </c>
      <c r="O317" t="s">
        <v>12</v>
      </c>
      <c r="P317">
        <f t="shared" si="43"/>
        <v>-123</v>
      </c>
      <c r="Q317">
        <v>1</v>
      </c>
    </row>
    <row r="318" spans="2:17" x14ac:dyDescent="0.25">
      <c r="B318">
        <f>400+2*(Table1[[#This Row],[Column1]]-42)</f>
        <v>428</v>
      </c>
      <c r="C318">
        <f>MINUTE(Table1[[#This Row],[Time]])</f>
        <v>56</v>
      </c>
      <c r="D318" s="1">
        <v>0.4560159606481482</v>
      </c>
      <c r="E318" t="s">
        <v>9</v>
      </c>
      <c r="F318">
        <v>-123</v>
      </c>
      <c r="G318">
        <v>0.3</v>
      </c>
      <c r="K318">
        <f>400+2*(Table2[[#This Row],[Column1]]-13)</f>
        <v>428</v>
      </c>
      <c r="L318">
        <f>MINUTE(Table2[[#This Row],[Time]])</f>
        <v>27</v>
      </c>
      <c r="M318" s="1">
        <v>0.68588225694444438</v>
      </c>
      <c r="N318" t="s">
        <v>9</v>
      </c>
      <c r="O318" t="s">
        <v>12</v>
      </c>
      <c r="P318">
        <f t="shared" si="43"/>
        <v>-123</v>
      </c>
      <c r="Q318">
        <v>1</v>
      </c>
    </row>
    <row r="319" spans="2:17" x14ac:dyDescent="0.25">
      <c r="B319">
        <f>400+2*(Table1[[#This Row],[Column1]]-42)</f>
        <v>428</v>
      </c>
      <c r="C319">
        <f>MINUTE(Table1[[#This Row],[Time]])</f>
        <v>56</v>
      </c>
      <c r="D319" s="1">
        <v>0.45604835648148151</v>
      </c>
      <c r="E319" t="s">
        <v>9</v>
      </c>
      <c r="F319">
        <v>-123</v>
      </c>
      <c r="G319">
        <v>1</v>
      </c>
      <c r="K319">
        <f>400+2*(Table2[[#This Row],[Column1]]-13)</f>
        <v>428</v>
      </c>
      <c r="L319">
        <f>MINUTE(Table2[[#This Row],[Time]])</f>
        <v>27</v>
      </c>
      <c r="M319" s="1">
        <v>0.68591465277777774</v>
      </c>
      <c r="N319" t="s">
        <v>9</v>
      </c>
      <c r="O319" t="s">
        <v>12</v>
      </c>
      <c r="P319">
        <f t="shared" si="43"/>
        <v>-123</v>
      </c>
      <c r="Q319">
        <v>0.8</v>
      </c>
    </row>
    <row r="320" spans="2:17" x14ac:dyDescent="0.25">
      <c r="B320">
        <f>400+2*(Table1[[#This Row],[Column1]]-42)</f>
        <v>428</v>
      </c>
      <c r="C320">
        <f>MINUTE(Table1[[#This Row],[Time]])</f>
        <v>56</v>
      </c>
      <c r="D320" s="1">
        <v>0.45608075231481482</v>
      </c>
      <c r="E320" t="s">
        <v>9</v>
      </c>
      <c r="F320">
        <v>-123</v>
      </c>
      <c r="G320">
        <v>0.8</v>
      </c>
      <c r="K320">
        <f>400+2*(Table2[[#This Row],[Column1]]-13)</f>
        <v>428</v>
      </c>
      <c r="L320">
        <f>MINUTE(Table2[[#This Row],[Time]])</f>
        <v>27</v>
      </c>
      <c r="M320" s="1">
        <v>0.68594702546296293</v>
      </c>
      <c r="N320" t="s">
        <v>9</v>
      </c>
      <c r="O320" t="s">
        <v>12</v>
      </c>
      <c r="P320">
        <f t="shared" si="43"/>
        <v>-123</v>
      </c>
      <c r="Q320">
        <v>0.8</v>
      </c>
    </row>
    <row r="321" spans="2:17" x14ac:dyDescent="0.25">
      <c r="B321">
        <f>400+2*(Table1[[#This Row],[Column1]]-42)</f>
        <v>428</v>
      </c>
      <c r="C321">
        <f>MINUTE(Table1[[#This Row],[Time]])</f>
        <v>56</v>
      </c>
      <c r="D321" s="1">
        <v>0.45611314814814813</v>
      </c>
      <c r="E321" t="s">
        <v>9</v>
      </c>
      <c r="F321">
        <v>-123</v>
      </c>
      <c r="G321">
        <v>0.5</v>
      </c>
      <c r="K321">
        <f>400+2*(Table2[[#This Row],[Column1]]-13)</f>
        <v>428</v>
      </c>
      <c r="L321">
        <f>MINUTE(Table2[[#This Row],[Time]])</f>
        <v>27</v>
      </c>
      <c r="M321" s="1">
        <v>0.68597943287037033</v>
      </c>
      <c r="N321" t="s">
        <v>9</v>
      </c>
      <c r="O321" t="s">
        <v>12</v>
      </c>
      <c r="P321">
        <f t="shared" si="43"/>
        <v>-123</v>
      </c>
      <c r="Q321">
        <v>0.8</v>
      </c>
    </row>
    <row r="322" spans="2:17" x14ac:dyDescent="0.25">
      <c r="B322">
        <f>400+2*(Table1[[#This Row],[Column1]]-42)</f>
        <v>428</v>
      </c>
      <c r="C322">
        <f>MINUTE(Table1[[#This Row],[Time]])</f>
        <v>56</v>
      </c>
      <c r="D322" s="1">
        <v>0.45614554398148144</v>
      </c>
      <c r="E322" t="s">
        <v>9</v>
      </c>
      <c r="F322">
        <v>-123</v>
      </c>
      <c r="G322">
        <v>0.5</v>
      </c>
      <c r="K322">
        <f>400+2*(Table2[[#This Row],[Column1]]-13)</f>
        <v>428</v>
      </c>
      <c r="L322">
        <f>MINUTE(Table2[[#This Row],[Time]])</f>
        <v>27</v>
      </c>
      <c r="M322" s="1">
        <v>0.6860118287037037</v>
      </c>
      <c r="N322" t="s">
        <v>9</v>
      </c>
      <c r="O322" t="s">
        <v>12</v>
      </c>
      <c r="P322">
        <f t="shared" si="43"/>
        <v>-123</v>
      </c>
      <c r="Q322">
        <v>0.8</v>
      </c>
    </row>
    <row r="323" spans="2:17" x14ac:dyDescent="0.25">
      <c r="B323">
        <f>400+2*(Table1[[#This Row],[Column1]]-42)</f>
        <v>428</v>
      </c>
      <c r="C323">
        <f>MINUTE(Table1[[#This Row],[Time]])</f>
        <v>56</v>
      </c>
      <c r="D323" s="1">
        <v>0.45617792824074077</v>
      </c>
      <c r="E323" t="s">
        <v>9</v>
      </c>
      <c r="F323">
        <v>-123</v>
      </c>
      <c r="G323">
        <v>1.3</v>
      </c>
      <c r="K323">
        <f>400+2*(Table2[[#This Row],[Column1]]-13)</f>
        <v>428</v>
      </c>
      <c r="L323">
        <f>MINUTE(Table2[[#This Row],[Time]])</f>
        <v>27</v>
      </c>
      <c r="M323" s="1">
        <v>0.68604422453703706</v>
      </c>
      <c r="N323" t="s">
        <v>9</v>
      </c>
      <c r="O323" t="s">
        <v>12</v>
      </c>
      <c r="P323">
        <f t="shared" si="43"/>
        <v>-123</v>
      </c>
      <c r="Q323">
        <v>0.8</v>
      </c>
    </row>
    <row r="324" spans="2:17" x14ac:dyDescent="0.25">
      <c r="B324">
        <f>400+2*(Table1[[#This Row],[Column1]]-42)</f>
        <v>428</v>
      </c>
      <c r="C324">
        <f>MINUTE(Table1[[#This Row],[Time]])</f>
        <v>56</v>
      </c>
      <c r="D324" s="1">
        <v>0.45621033564814811</v>
      </c>
      <c r="E324" t="s">
        <v>9</v>
      </c>
      <c r="F324">
        <v>-123</v>
      </c>
      <c r="G324">
        <v>1.3</v>
      </c>
      <c r="K324">
        <f>400+2*(Table2[[#This Row],[Column1]]-13)</f>
        <v>428</v>
      </c>
      <c r="L324">
        <f>MINUTE(Table2[[#This Row],[Time]])</f>
        <v>27</v>
      </c>
      <c r="M324" s="1">
        <v>0.68607662037037032</v>
      </c>
      <c r="N324" t="s">
        <v>9</v>
      </c>
      <c r="O324" t="s">
        <v>12</v>
      </c>
      <c r="P324">
        <f t="shared" ref="P324:P387" si="53">VALUE(LEFT(O324,LEN(O324)-1))</f>
        <v>-123</v>
      </c>
      <c r="Q324">
        <v>1</v>
      </c>
    </row>
    <row r="325" spans="2:17" x14ac:dyDescent="0.25">
      <c r="B325">
        <f>400+2*(Table1[[#This Row],[Column1]]-42)</f>
        <v>428</v>
      </c>
      <c r="C325">
        <f>MINUTE(Table1[[#This Row],[Time]])</f>
        <v>56</v>
      </c>
      <c r="D325" s="1">
        <v>0.45624273148148153</v>
      </c>
      <c r="E325" t="s">
        <v>9</v>
      </c>
      <c r="F325">
        <v>-123</v>
      </c>
      <c r="G325">
        <v>0.8</v>
      </c>
      <c r="K325">
        <f>400+2*(Table2[[#This Row],[Column1]]-13)</f>
        <v>430</v>
      </c>
      <c r="L325">
        <f>MINUTE(Table2[[#This Row],[Time]])</f>
        <v>28</v>
      </c>
      <c r="M325" s="1">
        <v>0.68610901620370379</v>
      </c>
      <c r="N325" t="s">
        <v>9</v>
      </c>
      <c r="O325" t="s">
        <v>12</v>
      </c>
      <c r="P325">
        <f t="shared" si="53"/>
        <v>-123</v>
      </c>
      <c r="Q325">
        <v>1</v>
      </c>
    </row>
    <row r="326" spans="2:17" x14ac:dyDescent="0.25">
      <c r="B326">
        <f>400+2*(Table1[[#This Row],[Column1]]-42)</f>
        <v>430</v>
      </c>
      <c r="C326">
        <f>MINUTE(Table1[[#This Row],[Time]])</f>
        <v>57</v>
      </c>
      <c r="D326" s="1">
        <v>0.45627512731481484</v>
      </c>
      <c r="E326" t="s">
        <v>9</v>
      </c>
      <c r="F326">
        <v>-123</v>
      </c>
      <c r="G326">
        <v>0.8</v>
      </c>
      <c r="K326">
        <f>400+2*(Table2[[#This Row],[Column1]]-13)</f>
        <v>430</v>
      </c>
      <c r="L326">
        <f>MINUTE(Table2[[#This Row],[Time]])</f>
        <v>28</v>
      </c>
      <c r="M326" s="1">
        <v>0.68614141203703705</v>
      </c>
      <c r="N326" t="s">
        <v>9</v>
      </c>
      <c r="O326" t="s">
        <v>10</v>
      </c>
      <c r="P326">
        <f t="shared" si="53"/>
        <v>-121</v>
      </c>
      <c r="Q326">
        <v>1</v>
      </c>
    </row>
    <row r="327" spans="2:17" x14ac:dyDescent="0.25">
      <c r="B327">
        <f>400+2*(Table1[[#This Row],[Column1]]-42)</f>
        <v>430</v>
      </c>
      <c r="C327">
        <f>MINUTE(Table1[[#This Row],[Time]])</f>
        <v>57</v>
      </c>
      <c r="D327" s="1">
        <v>0.45630752314814815</v>
      </c>
      <c r="E327" t="s">
        <v>9</v>
      </c>
      <c r="F327">
        <v>-124</v>
      </c>
      <c r="G327">
        <v>-1.3</v>
      </c>
      <c r="K327">
        <f>400+2*(Table2[[#This Row],[Column1]]-13)</f>
        <v>430</v>
      </c>
      <c r="L327">
        <f>MINUTE(Table2[[#This Row],[Time]])</f>
        <v>28</v>
      </c>
      <c r="M327" s="1">
        <v>0.68617379629629627</v>
      </c>
      <c r="N327" t="s">
        <v>9</v>
      </c>
      <c r="O327" t="s">
        <v>15</v>
      </c>
      <c r="P327">
        <f t="shared" si="53"/>
        <v>-120</v>
      </c>
      <c r="Q327">
        <v>-1.3</v>
      </c>
    </row>
    <row r="328" spans="2:17" x14ac:dyDescent="0.25">
      <c r="B328">
        <f>400+2*(Table1[[#This Row],[Column1]]-42)</f>
        <v>430</v>
      </c>
      <c r="C328">
        <f>MINUTE(Table1[[#This Row],[Time]])</f>
        <v>57</v>
      </c>
      <c r="D328" s="1">
        <v>0.45633991898148146</v>
      </c>
      <c r="E328" t="s">
        <v>9</v>
      </c>
      <c r="F328">
        <v>-124</v>
      </c>
      <c r="G328">
        <v>-1.5</v>
      </c>
      <c r="K328">
        <f>400+2*(Table2[[#This Row],[Column1]]-13)</f>
        <v>430</v>
      </c>
      <c r="L328">
        <f>MINUTE(Table2[[#This Row],[Time]])</f>
        <v>28</v>
      </c>
      <c r="M328" s="1">
        <v>0.68620620370370367</v>
      </c>
      <c r="N328" t="s">
        <v>27</v>
      </c>
      <c r="O328" t="str">
        <f t="shared" ref="O328:O330" si="54">O327</f>
        <v>-120.0,</v>
      </c>
      <c r="P328">
        <f t="shared" ref="P328:P330" si="55">P327-0.5</f>
        <v>-120.5</v>
      </c>
      <c r="Q328">
        <f t="shared" ref="Q328:Q330" si="56">Q327-0.5</f>
        <v>-1.8</v>
      </c>
    </row>
    <row r="329" spans="2:17" x14ac:dyDescent="0.25">
      <c r="B329">
        <f>400+2*(Table1[[#This Row],[Column1]]-42)</f>
        <v>430</v>
      </c>
      <c r="C329">
        <f>MINUTE(Table1[[#This Row],[Time]])</f>
        <v>57</v>
      </c>
      <c r="D329" s="1">
        <v>0.45637231481481483</v>
      </c>
      <c r="E329" t="s">
        <v>9</v>
      </c>
      <c r="F329">
        <v>-124</v>
      </c>
      <c r="G329">
        <v>-1.3</v>
      </c>
      <c r="K329">
        <f>400+2*(Table2[[#This Row],[Column1]]-13)</f>
        <v>430</v>
      </c>
      <c r="L329">
        <f>MINUTE(Table2[[#This Row],[Time]])</f>
        <v>28</v>
      </c>
      <c r="M329" s="1">
        <v>0.68623859953703703</v>
      </c>
      <c r="N329" t="s">
        <v>27</v>
      </c>
      <c r="O329" t="str">
        <f t="shared" si="54"/>
        <v>-120.0,</v>
      </c>
      <c r="P329">
        <f t="shared" si="55"/>
        <v>-121</v>
      </c>
      <c r="Q329">
        <f t="shared" si="56"/>
        <v>-2.2999999999999998</v>
      </c>
    </row>
    <row r="330" spans="2:17" x14ac:dyDescent="0.25">
      <c r="B330">
        <f>400+2*(Table1[[#This Row],[Column1]]-42)</f>
        <v>430</v>
      </c>
      <c r="C330">
        <f>MINUTE(Table1[[#This Row],[Time]])</f>
        <v>57</v>
      </c>
      <c r="D330" s="1">
        <v>0.4564046990740741</v>
      </c>
      <c r="E330" t="s">
        <v>13</v>
      </c>
      <c r="F330">
        <f>F329-0.5</f>
        <v>-124.5</v>
      </c>
      <c r="G330">
        <f>G329-0.5</f>
        <v>-1.8</v>
      </c>
      <c r="K330">
        <f>400+2*(Table2[[#This Row],[Column1]]-13)</f>
        <v>430</v>
      </c>
      <c r="L330">
        <f>MINUTE(Table2[[#This Row],[Time]])</f>
        <v>28</v>
      </c>
      <c r="M330" s="1">
        <v>0.6862709953703704</v>
      </c>
      <c r="N330" t="s">
        <v>13</v>
      </c>
      <c r="O330" t="str">
        <f t="shared" si="54"/>
        <v>-120.0,</v>
      </c>
      <c r="P330">
        <f t="shared" si="55"/>
        <v>-121.5</v>
      </c>
      <c r="Q330">
        <f t="shared" si="56"/>
        <v>-2.8</v>
      </c>
    </row>
    <row r="331" spans="2:17" x14ac:dyDescent="0.25">
      <c r="B331">
        <f>400+2*(Table1[[#This Row],[Column1]]-42)</f>
        <v>430</v>
      </c>
      <c r="C331">
        <f>MINUTE(Table1[[#This Row],[Time]])</f>
        <v>57</v>
      </c>
      <c r="D331" s="1">
        <v>0.45643710648148145</v>
      </c>
      <c r="E331" t="s">
        <v>9</v>
      </c>
      <c r="F331">
        <v>-121</v>
      </c>
      <c r="G331">
        <v>0.8</v>
      </c>
      <c r="K331">
        <f>400+2*(Table2[[#This Row],[Column1]]-13)</f>
        <v>430</v>
      </c>
      <c r="L331">
        <f>MINUTE(Table2[[#This Row],[Time]])</f>
        <v>28</v>
      </c>
      <c r="M331" s="1">
        <v>0.68630339120370365</v>
      </c>
      <c r="N331" t="s">
        <v>9</v>
      </c>
      <c r="O331" t="s">
        <v>12</v>
      </c>
      <c r="P331">
        <f t="shared" si="53"/>
        <v>-123</v>
      </c>
      <c r="Q331">
        <v>1</v>
      </c>
    </row>
    <row r="332" spans="2:17" x14ac:dyDescent="0.25">
      <c r="B332">
        <f>400+2*(Table1[[#This Row],[Column1]]-42)</f>
        <v>430</v>
      </c>
      <c r="C332">
        <f>MINUTE(Table1[[#This Row],[Time]])</f>
        <v>57</v>
      </c>
      <c r="D332" s="1">
        <v>0.45646950231481476</v>
      </c>
      <c r="E332" t="s">
        <v>27</v>
      </c>
      <c r="F332">
        <f t="shared" ref="F332:F334" si="57">F331-0.5</f>
        <v>-121.5</v>
      </c>
      <c r="G332">
        <f t="shared" ref="G332:G334" si="58">G331-0.5</f>
        <v>0.30000000000000004</v>
      </c>
      <c r="K332">
        <f>400+2*(Table2[[#This Row],[Column1]]-13)</f>
        <v>430</v>
      </c>
      <c r="L332">
        <f>MINUTE(Table2[[#This Row],[Time]])</f>
        <v>28</v>
      </c>
      <c r="M332" s="1">
        <v>0.68633578703703702</v>
      </c>
      <c r="N332" t="s">
        <v>9</v>
      </c>
      <c r="O332" t="s">
        <v>12</v>
      </c>
      <c r="P332">
        <f t="shared" si="53"/>
        <v>-123</v>
      </c>
      <c r="Q332">
        <v>1</v>
      </c>
    </row>
    <row r="333" spans="2:17" x14ac:dyDescent="0.25">
      <c r="B333">
        <f>400+2*(Table1[[#This Row],[Column1]]-42)</f>
        <v>430</v>
      </c>
      <c r="C333">
        <f>MINUTE(Table1[[#This Row],[Time]])</f>
        <v>57</v>
      </c>
      <c r="D333" s="1">
        <v>0.45650189814814818</v>
      </c>
      <c r="E333" t="s">
        <v>27</v>
      </c>
      <c r="F333">
        <f t="shared" si="57"/>
        <v>-122</v>
      </c>
      <c r="G333">
        <f t="shared" si="58"/>
        <v>-0.19999999999999996</v>
      </c>
      <c r="K333">
        <f>400+2*(Table2[[#This Row],[Column1]]-13)</f>
        <v>430</v>
      </c>
      <c r="L333">
        <f>MINUTE(Table2[[#This Row],[Time]])</f>
        <v>28</v>
      </c>
      <c r="M333" s="1">
        <v>0.68636818287037038</v>
      </c>
      <c r="N333" t="s">
        <v>9</v>
      </c>
      <c r="O333" t="s">
        <v>12</v>
      </c>
      <c r="P333">
        <f t="shared" si="53"/>
        <v>-123</v>
      </c>
      <c r="Q333">
        <v>1</v>
      </c>
    </row>
    <row r="334" spans="2:17" x14ac:dyDescent="0.25">
      <c r="B334">
        <f>400+2*(Table1[[#This Row],[Column1]]-42)</f>
        <v>430</v>
      </c>
      <c r="C334">
        <f>MINUTE(Table1[[#This Row],[Time]])</f>
        <v>57</v>
      </c>
      <c r="D334" s="1">
        <v>0.45653429398148149</v>
      </c>
      <c r="E334" t="s">
        <v>27</v>
      </c>
      <c r="F334">
        <f t="shared" si="57"/>
        <v>-122.5</v>
      </c>
      <c r="G334">
        <f t="shared" si="58"/>
        <v>-0.7</v>
      </c>
      <c r="K334">
        <f>400+2*(Table2[[#This Row],[Column1]]-13)</f>
        <v>430</v>
      </c>
      <c r="L334">
        <f>MINUTE(Table2[[#This Row],[Time]])</f>
        <v>28</v>
      </c>
      <c r="M334" s="1">
        <v>0.68640057870370375</v>
      </c>
      <c r="N334" t="s">
        <v>9</v>
      </c>
      <c r="O334" t="s">
        <v>12</v>
      </c>
      <c r="P334">
        <f t="shared" si="53"/>
        <v>-123</v>
      </c>
      <c r="Q334">
        <v>1</v>
      </c>
    </row>
    <row r="335" spans="2:17" x14ac:dyDescent="0.25">
      <c r="B335">
        <f>400+2*(Table1[[#This Row],[Column1]]-42)</f>
        <v>430</v>
      </c>
      <c r="C335">
        <f>MINUTE(Table1[[#This Row],[Time]])</f>
        <v>57</v>
      </c>
      <c r="D335" s="1">
        <v>0.45656667824074071</v>
      </c>
      <c r="E335" t="s">
        <v>9</v>
      </c>
      <c r="F335">
        <v>-123</v>
      </c>
      <c r="G335">
        <v>1</v>
      </c>
      <c r="K335">
        <f>400+2*(Table2[[#This Row],[Column1]]-13)</f>
        <v>430</v>
      </c>
      <c r="L335">
        <f>MINUTE(Table2[[#This Row],[Time]])</f>
        <v>28</v>
      </c>
      <c r="M335" s="1">
        <v>0.686432974537037</v>
      </c>
      <c r="N335" t="s">
        <v>9</v>
      </c>
      <c r="O335" t="s">
        <v>12</v>
      </c>
      <c r="P335">
        <f t="shared" si="53"/>
        <v>-123</v>
      </c>
      <c r="Q335">
        <v>0.8</v>
      </c>
    </row>
    <row r="336" spans="2:17" x14ac:dyDescent="0.25">
      <c r="B336">
        <f>400+2*(Table1[[#This Row],[Column1]]-42)</f>
        <v>430</v>
      </c>
      <c r="C336">
        <f>MINUTE(Table1[[#This Row],[Time]])</f>
        <v>57</v>
      </c>
      <c r="D336" s="1">
        <v>0.45659908564814816</v>
      </c>
      <c r="E336" t="s">
        <v>9</v>
      </c>
      <c r="F336">
        <v>-123</v>
      </c>
      <c r="G336">
        <v>0.5</v>
      </c>
      <c r="K336">
        <f>400+2*(Table2[[#This Row],[Column1]]-13)</f>
        <v>430</v>
      </c>
      <c r="L336">
        <f>MINUTE(Table2[[#This Row],[Time]])</f>
        <v>28</v>
      </c>
      <c r="M336" s="1">
        <v>0.68646537037037036</v>
      </c>
      <c r="N336" t="s">
        <v>9</v>
      </c>
      <c r="O336" t="s">
        <v>12</v>
      </c>
      <c r="P336">
        <f t="shared" si="53"/>
        <v>-123</v>
      </c>
      <c r="Q336">
        <v>1</v>
      </c>
    </row>
    <row r="337" spans="2:17" x14ac:dyDescent="0.25">
      <c r="B337">
        <f>400+2*(Table1[[#This Row],[Column1]]-42)</f>
        <v>430</v>
      </c>
      <c r="C337">
        <f>MINUTE(Table1[[#This Row],[Time]])</f>
        <v>57</v>
      </c>
      <c r="D337" s="1">
        <v>0.45663148148148147</v>
      </c>
      <c r="E337" t="s">
        <v>9</v>
      </c>
      <c r="F337">
        <v>-123</v>
      </c>
      <c r="G337">
        <v>1</v>
      </c>
      <c r="K337">
        <f>400+2*(Table2[[#This Row],[Column1]]-13)</f>
        <v>430</v>
      </c>
      <c r="L337">
        <f>MINUTE(Table2[[#This Row],[Time]])</f>
        <v>28</v>
      </c>
      <c r="M337" s="1">
        <v>0.68649776620370373</v>
      </c>
      <c r="N337" t="s">
        <v>9</v>
      </c>
      <c r="O337" t="s">
        <v>12</v>
      </c>
      <c r="P337">
        <f t="shared" si="53"/>
        <v>-123</v>
      </c>
      <c r="Q337">
        <v>1</v>
      </c>
    </row>
    <row r="338" spans="2:17" x14ac:dyDescent="0.25">
      <c r="B338">
        <f>400+2*(Table1[[#This Row],[Column1]]-42)</f>
        <v>430</v>
      </c>
      <c r="C338">
        <f>MINUTE(Table1[[#This Row],[Time]])</f>
        <v>57</v>
      </c>
      <c r="D338" s="1">
        <v>0.45666386574074075</v>
      </c>
      <c r="E338" t="s">
        <v>9</v>
      </c>
      <c r="F338">
        <v>-123</v>
      </c>
      <c r="G338">
        <v>0.5</v>
      </c>
      <c r="K338">
        <f>400+2*(Table2[[#This Row],[Column1]]-13)</f>
        <v>430</v>
      </c>
      <c r="L338">
        <f>MINUTE(Table2[[#This Row],[Time]])</f>
        <v>28</v>
      </c>
      <c r="M338" s="1">
        <v>0.68653016203703698</v>
      </c>
      <c r="N338" t="s">
        <v>9</v>
      </c>
      <c r="O338" t="s">
        <v>12</v>
      </c>
      <c r="P338">
        <f t="shared" si="53"/>
        <v>-123</v>
      </c>
      <c r="Q338">
        <v>1</v>
      </c>
    </row>
    <row r="339" spans="2:17" x14ac:dyDescent="0.25">
      <c r="B339">
        <f>400+2*(Table1[[#This Row],[Column1]]-42)</f>
        <v>430</v>
      </c>
      <c r="C339">
        <f>MINUTE(Table1[[#This Row],[Time]])</f>
        <v>57</v>
      </c>
      <c r="D339" s="1">
        <v>0.45669627314814809</v>
      </c>
      <c r="E339" t="s">
        <v>27</v>
      </c>
      <c r="F339">
        <f>F338-0.5</f>
        <v>-123.5</v>
      </c>
      <c r="G339">
        <f>G338-0.5</f>
        <v>0</v>
      </c>
      <c r="K339">
        <f>400+2*(Table2[[#This Row],[Column1]]-13)</f>
        <v>430</v>
      </c>
      <c r="L339">
        <f>MINUTE(Table2[[#This Row],[Time]])</f>
        <v>28</v>
      </c>
      <c r="M339" s="1">
        <v>0.68656255787037035</v>
      </c>
      <c r="N339" t="s">
        <v>9</v>
      </c>
      <c r="O339" t="s">
        <v>12</v>
      </c>
      <c r="P339">
        <f t="shared" si="53"/>
        <v>-123</v>
      </c>
      <c r="Q339">
        <v>0.5</v>
      </c>
    </row>
    <row r="340" spans="2:17" x14ac:dyDescent="0.25">
      <c r="B340">
        <f>400+2*(Table1[[#This Row],[Column1]]-42)</f>
        <v>430</v>
      </c>
      <c r="C340">
        <f>MINUTE(Table1[[#This Row],[Time]])</f>
        <v>57</v>
      </c>
      <c r="D340" s="1">
        <v>0.45672864583333339</v>
      </c>
      <c r="E340" t="s">
        <v>9</v>
      </c>
      <c r="F340">
        <v>-123</v>
      </c>
      <c r="G340">
        <v>0.8</v>
      </c>
      <c r="K340">
        <f>400+2*(Table2[[#This Row],[Column1]]-13)</f>
        <v>430</v>
      </c>
      <c r="L340">
        <f>MINUTE(Table2[[#This Row],[Time]])</f>
        <v>28</v>
      </c>
      <c r="M340" s="1">
        <v>0.68659494212962968</v>
      </c>
      <c r="N340" t="s">
        <v>9</v>
      </c>
      <c r="O340" t="s">
        <v>12</v>
      </c>
      <c r="P340">
        <f t="shared" si="53"/>
        <v>-123</v>
      </c>
      <c r="Q340">
        <v>0.8</v>
      </c>
    </row>
    <row r="341" spans="2:17" x14ac:dyDescent="0.25">
      <c r="B341">
        <f>400+2*(Table1[[#This Row],[Column1]]-42)</f>
        <v>430</v>
      </c>
      <c r="C341">
        <f>MINUTE(Table1[[#This Row],[Time]])</f>
        <v>57</v>
      </c>
      <c r="D341" s="1">
        <v>0.45676106481481482</v>
      </c>
      <c r="E341" t="s">
        <v>9</v>
      </c>
      <c r="F341">
        <v>-123</v>
      </c>
      <c r="G341">
        <v>0.8</v>
      </c>
      <c r="K341">
        <f>400+2*(Table2[[#This Row],[Column1]]-13)</f>
        <v>430</v>
      </c>
      <c r="L341">
        <f>MINUTE(Table2[[#This Row],[Time]])</f>
        <v>28</v>
      </c>
      <c r="M341" s="1">
        <v>0.68662734953703708</v>
      </c>
      <c r="N341" t="s">
        <v>9</v>
      </c>
      <c r="O341" t="s">
        <v>11</v>
      </c>
      <c r="P341">
        <f t="shared" si="53"/>
        <v>-122</v>
      </c>
      <c r="Q341">
        <v>0.8</v>
      </c>
    </row>
    <row r="342" spans="2:17" x14ac:dyDescent="0.25">
      <c r="B342">
        <f>400+2*(Table1[[#This Row],[Column1]]-42)</f>
        <v>430</v>
      </c>
      <c r="C342">
        <f>MINUTE(Table1[[#This Row],[Time]])</f>
        <v>57</v>
      </c>
      <c r="D342" s="1">
        <v>0.45679346064814819</v>
      </c>
      <c r="E342" t="s">
        <v>9</v>
      </c>
      <c r="F342">
        <v>-123</v>
      </c>
      <c r="G342">
        <v>1</v>
      </c>
      <c r="K342">
        <f>400+2*(Table2[[#This Row],[Column1]]-13)</f>
        <v>430</v>
      </c>
      <c r="L342">
        <f>MINUTE(Table2[[#This Row],[Time]])</f>
        <v>28</v>
      </c>
      <c r="M342" s="1">
        <v>0.68665974537037044</v>
      </c>
      <c r="N342" t="s">
        <v>9</v>
      </c>
      <c r="O342" t="s">
        <v>12</v>
      </c>
      <c r="P342">
        <f t="shared" si="53"/>
        <v>-123</v>
      </c>
      <c r="Q342">
        <v>0.8</v>
      </c>
    </row>
    <row r="343" spans="2:17" x14ac:dyDescent="0.25">
      <c r="B343">
        <f>400+2*(Table1[[#This Row],[Column1]]-42)</f>
        <v>430</v>
      </c>
      <c r="C343">
        <f>MINUTE(Table1[[#This Row],[Time]])</f>
        <v>57</v>
      </c>
      <c r="D343" s="1">
        <v>0.4568258564814815</v>
      </c>
      <c r="E343" t="s">
        <v>9</v>
      </c>
      <c r="F343">
        <v>-123</v>
      </c>
      <c r="G343">
        <v>0.8</v>
      </c>
      <c r="K343">
        <f>400+2*(Table2[[#This Row],[Column1]]-13)</f>
        <v>430</v>
      </c>
      <c r="L343">
        <f>MINUTE(Table2[[#This Row],[Time]])</f>
        <v>28</v>
      </c>
      <c r="M343" s="1">
        <v>0.6866921412037037</v>
      </c>
      <c r="N343" t="s">
        <v>9</v>
      </c>
      <c r="O343" t="s">
        <v>12</v>
      </c>
      <c r="P343">
        <f t="shared" si="53"/>
        <v>-123</v>
      </c>
      <c r="Q343">
        <v>1</v>
      </c>
    </row>
    <row r="344" spans="2:17" x14ac:dyDescent="0.25">
      <c r="B344">
        <f>400+2*(Table1[[#This Row],[Column1]]-42)</f>
        <v>430</v>
      </c>
      <c r="C344">
        <f>MINUTE(Table1[[#This Row],[Time]])</f>
        <v>57</v>
      </c>
      <c r="D344" s="1">
        <v>0.45685825231481481</v>
      </c>
      <c r="E344" t="s">
        <v>9</v>
      </c>
      <c r="F344">
        <v>-123</v>
      </c>
      <c r="G344">
        <v>0.8</v>
      </c>
      <c r="K344">
        <f>400+2*(Table2[[#This Row],[Column1]]-13)</f>
        <v>430</v>
      </c>
      <c r="L344">
        <f>MINUTE(Table2[[#This Row],[Time]])</f>
        <v>28</v>
      </c>
      <c r="M344" s="1">
        <v>0.68672453703703706</v>
      </c>
      <c r="N344" t="s">
        <v>27</v>
      </c>
      <c r="O344" t="str">
        <f>O343</f>
        <v>-123.0,</v>
      </c>
      <c r="P344">
        <f>P343-0.5</f>
        <v>-123.5</v>
      </c>
      <c r="Q344">
        <f>Q343-0.5</f>
        <v>0.5</v>
      </c>
    </row>
    <row r="345" spans="2:17" x14ac:dyDescent="0.25">
      <c r="B345">
        <f>400+2*(Table1[[#This Row],[Column1]]-42)</f>
        <v>430</v>
      </c>
      <c r="C345">
        <f>MINUTE(Table1[[#This Row],[Time]])</f>
        <v>57</v>
      </c>
      <c r="D345" s="1">
        <v>0.45689064814814812</v>
      </c>
      <c r="E345" t="s">
        <v>9</v>
      </c>
      <c r="F345">
        <v>-122</v>
      </c>
      <c r="G345">
        <v>0.5</v>
      </c>
      <c r="K345">
        <f>400+2*(Table2[[#This Row],[Column1]]-13)</f>
        <v>430</v>
      </c>
      <c r="L345">
        <f>MINUTE(Table2[[#This Row],[Time]])</f>
        <v>28</v>
      </c>
      <c r="M345" s="1">
        <v>0.68675693287037032</v>
      </c>
      <c r="N345" t="s">
        <v>9</v>
      </c>
      <c r="O345" t="s">
        <v>12</v>
      </c>
      <c r="P345">
        <f t="shared" si="53"/>
        <v>-123</v>
      </c>
      <c r="Q345">
        <v>1</v>
      </c>
    </row>
    <row r="346" spans="2:17" x14ac:dyDescent="0.25">
      <c r="B346">
        <f>400+2*(Table1[[#This Row],[Column1]]-42)</f>
        <v>430</v>
      </c>
      <c r="C346">
        <f>MINUTE(Table1[[#This Row],[Time]])</f>
        <v>57</v>
      </c>
      <c r="D346" s="1">
        <v>0.45692304398148148</v>
      </c>
      <c r="E346" t="s">
        <v>9</v>
      </c>
      <c r="F346">
        <v>-123</v>
      </c>
      <c r="G346">
        <v>1</v>
      </c>
      <c r="K346">
        <f>400+2*(Table2[[#This Row],[Column1]]-13)</f>
        <v>430</v>
      </c>
      <c r="L346">
        <f>MINUTE(Table2[[#This Row],[Time]])</f>
        <v>28</v>
      </c>
      <c r="M346" s="1">
        <v>0.68678931712962965</v>
      </c>
      <c r="N346" t="s">
        <v>9</v>
      </c>
      <c r="O346" t="s">
        <v>12</v>
      </c>
      <c r="P346">
        <f t="shared" si="53"/>
        <v>-123</v>
      </c>
      <c r="Q346">
        <v>0.8</v>
      </c>
    </row>
    <row r="347" spans="2:17" x14ac:dyDescent="0.25">
      <c r="B347">
        <f>400+2*(Table1[[#This Row],[Column1]]-42)</f>
        <v>432</v>
      </c>
      <c r="C347">
        <f>MINUTE(Table1[[#This Row],[Time]])</f>
        <v>58</v>
      </c>
      <c r="D347" s="1">
        <v>0.45695543981481479</v>
      </c>
      <c r="E347" t="s">
        <v>9</v>
      </c>
      <c r="F347">
        <v>-123</v>
      </c>
      <c r="G347">
        <v>1</v>
      </c>
      <c r="K347">
        <f>400+2*(Table2[[#This Row],[Column1]]-13)</f>
        <v>432</v>
      </c>
      <c r="L347">
        <f>MINUTE(Table2[[#This Row],[Time]])</f>
        <v>29</v>
      </c>
      <c r="M347" s="1">
        <v>0.68682172453703705</v>
      </c>
      <c r="N347" t="s">
        <v>9</v>
      </c>
      <c r="O347" t="s">
        <v>12</v>
      </c>
      <c r="P347">
        <f t="shared" si="53"/>
        <v>-123</v>
      </c>
      <c r="Q347">
        <v>0.8</v>
      </c>
    </row>
    <row r="348" spans="2:17" x14ac:dyDescent="0.25">
      <c r="B348">
        <f>400+2*(Table1[[#This Row],[Column1]]-42)</f>
        <v>432</v>
      </c>
      <c r="C348">
        <f>MINUTE(Table1[[#This Row],[Time]])</f>
        <v>58</v>
      </c>
      <c r="D348" s="1">
        <v>0.45698783564814821</v>
      </c>
      <c r="E348" t="s">
        <v>13</v>
      </c>
      <c r="F348">
        <f t="shared" ref="F348:F349" si="59">F347-0.5</f>
        <v>-123.5</v>
      </c>
      <c r="G348">
        <f t="shared" ref="G348:G349" si="60">G347-0.5</f>
        <v>0.5</v>
      </c>
      <c r="K348">
        <f>400+2*(Table2[[#This Row],[Column1]]-13)</f>
        <v>432</v>
      </c>
      <c r="L348">
        <f>MINUTE(Table2[[#This Row],[Time]])</f>
        <v>29</v>
      </c>
      <c r="M348" s="1">
        <v>0.68685412037037041</v>
      </c>
      <c r="N348" t="s">
        <v>13</v>
      </c>
      <c r="O348" t="str">
        <f t="shared" ref="O348:O349" si="61">O347</f>
        <v>-123.0,</v>
      </c>
      <c r="P348">
        <f t="shared" ref="P348:P349" si="62">P347-0.5</f>
        <v>-123.5</v>
      </c>
      <c r="Q348">
        <f t="shared" ref="Q348:Q349" si="63">Q347-0.5</f>
        <v>0.30000000000000004</v>
      </c>
    </row>
    <row r="349" spans="2:17" x14ac:dyDescent="0.25">
      <c r="B349">
        <f>400+2*(Table1[[#This Row],[Column1]]-42)</f>
        <v>432</v>
      </c>
      <c r="C349">
        <f>MINUTE(Table1[[#This Row],[Time]])</f>
        <v>58</v>
      </c>
      <c r="D349" s="1">
        <v>0.45702023148148152</v>
      </c>
      <c r="E349" t="s">
        <v>27</v>
      </c>
      <c r="F349">
        <f t="shared" si="59"/>
        <v>-124</v>
      </c>
      <c r="G349">
        <f t="shared" si="60"/>
        <v>0</v>
      </c>
      <c r="K349">
        <f>400+2*(Table2[[#This Row],[Column1]]-13)</f>
        <v>432</v>
      </c>
      <c r="L349">
        <f>MINUTE(Table2[[#This Row],[Time]])</f>
        <v>29</v>
      </c>
      <c r="M349" s="1">
        <v>0.68688651620370378</v>
      </c>
      <c r="N349" t="s">
        <v>27</v>
      </c>
      <c r="O349" t="str">
        <f t="shared" si="61"/>
        <v>-123.0,</v>
      </c>
      <c r="P349">
        <f t="shared" si="62"/>
        <v>-124</v>
      </c>
      <c r="Q349">
        <f t="shared" si="63"/>
        <v>-0.19999999999999996</v>
      </c>
    </row>
    <row r="350" spans="2:17" x14ac:dyDescent="0.25">
      <c r="B350">
        <f>400+2*(Table1[[#This Row],[Column1]]-42)</f>
        <v>432</v>
      </c>
      <c r="C350">
        <f>MINUTE(Table1[[#This Row],[Time]])</f>
        <v>58</v>
      </c>
      <c r="D350" s="1">
        <v>0.45705262731481483</v>
      </c>
      <c r="E350" t="s">
        <v>9</v>
      </c>
      <c r="F350">
        <v>-124</v>
      </c>
      <c r="G350">
        <v>-2</v>
      </c>
      <c r="K350">
        <f>400+2*(Table2[[#This Row],[Column1]]-13)</f>
        <v>432</v>
      </c>
      <c r="L350">
        <f>MINUTE(Table2[[#This Row],[Time]])</f>
        <v>29</v>
      </c>
      <c r="M350" s="1">
        <v>0.68691891203703703</v>
      </c>
      <c r="N350" t="s">
        <v>9</v>
      </c>
      <c r="O350" t="s">
        <v>19</v>
      </c>
      <c r="P350">
        <f t="shared" si="53"/>
        <v>-124</v>
      </c>
      <c r="Q350">
        <v>-1.5</v>
      </c>
    </row>
    <row r="351" spans="2:17" x14ac:dyDescent="0.25">
      <c r="B351">
        <f>400+2*(Table1[[#This Row],[Column1]]-42)</f>
        <v>432</v>
      </c>
      <c r="C351">
        <f>MINUTE(Table1[[#This Row],[Time]])</f>
        <v>58</v>
      </c>
      <c r="D351" s="1">
        <v>0.45708502314814814</v>
      </c>
      <c r="E351" t="s">
        <v>27</v>
      </c>
      <c r="F351">
        <f t="shared" ref="F351:F352" si="64">F350-0.5</f>
        <v>-124.5</v>
      </c>
      <c r="G351">
        <f t="shared" ref="G351:G352" si="65">G350-0.5</f>
        <v>-2.5</v>
      </c>
      <c r="K351">
        <f>400+2*(Table2[[#This Row],[Column1]]-13)</f>
        <v>432</v>
      </c>
      <c r="L351">
        <f>MINUTE(Table2[[#This Row],[Time]])</f>
        <v>29</v>
      </c>
      <c r="M351" s="1">
        <v>0.6869513078703704</v>
      </c>
      <c r="N351" t="s">
        <v>27</v>
      </c>
      <c r="O351" t="str">
        <f>O350</f>
        <v>-124.0,</v>
      </c>
      <c r="P351">
        <f>P350-0.5</f>
        <v>-124.5</v>
      </c>
      <c r="Q351">
        <f>Q350-0.5</f>
        <v>-2</v>
      </c>
    </row>
    <row r="352" spans="2:17" x14ac:dyDescent="0.25">
      <c r="B352">
        <f>400+2*(Table1[[#This Row],[Column1]]-42)</f>
        <v>432</v>
      </c>
      <c r="C352">
        <f>MINUTE(Table1[[#This Row],[Time]])</f>
        <v>58</v>
      </c>
      <c r="D352" s="1">
        <v>0.4571174189814815</v>
      </c>
      <c r="E352" t="s">
        <v>13</v>
      </c>
      <c r="F352">
        <f t="shared" si="64"/>
        <v>-125</v>
      </c>
      <c r="G352">
        <f t="shared" si="65"/>
        <v>-3</v>
      </c>
      <c r="K352">
        <f>400+2*(Table2[[#This Row],[Column1]]-13)</f>
        <v>432</v>
      </c>
      <c r="L352">
        <f>MINUTE(Table2[[#This Row],[Time]])</f>
        <v>29</v>
      </c>
      <c r="M352" s="1">
        <v>0.68698370370370365</v>
      </c>
      <c r="N352" t="s">
        <v>9</v>
      </c>
      <c r="O352" t="s">
        <v>12</v>
      </c>
      <c r="P352">
        <f t="shared" si="53"/>
        <v>-123</v>
      </c>
      <c r="Q352">
        <v>1.3</v>
      </c>
    </row>
    <row r="353" spans="2:17" x14ac:dyDescent="0.25">
      <c r="B353">
        <f>400+2*(Table1[[#This Row],[Column1]]-42)</f>
        <v>432</v>
      </c>
      <c r="C353">
        <f>MINUTE(Table1[[#This Row],[Time]])</f>
        <v>58</v>
      </c>
      <c r="D353" s="1">
        <v>0.45714981481481481</v>
      </c>
      <c r="E353" t="s">
        <v>9</v>
      </c>
      <c r="F353">
        <v>-122</v>
      </c>
      <c r="G353">
        <v>0.8</v>
      </c>
      <c r="K353">
        <f>400+2*(Table2[[#This Row],[Column1]]-13)</f>
        <v>432</v>
      </c>
      <c r="L353">
        <f>MINUTE(Table2[[#This Row],[Time]])</f>
        <v>29</v>
      </c>
      <c r="M353" s="1">
        <v>0.68701609953703702</v>
      </c>
      <c r="N353" t="s">
        <v>9</v>
      </c>
      <c r="O353" t="s">
        <v>14</v>
      </c>
      <c r="P353">
        <f t="shared" si="53"/>
        <v>-118</v>
      </c>
      <c r="Q353">
        <v>1</v>
      </c>
    </row>
    <row r="354" spans="2:17" x14ac:dyDescent="0.25">
      <c r="B354">
        <f>400+2*(Table1[[#This Row],[Column1]]-42)</f>
        <v>432</v>
      </c>
      <c r="C354">
        <f>MINUTE(Table1[[#This Row],[Time]])</f>
        <v>58</v>
      </c>
      <c r="D354" s="1">
        <v>0.45718219907407409</v>
      </c>
      <c r="E354" t="s">
        <v>9</v>
      </c>
      <c r="F354">
        <v>-123</v>
      </c>
      <c r="G354">
        <v>0.8</v>
      </c>
      <c r="K354">
        <f>400+2*(Table2[[#This Row],[Column1]]-13)</f>
        <v>432</v>
      </c>
      <c r="L354">
        <f>MINUTE(Table2[[#This Row],[Time]])</f>
        <v>29</v>
      </c>
      <c r="M354" s="1">
        <v>0.68704849537037038</v>
      </c>
      <c r="N354" t="s">
        <v>9</v>
      </c>
      <c r="O354" t="s">
        <v>12</v>
      </c>
      <c r="P354">
        <f t="shared" si="53"/>
        <v>-123</v>
      </c>
      <c r="Q354">
        <v>0.8</v>
      </c>
    </row>
    <row r="355" spans="2:17" x14ac:dyDescent="0.25">
      <c r="B355">
        <f>400+2*(Table1[[#This Row],[Column1]]-42)</f>
        <v>432</v>
      </c>
      <c r="C355">
        <f>MINUTE(Table1[[#This Row],[Time]])</f>
        <v>58</v>
      </c>
      <c r="D355" s="1">
        <v>0.45721458333333331</v>
      </c>
      <c r="E355" t="s">
        <v>9</v>
      </c>
      <c r="F355">
        <v>-122</v>
      </c>
      <c r="G355">
        <v>0.8</v>
      </c>
      <c r="K355">
        <f>400+2*(Table2[[#This Row],[Column1]]-13)</f>
        <v>432</v>
      </c>
      <c r="L355">
        <f>MINUTE(Table2[[#This Row],[Time]])</f>
        <v>29</v>
      </c>
      <c r="M355" s="1">
        <v>0.68708089120370364</v>
      </c>
      <c r="N355" t="s">
        <v>9</v>
      </c>
      <c r="O355" t="s">
        <v>12</v>
      </c>
      <c r="P355">
        <f t="shared" si="53"/>
        <v>-123</v>
      </c>
      <c r="Q355">
        <v>1</v>
      </c>
    </row>
    <row r="356" spans="2:17" x14ac:dyDescent="0.25">
      <c r="B356">
        <f>400+2*(Table1[[#This Row],[Column1]]-42)</f>
        <v>432</v>
      </c>
      <c r="C356">
        <f>MINUTE(Table1[[#This Row],[Time]])</f>
        <v>58</v>
      </c>
      <c r="D356" s="1">
        <v>0.45724700231481485</v>
      </c>
      <c r="E356" t="s">
        <v>9</v>
      </c>
      <c r="F356">
        <v>-123</v>
      </c>
      <c r="G356">
        <v>1.3</v>
      </c>
      <c r="K356">
        <f>400+2*(Table2[[#This Row],[Column1]]-13)</f>
        <v>432</v>
      </c>
      <c r="L356">
        <f>MINUTE(Table2[[#This Row],[Time]])</f>
        <v>29</v>
      </c>
      <c r="M356" s="1">
        <v>0.68711328703703711</v>
      </c>
      <c r="N356" t="s">
        <v>9</v>
      </c>
      <c r="O356" t="s">
        <v>14</v>
      </c>
      <c r="P356">
        <f t="shared" si="53"/>
        <v>-118</v>
      </c>
      <c r="Q356">
        <v>1</v>
      </c>
    </row>
    <row r="357" spans="2:17" x14ac:dyDescent="0.25">
      <c r="B357">
        <f>400+2*(Table1[[#This Row],[Column1]]-42)</f>
        <v>432</v>
      </c>
      <c r="C357">
        <f>MINUTE(Table1[[#This Row],[Time]])</f>
        <v>58</v>
      </c>
      <c r="D357" s="1">
        <v>0.45727939814814816</v>
      </c>
      <c r="E357" t="s">
        <v>9</v>
      </c>
      <c r="F357">
        <v>-123</v>
      </c>
      <c r="G357">
        <v>1</v>
      </c>
      <c r="K357">
        <f>400+2*(Table2[[#This Row],[Column1]]-13)</f>
        <v>432</v>
      </c>
      <c r="L357">
        <f>MINUTE(Table2[[#This Row],[Time]])</f>
        <v>29</v>
      </c>
      <c r="M357" s="1">
        <v>0.68714568287037037</v>
      </c>
      <c r="N357" t="s">
        <v>9</v>
      </c>
      <c r="O357" t="s">
        <v>12</v>
      </c>
      <c r="P357">
        <f t="shared" si="53"/>
        <v>-123</v>
      </c>
      <c r="Q357">
        <v>1</v>
      </c>
    </row>
    <row r="358" spans="2:17" x14ac:dyDescent="0.25">
      <c r="B358">
        <f>400+2*(Table1[[#This Row],[Column1]]-42)</f>
        <v>432</v>
      </c>
      <c r="C358">
        <f>MINUTE(Table1[[#This Row],[Time]])</f>
        <v>58</v>
      </c>
      <c r="D358" s="1">
        <v>0.45731177083333335</v>
      </c>
      <c r="E358" t="s">
        <v>27</v>
      </c>
      <c r="F358">
        <f t="shared" ref="F358:F359" si="66">F357-0.5</f>
        <v>-123.5</v>
      </c>
      <c r="G358">
        <f t="shared" ref="G358:G359" si="67">G357-0.5</f>
        <v>0.5</v>
      </c>
      <c r="K358">
        <f>400+2*(Table2[[#This Row],[Column1]]-13)</f>
        <v>432</v>
      </c>
      <c r="L358">
        <f>MINUTE(Table2[[#This Row],[Time]])</f>
        <v>29</v>
      </c>
      <c r="M358" s="1">
        <v>0.68717807870370373</v>
      </c>
      <c r="N358" t="s">
        <v>9</v>
      </c>
      <c r="O358" t="s">
        <v>12</v>
      </c>
      <c r="P358">
        <f t="shared" si="53"/>
        <v>-123</v>
      </c>
      <c r="Q358">
        <v>0.8</v>
      </c>
    </row>
    <row r="359" spans="2:17" x14ac:dyDescent="0.25">
      <c r="B359">
        <f>400+2*(Table1[[#This Row],[Column1]]-42)</f>
        <v>432</v>
      </c>
      <c r="C359">
        <f>MINUTE(Table1[[#This Row],[Time]])</f>
        <v>58</v>
      </c>
      <c r="D359" s="1">
        <v>0.4573441782407407</v>
      </c>
      <c r="E359" t="s">
        <v>27</v>
      </c>
      <c r="F359">
        <f t="shared" si="66"/>
        <v>-124</v>
      </c>
      <c r="G359">
        <f t="shared" si="67"/>
        <v>0</v>
      </c>
      <c r="K359">
        <f>400+2*(Table2[[#This Row],[Column1]]-13)</f>
        <v>432</v>
      </c>
      <c r="L359">
        <f>MINUTE(Table2[[#This Row],[Time]])</f>
        <v>29</v>
      </c>
      <c r="M359" s="1">
        <v>0.6872104745370371</v>
      </c>
      <c r="N359" t="s">
        <v>9</v>
      </c>
      <c r="O359" t="s">
        <v>12</v>
      </c>
      <c r="P359">
        <f t="shared" si="53"/>
        <v>-123</v>
      </c>
      <c r="Q359">
        <v>0.8</v>
      </c>
    </row>
    <row r="360" spans="2:17" x14ac:dyDescent="0.25">
      <c r="B360">
        <f>400+2*(Table1[[#This Row],[Column1]]-42)</f>
        <v>432</v>
      </c>
      <c r="C360">
        <f>MINUTE(Table1[[#This Row],[Time]])</f>
        <v>58</v>
      </c>
      <c r="D360" s="1">
        <v>0.45737658564814815</v>
      </c>
      <c r="E360" t="s">
        <v>9</v>
      </c>
      <c r="F360">
        <v>-123</v>
      </c>
      <c r="G360">
        <v>0.8</v>
      </c>
      <c r="K360">
        <f>400+2*(Table2[[#This Row],[Column1]]-13)</f>
        <v>432</v>
      </c>
      <c r="L360">
        <f>MINUTE(Table2[[#This Row],[Time]])</f>
        <v>29</v>
      </c>
      <c r="M360" s="1">
        <v>0.68724287037037035</v>
      </c>
      <c r="N360" t="s">
        <v>9</v>
      </c>
      <c r="O360" t="s">
        <v>12</v>
      </c>
      <c r="P360">
        <f t="shared" si="53"/>
        <v>-123</v>
      </c>
      <c r="Q360">
        <v>1</v>
      </c>
    </row>
    <row r="361" spans="2:17" x14ac:dyDescent="0.25">
      <c r="B361">
        <f>400+2*(Table1[[#This Row],[Column1]]-42)</f>
        <v>432</v>
      </c>
      <c r="C361">
        <f>MINUTE(Table1[[#This Row],[Time]])</f>
        <v>58</v>
      </c>
      <c r="D361" s="1">
        <v>0.45740898148148146</v>
      </c>
      <c r="E361" t="s">
        <v>9</v>
      </c>
      <c r="F361">
        <v>-123</v>
      </c>
      <c r="G361">
        <v>1</v>
      </c>
      <c r="K361">
        <f>400+2*(Table2[[#This Row],[Column1]]-13)</f>
        <v>432</v>
      </c>
      <c r="L361">
        <f>MINUTE(Table2[[#This Row],[Time]])</f>
        <v>29</v>
      </c>
      <c r="M361" s="1">
        <v>0.68727526620370372</v>
      </c>
      <c r="N361" t="s">
        <v>27</v>
      </c>
      <c r="O361" t="str">
        <f>O360</f>
        <v>-123.0,</v>
      </c>
      <c r="P361">
        <f>P360-0.5</f>
        <v>-123.5</v>
      </c>
      <c r="Q361">
        <f>Q360-0.5</f>
        <v>0.5</v>
      </c>
    </row>
    <row r="362" spans="2:17" x14ac:dyDescent="0.25">
      <c r="B362">
        <f>400+2*(Table1[[#This Row],[Column1]]-42)</f>
        <v>432</v>
      </c>
      <c r="C362">
        <f>MINUTE(Table1[[#This Row],[Time]])</f>
        <v>58</v>
      </c>
      <c r="D362" s="1">
        <v>0.45744137731481477</v>
      </c>
      <c r="E362" t="s">
        <v>27</v>
      </c>
      <c r="F362">
        <f>F361-0.5</f>
        <v>-123.5</v>
      </c>
      <c r="G362">
        <f>G361-0.5</f>
        <v>0.5</v>
      </c>
      <c r="K362">
        <f>400+2*(Table2[[#This Row],[Column1]]-13)</f>
        <v>432</v>
      </c>
      <c r="L362">
        <f>MINUTE(Table2[[#This Row],[Time]])</f>
        <v>29</v>
      </c>
      <c r="M362" s="1">
        <v>0.68730766203703697</v>
      </c>
      <c r="N362" t="s">
        <v>9</v>
      </c>
      <c r="O362" t="s">
        <v>12</v>
      </c>
      <c r="P362">
        <f t="shared" si="53"/>
        <v>-123</v>
      </c>
      <c r="Q362">
        <v>0.8</v>
      </c>
    </row>
    <row r="363" spans="2:17" x14ac:dyDescent="0.25">
      <c r="B363">
        <f>400+2*(Table1[[#This Row],[Column1]]-42)</f>
        <v>432</v>
      </c>
      <c r="C363">
        <f>MINUTE(Table1[[#This Row],[Time]])</f>
        <v>58</v>
      </c>
      <c r="D363" s="1">
        <v>0.4574737615740741</v>
      </c>
      <c r="E363" t="s">
        <v>9</v>
      </c>
      <c r="F363">
        <v>-123</v>
      </c>
      <c r="G363">
        <v>0.3</v>
      </c>
      <c r="K363">
        <f>400+2*(Table2[[#This Row],[Column1]]-13)</f>
        <v>432</v>
      </c>
      <c r="L363">
        <f>MINUTE(Table2[[#This Row],[Time]])</f>
        <v>29</v>
      </c>
      <c r="M363" s="1">
        <v>0.68734005787037034</v>
      </c>
      <c r="N363" t="s">
        <v>9</v>
      </c>
      <c r="O363" t="s">
        <v>12</v>
      </c>
      <c r="P363">
        <f t="shared" si="53"/>
        <v>-123</v>
      </c>
      <c r="Q363">
        <v>0.8</v>
      </c>
    </row>
    <row r="364" spans="2:17" x14ac:dyDescent="0.25">
      <c r="B364">
        <f>400+2*(Table1[[#This Row],[Column1]]-42)</f>
        <v>432</v>
      </c>
      <c r="C364">
        <f>MINUTE(Table1[[#This Row],[Time]])</f>
        <v>58</v>
      </c>
      <c r="D364" s="1">
        <v>0.4575061689814815</v>
      </c>
      <c r="E364" t="s">
        <v>9</v>
      </c>
      <c r="F364">
        <v>-123</v>
      </c>
      <c r="G364">
        <v>0.8</v>
      </c>
      <c r="K364">
        <f>400+2*(Table2[[#This Row],[Column1]]-13)</f>
        <v>432</v>
      </c>
      <c r="L364">
        <f>MINUTE(Table2[[#This Row],[Time]])</f>
        <v>29</v>
      </c>
      <c r="M364" s="1">
        <v>0.6873724537037037</v>
      </c>
      <c r="N364" t="s">
        <v>9</v>
      </c>
      <c r="O364" t="s">
        <v>12</v>
      </c>
      <c r="P364">
        <f t="shared" si="53"/>
        <v>-123</v>
      </c>
      <c r="Q364">
        <v>1</v>
      </c>
    </row>
    <row r="365" spans="2:17" x14ac:dyDescent="0.25">
      <c r="B365">
        <f>400+2*(Table1[[#This Row],[Column1]]-42)</f>
        <v>432</v>
      </c>
      <c r="C365">
        <f>MINUTE(Table1[[#This Row],[Time]])</f>
        <v>58</v>
      </c>
      <c r="D365" s="1">
        <v>0.45753856481481486</v>
      </c>
      <c r="E365" t="s">
        <v>27</v>
      </c>
      <c r="F365">
        <f>F364-0.5</f>
        <v>-123.5</v>
      </c>
      <c r="G365">
        <f>G364-0.5</f>
        <v>0.30000000000000004</v>
      </c>
      <c r="K365">
        <f>400+2*(Table2[[#This Row],[Column1]]-13)</f>
        <v>432</v>
      </c>
      <c r="L365">
        <f>MINUTE(Table2[[#This Row],[Time]])</f>
        <v>29</v>
      </c>
      <c r="M365" s="1">
        <v>0.68740484953703707</v>
      </c>
      <c r="N365" t="s">
        <v>9</v>
      </c>
      <c r="O365" t="s">
        <v>12</v>
      </c>
      <c r="P365">
        <f t="shared" si="53"/>
        <v>-123</v>
      </c>
      <c r="Q365">
        <v>0.5</v>
      </c>
    </row>
    <row r="366" spans="2:17" x14ac:dyDescent="0.25">
      <c r="B366">
        <f>400+2*(Table1[[#This Row],[Column1]]-42)</f>
        <v>432</v>
      </c>
      <c r="C366">
        <f>MINUTE(Table1[[#This Row],[Time]])</f>
        <v>58</v>
      </c>
      <c r="D366" s="1">
        <v>0.45757096064814817</v>
      </c>
      <c r="E366" t="s">
        <v>9</v>
      </c>
      <c r="F366">
        <v>-123</v>
      </c>
      <c r="G366">
        <v>0.8</v>
      </c>
      <c r="K366">
        <f>400+2*(Table2[[#This Row],[Column1]]-13)</f>
        <v>432</v>
      </c>
      <c r="L366">
        <f>MINUTE(Table2[[#This Row],[Time]])</f>
        <v>29</v>
      </c>
      <c r="M366" s="1">
        <v>0.68743724537037043</v>
      </c>
      <c r="N366" t="s">
        <v>9</v>
      </c>
      <c r="O366" t="s">
        <v>12</v>
      </c>
      <c r="P366">
        <f t="shared" si="53"/>
        <v>-123</v>
      </c>
      <c r="Q366">
        <v>1</v>
      </c>
    </row>
    <row r="367" spans="2:17" x14ac:dyDescent="0.25">
      <c r="B367">
        <f>400+2*(Table1[[#This Row],[Column1]]-42)</f>
        <v>432</v>
      </c>
      <c r="C367">
        <f>MINUTE(Table1[[#This Row],[Time]])</f>
        <v>58</v>
      </c>
      <c r="D367" s="1">
        <v>0.45760335648148148</v>
      </c>
      <c r="E367" t="s">
        <v>9</v>
      </c>
      <c r="F367">
        <v>-123</v>
      </c>
      <c r="G367">
        <v>1</v>
      </c>
      <c r="K367">
        <f>400+2*(Table2[[#This Row],[Column1]]-13)</f>
        <v>432</v>
      </c>
      <c r="L367">
        <f>MINUTE(Table2[[#This Row],[Time]])</f>
        <v>29</v>
      </c>
      <c r="M367" s="1">
        <v>0.68746964120370369</v>
      </c>
      <c r="N367" t="s">
        <v>9</v>
      </c>
      <c r="O367" t="s">
        <v>12</v>
      </c>
      <c r="P367">
        <f t="shared" si="53"/>
        <v>-123</v>
      </c>
      <c r="Q367">
        <v>1</v>
      </c>
    </row>
    <row r="368" spans="2:17" x14ac:dyDescent="0.25">
      <c r="B368">
        <f>400+2*(Table1[[#This Row],[Column1]]-42)</f>
        <v>434</v>
      </c>
      <c r="C368">
        <f>MINUTE(Table1[[#This Row],[Time]])</f>
        <v>59</v>
      </c>
      <c r="D368" s="1">
        <v>0.45763574074074076</v>
      </c>
      <c r="E368" t="s">
        <v>27</v>
      </c>
      <c r="F368">
        <f>F367-0.5</f>
        <v>-123.5</v>
      </c>
      <c r="G368">
        <f>G367-0.5</f>
        <v>0.5</v>
      </c>
      <c r="K368">
        <f>400+2*(Table2[[#This Row],[Column1]]-13)</f>
        <v>434</v>
      </c>
      <c r="L368">
        <f>MINUTE(Table2[[#This Row],[Time]])</f>
        <v>30</v>
      </c>
      <c r="M368" s="1">
        <v>0.68750203703703705</v>
      </c>
      <c r="N368" t="s">
        <v>9</v>
      </c>
      <c r="O368" t="s">
        <v>12</v>
      </c>
      <c r="P368">
        <f t="shared" si="53"/>
        <v>-123</v>
      </c>
      <c r="Q368">
        <v>0.8</v>
      </c>
    </row>
    <row r="369" spans="2:17" x14ac:dyDescent="0.25">
      <c r="B369">
        <f>400+2*(Table1[[#This Row],[Column1]]-42)</f>
        <v>434</v>
      </c>
      <c r="C369">
        <f>MINUTE(Table1[[#This Row],[Time]])</f>
        <v>59</v>
      </c>
      <c r="D369" s="1">
        <v>0.45766814814814816</v>
      </c>
      <c r="E369" t="s">
        <v>9</v>
      </c>
      <c r="F369">
        <v>-123</v>
      </c>
      <c r="G369">
        <v>0.5</v>
      </c>
      <c r="K369">
        <f>400+2*(Table2[[#This Row],[Column1]]-13)</f>
        <v>434</v>
      </c>
      <c r="L369">
        <f>MINUTE(Table2[[#This Row],[Time]])</f>
        <v>30</v>
      </c>
      <c r="M369" s="1">
        <v>0.6875344328703703</v>
      </c>
      <c r="N369" t="s">
        <v>27</v>
      </c>
      <c r="O369" t="str">
        <f>O368</f>
        <v>-123.0,</v>
      </c>
      <c r="P369">
        <f>P368-0.5</f>
        <v>-123.5</v>
      </c>
      <c r="Q369">
        <f>Q368-0.5</f>
        <v>0.30000000000000004</v>
      </c>
    </row>
    <row r="370" spans="2:17" x14ac:dyDescent="0.25">
      <c r="B370">
        <f>400+2*(Table1[[#This Row],[Column1]]-42)</f>
        <v>434</v>
      </c>
      <c r="C370">
        <f>MINUTE(Table1[[#This Row],[Time]])</f>
        <v>59</v>
      </c>
      <c r="D370" s="1">
        <v>0.45770054398148147</v>
      </c>
      <c r="E370" t="s">
        <v>9</v>
      </c>
      <c r="F370">
        <v>-124</v>
      </c>
      <c r="G370">
        <v>-1.3</v>
      </c>
      <c r="K370">
        <f>400+2*(Table2[[#This Row],[Column1]]-13)</f>
        <v>434</v>
      </c>
      <c r="L370">
        <f>MINUTE(Table2[[#This Row],[Time]])</f>
        <v>30</v>
      </c>
      <c r="M370" s="1">
        <v>0.68756682870370367</v>
      </c>
      <c r="N370" t="s">
        <v>9</v>
      </c>
      <c r="O370" t="s">
        <v>19</v>
      </c>
      <c r="P370">
        <f t="shared" si="53"/>
        <v>-124</v>
      </c>
      <c r="Q370">
        <v>-1</v>
      </c>
    </row>
    <row r="371" spans="2:17" x14ac:dyDescent="0.25">
      <c r="B371">
        <f>400+2*(Table1[[#This Row],[Column1]]-42)</f>
        <v>434</v>
      </c>
      <c r="C371">
        <f>MINUTE(Table1[[#This Row],[Time]])</f>
        <v>59</v>
      </c>
      <c r="D371" s="1">
        <v>0.45773293981481478</v>
      </c>
      <c r="E371" t="s">
        <v>27</v>
      </c>
      <c r="F371">
        <f t="shared" ref="F371:F373" si="68">F370-0.5</f>
        <v>-124.5</v>
      </c>
      <c r="G371">
        <f t="shared" ref="G371:G373" si="69">G370-0.5</f>
        <v>-1.8</v>
      </c>
      <c r="K371">
        <f>400+2*(Table2[[#This Row],[Column1]]-13)</f>
        <v>434</v>
      </c>
      <c r="L371">
        <f>MINUTE(Table2[[#This Row],[Time]])</f>
        <v>30</v>
      </c>
      <c r="M371" s="1">
        <v>0.68759922453703703</v>
      </c>
      <c r="N371" t="s">
        <v>9</v>
      </c>
      <c r="O371" t="s">
        <v>19</v>
      </c>
      <c r="P371">
        <f t="shared" si="53"/>
        <v>-124</v>
      </c>
      <c r="Q371">
        <v>-1.3</v>
      </c>
    </row>
    <row r="372" spans="2:17" x14ac:dyDescent="0.25">
      <c r="B372">
        <f>400+2*(Table1[[#This Row],[Column1]]-42)</f>
        <v>434</v>
      </c>
      <c r="C372">
        <f>MINUTE(Table1[[#This Row],[Time]])</f>
        <v>59</v>
      </c>
      <c r="D372" s="1">
        <v>0.45776532407407405</v>
      </c>
      <c r="E372" t="s">
        <v>27</v>
      </c>
      <c r="F372">
        <f t="shared" si="68"/>
        <v>-125</v>
      </c>
      <c r="G372">
        <f t="shared" si="69"/>
        <v>-2.2999999999999998</v>
      </c>
      <c r="K372">
        <f>400+2*(Table2[[#This Row],[Column1]]-13)</f>
        <v>434</v>
      </c>
      <c r="L372">
        <f>MINUTE(Table2[[#This Row],[Time]])</f>
        <v>30</v>
      </c>
      <c r="M372" s="1">
        <v>0.6876316203703704</v>
      </c>
      <c r="N372" t="s">
        <v>9</v>
      </c>
      <c r="O372" t="s">
        <v>19</v>
      </c>
      <c r="P372">
        <f t="shared" si="53"/>
        <v>-124</v>
      </c>
      <c r="Q372">
        <v>-1.5</v>
      </c>
    </row>
    <row r="373" spans="2:17" x14ac:dyDescent="0.25">
      <c r="B373">
        <f>400+2*(Table1[[#This Row],[Column1]]-42)</f>
        <v>434</v>
      </c>
      <c r="C373">
        <f>MINUTE(Table1[[#This Row],[Time]])</f>
        <v>59</v>
      </c>
      <c r="D373" s="1">
        <v>0.45779771990740736</v>
      </c>
      <c r="E373" t="s">
        <v>13</v>
      </c>
      <c r="F373">
        <f t="shared" si="68"/>
        <v>-125.5</v>
      </c>
      <c r="G373">
        <f t="shared" si="69"/>
        <v>-2.8</v>
      </c>
      <c r="K373">
        <f>400+2*(Table2[[#This Row],[Column1]]-13)</f>
        <v>434</v>
      </c>
      <c r="L373">
        <f>MINUTE(Table2[[#This Row],[Time]])</f>
        <v>30</v>
      </c>
      <c r="M373" s="1">
        <v>0.68766401620370377</v>
      </c>
      <c r="N373" t="s">
        <v>13</v>
      </c>
      <c r="O373" t="str">
        <f>O372</f>
        <v>-124.0,</v>
      </c>
      <c r="P373">
        <f>P372-0.5</f>
        <v>-124.5</v>
      </c>
      <c r="Q373">
        <f>Q372-0.5</f>
        <v>-2</v>
      </c>
    </row>
    <row r="374" spans="2:17" x14ac:dyDescent="0.25">
      <c r="B374">
        <f>400+2*(Table1[[#This Row],[Column1]]-42)</f>
        <v>434</v>
      </c>
      <c r="C374">
        <f>MINUTE(Table1[[#This Row],[Time]])</f>
        <v>59</v>
      </c>
      <c r="D374" s="1">
        <v>0.45783011574074073</v>
      </c>
      <c r="E374" t="s">
        <v>9</v>
      </c>
      <c r="F374">
        <v>-123</v>
      </c>
      <c r="G374">
        <v>1</v>
      </c>
      <c r="K374">
        <f>400+2*(Table2[[#This Row],[Column1]]-13)</f>
        <v>434</v>
      </c>
      <c r="L374">
        <f>MINUTE(Table2[[#This Row],[Time]])</f>
        <v>30</v>
      </c>
      <c r="M374" s="1">
        <v>0.68769641203703702</v>
      </c>
      <c r="N374" t="s">
        <v>9</v>
      </c>
      <c r="O374" t="s">
        <v>12</v>
      </c>
      <c r="P374">
        <f t="shared" si="53"/>
        <v>-123</v>
      </c>
      <c r="Q374">
        <v>1</v>
      </c>
    </row>
    <row r="375" spans="2:17" x14ac:dyDescent="0.25">
      <c r="B375">
        <f>400+2*(Table1[[#This Row],[Column1]]-42)</f>
        <v>434</v>
      </c>
      <c r="C375">
        <f>MINUTE(Table1[[#This Row],[Time]])</f>
        <v>59</v>
      </c>
      <c r="D375" s="1">
        <v>0.45786251157407409</v>
      </c>
      <c r="E375" t="s">
        <v>9</v>
      </c>
      <c r="F375">
        <v>-123</v>
      </c>
      <c r="G375">
        <v>0.5</v>
      </c>
      <c r="K375">
        <f>400+2*(Table2[[#This Row],[Column1]]-13)</f>
        <v>434</v>
      </c>
      <c r="L375">
        <f>MINUTE(Table2[[#This Row],[Time]])</f>
        <v>30</v>
      </c>
      <c r="M375" s="1">
        <v>0.68772880787037038</v>
      </c>
      <c r="N375" t="s">
        <v>9</v>
      </c>
      <c r="O375" t="s">
        <v>12</v>
      </c>
      <c r="P375">
        <f t="shared" si="53"/>
        <v>-123</v>
      </c>
      <c r="Q375">
        <v>1</v>
      </c>
    </row>
    <row r="376" spans="2:17" x14ac:dyDescent="0.25">
      <c r="B376">
        <f>400+2*(Table1[[#This Row],[Column1]]-42)</f>
        <v>434</v>
      </c>
      <c r="C376">
        <f>MINUTE(Table1[[#This Row],[Time]])</f>
        <v>59</v>
      </c>
      <c r="D376" s="1">
        <v>0.45789490740740746</v>
      </c>
      <c r="E376" t="s">
        <v>9</v>
      </c>
      <c r="F376">
        <v>-123</v>
      </c>
      <c r="G376">
        <v>0.8</v>
      </c>
      <c r="K376">
        <f>400+2*(Table2[[#This Row],[Column1]]-13)</f>
        <v>434</v>
      </c>
      <c r="L376">
        <f>MINUTE(Table2[[#This Row],[Time]])</f>
        <v>30</v>
      </c>
      <c r="M376" s="1">
        <v>0.68776120370370375</v>
      </c>
      <c r="N376" t="s">
        <v>9</v>
      </c>
      <c r="O376" t="s">
        <v>12</v>
      </c>
      <c r="P376">
        <f t="shared" si="53"/>
        <v>-123</v>
      </c>
      <c r="Q376">
        <v>1</v>
      </c>
    </row>
    <row r="377" spans="2:17" x14ac:dyDescent="0.25">
      <c r="B377">
        <f>400+2*(Table1[[#This Row],[Column1]]-42)</f>
        <v>434</v>
      </c>
      <c r="C377">
        <f>MINUTE(Table1[[#This Row],[Time]])</f>
        <v>59</v>
      </c>
      <c r="D377" s="1">
        <v>0.4579273148148148</v>
      </c>
      <c r="E377" t="s">
        <v>9</v>
      </c>
      <c r="F377">
        <v>-123</v>
      </c>
      <c r="G377">
        <v>1</v>
      </c>
      <c r="K377">
        <f>400+2*(Table2[[#This Row],[Column1]]-13)</f>
        <v>434</v>
      </c>
      <c r="L377">
        <f>MINUTE(Table2[[#This Row],[Time]])</f>
        <v>30</v>
      </c>
      <c r="M377" s="1">
        <v>0.687793599537037</v>
      </c>
      <c r="N377" t="s">
        <v>9</v>
      </c>
      <c r="O377" t="s">
        <v>12</v>
      </c>
      <c r="P377">
        <f t="shared" si="53"/>
        <v>-123</v>
      </c>
      <c r="Q377">
        <v>0.8</v>
      </c>
    </row>
    <row r="378" spans="2:17" x14ac:dyDescent="0.25">
      <c r="B378">
        <f>400+2*(Table1[[#This Row],[Column1]]-42)</f>
        <v>434</v>
      </c>
      <c r="C378">
        <f>MINUTE(Table1[[#This Row],[Time]])</f>
        <v>59</v>
      </c>
      <c r="D378" s="1">
        <v>0.45795969907407408</v>
      </c>
      <c r="E378" t="s">
        <v>9</v>
      </c>
      <c r="F378">
        <v>-123</v>
      </c>
      <c r="G378">
        <v>1</v>
      </c>
      <c r="K378">
        <f>400+2*(Table2[[#This Row],[Column1]]-13)</f>
        <v>434</v>
      </c>
      <c r="L378">
        <f>MINUTE(Table2[[#This Row],[Time]])</f>
        <v>30</v>
      </c>
      <c r="M378" s="1">
        <v>0.68782598379629634</v>
      </c>
      <c r="N378" t="s">
        <v>27</v>
      </c>
      <c r="O378" t="str">
        <f>O377</f>
        <v>-123.0,</v>
      </c>
      <c r="P378">
        <f>P377-0.5</f>
        <v>-123.5</v>
      </c>
      <c r="Q378">
        <f>Q377-0.5</f>
        <v>0.30000000000000004</v>
      </c>
    </row>
    <row r="379" spans="2:17" x14ac:dyDescent="0.25">
      <c r="B379">
        <f>400+2*(Table1[[#This Row],[Column1]]-42)</f>
        <v>434</v>
      </c>
      <c r="C379">
        <f>MINUTE(Table1[[#This Row],[Time]])</f>
        <v>59</v>
      </c>
      <c r="D379" s="1">
        <v>0.45799209490740739</v>
      </c>
      <c r="E379" t="s">
        <v>9</v>
      </c>
      <c r="F379">
        <v>-122</v>
      </c>
      <c r="G379">
        <v>0.8</v>
      </c>
      <c r="K379">
        <f>400+2*(Table2[[#This Row],[Column1]]-13)</f>
        <v>434</v>
      </c>
      <c r="L379">
        <f>MINUTE(Table2[[#This Row],[Time]])</f>
        <v>30</v>
      </c>
      <c r="M379" s="1">
        <v>0.68785839120370362</v>
      </c>
      <c r="N379" t="s">
        <v>9</v>
      </c>
      <c r="O379" t="s">
        <v>12</v>
      </c>
      <c r="P379">
        <f t="shared" si="53"/>
        <v>-123</v>
      </c>
      <c r="Q379">
        <v>0.8</v>
      </c>
    </row>
    <row r="380" spans="2:17" x14ac:dyDescent="0.25">
      <c r="B380">
        <f>400+2*(Table1[[#This Row],[Column1]]-42)</f>
        <v>434</v>
      </c>
      <c r="C380">
        <f>MINUTE(Table1[[#This Row],[Time]])</f>
        <v>59</v>
      </c>
      <c r="D380" s="1">
        <v>0.45802449074074075</v>
      </c>
      <c r="E380" t="s">
        <v>27</v>
      </c>
      <c r="F380">
        <f>F379-0.5</f>
        <v>-122.5</v>
      </c>
      <c r="G380">
        <f>G379-0.5</f>
        <v>0.30000000000000004</v>
      </c>
      <c r="K380">
        <f>400+2*(Table2[[#This Row],[Column1]]-13)</f>
        <v>434</v>
      </c>
      <c r="L380">
        <f>MINUTE(Table2[[#This Row],[Time]])</f>
        <v>30</v>
      </c>
      <c r="M380" s="1">
        <v>0.6878907870370371</v>
      </c>
      <c r="N380" t="s">
        <v>9</v>
      </c>
      <c r="O380" t="s">
        <v>12</v>
      </c>
      <c r="P380">
        <f t="shared" si="53"/>
        <v>-123</v>
      </c>
      <c r="Q380">
        <v>1</v>
      </c>
    </row>
    <row r="381" spans="2:17" x14ac:dyDescent="0.25">
      <c r="B381">
        <f>400+2*(Table1[[#This Row],[Column1]]-42)</f>
        <v>434</v>
      </c>
      <c r="C381">
        <f>MINUTE(Table1[[#This Row],[Time]])</f>
        <v>59</v>
      </c>
      <c r="D381" s="1">
        <v>0.45805689814814815</v>
      </c>
      <c r="E381" t="s">
        <v>9</v>
      </c>
      <c r="F381">
        <v>-123</v>
      </c>
      <c r="G381">
        <v>0.5</v>
      </c>
      <c r="K381">
        <f>400+2*(Table2[[#This Row],[Column1]]-13)</f>
        <v>434</v>
      </c>
      <c r="L381">
        <f>MINUTE(Table2[[#This Row],[Time]])</f>
        <v>30</v>
      </c>
      <c r="M381" s="1">
        <v>0.68792318287037035</v>
      </c>
      <c r="N381" t="s">
        <v>9</v>
      </c>
      <c r="O381" t="s">
        <v>12</v>
      </c>
      <c r="P381">
        <f t="shared" si="53"/>
        <v>-123</v>
      </c>
      <c r="Q381">
        <v>1</v>
      </c>
    </row>
    <row r="382" spans="2:17" x14ac:dyDescent="0.25">
      <c r="B382">
        <f>400+2*(Table1[[#This Row],[Column1]]-42)</f>
        <v>434</v>
      </c>
      <c r="C382">
        <f>MINUTE(Table1[[#This Row],[Time]])</f>
        <v>59</v>
      </c>
      <c r="D382" s="1">
        <v>0.45808929398148152</v>
      </c>
      <c r="E382" t="s">
        <v>27</v>
      </c>
      <c r="F382">
        <f>F381-0.5</f>
        <v>-123.5</v>
      </c>
      <c r="G382">
        <f>G381-0.5</f>
        <v>0</v>
      </c>
      <c r="K382">
        <f>400+2*(Table2[[#This Row],[Column1]]-13)</f>
        <v>434</v>
      </c>
      <c r="L382">
        <f>MINUTE(Table2[[#This Row],[Time]])</f>
        <v>30</v>
      </c>
      <c r="M382" s="1">
        <v>0.68795557870370372</v>
      </c>
      <c r="N382" t="s">
        <v>9</v>
      </c>
      <c r="O382" t="s">
        <v>11</v>
      </c>
      <c r="P382">
        <f t="shared" si="53"/>
        <v>-122</v>
      </c>
      <c r="Q382">
        <v>1.3</v>
      </c>
    </row>
    <row r="383" spans="2:17" x14ac:dyDescent="0.25">
      <c r="B383">
        <f>400+2*(Table1[[#This Row],[Column1]]-42)</f>
        <v>434</v>
      </c>
      <c r="C383">
        <f>MINUTE(Table1[[#This Row],[Time]])</f>
        <v>59</v>
      </c>
      <c r="D383" s="1">
        <v>0.45812168981481483</v>
      </c>
      <c r="E383" t="s">
        <v>9</v>
      </c>
      <c r="F383">
        <v>-123</v>
      </c>
      <c r="G383">
        <v>0.8</v>
      </c>
      <c r="K383">
        <f>400+2*(Table2[[#This Row],[Column1]]-13)</f>
        <v>434</v>
      </c>
      <c r="L383">
        <f>MINUTE(Table2[[#This Row],[Time]])</f>
        <v>30</v>
      </c>
      <c r="M383" s="1">
        <v>0.68798797453703708</v>
      </c>
      <c r="N383" t="s">
        <v>9</v>
      </c>
      <c r="O383" t="s">
        <v>12</v>
      </c>
      <c r="P383">
        <f t="shared" si="53"/>
        <v>-123</v>
      </c>
      <c r="Q383">
        <v>0.5</v>
      </c>
    </row>
    <row r="384" spans="2:17" x14ac:dyDescent="0.25">
      <c r="B384">
        <f>400+2*(Table1[[#This Row],[Column1]]-42)</f>
        <v>434</v>
      </c>
      <c r="C384">
        <f>MINUTE(Table1[[#This Row],[Time]])</f>
        <v>59</v>
      </c>
      <c r="D384" s="1">
        <v>0.4581540740740741</v>
      </c>
      <c r="E384" t="s">
        <v>9</v>
      </c>
      <c r="F384">
        <v>-123</v>
      </c>
      <c r="G384">
        <v>0.8</v>
      </c>
      <c r="K384">
        <f>400+2*(Table2[[#This Row],[Column1]]-13)</f>
        <v>434</v>
      </c>
      <c r="L384">
        <f>MINUTE(Table2[[#This Row],[Time]])</f>
        <v>30</v>
      </c>
      <c r="M384" s="1">
        <v>0.68802037037037034</v>
      </c>
      <c r="N384" t="s">
        <v>9</v>
      </c>
      <c r="O384" t="s">
        <v>12</v>
      </c>
      <c r="P384">
        <f t="shared" si="53"/>
        <v>-123</v>
      </c>
      <c r="Q384">
        <v>0.8</v>
      </c>
    </row>
    <row r="385" spans="2:17" x14ac:dyDescent="0.25">
      <c r="B385">
        <f>400+2*(Table1[[#This Row],[Column1]]-42)</f>
        <v>434</v>
      </c>
      <c r="C385">
        <f>MINUTE(Table1[[#This Row],[Time]])</f>
        <v>59</v>
      </c>
      <c r="D385" s="1">
        <v>0.45818645833333332</v>
      </c>
      <c r="E385" t="s">
        <v>9</v>
      </c>
      <c r="F385">
        <v>-123</v>
      </c>
      <c r="G385">
        <v>0.8</v>
      </c>
      <c r="K385">
        <f>400+2*(Table2[[#This Row],[Column1]]-13)</f>
        <v>434</v>
      </c>
      <c r="L385">
        <f>MINUTE(Table2[[#This Row],[Time]])</f>
        <v>30</v>
      </c>
      <c r="M385" s="1">
        <v>0.6880527662037037</v>
      </c>
      <c r="N385" t="s">
        <v>9</v>
      </c>
      <c r="O385" t="s">
        <v>12</v>
      </c>
      <c r="P385">
        <f t="shared" si="53"/>
        <v>-123</v>
      </c>
      <c r="Q385">
        <v>0.8</v>
      </c>
    </row>
    <row r="386" spans="2:17" x14ac:dyDescent="0.25">
      <c r="B386">
        <f>400+2*(Table1[[#This Row],[Column1]]-42)</f>
        <v>434</v>
      </c>
      <c r="C386">
        <f>MINUTE(Table1[[#This Row],[Time]])</f>
        <v>59</v>
      </c>
      <c r="D386" s="1">
        <v>0.45821887731481475</v>
      </c>
      <c r="E386" t="s">
        <v>9</v>
      </c>
      <c r="F386">
        <v>-123</v>
      </c>
      <c r="G386">
        <v>1.3</v>
      </c>
      <c r="K386">
        <f>400+2*(Table2[[#This Row],[Column1]]-13)</f>
        <v>434</v>
      </c>
      <c r="L386">
        <f>MINUTE(Table2[[#This Row],[Time]])</f>
        <v>30</v>
      </c>
      <c r="M386" s="1">
        <v>0.68808516203703696</v>
      </c>
      <c r="N386" t="s">
        <v>9</v>
      </c>
      <c r="O386" t="s">
        <v>12</v>
      </c>
      <c r="P386">
        <f t="shared" si="53"/>
        <v>-123</v>
      </c>
      <c r="Q386">
        <v>0.5</v>
      </c>
    </row>
    <row r="387" spans="2:17" x14ac:dyDescent="0.25">
      <c r="B387">
        <f>400+2*(Table1[[#This Row],[Column1]]-42)</f>
        <v>434</v>
      </c>
      <c r="C387">
        <f>MINUTE(Table1[[#This Row],[Time]])</f>
        <v>59</v>
      </c>
      <c r="D387" s="1">
        <v>0.45825126157407409</v>
      </c>
      <c r="E387" t="s">
        <v>27</v>
      </c>
      <c r="F387">
        <f>F386-0.5</f>
        <v>-123.5</v>
      </c>
      <c r="G387">
        <f>G386-0.5</f>
        <v>0.8</v>
      </c>
      <c r="K387">
        <f>400+2*(Table2[[#This Row],[Column1]]-13)</f>
        <v>434</v>
      </c>
      <c r="L387">
        <f>MINUTE(Table2[[#This Row],[Time]])</f>
        <v>30</v>
      </c>
      <c r="M387" s="1">
        <v>0.68811755787037043</v>
      </c>
      <c r="N387" t="s">
        <v>9</v>
      </c>
      <c r="O387" t="s">
        <v>12</v>
      </c>
      <c r="P387">
        <f t="shared" si="53"/>
        <v>-123</v>
      </c>
      <c r="Q387">
        <v>1.3</v>
      </c>
    </row>
    <row r="388" spans="2:17" x14ac:dyDescent="0.25">
      <c r="B388">
        <f>400+2*(Table1[[#This Row],[Column1]]-42)</f>
        <v>434</v>
      </c>
      <c r="C388">
        <f>MINUTE(Table1[[#This Row],[Time]])</f>
        <v>59</v>
      </c>
      <c r="D388" s="1">
        <v>0.4582836574074074</v>
      </c>
      <c r="E388" t="s">
        <v>9</v>
      </c>
      <c r="F388">
        <v>-123</v>
      </c>
      <c r="G388">
        <v>0.5</v>
      </c>
      <c r="K388">
        <f>400+2*(Table2[[#This Row],[Column1]]-13)</f>
        <v>434</v>
      </c>
      <c r="L388">
        <f>MINUTE(Table2[[#This Row],[Time]])</f>
        <v>30</v>
      </c>
      <c r="M388" s="1">
        <v>0.68814995370370369</v>
      </c>
      <c r="N388" t="s">
        <v>9</v>
      </c>
      <c r="O388" t="s">
        <v>12</v>
      </c>
      <c r="P388">
        <f t="shared" ref="P388:P451" si="70">VALUE(LEFT(O388,LEN(O388)-1))</f>
        <v>-123</v>
      </c>
      <c r="Q388">
        <v>1</v>
      </c>
    </row>
    <row r="389" spans="2:17" x14ac:dyDescent="0.25">
      <c r="B389">
        <f>400+2*(Table1[[#This Row],[Column1]]-42)</f>
        <v>434</v>
      </c>
      <c r="C389">
        <f>MINUTE(Table1[[#This Row],[Time]])</f>
        <v>59</v>
      </c>
      <c r="D389" s="1">
        <v>0.45831606481481485</v>
      </c>
      <c r="E389" t="s">
        <v>9</v>
      </c>
      <c r="F389">
        <v>-123</v>
      </c>
      <c r="G389">
        <v>0.5</v>
      </c>
      <c r="K389">
        <f>400+2*(Table2[[#This Row],[Column1]]-13)</f>
        <v>434</v>
      </c>
      <c r="L389">
        <f>MINUTE(Table2[[#This Row],[Time]])</f>
        <v>30</v>
      </c>
      <c r="M389" s="1">
        <v>0.68818234953703705</v>
      </c>
      <c r="N389" t="s">
        <v>9</v>
      </c>
      <c r="O389" t="s">
        <v>12</v>
      </c>
      <c r="P389">
        <f t="shared" si="70"/>
        <v>-123</v>
      </c>
      <c r="Q389">
        <v>1</v>
      </c>
    </row>
    <row r="390" spans="2:17" x14ac:dyDescent="0.25">
      <c r="B390">
        <f>436+2*(Table1[[#This Row],[Column1]])</f>
        <v>436</v>
      </c>
      <c r="C390">
        <f>MINUTE(Table1[[#This Row],[Time]])</f>
        <v>0</v>
      </c>
      <c r="D390" s="1">
        <v>0.45834844907407402</v>
      </c>
      <c r="E390" t="s">
        <v>9</v>
      </c>
      <c r="F390">
        <v>-123</v>
      </c>
      <c r="G390">
        <v>1</v>
      </c>
      <c r="K390">
        <f>400+2*(Table2[[#This Row],[Column1]]-13)</f>
        <v>436</v>
      </c>
      <c r="L390">
        <f>MINUTE(Table2[[#This Row],[Time]])</f>
        <v>31</v>
      </c>
      <c r="M390" s="1">
        <v>0.68821474537037042</v>
      </c>
      <c r="N390" t="s">
        <v>27</v>
      </c>
      <c r="O390" t="str">
        <f>O389</f>
        <v>-123.0,</v>
      </c>
      <c r="P390">
        <f>P389-0.5</f>
        <v>-123.5</v>
      </c>
      <c r="Q390">
        <f>Q389-0.5</f>
        <v>0.5</v>
      </c>
    </row>
    <row r="391" spans="2:17" x14ac:dyDescent="0.25">
      <c r="B391">
        <f>436+2*(Table1[[#This Row],[Column1]])</f>
        <v>436</v>
      </c>
      <c r="C391">
        <f>MINUTE(Table1[[#This Row],[Time]])</f>
        <v>0</v>
      </c>
      <c r="D391" s="1">
        <v>0.45838084490740744</v>
      </c>
      <c r="E391" t="s">
        <v>13</v>
      </c>
      <c r="F391">
        <f t="shared" ref="F391:F392" si="71">F390-0.5</f>
        <v>-123.5</v>
      </c>
      <c r="G391">
        <f t="shared" ref="G391:G392" si="72">G390-0.5</f>
        <v>0.5</v>
      </c>
      <c r="K391">
        <f>400+2*(Table2[[#This Row],[Column1]]-13)</f>
        <v>436</v>
      </c>
      <c r="L391">
        <f>MINUTE(Table2[[#This Row],[Time]])</f>
        <v>31</v>
      </c>
      <c r="M391" s="1">
        <v>0.68824712962962964</v>
      </c>
      <c r="N391" t="s">
        <v>9</v>
      </c>
      <c r="O391" t="s">
        <v>19</v>
      </c>
      <c r="P391">
        <f t="shared" si="70"/>
        <v>-124</v>
      </c>
      <c r="Q391">
        <v>-1.3</v>
      </c>
    </row>
    <row r="392" spans="2:17" x14ac:dyDescent="0.25">
      <c r="B392">
        <f>436+2*(Table1[[#This Row],[Column1]])</f>
        <v>436</v>
      </c>
      <c r="C392">
        <f>MINUTE(Table1[[#This Row],[Time]])</f>
        <v>0</v>
      </c>
      <c r="D392" s="1">
        <v>0.45841322916666666</v>
      </c>
      <c r="E392" t="s">
        <v>27</v>
      </c>
      <c r="F392">
        <f t="shared" si="71"/>
        <v>-124</v>
      </c>
      <c r="G392">
        <f t="shared" si="72"/>
        <v>0</v>
      </c>
      <c r="K392">
        <f>400+2*(Table2[[#This Row],[Column1]]-13)</f>
        <v>436</v>
      </c>
      <c r="L392">
        <f>MINUTE(Table2[[#This Row],[Time]])</f>
        <v>31</v>
      </c>
      <c r="M392" s="1">
        <v>0.68827953703703704</v>
      </c>
      <c r="N392" t="s">
        <v>9</v>
      </c>
      <c r="O392" t="s">
        <v>19</v>
      </c>
      <c r="P392">
        <f t="shared" si="70"/>
        <v>-124</v>
      </c>
      <c r="Q392">
        <v>-1.3</v>
      </c>
    </row>
    <row r="393" spans="2:17" x14ac:dyDescent="0.25">
      <c r="B393">
        <f>436+2*(Table1[[#This Row],[Column1]])</f>
        <v>436</v>
      </c>
      <c r="C393">
        <f>MINUTE(Table1[[#This Row],[Time]])</f>
        <v>0</v>
      </c>
      <c r="D393" s="1">
        <v>0.45844562499999997</v>
      </c>
      <c r="E393" t="s">
        <v>9</v>
      </c>
      <c r="F393">
        <v>-124</v>
      </c>
      <c r="G393">
        <v>-1.8</v>
      </c>
      <c r="K393">
        <f>400+2*(Table2[[#This Row],[Column1]]-13)</f>
        <v>436</v>
      </c>
      <c r="L393">
        <f>MINUTE(Table2[[#This Row],[Time]])</f>
        <v>31</v>
      </c>
      <c r="M393" s="1">
        <v>0.6883119328703704</v>
      </c>
      <c r="N393" t="s">
        <v>9</v>
      </c>
      <c r="O393" t="s">
        <v>19</v>
      </c>
      <c r="P393">
        <f t="shared" si="70"/>
        <v>-124</v>
      </c>
      <c r="Q393">
        <v>-1.3</v>
      </c>
    </row>
    <row r="394" spans="2:17" x14ac:dyDescent="0.25">
      <c r="B394">
        <f>436+2*(Table1[[#This Row],[Column1]])</f>
        <v>436</v>
      </c>
      <c r="C394">
        <f>MINUTE(Table1[[#This Row],[Time]])</f>
        <v>0</v>
      </c>
      <c r="D394" s="1">
        <v>0.45847803240740742</v>
      </c>
      <c r="E394" t="s">
        <v>27</v>
      </c>
      <c r="F394">
        <f>F393-0.5</f>
        <v>-124.5</v>
      </c>
      <c r="G394">
        <f>G393-0.5</f>
        <v>-2.2999999999999998</v>
      </c>
      <c r="K394">
        <f>400+2*(Table2[[#This Row],[Column1]]-13)</f>
        <v>436</v>
      </c>
      <c r="L394">
        <f>MINUTE(Table2[[#This Row],[Time]])</f>
        <v>31</v>
      </c>
      <c r="M394" s="1">
        <v>0.68834431712962962</v>
      </c>
      <c r="N394" t="s">
        <v>27</v>
      </c>
      <c r="O394" t="str">
        <f>O393</f>
        <v>-124.0,</v>
      </c>
      <c r="P394">
        <f>P393-0.5</f>
        <v>-124.5</v>
      </c>
      <c r="Q394">
        <f>Q393-0.5</f>
        <v>-1.8</v>
      </c>
    </row>
    <row r="395" spans="2:17" x14ac:dyDescent="0.25">
      <c r="B395">
        <f>436+2*(Table1[[#This Row],[Column1]])</f>
        <v>436</v>
      </c>
      <c r="C395">
        <f>MINUTE(Table1[[#This Row],[Time]])</f>
        <v>0</v>
      </c>
      <c r="D395" s="1">
        <v>0.45851042824074073</v>
      </c>
      <c r="E395" t="s">
        <v>9</v>
      </c>
      <c r="F395">
        <v>-123</v>
      </c>
      <c r="G395">
        <v>0.8</v>
      </c>
      <c r="K395">
        <f>400+2*(Table2[[#This Row],[Column1]]-13)</f>
        <v>436</v>
      </c>
      <c r="L395">
        <f>MINUTE(Table2[[#This Row],[Time]])</f>
        <v>31</v>
      </c>
      <c r="M395" s="1">
        <v>0.68837672453703702</v>
      </c>
      <c r="N395" t="s">
        <v>9</v>
      </c>
      <c r="O395" t="s">
        <v>12</v>
      </c>
      <c r="P395">
        <f t="shared" si="70"/>
        <v>-123</v>
      </c>
      <c r="Q395">
        <v>1</v>
      </c>
    </row>
    <row r="396" spans="2:17" x14ac:dyDescent="0.25">
      <c r="B396">
        <f>436+2*(Table1[[#This Row],[Column1]])</f>
        <v>436</v>
      </c>
      <c r="C396">
        <f>MINUTE(Table1[[#This Row],[Time]])</f>
        <v>0</v>
      </c>
      <c r="D396" s="1">
        <v>0.45854283564814818</v>
      </c>
      <c r="E396" t="s">
        <v>9</v>
      </c>
      <c r="F396">
        <v>-123</v>
      </c>
      <c r="G396">
        <v>0.8</v>
      </c>
      <c r="K396">
        <f>400+2*(Table2[[#This Row],[Column1]]-13)</f>
        <v>436</v>
      </c>
      <c r="L396">
        <f>MINUTE(Table2[[#This Row],[Time]])</f>
        <v>31</v>
      </c>
      <c r="M396" s="1">
        <v>0.68840912037037039</v>
      </c>
      <c r="N396" t="s">
        <v>9</v>
      </c>
      <c r="O396" t="s">
        <v>12</v>
      </c>
      <c r="P396">
        <f t="shared" si="70"/>
        <v>-123</v>
      </c>
      <c r="Q396">
        <v>0.5</v>
      </c>
    </row>
    <row r="397" spans="2:17" x14ac:dyDescent="0.25">
      <c r="B397">
        <f>436+2*(Table1[[#This Row],[Column1]])</f>
        <v>436</v>
      </c>
      <c r="C397">
        <f>MINUTE(Table1[[#This Row],[Time]])</f>
        <v>0</v>
      </c>
      <c r="D397" s="1">
        <v>0.45857520833333337</v>
      </c>
      <c r="E397" t="s">
        <v>9</v>
      </c>
      <c r="F397">
        <v>-122</v>
      </c>
      <c r="G397">
        <v>1.3</v>
      </c>
      <c r="K397">
        <f>400+2*(Table2[[#This Row],[Column1]]-13)</f>
        <v>436</v>
      </c>
      <c r="L397">
        <f>MINUTE(Table2[[#This Row],[Time]])</f>
        <v>31</v>
      </c>
      <c r="M397" s="1">
        <v>0.68844151620370375</v>
      </c>
      <c r="N397" t="s">
        <v>9</v>
      </c>
      <c r="O397" t="s">
        <v>11</v>
      </c>
      <c r="P397">
        <f t="shared" si="70"/>
        <v>-122</v>
      </c>
      <c r="Q397">
        <v>0.8</v>
      </c>
    </row>
    <row r="398" spans="2:17" x14ac:dyDescent="0.25">
      <c r="B398">
        <f>436+2*(Table1[[#This Row],[Column1]])</f>
        <v>436</v>
      </c>
      <c r="C398">
        <f>MINUTE(Table1[[#This Row],[Time]])</f>
        <v>0</v>
      </c>
      <c r="D398" s="1">
        <v>0.45860760416666668</v>
      </c>
      <c r="E398" t="s">
        <v>9</v>
      </c>
      <c r="F398">
        <v>-123</v>
      </c>
      <c r="G398">
        <v>0.5</v>
      </c>
      <c r="K398">
        <f>400+2*(Table2[[#This Row],[Column1]]-13)</f>
        <v>436</v>
      </c>
      <c r="L398">
        <f>MINUTE(Table2[[#This Row],[Time]])</f>
        <v>31</v>
      </c>
      <c r="M398" s="1">
        <v>0.68847390046296297</v>
      </c>
      <c r="N398" t="s">
        <v>9</v>
      </c>
      <c r="O398" t="s">
        <v>12</v>
      </c>
      <c r="P398">
        <f t="shared" si="70"/>
        <v>-123</v>
      </c>
      <c r="Q398">
        <v>0.8</v>
      </c>
    </row>
    <row r="399" spans="2:17" x14ac:dyDescent="0.25">
      <c r="B399">
        <f>436+2*(Table1[[#This Row],[Column1]])</f>
        <v>436</v>
      </c>
      <c r="C399">
        <f>MINUTE(Table1[[#This Row],[Time]])</f>
        <v>0</v>
      </c>
      <c r="D399" s="1">
        <v>0.45864001157407414</v>
      </c>
      <c r="E399" t="s">
        <v>27</v>
      </c>
      <c r="F399">
        <f>F398-0.5</f>
        <v>-123.5</v>
      </c>
      <c r="G399">
        <f>G398-0.5</f>
        <v>0</v>
      </c>
      <c r="K399">
        <f>400+2*(Table2[[#This Row],[Column1]]-13)</f>
        <v>436</v>
      </c>
      <c r="L399">
        <f>MINUTE(Table2[[#This Row],[Time]])</f>
        <v>31</v>
      </c>
      <c r="M399" s="1">
        <v>0.68850630787037037</v>
      </c>
      <c r="N399" t="s">
        <v>9</v>
      </c>
      <c r="O399" t="s">
        <v>11</v>
      </c>
      <c r="P399">
        <f t="shared" si="70"/>
        <v>-122</v>
      </c>
      <c r="Q399">
        <v>1.3</v>
      </c>
    </row>
    <row r="400" spans="2:17" x14ac:dyDescent="0.25">
      <c r="B400">
        <f>436+2*(Table1[[#This Row],[Column1]])</f>
        <v>436</v>
      </c>
      <c r="C400">
        <f>MINUTE(Table1[[#This Row],[Time]])</f>
        <v>0</v>
      </c>
      <c r="D400" s="1">
        <v>0.45867240740740745</v>
      </c>
      <c r="E400" t="s">
        <v>9</v>
      </c>
      <c r="F400">
        <v>-123</v>
      </c>
      <c r="G400">
        <v>0.3</v>
      </c>
      <c r="K400">
        <f>400+2*(Table2[[#This Row],[Column1]]-13)</f>
        <v>436</v>
      </c>
      <c r="L400">
        <f>MINUTE(Table2[[#This Row],[Time]])</f>
        <v>31</v>
      </c>
      <c r="M400" s="1">
        <v>0.68853870370370374</v>
      </c>
      <c r="N400" t="s">
        <v>27</v>
      </c>
      <c r="O400" t="str">
        <f t="shared" ref="O400:O401" si="73">O399</f>
        <v>-122.0,</v>
      </c>
      <c r="P400">
        <f t="shared" ref="P400:P401" si="74">P399-0.5</f>
        <v>-122.5</v>
      </c>
      <c r="Q400">
        <f t="shared" ref="Q400:Q401" si="75">Q399-0.5</f>
        <v>0.8</v>
      </c>
    </row>
    <row r="401" spans="2:17" x14ac:dyDescent="0.25">
      <c r="B401">
        <f>436+2*(Table1[[#This Row],[Column1]])</f>
        <v>436</v>
      </c>
      <c r="C401">
        <f>MINUTE(Table1[[#This Row],[Time]])</f>
        <v>0</v>
      </c>
      <c r="D401" s="1">
        <v>0.45870479166666661</v>
      </c>
      <c r="E401" t="s">
        <v>9</v>
      </c>
      <c r="F401">
        <v>-123</v>
      </c>
      <c r="G401">
        <v>0.5</v>
      </c>
      <c r="K401">
        <f>400+2*(Table2[[#This Row],[Column1]]-13)</f>
        <v>436</v>
      </c>
      <c r="L401">
        <f>MINUTE(Table2[[#This Row],[Time]])</f>
        <v>31</v>
      </c>
      <c r="M401" s="1">
        <v>0.68857109953703699</v>
      </c>
      <c r="N401" t="s">
        <v>27</v>
      </c>
      <c r="O401" t="str">
        <f t="shared" si="73"/>
        <v>-122.0,</v>
      </c>
      <c r="P401">
        <f t="shared" si="74"/>
        <v>-123</v>
      </c>
      <c r="Q401">
        <f t="shared" si="75"/>
        <v>0.30000000000000004</v>
      </c>
    </row>
    <row r="402" spans="2:17" x14ac:dyDescent="0.25">
      <c r="B402">
        <f>436+2*(Table1[[#This Row],[Column1]])</f>
        <v>436</v>
      </c>
      <c r="C402">
        <f>MINUTE(Table1[[#This Row],[Time]])</f>
        <v>0</v>
      </c>
      <c r="D402" s="1">
        <v>0.45873719907407406</v>
      </c>
      <c r="E402" t="s">
        <v>9</v>
      </c>
      <c r="F402">
        <v>-123</v>
      </c>
      <c r="G402">
        <v>0.8</v>
      </c>
      <c r="K402">
        <f>400+2*(Table2[[#This Row],[Column1]]-13)</f>
        <v>436</v>
      </c>
      <c r="L402">
        <f>MINUTE(Table2[[#This Row],[Time]])</f>
        <v>31</v>
      </c>
      <c r="M402" s="1">
        <v>0.68860349537037036</v>
      </c>
      <c r="N402" t="s">
        <v>9</v>
      </c>
      <c r="O402" t="s">
        <v>12</v>
      </c>
      <c r="P402">
        <f t="shared" si="70"/>
        <v>-123</v>
      </c>
      <c r="Q402">
        <v>1</v>
      </c>
    </row>
    <row r="403" spans="2:17" x14ac:dyDescent="0.25">
      <c r="B403">
        <f>436+2*(Table1[[#This Row],[Column1]])</f>
        <v>436</v>
      </c>
      <c r="C403">
        <f>MINUTE(Table1[[#This Row],[Time]])</f>
        <v>0</v>
      </c>
      <c r="D403" s="1">
        <v>0.45876959490740737</v>
      </c>
      <c r="E403" t="s">
        <v>9</v>
      </c>
      <c r="F403">
        <v>-123</v>
      </c>
      <c r="G403">
        <v>0.8</v>
      </c>
      <c r="K403">
        <f>400+2*(Table2[[#This Row],[Column1]]-13)</f>
        <v>436</v>
      </c>
      <c r="L403">
        <f>MINUTE(Table2[[#This Row],[Time]])</f>
        <v>31</v>
      </c>
      <c r="M403" s="1">
        <v>0.68863589120370372</v>
      </c>
      <c r="N403" t="s">
        <v>9</v>
      </c>
      <c r="O403" t="s">
        <v>12</v>
      </c>
      <c r="P403">
        <f t="shared" si="70"/>
        <v>-123</v>
      </c>
      <c r="Q403">
        <v>0.8</v>
      </c>
    </row>
    <row r="404" spans="2:17" x14ac:dyDescent="0.25">
      <c r="B404">
        <f>436+2*(Table1[[#This Row],[Column1]])</f>
        <v>436</v>
      </c>
      <c r="C404">
        <f>MINUTE(Table1[[#This Row],[Time]])</f>
        <v>0</v>
      </c>
      <c r="D404" s="1">
        <v>0.45880199074074074</v>
      </c>
      <c r="E404" t="s">
        <v>9</v>
      </c>
      <c r="F404">
        <v>-123</v>
      </c>
      <c r="G404">
        <v>1</v>
      </c>
      <c r="K404">
        <f>400+2*(Table2[[#This Row],[Column1]]-13)</f>
        <v>436</v>
      </c>
      <c r="L404">
        <f>MINUTE(Table2[[#This Row],[Time]])</f>
        <v>31</v>
      </c>
      <c r="M404" s="1">
        <v>0.68866827546296294</v>
      </c>
      <c r="N404" t="s">
        <v>9</v>
      </c>
      <c r="O404" t="s">
        <v>11</v>
      </c>
      <c r="P404">
        <f t="shared" si="70"/>
        <v>-122</v>
      </c>
      <c r="Q404">
        <v>0.8</v>
      </c>
    </row>
    <row r="405" spans="2:17" x14ac:dyDescent="0.25">
      <c r="B405">
        <f>436+2*(Table1[[#This Row],[Column1]])</f>
        <v>436</v>
      </c>
      <c r="C405">
        <f>MINUTE(Table1[[#This Row],[Time]])</f>
        <v>0</v>
      </c>
      <c r="D405" s="1">
        <v>0.45883438657407405</v>
      </c>
      <c r="E405" t="s">
        <v>9</v>
      </c>
      <c r="F405">
        <v>-123</v>
      </c>
      <c r="G405">
        <v>1</v>
      </c>
      <c r="K405">
        <f>400+2*(Table2[[#This Row],[Column1]]-13)</f>
        <v>436</v>
      </c>
      <c r="L405">
        <f>MINUTE(Table2[[#This Row],[Time]])</f>
        <v>31</v>
      </c>
      <c r="M405" s="1">
        <v>0.68870068287037034</v>
      </c>
      <c r="N405" t="s">
        <v>9</v>
      </c>
      <c r="O405" t="s">
        <v>12</v>
      </c>
      <c r="P405">
        <f t="shared" si="70"/>
        <v>-123</v>
      </c>
      <c r="Q405">
        <v>0.5</v>
      </c>
    </row>
    <row r="406" spans="2:17" x14ac:dyDescent="0.25">
      <c r="B406">
        <f>436+2*(Table1[[#This Row],[Column1]])</f>
        <v>436</v>
      </c>
      <c r="C406">
        <f>MINUTE(Table1[[#This Row],[Time]])</f>
        <v>0</v>
      </c>
      <c r="D406" s="1">
        <v>0.45886678240740736</v>
      </c>
      <c r="E406" t="s">
        <v>9</v>
      </c>
      <c r="F406">
        <v>-123</v>
      </c>
      <c r="G406">
        <v>0.8</v>
      </c>
      <c r="K406">
        <f>400+2*(Table2[[#This Row],[Column1]]-13)</f>
        <v>436</v>
      </c>
      <c r="L406">
        <f>MINUTE(Table2[[#This Row],[Time]])</f>
        <v>31</v>
      </c>
      <c r="M406" s="1">
        <v>0.6887330787037037</v>
      </c>
      <c r="N406" t="s">
        <v>9</v>
      </c>
      <c r="O406" t="s">
        <v>12</v>
      </c>
      <c r="P406">
        <f t="shared" si="70"/>
        <v>-123</v>
      </c>
      <c r="Q406">
        <v>1</v>
      </c>
    </row>
    <row r="407" spans="2:17" x14ac:dyDescent="0.25">
      <c r="B407">
        <f>436+2*(Table1[[#This Row],[Column1]])</f>
        <v>436</v>
      </c>
      <c r="C407">
        <f>MINUTE(Table1[[#This Row],[Time]])</f>
        <v>0</v>
      </c>
      <c r="D407" s="1">
        <v>0.45889917824074078</v>
      </c>
      <c r="E407" t="s">
        <v>9</v>
      </c>
      <c r="F407">
        <v>-123</v>
      </c>
      <c r="G407">
        <v>0.5</v>
      </c>
      <c r="K407">
        <f>400+2*(Table2[[#This Row],[Column1]]-13)</f>
        <v>436</v>
      </c>
      <c r="L407">
        <f>MINUTE(Table2[[#This Row],[Time]])</f>
        <v>31</v>
      </c>
      <c r="M407" s="1">
        <v>0.68876547453703707</v>
      </c>
      <c r="N407" t="s">
        <v>9</v>
      </c>
      <c r="O407" t="s">
        <v>12</v>
      </c>
      <c r="P407">
        <f t="shared" si="70"/>
        <v>-123</v>
      </c>
      <c r="Q407">
        <v>1</v>
      </c>
    </row>
    <row r="408" spans="2:17" x14ac:dyDescent="0.25">
      <c r="B408">
        <f>436+2*(Table1[[#This Row],[Column1]])</f>
        <v>436</v>
      </c>
      <c r="C408">
        <f>MINUTE(Table1[[#This Row],[Time]])</f>
        <v>0</v>
      </c>
      <c r="D408" s="1">
        <v>0.45893157407407409</v>
      </c>
      <c r="E408" t="s">
        <v>27</v>
      </c>
      <c r="F408">
        <f t="shared" ref="F408:F409" si="76">F407-0.5</f>
        <v>-123.5</v>
      </c>
      <c r="G408">
        <f t="shared" ref="G408:G409" si="77">G407-0.5</f>
        <v>0</v>
      </c>
      <c r="K408">
        <f>400+2*(Table2[[#This Row],[Column1]]-13)</f>
        <v>436</v>
      </c>
      <c r="L408">
        <f>MINUTE(Table2[[#This Row],[Time]])</f>
        <v>31</v>
      </c>
      <c r="M408" s="1">
        <v>0.68879787037037032</v>
      </c>
      <c r="N408" t="s">
        <v>9</v>
      </c>
      <c r="O408" t="s">
        <v>12</v>
      </c>
      <c r="P408">
        <f t="shared" si="70"/>
        <v>-123</v>
      </c>
      <c r="Q408">
        <v>1</v>
      </c>
    </row>
    <row r="409" spans="2:17" x14ac:dyDescent="0.25">
      <c r="B409">
        <f>436+2*(Table1[[#This Row],[Column1]])</f>
        <v>436</v>
      </c>
      <c r="C409">
        <f>MINUTE(Table1[[#This Row],[Time]])</f>
        <v>0</v>
      </c>
      <c r="D409" s="1">
        <v>0.4589639699074074</v>
      </c>
      <c r="E409" t="s">
        <v>27</v>
      </c>
      <c r="F409">
        <f t="shared" si="76"/>
        <v>-124</v>
      </c>
      <c r="G409">
        <f t="shared" si="77"/>
        <v>-0.5</v>
      </c>
      <c r="K409">
        <f>400+2*(Table2[[#This Row],[Column1]]-13)</f>
        <v>436</v>
      </c>
      <c r="L409">
        <f>MINUTE(Table2[[#This Row],[Time]])</f>
        <v>31</v>
      </c>
      <c r="M409" s="1">
        <v>0.68883026620370369</v>
      </c>
      <c r="N409" t="s">
        <v>9</v>
      </c>
      <c r="O409" t="s">
        <v>12</v>
      </c>
      <c r="P409">
        <f t="shared" si="70"/>
        <v>-123</v>
      </c>
      <c r="Q409">
        <v>0.8</v>
      </c>
    </row>
    <row r="410" spans="2:17" x14ac:dyDescent="0.25">
      <c r="B410">
        <f>436+2*(Table1[[#This Row],[Column1]])</f>
        <v>436</v>
      </c>
      <c r="C410">
        <f>MINUTE(Table1[[#This Row],[Time]])</f>
        <v>0</v>
      </c>
      <c r="D410" s="1">
        <v>0.45899636574074076</v>
      </c>
      <c r="E410" t="s">
        <v>9</v>
      </c>
      <c r="F410">
        <v>-123</v>
      </c>
      <c r="G410">
        <v>0.5</v>
      </c>
      <c r="K410">
        <f>400+2*(Table2[[#This Row],[Column1]]-13)</f>
        <v>436</v>
      </c>
      <c r="L410">
        <f>MINUTE(Table2[[#This Row],[Time]])</f>
        <v>31</v>
      </c>
      <c r="M410" s="1">
        <v>0.68886266203703705</v>
      </c>
      <c r="N410" t="s">
        <v>9</v>
      </c>
      <c r="O410" t="s">
        <v>12</v>
      </c>
      <c r="P410">
        <f t="shared" si="70"/>
        <v>-123</v>
      </c>
      <c r="Q410">
        <v>0.8</v>
      </c>
    </row>
    <row r="411" spans="2:17" x14ac:dyDescent="0.25">
      <c r="B411">
        <f>436+2*(Table1[[#This Row],[Column1]])</f>
        <v>438</v>
      </c>
      <c r="C411">
        <f>MINUTE(Table1[[#This Row],[Time]])</f>
        <v>1</v>
      </c>
      <c r="D411" s="1">
        <v>0.45902876157407407</v>
      </c>
      <c r="E411" t="s">
        <v>9</v>
      </c>
      <c r="F411">
        <v>-123</v>
      </c>
      <c r="G411">
        <v>0.5</v>
      </c>
      <c r="K411">
        <f>400+2*(Table2[[#This Row],[Column1]]-13)</f>
        <v>438</v>
      </c>
      <c r="L411">
        <f>MINUTE(Table2[[#This Row],[Time]])</f>
        <v>32</v>
      </c>
      <c r="M411" s="1">
        <v>0.68889505787037042</v>
      </c>
      <c r="N411" t="s">
        <v>9</v>
      </c>
      <c r="O411" t="s">
        <v>12</v>
      </c>
      <c r="P411">
        <f t="shared" si="70"/>
        <v>-123</v>
      </c>
      <c r="Q411">
        <v>1</v>
      </c>
    </row>
    <row r="412" spans="2:17" x14ac:dyDescent="0.25">
      <c r="B412">
        <f>436+2*(Table1[[#This Row],[Column1]])</f>
        <v>438</v>
      </c>
      <c r="C412">
        <f>MINUTE(Table1[[#This Row],[Time]])</f>
        <v>1</v>
      </c>
      <c r="D412" s="1">
        <v>0.45906115740740738</v>
      </c>
      <c r="E412" t="s">
        <v>27</v>
      </c>
      <c r="F412">
        <f>F411-0.5</f>
        <v>-123.5</v>
      </c>
      <c r="G412">
        <f>G411-0.5</f>
        <v>0</v>
      </c>
      <c r="K412">
        <f>400+2*(Table2[[#This Row],[Column1]]-13)</f>
        <v>438</v>
      </c>
      <c r="L412">
        <f>MINUTE(Table2[[#This Row],[Time]])</f>
        <v>32</v>
      </c>
      <c r="M412" s="1">
        <v>0.68892745370370367</v>
      </c>
      <c r="N412" t="s">
        <v>13</v>
      </c>
      <c r="O412" t="str">
        <f>O411</f>
        <v>-123.0,</v>
      </c>
      <c r="P412">
        <f>P411-0.5</f>
        <v>-123.5</v>
      </c>
      <c r="Q412">
        <f>Q411-0.5</f>
        <v>0.5</v>
      </c>
    </row>
    <row r="413" spans="2:17" x14ac:dyDescent="0.25">
      <c r="B413">
        <f>436+2*(Table1[[#This Row],[Column1]])</f>
        <v>438</v>
      </c>
      <c r="C413">
        <f>MINUTE(Table1[[#This Row],[Time]])</f>
        <v>1</v>
      </c>
      <c r="D413" s="1">
        <v>0.45909355324074069</v>
      </c>
      <c r="E413" t="s">
        <v>9</v>
      </c>
      <c r="F413">
        <v>-124</v>
      </c>
      <c r="G413">
        <v>-0.8</v>
      </c>
      <c r="K413">
        <f>400+2*(Table2[[#This Row],[Column1]]-13)</f>
        <v>438</v>
      </c>
      <c r="L413">
        <f>MINUTE(Table2[[#This Row],[Time]])</f>
        <v>32</v>
      </c>
      <c r="M413" s="1">
        <v>0.6889598379629629</v>
      </c>
      <c r="N413" t="s">
        <v>9</v>
      </c>
      <c r="O413" t="s">
        <v>19</v>
      </c>
      <c r="P413">
        <f t="shared" si="70"/>
        <v>-124</v>
      </c>
      <c r="Q413">
        <v>-0.8</v>
      </c>
    </row>
    <row r="414" spans="2:17" x14ac:dyDescent="0.25">
      <c r="B414">
        <f>436+2*(Table1[[#This Row],[Column1]])</f>
        <v>438</v>
      </c>
      <c r="C414">
        <f>MINUTE(Table1[[#This Row],[Time]])</f>
        <v>1</v>
      </c>
      <c r="D414" s="1">
        <v>0.45912594907407411</v>
      </c>
      <c r="E414" t="s">
        <v>27</v>
      </c>
      <c r="F414">
        <f>F413-0.5</f>
        <v>-124.5</v>
      </c>
      <c r="G414">
        <f>G413-0.5</f>
        <v>-1.3</v>
      </c>
      <c r="K414">
        <f>400+2*(Table2[[#This Row],[Column1]]-13)</f>
        <v>438</v>
      </c>
      <c r="L414">
        <f>MINUTE(Table2[[#This Row],[Time]])</f>
        <v>32</v>
      </c>
      <c r="M414" s="1">
        <v>0.6889922453703704</v>
      </c>
      <c r="N414" t="s">
        <v>9</v>
      </c>
      <c r="O414" t="s">
        <v>19</v>
      </c>
      <c r="P414">
        <f t="shared" si="70"/>
        <v>-124</v>
      </c>
      <c r="Q414">
        <v>-2</v>
      </c>
    </row>
    <row r="415" spans="2:17" x14ac:dyDescent="0.25">
      <c r="B415">
        <f>436+2*(Table1[[#This Row],[Column1]])</f>
        <v>438</v>
      </c>
      <c r="C415">
        <f>MINUTE(Table1[[#This Row],[Time]])</f>
        <v>1</v>
      </c>
      <c r="D415" s="1">
        <v>0.45915834490740742</v>
      </c>
      <c r="E415" t="s">
        <v>9</v>
      </c>
      <c r="F415">
        <v>-124</v>
      </c>
      <c r="G415">
        <v>-1.3</v>
      </c>
      <c r="K415">
        <f>400+2*(Table2[[#This Row],[Column1]]-13)</f>
        <v>438</v>
      </c>
      <c r="L415">
        <f>MINUTE(Table2[[#This Row],[Time]])</f>
        <v>32</v>
      </c>
      <c r="M415" s="1">
        <v>0.68902464120370366</v>
      </c>
      <c r="N415" t="s">
        <v>9</v>
      </c>
      <c r="O415" t="s">
        <v>19</v>
      </c>
      <c r="P415">
        <f t="shared" si="70"/>
        <v>-124</v>
      </c>
      <c r="Q415">
        <v>-1</v>
      </c>
    </row>
    <row r="416" spans="2:17" x14ac:dyDescent="0.25">
      <c r="B416">
        <f>436+2*(Table1[[#This Row],[Column1]])</f>
        <v>438</v>
      </c>
      <c r="C416">
        <f>MINUTE(Table1[[#This Row],[Time]])</f>
        <v>1</v>
      </c>
      <c r="D416" s="1">
        <v>0.45919074074074079</v>
      </c>
      <c r="E416" t="s">
        <v>13</v>
      </c>
      <c r="F416">
        <f>F415-0.5</f>
        <v>-124.5</v>
      </c>
      <c r="G416">
        <f>G415-0.5</f>
        <v>-1.8</v>
      </c>
      <c r="K416">
        <f>400+2*(Table2[[#This Row],[Column1]]-13)</f>
        <v>438</v>
      </c>
      <c r="L416">
        <f>MINUTE(Table2[[#This Row],[Time]])</f>
        <v>32</v>
      </c>
      <c r="M416" s="1">
        <v>0.68905703703703702</v>
      </c>
      <c r="N416" t="s">
        <v>13</v>
      </c>
      <c r="O416" t="str">
        <f>O415</f>
        <v>-124.0,</v>
      </c>
      <c r="P416">
        <f>P415-0.5</f>
        <v>-124.5</v>
      </c>
      <c r="Q416">
        <f>Q415-0.5</f>
        <v>-1.5</v>
      </c>
    </row>
    <row r="417" spans="2:17" x14ac:dyDescent="0.25">
      <c r="B417">
        <f>436+2*(Table1[[#This Row],[Column1]])</f>
        <v>438</v>
      </c>
      <c r="C417">
        <f>MINUTE(Table1[[#This Row],[Time]])</f>
        <v>1</v>
      </c>
      <c r="D417" s="1">
        <v>0.4592231365740741</v>
      </c>
      <c r="E417" t="s">
        <v>9</v>
      </c>
      <c r="F417">
        <v>-123</v>
      </c>
      <c r="G417">
        <v>1</v>
      </c>
      <c r="K417">
        <f>400+2*(Table2[[#This Row],[Column1]]-13)</f>
        <v>438</v>
      </c>
      <c r="L417">
        <f>MINUTE(Table2[[#This Row],[Time]])</f>
        <v>32</v>
      </c>
      <c r="M417" s="1">
        <v>0.68908942129629636</v>
      </c>
      <c r="N417" t="s">
        <v>9</v>
      </c>
      <c r="O417" t="s">
        <v>12</v>
      </c>
      <c r="P417">
        <f t="shared" si="70"/>
        <v>-123</v>
      </c>
      <c r="Q417">
        <v>1</v>
      </c>
    </row>
    <row r="418" spans="2:17" x14ac:dyDescent="0.25">
      <c r="B418">
        <f>436+2*(Table1[[#This Row],[Column1]])</f>
        <v>438</v>
      </c>
      <c r="C418">
        <f>MINUTE(Table1[[#This Row],[Time]])</f>
        <v>1</v>
      </c>
      <c r="D418" s="1">
        <v>0.45925553240740741</v>
      </c>
      <c r="E418" t="s">
        <v>27</v>
      </c>
      <c r="F418">
        <f t="shared" ref="F418:F419" si="78">F417-0.5</f>
        <v>-123.5</v>
      </c>
      <c r="G418">
        <f t="shared" ref="G418:G419" si="79">G417-0.5</f>
        <v>0.5</v>
      </c>
      <c r="K418">
        <f>400+2*(Table2[[#This Row],[Column1]]-13)</f>
        <v>438</v>
      </c>
      <c r="L418">
        <f>MINUTE(Table2[[#This Row],[Time]])</f>
        <v>32</v>
      </c>
      <c r="M418" s="1">
        <v>0.68912181712962961</v>
      </c>
      <c r="N418" t="s">
        <v>9</v>
      </c>
      <c r="O418" t="s">
        <v>12</v>
      </c>
      <c r="P418">
        <f t="shared" si="70"/>
        <v>-123</v>
      </c>
      <c r="Q418">
        <v>1</v>
      </c>
    </row>
    <row r="419" spans="2:17" x14ac:dyDescent="0.25">
      <c r="B419">
        <f>436+2*(Table1[[#This Row],[Column1]])</f>
        <v>438</v>
      </c>
      <c r="C419">
        <f>MINUTE(Table1[[#This Row],[Time]])</f>
        <v>1</v>
      </c>
      <c r="D419" s="1">
        <v>0.45928792824074072</v>
      </c>
      <c r="E419" t="s">
        <v>27</v>
      </c>
      <c r="F419">
        <f t="shared" si="78"/>
        <v>-124</v>
      </c>
      <c r="G419">
        <f t="shared" si="79"/>
        <v>0</v>
      </c>
      <c r="K419">
        <f>400+2*(Table2[[#This Row],[Column1]]-13)</f>
        <v>438</v>
      </c>
      <c r="L419">
        <f>MINUTE(Table2[[#This Row],[Time]])</f>
        <v>32</v>
      </c>
      <c r="M419" s="1">
        <v>0.68915422453703712</v>
      </c>
      <c r="N419" t="s">
        <v>9</v>
      </c>
      <c r="O419" t="s">
        <v>12</v>
      </c>
      <c r="P419">
        <f t="shared" si="70"/>
        <v>-123</v>
      </c>
      <c r="Q419">
        <v>0.8</v>
      </c>
    </row>
    <row r="420" spans="2:17" x14ac:dyDescent="0.25">
      <c r="B420">
        <f>436+2*(Table1[[#This Row],[Column1]])</f>
        <v>438</v>
      </c>
      <c r="C420">
        <f>MINUTE(Table1[[#This Row],[Time]])</f>
        <v>1</v>
      </c>
      <c r="D420" s="1">
        <v>0.45932032407407403</v>
      </c>
      <c r="E420" t="s">
        <v>9</v>
      </c>
      <c r="F420">
        <v>-123</v>
      </c>
      <c r="G420">
        <v>0.8</v>
      </c>
      <c r="K420">
        <f>400+2*(Table2[[#This Row],[Column1]]-13)</f>
        <v>438</v>
      </c>
      <c r="L420">
        <f>MINUTE(Table2[[#This Row],[Time]])</f>
        <v>32</v>
      </c>
      <c r="M420" s="1">
        <v>0.68918662037037037</v>
      </c>
      <c r="N420" t="s">
        <v>9</v>
      </c>
      <c r="O420" t="s">
        <v>12</v>
      </c>
      <c r="P420">
        <f t="shared" si="70"/>
        <v>-123</v>
      </c>
      <c r="Q420">
        <v>1</v>
      </c>
    </row>
    <row r="421" spans="2:17" x14ac:dyDescent="0.25">
      <c r="B421">
        <f>436+2*(Table1[[#This Row],[Column1]])</f>
        <v>438</v>
      </c>
      <c r="C421">
        <f>MINUTE(Table1[[#This Row],[Time]])</f>
        <v>1</v>
      </c>
      <c r="D421" s="1">
        <v>0.45935271990740739</v>
      </c>
      <c r="E421" t="s">
        <v>9</v>
      </c>
      <c r="F421">
        <v>-123</v>
      </c>
      <c r="G421">
        <v>0.5</v>
      </c>
      <c r="K421">
        <f>400+2*(Table2[[#This Row],[Column1]]-13)</f>
        <v>438</v>
      </c>
      <c r="L421">
        <f>MINUTE(Table2[[#This Row],[Time]])</f>
        <v>32</v>
      </c>
      <c r="M421" s="1">
        <v>0.68921901620370374</v>
      </c>
      <c r="N421" t="s">
        <v>27</v>
      </c>
      <c r="O421" t="str">
        <f>O420</f>
        <v>-123.0,</v>
      </c>
      <c r="P421">
        <f>P420-0.5</f>
        <v>-123.5</v>
      </c>
      <c r="Q421">
        <f>Q420-0.5</f>
        <v>0.5</v>
      </c>
    </row>
    <row r="422" spans="2:17" x14ac:dyDescent="0.25">
      <c r="B422">
        <f>436+2*(Table1[[#This Row],[Column1]])</f>
        <v>438</v>
      </c>
      <c r="C422">
        <f>MINUTE(Table1[[#This Row],[Time]])</f>
        <v>1</v>
      </c>
      <c r="D422" s="1">
        <v>0.45938511574074076</v>
      </c>
      <c r="E422" t="s">
        <v>9</v>
      </c>
      <c r="F422">
        <v>-123</v>
      </c>
      <c r="G422">
        <v>0.8</v>
      </c>
      <c r="K422">
        <f>400+2*(Table2[[#This Row],[Column1]]-13)</f>
        <v>438</v>
      </c>
      <c r="L422">
        <f>MINUTE(Table2[[#This Row],[Time]])</f>
        <v>32</v>
      </c>
      <c r="M422" s="1">
        <v>0.68925140046296296</v>
      </c>
      <c r="N422" t="s">
        <v>9</v>
      </c>
      <c r="O422" t="s">
        <v>12</v>
      </c>
      <c r="P422">
        <f t="shared" si="70"/>
        <v>-123</v>
      </c>
      <c r="Q422">
        <v>0.8</v>
      </c>
    </row>
    <row r="423" spans="2:17" x14ac:dyDescent="0.25">
      <c r="B423">
        <f>436+2*(Table1[[#This Row],[Column1]])</f>
        <v>438</v>
      </c>
      <c r="C423">
        <f>MINUTE(Table1[[#This Row],[Time]])</f>
        <v>1</v>
      </c>
      <c r="D423" s="1">
        <v>0.45941751157407412</v>
      </c>
      <c r="E423" t="s">
        <v>27</v>
      </c>
      <c r="F423">
        <f>F422-0.5</f>
        <v>-123.5</v>
      </c>
      <c r="G423">
        <f>G422-0.5</f>
        <v>0.30000000000000004</v>
      </c>
      <c r="K423">
        <f>400+2*(Table2[[#This Row],[Column1]]-13)</f>
        <v>438</v>
      </c>
      <c r="L423">
        <f>MINUTE(Table2[[#This Row],[Time]])</f>
        <v>32</v>
      </c>
      <c r="M423" s="1">
        <v>0.68928380787037036</v>
      </c>
      <c r="N423" t="s">
        <v>9</v>
      </c>
      <c r="O423" t="s">
        <v>12</v>
      </c>
      <c r="P423">
        <f t="shared" si="70"/>
        <v>-123</v>
      </c>
      <c r="Q423">
        <v>1</v>
      </c>
    </row>
    <row r="424" spans="2:17" x14ac:dyDescent="0.25">
      <c r="B424">
        <f>436+2*(Table1[[#This Row],[Column1]])</f>
        <v>438</v>
      </c>
      <c r="C424">
        <f>MINUTE(Table1[[#This Row],[Time]])</f>
        <v>1</v>
      </c>
      <c r="D424" s="1">
        <v>0.45944990740740743</v>
      </c>
      <c r="E424" t="s">
        <v>9</v>
      </c>
      <c r="F424">
        <v>-123</v>
      </c>
      <c r="G424">
        <v>1</v>
      </c>
      <c r="K424">
        <f>400+2*(Table2[[#This Row],[Column1]]-13)</f>
        <v>438</v>
      </c>
      <c r="L424">
        <f>MINUTE(Table2[[#This Row],[Time]])</f>
        <v>32</v>
      </c>
      <c r="M424" s="1">
        <v>0.68931620370370372</v>
      </c>
      <c r="N424" t="s">
        <v>9</v>
      </c>
      <c r="O424" t="s">
        <v>12</v>
      </c>
      <c r="P424">
        <f t="shared" si="70"/>
        <v>-123</v>
      </c>
      <c r="Q424">
        <v>1</v>
      </c>
    </row>
    <row r="425" spans="2:17" x14ac:dyDescent="0.25">
      <c r="B425">
        <f>436+2*(Table1[[#This Row],[Column1]])</f>
        <v>438</v>
      </c>
      <c r="C425">
        <f>MINUTE(Table1[[#This Row],[Time]])</f>
        <v>1</v>
      </c>
      <c r="D425" s="1">
        <v>0.45948230324074074</v>
      </c>
      <c r="E425" t="s">
        <v>27</v>
      </c>
      <c r="F425">
        <f>F424-0.5</f>
        <v>-123.5</v>
      </c>
      <c r="G425">
        <f>G424-0.5</f>
        <v>0.5</v>
      </c>
      <c r="K425">
        <f>400+2*(Table2[[#This Row],[Column1]]-13)</f>
        <v>438</v>
      </c>
      <c r="L425">
        <f>MINUTE(Table2[[#This Row],[Time]])</f>
        <v>32</v>
      </c>
      <c r="M425" s="1">
        <v>0.68934859953703698</v>
      </c>
      <c r="N425" t="s">
        <v>9</v>
      </c>
      <c r="O425" t="s">
        <v>12</v>
      </c>
      <c r="P425">
        <f t="shared" si="70"/>
        <v>-123</v>
      </c>
      <c r="Q425">
        <v>1</v>
      </c>
    </row>
    <row r="426" spans="2:17" x14ac:dyDescent="0.25">
      <c r="B426">
        <f>436+2*(Table1[[#This Row],[Column1]])</f>
        <v>438</v>
      </c>
      <c r="C426">
        <f>MINUTE(Table1[[#This Row],[Time]])</f>
        <v>1</v>
      </c>
      <c r="D426" s="1">
        <v>0.45951469907407405</v>
      </c>
      <c r="E426" t="s">
        <v>9</v>
      </c>
      <c r="F426">
        <v>-123</v>
      </c>
      <c r="G426">
        <v>1</v>
      </c>
      <c r="K426">
        <f>400+2*(Table2[[#This Row],[Column1]]-13)</f>
        <v>438</v>
      </c>
      <c r="L426">
        <f>MINUTE(Table2[[#This Row],[Time]])</f>
        <v>32</v>
      </c>
      <c r="M426" s="1">
        <v>0.68938098379629631</v>
      </c>
      <c r="N426" t="s">
        <v>9</v>
      </c>
      <c r="O426" t="s">
        <v>12</v>
      </c>
      <c r="P426">
        <f t="shared" si="70"/>
        <v>-123</v>
      </c>
      <c r="Q426">
        <v>1</v>
      </c>
    </row>
    <row r="427" spans="2:17" x14ac:dyDescent="0.25">
      <c r="B427">
        <f>436+2*(Table1[[#This Row],[Column1]])</f>
        <v>438</v>
      </c>
      <c r="C427">
        <f>MINUTE(Table1[[#This Row],[Time]])</f>
        <v>1</v>
      </c>
      <c r="D427" s="1">
        <v>0.45954709490740742</v>
      </c>
      <c r="E427" t="s">
        <v>9</v>
      </c>
      <c r="F427">
        <v>-123</v>
      </c>
      <c r="G427">
        <v>0.8</v>
      </c>
      <c r="K427">
        <f>400+2*(Table2[[#This Row],[Column1]]-13)</f>
        <v>438</v>
      </c>
      <c r="L427">
        <f>MINUTE(Table2[[#This Row],[Time]])</f>
        <v>32</v>
      </c>
      <c r="M427" s="1">
        <v>0.68941339120370371</v>
      </c>
      <c r="N427" t="s">
        <v>9</v>
      </c>
      <c r="O427" t="s">
        <v>12</v>
      </c>
      <c r="P427">
        <f t="shared" si="70"/>
        <v>-123</v>
      </c>
      <c r="Q427">
        <v>0.8</v>
      </c>
    </row>
    <row r="428" spans="2:17" x14ac:dyDescent="0.25">
      <c r="B428">
        <f>436+2*(Table1[[#This Row],[Column1]])</f>
        <v>438</v>
      </c>
      <c r="C428">
        <f>MINUTE(Table1[[#This Row],[Time]])</f>
        <v>1</v>
      </c>
      <c r="D428" s="1">
        <v>0.45957949074074073</v>
      </c>
      <c r="E428" t="s">
        <v>9</v>
      </c>
      <c r="F428">
        <v>-123</v>
      </c>
      <c r="G428">
        <v>0.5</v>
      </c>
      <c r="K428">
        <f>400+2*(Table2[[#This Row],[Column1]]-13)</f>
        <v>438</v>
      </c>
      <c r="L428">
        <f>MINUTE(Table2[[#This Row],[Time]])</f>
        <v>32</v>
      </c>
      <c r="M428" s="1">
        <v>0.68944578703703707</v>
      </c>
      <c r="N428" t="s">
        <v>27</v>
      </c>
      <c r="O428" t="str">
        <f>O427</f>
        <v>-123.0,</v>
      </c>
      <c r="P428">
        <f>P427-0.5</f>
        <v>-123.5</v>
      </c>
      <c r="Q428">
        <f>Q427-0.5</f>
        <v>0.30000000000000004</v>
      </c>
    </row>
    <row r="429" spans="2:17" x14ac:dyDescent="0.25">
      <c r="B429">
        <f>436+2*(Table1[[#This Row],[Column1]])</f>
        <v>438</v>
      </c>
      <c r="C429">
        <f>MINUTE(Table1[[#This Row],[Time]])</f>
        <v>1</v>
      </c>
      <c r="D429" s="1">
        <v>0.45961188657407404</v>
      </c>
      <c r="E429" t="s">
        <v>9</v>
      </c>
      <c r="F429">
        <v>-123</v>
      </c>
      <c r="G429">
        <v>1</v>
      </c>
      <c r="K429">
        <f>400+2*(Table2[[#This Row],[Column1]]-13)</f>
        <v>438</v>
      </c>
      <c r="L429">
        <f>MINUTE(Table2[[#This Row],[Time]])</f>
        <v>32</v>
      </c>
      <c r="M429" s="1">
        <v>0.68947818287037033</v>
      </c>
      <c r="N429" t="s">
        <v>9</v>
      </c>
      <c r="O429" t="s">
        <v>12</v>
      </c>
      <c r="P429">
        <f t="shared" si="70"/>
        <v>-123</v>
      </c>
      <c r="Q429">
        <v>1</v>
      </c>
    </row>
    <row r="430" spans="2:17" x14ac:dyDescent="0.25">
      <c r="B430">
        <f>436+2*(Table1[[#This Row],[Column1]])</f>
        <v>438</v>
      </c>
      <c r="C430">
        <f>MINUTE(Table1[[#This Row],[Time]])</f>
        <v>1</v>
      </c>
      <c r="D430" s="1">
        <v>0.45964427083333331</v>
      </c>
      <c r="E430" t="s">
        <v>27</v>
      </c>
      <c r="F430">
        <f t="shared" ref="F430:F431" si="80">F429-0.5</f>
        <v>-123.5</v>
      </c>
      <c r="G430">
        <f t="shared" ref="G430:G431" si="81">G429-0.5</f>
        <v>0.5</v>
      </c>
      <c r="K430">
        <f>400+2*(Table2[[#This Row],[Column1]]-13)</f>
        <v>438</v>
      </c>
      <c r="L430">
        <f>MINUTE(Table2[[#This Row],[Time]])</f>
        <v>32</v>
      </c>
      <c r="M430" s="1">
        <v>0.68951055555555552</v>
      </c>
      <c r="N430" t="s">
        <v>9</v>
      </c>
      <c r="O430" t="s">
        <v>11</v>
      </c>
      <c r="P430">
        <f t="shared" si="70"/>
        <v>-122</v>
      </c>
      <c r="Q430">
        <v>1</v>
      </c>
    </row>
    <row r="431" spans="2:17" x14ac:dyDescent="0.25">
      <c r="B431">
        <f>436+2*(Table1[[#This Row],[Column1]])</f>
        <v>438</v>
      </c>
      <c r="C431">
        <f>MINUTE(Table1[[#This Row],[Time]])</f>
        <v>1</v>
      </c>
      <c r="D431" s="1">
        <v>0.45967667824074077</v>
      </c>
      <c r="E431" t="s">
        <v>27</v>
      </c>
      <c r="F431">
        <f t="shared" si="80"/>
        <v>-124</v>
      </c>
      <c r="G431">
        <f t="shared" si="81"/>
        <v>0</v>
      </c>
      <c r="K431">
        <f>400+2*(Table2[[#This Row],[Column1]]-13)</f>
        <v>438</v>
      </c>
      <c r="L431">
        <f>MINUTE(Table2[[#This Row],[Time]])</f>
        <v>32</v>
      </c>
      <c r="M431" s="1">
        <v>0.68954297453703706</v>
      </c>
      <c r="N431" t="s">
        <v>9</v>
      </c>
      <c r="O431" t="s">
        <v>14</v>
      </c>
      <c r="P431">
        <f t="shared" si="70"/>
        <v>-118</v>
      </c>
      <c r="Q431">
        <v>0.8</v>
      </c>
    </row>
    <row r="432" spans="2:17" x14ac:dyDescent="0.25">
      <c r="B432">
        <f>436+2*(Table1[[#This Row],[Column1]])</f>
        <v>438</v>
      </c>
      <c r="C432">
        <f>MINUTE(Table1[[#This Row],[Time]])</f>
        <v>1</v>
      </c>
      <c r="D432" s="1">
        <v>0.45970906249999999</v>
      </c>
      <c r="E432" t="s">
        <v>9</v>
      </c>
      <c r="F432">
        <v>-123</v>
      </c>
      <c r="G432">
        <v>0.8</v>
      </c>
      <c r="K432">
        <f>400+2*(Table2[[#This Row],[Column1]]-13)</f>
        <v>438</v>
      </c>
      <c r="L432">
        <f>MINUTE(Table2[[#This Row],[Time]])</f>
        <v>32</v>
      </c>
      <c r="M432" s="1">
        <v>0.68957535879629628</v>
      </c>
      <c r="N432" t="s">
        <v>9</v>
      </c>
      <c r="O432" t="s">
        <v>12</v>
      </c>
      <c r="P432">
        <f t="shared" si="70"/>
        <v>-123</v>
      </c>
      <c r="Q432">
        <v>0.8</v>
      </c>
    </row>
    <row r="433" spans="2:17" x14ac:dyDescent="0.25">
      <c r="B433">
        <f>436+2*(Table1[[#This Row],[Column1]])</f>
        <v>440</v>
      </c>
      <c r="C433">
        <f>MINUTE(Table1[[#This Row],[Time]])</f>
        <v>2</v>
      </c>
      <c r="D433" s="1">
        <v>0.4597414583333333</v>
      </c>
      <c r="E433" t="s">
        <v>9</v>
      </c>
      <c r="F433">
        <v>-123</v>
      </c>
      <c r="G433">
        <v>1.3</v>
      </c>
      <c r="K433">
        <f>400+2*(Table2[[#This Row],[Column1]]-13)</f>
        <v>440</v>
      </c>
      <c r="L433">
        <f>MINUTE(Table2[[#This Row],[Time]])</f>
        <v>33</v>
      </c>
      <c r="M433" s="1">
        <v>0.68960776620370368</v>
      </c>
      <c r="N433" t="s">
        <v>9</v>
      </c>
      <c r="O433" t="s">
        <v>12</v>
      </c>
      <c r="P433">
        <f t="shared" si="70"/>
        <v>-123</v>
      </c>
      <c r="Q433">
        <v>0.5</v>
      </c>
    </row>
    <row r="434" spans="2:17" x14ac:dyDescent="0.25">
      <c r="B434">
        <f>436+2*(Table1[[#This Row],[Column1]])</f>
        <v>440</v>
      </c>
      <c r="C434">
        <f>MINUTE(Table1[[#This Row],[Time]])</f>
        <v>2</v>
      </c>
      <c r="D434" s="1">
        <v>0.45977386574074075</v>
      </c>
      <c r="E434" t="s">
        <v>9</v>
      </c>
      <c r="F434">
        <v>-124</v>
      </c>
      <c r="G434">
        <v>-1.8</v>
      </c>
      <c r="K434">
        <f>400+2*(Table2[[#This Row],[Column1]]-13)</f>
        <v>440</v>
      </c>
      <c r="L434">
        <f>MINUTE(Table2[[#This Row],[Time]])</f>
        <v>33</v>
      </c>
      <c r="M434" s="1">
        <v>0.68964015046296301</v>
      </c>
      <c r="N434" t="s">
        <v>9</v>
      </c>
      <c r="O434" t="s">
        <v>16</v>
      </c>
      <c r="P434">
        <f t="shared" si="70"/>
        <v>-119</v>
      </c>
      <c r="Q434">
        <v>-1.3</v>
      </c>
    </row>
    <row r="435" spans="2:17" x14ac:dyDescent="0.25">
      <c r="B435">
        <f>436+2*(Table1[[#This Row],[Column1]])</f>
        <v>440</v>
      </c>
      <c r="C435">
        <f>MINUTE(Table1[[#This Row],[Time]])</f>
        <v>2</v>
      </c>
      <c r="D435" s="1">
        <v>0.45980626157407406</v>
      </c>
      <c r="E435" t="s">
        <v>27</v>
      </c>
      <c r="F435">
        <f>F434-0.5</f>
        <v>-124.5</v>
      </c>
      <c r="G435">
        <f>G434-0.5</f>
        <v>-2.2999999999999998</v>
      </c>
      <c r="K435">
        <f>400+2*(Table2[[#This Row],[Column1]]-13)</f>
        <v>440</v>
      </c>
      <c r="L435">
        <f>MINUTE(Table2[[#This Row],[Time]])</f>
        <v>33</v>
      </c>
      <c r="M435" s="1">
        <v>0.68967255787037041</v>
      </c>
      <c r="N435" t="s">
        <v>9</v>
      </c>
      <c r="O435" t="s">
        <v>19</v>
      </c>
      <c r="P435">
        <f t="shared" si="70"/>
        <v>-124</v>
      </c>
      <c r="Q435">
        <v>-1.5</v>
      </c>
    </row>
    <row r="436" spans="2:17" x14ac:dyDescent="0.25">
      <c r="B436">
        <f>436+2*(Table1[[#This Row],[Column1]])</f>
        <v>440</v>
      </c>
      <c r="C436">
        <f>MINUTE(Table1[[#This Row],[Time]])</f>
        <v>2</v>
      </c>
      <c r="D436" s="1">
        <v>0.45983865740740737</v>
      </c>
      <c r="E436" t="s">
        <v>9</v>
      </c>
      <c r="F436">
        <v>-124</v>
      </c>
      <c r="G436">
        <v>-1.5</v>
      </c>
      <c r="K436">
        <f>400+2*(Table2[[#This Row],[Column1]]-13)</f>
        <v>440</v>
      </c>
      <c r="L436">
        <f>MINUTE(Table2[[#This Row],[Time]])</f>
        <v>33</v>
      </c>
      <c r="M436" s="1">
        <v>0.68970495370370377</v>
      </c>
      <c r="N436" t="s">
        <v>9</v>
      </c>
      <c r="O436" t="s">
        <v>19</v>
      </c>
      <c r="P436">
        <f t="shared" si="70"/>
        <v>-124</v>
      </c>
      <c r="Q436">
        <v>-0.8</v>
      </c>
    </row>
    <row r="437" spans="2:17" x14ac:dyDescent="0.25">
      <c r="B437">
        <f>436+2*(Table1[[#This Row],[Column1]])</f>
        <v>440</v>
      </c>
      <c r="C437">
        <f>MINUTE(Table1[[#This Row],[Time]])</f>
        <v>2</v>
      </c>
      <c r="D437" s="1">
        <v>0.45987105324074068</v>
      </c>
      <c r="E437" t="s">
        <v>27</v>
      </c>
      <c r="F437">
        <f t="shared" ref="F437:F438" si="82">F436-0.5</f>
        <v>-124.5</v>
      </c>
      <c r="G437">
        <f t="shared" ref="G437:G438" si="83">G436-0.5</f>
        <v>-2</v>
      </c>
      <c r="K437">
        <f>400+2*(Table2[[#This Row],[Column1]]-13)</f>
        <v>440</v>
      </c>
      <c r="L437">
        <f>MINUTE(Table2[[#This Row],[Time]])</f>
        <v>33</v>
      </c>
      <c r="M437" s="1">
        <v>0.68973733796296288</v>
      </c>
      <c r="N437" t="s">
        <v>13</v>
      </c>
      <c r="O437" t="str">
        <f>O436</f>
        <v>-124.0,</v>
      </c>
      <c r="P437">
        <f>P436-0.5</f>
        <v>-124.5</v>
      </c>
      <c r="Q437">
        <f>Q436-0.5</f>
        <v>-1.3</v>
      </c>
    </row>
    <row r="438" spans="2:17" x14ac:dyDescent="0.25">
      <c r="B438">
        <f>436+2*(Table1[[#This Row],[Column1]])</f>
        <v>440</v>
      </c>
      <c r="C438">
        <f>MINUTE(Table1[[#This Row],[Time]])</f>
        <v>2</v>
      </c>
      <c r="D438" s="1">
        <v>0.4599034490740741</v>
      </c>
      <c r="E438" t="s">
        <v>27</v>
      </c>
      <c r="F438">
        <f t="shared" si="82"/>
        <v>-125</v>
      </c>
      <c r="G438">
        <f t="shared" si="83"/>
        <v>-2.5</v>
      </c>
      <c r="K438">
        <f>400+2*(Table2[[#This Row],[Column1]]-13)</f>
        <v>440</v>
      </c>
      <c r="L438">
        <f>MINUTE(Table2[[#This Row],[Time]])</f>
        <v>33</v>
      </c>
      <c r="M438" s="1">
        <v>0.68976974537037039</v>
      </c>
      <c r="N438" t="s">
        <v>9</v>
      </c>
      <c r="O438" t="s">
        <v>12</v>
      </c>
      <c r="P438">
        <f t="shared" si="70"/>
        <v>-123</v>
      </c>
      <c r="Q438">
        <v>0.5</v>
      </c>
    </row>
    <row r="439" spans="2:17" x14ac:dyDescent="0.25">
      <c r="B439">
        <f>436+2*(Table1[[#This Row],[Column1]])</f>
        <v>440</v>
      </c>
      <c r="C439">
        <f>MINUTE(Table1[[#This Row],[Time]])</f>
        <v>2</v>
      </c>
      <c r="D439" s="1">
        <v>0.45993584490740741</v>
      </c>
      <c r="E439" t="s">
        <v>9</v>
      </c>
      <c r="F439">
        <v>-123</v>
      </c>
      <c r="G439">
        <v>0.3</v>
      </c>
      <c r="K439">
        <f>400+2*(Table2[[#This Row],[Column1]]-13)</f>
        <v>440</v>
      </c>
      <c r="L439">
        <f>MINUTE(Table2[[#This Row],[Time]])</f>
        <v>33</v>
      </c>
      <c r="M439" s="1">
        <v>0.68980214120370364</v>
      </c>
      <c r="N439" t="s">
        <v>9</v>
      </c>
      <c r="O439" t="s">
        <v>11</v>
      </c>
      <c r="P439">
        <f t="shared" si="70"/>
        <v>-122</v>
      </c>
      <c r="Q439">
        <v>1</v>
      </c>
    </row>
    <row r="440" spans="2:17" x14ac:dyDescent="0.25">
      <c r="B440">
        <f>436+2*(Table1[[#This Row],[Column1]])</f>
        <v>440</v>
      </c>
      <c r="C440">
        <f>MINUTE(Table1[[#This Row],[Time]])</f>
        <v>2</v>
      </c>
      <c r="D440" s="1">
        <v>0.45996824074074077</v>
      </c>
      <c r="E440" t="s">
        <v>27</v>
      </c>
      <c r="F440">
        <f>F439-0.5</f>
        <v>-123.5</v>
      </c>
      <c r="G440">
        <f>G439-0.5</f>
        <v>-0.2</v>
      </c>
      <c r="K440">
        <f>400+2*(Table2[[#This Row],[Column1]]-13)</f>
        <v>440</v>
      </c>
      <c r="L440">
        <f>MINUTE(Table2[[#This Row],[Time]])</f>
        <v>33</v>
      </c>
      <c r="M440" s="1">
        <v>0.68983453703703701</v>
      </c>
      <c r="N440" t="s">
        <v>9</v>
      </c>
      <c r="O440" t="s">
        <v>12</v>
      </c>
      <c r="P440">
        <f t="shared" si="70"/>
        <v>-123</v>
      </c>
      <c r="Q440">
        <v>1.3</v>
      </c>
    </row>
    <row r="441" spans="2:17" x14ac:dyDescent="0.25">
      <c r="B441">
        <f>436+2*(Table1[[#This Row],[Column1]])</f>
        <v>440</v>
      </c>
      <c r="C441">
        <f>MINUTE(Table1[[#This Row],[Time]])</f>
        <v>2</v>
      </c>
      <c r="D441" s="1">
        <v>0.46000062499999994</v>
      </c>
      <c r="E441" t="s">
        <v>9</v>
      </c>
      <c r="F441">
        <v>-123</v>
      </c>
      <c r="G441">
        <v>1</v>
      </c>
      <c r="K441">
        <f>400+2*(Table2[[#This Row],[Column1]]-13)</f>
        <v>440</v>
      </c>
      <c r="L441">
        <f>MINUTE(Table2[[#This Row],[Time]])</f>
        <v>33</v>
      </c>
      <c r="M441" s="1">
        <v>0.68986693287037038</v>
      </c>
      <c r="N441" t="s">
        <v>9</v>
      </c>
      <c r="O441" t="s">
        <v>12</v>
      </c>
      <c r="P441">
        <f t="shared" si="70"/>
        <v>-123</v>
      </c>
      <c r="Q441">
        <v>0.8</v>
      </c>
    </row>
    <row r="442" spans="2:17" x14ac:dyDescent="0.25">
      <c r="B442">
        <f>436+2*(Table1[[#This Row],[Column1]])</f>
        <v>440</v>
      </c>
      <c r="C442">
        <f>MINUTE(Table1[[#This Row],[Time]])</f>
        <v>2</v>
      </c>
      <c r="D442" s="1">
        <v>0.46003303240740739</v>
      </c>
      <c r="E442" t="s">
        <v>27</v>
      </c>
      <c r="F442">
        <f>F441-0.5</f>
        <v>-123.5</v>
      </c>
      <c r="G442">
        <f>G441-0.5</f>
        <v>0.5</v>
      </c>
      <c r="K442">
        <f>400+2*(Table2[[#This Row],[Column1]]-13)</f>
        <v>440</v>
      </c>
      <c r="L442">
        <f>MINUTE(Table2[[#This Row],[Time]])</f>
        <v>33</v>
      </c>
      <c r="M442" s="1">
        <v>0.6898993171296296</v>
      </c>
      <c r="N442" t="s">
        <v>9</v>
      </c>
      <c r="O442" t="s">
        <v>12</v>
      </c>
      <c r="P442">
        <f t="shared" si="70"/>
        <v>-123</v>
      </c>
      <c r="Q442">
        <v>1</v>
      </c>
    </row>
    <row r="443" spans="2:17" x14ac:dyDescent="0.25">
      <c r="B443">
        <f>436+2*(Table1[[#This Row],[Column1]])</f>
        <v>440</v>
      </c>
      <c r="C443">
        <f>MINUTE(Table1[[#This Row],[Time]])</f>
        <v>2</v>
      </c>
      <c r="D443" s="1">
        <v>0.4600654282407407</v>
      </c>
      <c r="E443" t="s">
        <v>9</v>
      </c>
      <c r="F443">
        <v>-123</v>
      </c>
      <c r="G443">
        <v>1</v>
      </c>
      <c r="K443">
        <f>400+2*(Table2[[#This Row],[Column1]]-13)</f>
        <v>440</v>
      </c>
      <c r="L443">
        <f>MINUTE(Table2[[#This Row],[Time]])</f>
        <v>33</v>
      </c>
      <c r="M443" s="1">
        <v>0.68993171296296296</v>
      </c>
      <c r="N443" t="s">
        <v>27</v>
      </c>
      <c r="O443" t="str">
        <f>O442</f>
        <v>-123.0,</v>
      </c>
      <c r="P443">
        <f>P442-0.5</f>
        <v>-123.5</v>
      </c>
      <c r="Q443">
        <f>Q442-0.5</f>
        <v>0.5</v>
      </c>
    </row>
    <row r="444" spans="2:17" x14ac:dyDescent="0.25">
      <c r="B444">
        <f>436+2*(Table1[[#This Row],[Column1]])</f>
        <v>440</v>
      </c>
      <c r="C444">
        <f>MINUTE(Table1[[#This Row],[Time]])</f>
        <v>2</v>
      </c>
      <c r="D444" s="1">
        <v>0.46009782407407407</v>
      </c>
      <c r="E444" t="s">
        <v>9</v>
      </c>
      <c r="F444">
        <v>-123</v>
      </c>
      <c r="G444">
        <v>0.8</v>
      </c>
      <c r="K444">
        <f>400+2*(Table2[[#This Row],[Column1]]-13)</f>
        <v>440</v>
      </c>
      <c r="L444">
        <f>MINUTE(Table2[[#This Row],[Time]])</f>
        <v>33</v>
      </c>
      <c r="M444" s="1">
        <v>0.68996412037037036</v>
      </c>
      <c r="N444" t="s">
        <v>9</v>
      </c>
      <c r="O444" t="s">
        <v>12</v>
      </c>
      <c r="P444">
        <f t="shared" si="70"/>
        <v>-123</v>
      </c>
      <c r="Q444">
        <v>0.8</v>
      </c>
    </row>
    <row r="445" spans="2:17" x14ac:dyDescent="0.25">
      <c r="B445">
        <f>436+2*(Table1[[#This Row],[Column1]])</f>
        <v>440</v>
      </c>
      <c r="C445">
        <f>MINUTE(Table1[[#This Row],[Time]])</f>
        <v>2</v>
      </c>
      <c r="D445" s="1">
        <v>0.46013021990740738</v>
      </c>
      <c r="E445" t="s">
        <v>9</v>
      </c>
      <c r="F445">
        <v>-122</v>
      </c>
      <c r="G445">
        <v>0.8</v>
      </c>
      <c r="K445">
        <f>400+2*(Table2[[#This Row],[Column1]]-13)</f>
        <v>440</v>
      </c>
      <c r="L445">
        <f>MINUTE(Table2[[#This Row],[Time]])</f>
        <v>33</v>
      </c>
      <c r="M445" s="1">
        <v>0.68999651620370372</v>
      </c>
      <c r="N445" t="s">
        <v>9</v>
      </c>
      <c r="O445" t="s">
        <v>16</v>
      </c>
      <c r="P445">
        <f t="shared" si="70"/>
        <v>-119</v>
      </c>
      <c r="Q445">
        <v>1</v>
      </c>
    </row>
    <row r="446" spans="2:17" x14ac:dyDescent="0.25">
      <c r="B446">
        <f>436+2*(Table1[[#This Row],[Column1]])</f>
        <v>440</v>
      </c>
      <c r="C446">
        <f>MINUTE(Table1[[#This Row],[Time]])</f>
        <v>2</v>
      </c>
      <c r="D446" s="1">
        <v>0.4601626157407408</v>
      </c>
      <c r="E446" t="s">
        <v>9</v>
      </c>
      <c r="F446">
        <v>-123</v>
      </c>
      <c r="G446">
        <v>0.8</v>
      </c>
      <c r="K446">
        <f>400+2*(Table2[[#This Row],[Column1]]-13)</f>
        <v>440</v>
      </c>
      <c r="L446">
        <f>MINUTE(Table2[[#This Row],[Time]])</f>
        <v>33</v>
      </c>
      <c r="M446" s="1">
        <v>0.69002891203703698</v>
      </c>
      <c r="N446" t="s">
        <v>9</v>
      </c>
      <c r="O446" t="s">
        <v>12</v>
      </c>
      <c r="P446">
        <f t="shared" si="70"/>
        <v>-123</v>
      </c>
      <c r="Q446">
        <v>1</v>
      </c>
    </row>
    <row r="447" spans="2:17" x14ac:dyDescent="0.25">
      <c r="B447">
        <f>436+2*(Table1[[#This Row],[Column1]])</f>
        <v>440</v>
      </c>
      <c r="C447">
        <f>MINUTE(Table1[[#This Row],[Time]])</f>
        <v>2</v>
      </c>
      <c r="D447" s="1">
        <v>0.46019501157407411</v>
      </c>
      <c r="E447" t="s">
        <v>9</v>
      </c>
      <c r="F447">
        <v>-123</v>
      </c>
      <c r="G447">
        <v>0.8</v>
      </c>
      <c r="K447">
        <f>400+2*(Table2[[#This Row],[Column1]]-13)</f>
        <v>440</v>
      </c>
      <c r="L447">
        <f>MINUTE(Table2[[#This Row],[Time]])</f>
        <v>33</v>
      </c>
      <c r="M447" s="1">
        <v>0.69006129629629631</v>
      </c>
      <c r="N447" t="s">
        <v>9</v>
      </c>
      <c r="O447" t="s">
        <v>12</v>
      </c>
      <c r="P447">
        <f t="shared" si="70"/>
        <v>-123</v>
      </c>
      <c r="Q447">
        <v>1</v>
      </c>
    </row>
    <row r="448" spans="2:17" x14ac:dyDescent="0.25">
      <c r="B448">
        <f>436+2*(Table1[[#This Row],[Column1]])</f>
        <v>440</v>
      </c>
      <c r="C448">
        <f>MINUTE(Table1[[#This Row],[Time]])</f>
        <v>2</v>
      </c>
      <c r="D448" s="1">
        <v>0.46022740740740742</v>
      </c>
      <c r="E448" t="s">
        <v>9</v>
      </c>
      <c r="F448">
        <v>-123</v>
      </c>
      <c r="G448">
        <v>1.3</v>
      </c>
      <c r="K448">
        <f>400+2*(Table2[[#This Row],[Column1]]-13)</f>
        <v>440</v>
      </c>
      <c r="L448">
        <f>MINUTE(Table2[[#This Row],[Time]])</f>
        <v>33</v>
      </c>
      <c r="M448" s="1">
        <v>0.69009370370370371</v>
      </c>
      <c r="N448" t="s">
        <v>9</v>
      </c>
      <c r="O448" t="s">
        <v>12</v>
      </c>
      <c r="P448">
        <f t="shared" si="70"/>
        <v>-123</v>
      </c>
      <c r="Q448">
        <v>1.3</v>
      </c>
    </row>
    <row r="449" spans="2:17" x14ac:dyDescent="0.25">
      <c r="B449">
        <f>436+2*(Table1[[#This Row],[Column1]])</f>
        <v>440</v>
      </c>
      <c r="C449">
        <f>MINUTE(Table1[[#This Row],[Time]])</f>
        <v>2</v>
      </c>
      <c r="D449" s="1">
        <v>0.46025980324074073</v>
      </c>
      <c r="E449" t="s">
        <v>9</v>
      </c>
      <c r="F449">
        <v>-123</v>
      </c>
      <c r="G449">
        <v>0.8</v>
      </c>
      <c r="K449">
        <f>400+2*(Table2[[#This Row],[Column1]]-13)</f>
        <v>440</v>
      </c>
      <c r="L449">
        <f>MINUTE(Table2[[#This Row],[Time]])</f>
        <v>33</v>
      </c>
      <c r="M449" s="1">
        <v>0.69012608796296293</v>
      </c>
      <c r="N449" t="s">
        <v>9</v>
      </c>
      <c r="O449" t="s">
        <v>12</v>
      </c>
      <c r="P449">
        <f t="shared" si="70"/>
        <v>-123</v>
      </c>
      <c r="Q449">
        <v>1</v>
      </c>
    </row>
    <row r="450" spans="2:17" x14ac:dyDescent="0.25">
      <c r="B450">
        <f>436+2*(Table1[[#This Row],[Column1]])</f>
        <v>440</v>
      </c>
      <c r="C450">
        <f>MINUTE(Table1[[#This Row],[Time]])</f>
        <v>2</v>
      </c>
      <c r="D450" s="1">
        <v>0.46029219907407404</v>
      </c>
      <c r="E450" t="s">
        <v>27</v>
      </c>
      <c r="F450">
        <f>F449-0.5</f>
        <v>-123.5</v>
      </c>
      <c r="G450">
        <f>G449-0.5</f>
        <v>0.30000000000000004</v>
      </c>
      <c r="K450">
        <f>400+2*(Table2[[#This Row],[Column1]]-13)</f>
        <v>440</v>
      </c>
      <c r="L450">
        <f>MINUTE(Table2[[#This Row],[Time]])</f>
        <v>33</v>
      </c>
      <c r="M450" s="1">
        <v>0.69015849537037044</v>
      </c>
      <c r="N450" t="s">
        <v>9</v>
      </c>
      <c r="O450" t="s">
        <v>12</v>
      </c>
      <c r="P450">
        <f t="shared" si="70"/>
        <v>-123</v>
      </c>
      <c r="Q450">
        <v>0.8</v>
      </c>
    </row>
    <row r="451" spans="2:17" x14ac:dyDescent="0.25">
      <c r="B451">
        <f>436+2*(Table1[[#This Row],[Column1]])</f>
        <v>440</v>
      </c>
      <c r="C451">
        <f>MINUTE(Table1[[#This Row],[Time]])</f>
        <v>2</v>
      </c>
      <c r="D451" s="1">
        <v>0.4603245949074074</v>
      </c>
      <c r="E451" t="s">
        <v>9</v>
      </c>
      <c r="F451">
        <v>-123</v>
      </c>
      <c r="G451">
        <v>1</v>
      </c>
      <c r="K451">
        <f>400+2*(Table2[[#This Row],[Column1]]-13)</f>
        <v>440</v>
      </c>
      <c r="L451">
        <f>MINUTE(Table2[[#This Row],[Time]])</f>
        <v>33</v>
      </c>
      <c r="M451" s="1">
        <v>0.69019089120370369</v>
      </c>
      <c r="N451" t="s">
        <v>9</v>
      </c>
      <c r="O451" t="s">
        <v>12</v>
      </c>
      <c r="P451">
        <f t="shared" si="70"/>
        <v>-123</v>
      </c>
      <c r="Q451">
        <v>0.8</v>
      </c>
    </row>
    <row r="452" spans="2:17" x14ac:dyDescent="0.25">
      <c r="B452">
        <f>436+2*(Table1[[#This Row],[Column1]])</f>
        <v>440</v>
      </c>
      <c r="C452">
        <f>MINUTE(Table1[[#This Row],[Time]])</f>
        <v>2</v>
      </c>
      <c r="D452" s="1">
        <v>0.46035699074074071</v>
      </c>
      <c r="E452" t="s">
        <v>9</v>
      </c>
      <c r="F452">
        <v>-123</v>
      </c>
      <c r="G452">
        <v>0.8</v>
      </c>
      <c r="K452">
        <f>400+2*(Table2[[#This Row],[Column1]]-13)</f>
        <v>440</v>
      </c>
      <c r="L452">
        <f>MINUTE(Table2[[#This Row],[Time]])</f>
        <v>33</v>
      </c>
      <c r="M452" s="1">
        <v>0.69022328703703706</v>
      </c>
      <c r="N452" t="s">
        <v>9</v>
      </c>
      <c r="O452" t="s">
        <v>12</v>
      </c>
      <c r="P452">
        <f t="shared" ref="P452:P515" si="84">VALUE(LEFT(O452,LEN(O452)-1))</f>
        <v>-123</v>
      </c>
      <c r="Q452">
        <v>1.3</v>
      </c>
    </row>
    <row r="453" spans="2:17" x14ac:dyDescent="0.25">
      <c r="B453">
        <f>436+2*(Table1[[#This Row],[Column1]])</f>
        <v>440</v>
      </c>
      <c r="C453">
        <f>MINUTE(Table1[[#This Row],[Time]])</f>
        <v>2</v>
      </c>
      <c r="D453" s="1">
        <v>0.46038938657407402</v>
      </c>
      <c r="E453" t="s">
        <v>9</v>
      </c>
      <c r="F453">
        <v>-123</v>
      </c>
      <c r="G453">
        <v>0.8</v>
      </c>
      <c r="K453">
        <f>400+2*(Table2[[#This Row],[Column1]]-13)</f>
        <v>440</v>
      </c>
      <c r="L453">
        <f>MINUTE(Table2[[#This Row],[Time]])</f>
        <v>33</v>
      </c>
      <c r="M453" s="1">
        <v>0.69025567129629628</v>
      </c>
      <c r="N453" t="s">
        <v>9</v>
      </c>
      <c r="O453" t="s">
        <v>12</v>
      </c>
      <c r="P453">
        <f t="shared" si="84"/>
        <v>-123</v>
      </c>
      <c r="Q453">
        <v>0.8</v>
      </c>
    </row>
    <row r="454" spans="2:17" x14ac:dyDescent="0.25">
      <c r="B454">
        <f>436+2*(Table1[[#This Row],[Column1]])</f>
        <v>442</v>
      </c>
      <c r="C454">
        <f>MINUTE(Table1[[#This Row],[Time]])</f>
        <v>3</v>
      </c>
      <c r="D454" s="1">
        <v>0.46042178240740744</v>
      </c>
      <c r="E454" t="s">
        <v>27</v>
      </c>
      <c r="F454">
        <f>F453-0.5</f>
        <v>-123.5</v>
      </c>
      <c r="G454">
        <f>G453-0.5</f>
        <v>0.30000000000000004</v>
      </c>
      <c r="K454">
        <f>400+2*(Table2[[#This Row],[Column1]]-13)</f>
        <v>442</v>
      </c>
      <c r="L454">
        <f>MINUTE(Table2[[#This Row],[Time]])</f>
        <v>34</v>
      </c>
      <c r="M454" s="1">
        <v>0.69028807870370368</v>
      </c>
      <c r="N454" t="s">
        <v>9</v>
      </c>
      <c r="O454" t="s">
        <v>12</v>
      </c>
      <c r="P454">
        <f t="shared" si="84"/>
        <v>-123</v>
      </c>
      <c r="Q454">
        <v>1.3</v>
      </c>
    </row>
    <row r="455" spans="2:17" x14ac:dyDescent="0.25">
      <c r="B455">
        <f>436+2*(Table1[[#This Row],[Column1]])</f>
        <v>442</v>
      </c>
      <c r="C455">
        <f>MINUTE(Table1[[#This Row],[Time]])</f>
        <v>3</v>
      </c>
      <c r="D455" s="1">
        <v>0.46045417824074075</v>
      </c>
      <c r="E455" t="s">
        <v>9</v>
      </c>
      <c r="F455">
        <v>-123</v>
      </c>
      <c r="G455">
        <v>0.3</v>
      </c>
      <c r="K455">
        <f>400+2*(Table2[[#This Row],[Column1]]-13)</f>
        <v>442</v>
      </c>
      <c r="L455">
        <f>MINUTE(Table2[[#This Row],[Time]])</f>
        <v>34</v>
      </c>
      <c r="M455" s="1">
        <v>0.69032046296296301</v>
      </c>
      <c r="N455" t="s">
        <v>13</v>
      </c>
      <c r="O455" t="str">
        <f>O454</f>
        <v>-123.0,</v>
      </c>
      <c r="P455">
        <f>P454-0.5</f>
        <v>-123.5</v>
      </c>
      <c r="Q455">
        <f>Q454-0.5</f>
        <v>0.8</v>
      </c>
    </row>
    <row r="456" spans="2:17" x14ac:dyDescent="0.25">
      <c r="B456">
        <f>436+2*(Table1[[#This Row],[Column1]])</f>
        <v>442</v>
      </c>
      <c r="C456">
        <f>MINUTE(Table1[[#This Row],[Time]])</f>
        <v>3</v>
      </c>
      <c r="D456" s="1">
        <v>0.46048657407407406</v>
      </c>
      <c r="E456" t="s">
        <v>9</v>
      </c>
      <c r="F456">
        <v>-124</v>
      </c>
      <c r="G456">
        <v>-1.3</v>
      </c>
      <c r="K456">
        <f>400+2*(Table2[[#This Row],[Column1]]-13)</f>
        <v>442</v>
      </c>
      <c r="L456">
        <f>MINUTE(Table2[[#This Row],[Time]])</f>
        <v>34</v>
      </c>
      <c r="M456" s="1">
        <v>0.69035285879629626</v>
      </c>
      <c r="N456" t="s">
        <v>9</v>
      </c>
      <c r="O456" t="s">
        <v>19</v>
      </c>
      <c r="P456">
        <f t="shared" si="84"/>
        <v>-124</v>
      </c>
      <c r="Q456">
        <v>-1</v>
      </c>
    </row>
    <row r="457" spans="2:17" x14ac:dyDescent="0.25">
      <c r="B457">
        <f>436+2*(Table1[[#This Row],[Column1]])</f>
        <v>442</v>
      </c>
      <c r="C457">
        <f>MINUTE(Table1[[#This Row],[Time]])</f>
        <v>3</v>
      </c>
      <c r="D457" s="1">
        <v>0.46051896990740743</v>
      </c>
      <c r="E457" t="s">
        <v>9</v>
      </c>
      <c r="F457">
        <v>-124</v>
      </c>
      <c r="G457">
        <v>-1.3</v>
      </c>
      <c r="K457">
        <f>400+2*(Table2[[#This Row],[Column1]]-13)</f>
        <v>442</v>
      </c>
      <c r="L457">
        <f>MINUTE(Table2[[#This Row],[Time]])</f>
        <v>34</v>
      </c>
      <c r="M457" s="1">
        <v>0.69038526620370366</v>
      </c>
      <c r="N457" t="s">
        <v>9</v>
      </c>
      <c r="O457" t="s">
        <v>19</v>
      </c>
      <c r="P457">
        <f t="shared" si="84"/>
        <v>-124</v>
      </c>
      <c r="Q457">
        <v>-1.3</v>
      </c>
    </row>
    <row r="458" spans="2:17" x14ac:dyDescent="0.25">
      <c r="B458">
        <f>436+2*(Table1[[#This Row],[Column1]])</f>
        <v>442</v>
      </c>
      <c r="C458">
        <f>MINUTE(Table1[[#This Row],[Time]])</f>
        <v>3</v>
      </c>
      <c r="D458" s="1">
        <v>0.46055136574074074</v>
      </c>
      <c r="E458" t="s">
        <v>9</v>
      </c>
      <c r="F458">
        <v>-124</v>
      </c>
      <c r="G458">
        <v>-1.3</v>
      </c>
      <c r="K458">
        <f>400+2*(Table2[[#This Row],[Column1]]-13)</f>
        <v>442</v>
      </c>
      <c r="L458">
        <f>MINUTE(Table2[[#This Row],[Time]])</f>
        <v>34</v>
      </c>
      <c r="M458" s="1">
        <v>0.69041766203703703</v>
      </c>
      <c r="N458" t="s">
        <v>9</v>
      </c>
      <c r="O458" t="s">
        <v>19</v>
      </c>
      <c r="P458">
        <f t="shared" si="84"/>
        <v>-124</v>
      </c>
      <c r="Q458">
        <v>-1.5</v>
      </c>
    </row>
    <row r="459" spans="2:17" x14ac:dyDescent="0.25">
      <c r="B459">
        <f>436+2*(Table1[[#This Row],[Column1]])</f>
        <v>442</v>
      </c>
      <c r="C459">
        <f>MINUTE(Table1[[#This Row],[Time]])</f>
        <v>3</v>
      </c>
      <c r="D459" s="1">
        <v>0.46058376157407405</v>
      </c>
      <c r="E459" t="s">
        <v>13</v>
      </c>
      <c r="F459">
        <f>F458-0.5</f>
        <v>-124.5</v>
      </c>
      <c r="G459">
        <f>G458-0.5</f>
        <v>-1.8</v>
      </c>
      <c r="K459">
        <f>400+2*(Table2[[#This Row],[Column1]]-13)</f>
        <v>442</v>
      </c>
      <c r="L459">
        <f>MINUTE(Table2[[#This Row],[Time]])</f>
        <v>34</v>
      </c>
      <c r="M459" s="1">
        <v>0.69045005787037039</v>
      </c>
      <c r="N459" t="s">
        <v>9</v>
      </c>
      <c r="O459" t="s">
        <v>11</v>
      </c>
      <c r="P459">
        <f t="shared" si="84"/>
        <v>-122</v>
      </c>
      <c r="Q459">
        <v>0.5</v>
      </c>
    </row>
    <row r="460" spans="2:17" x14ac:dyDescent="0.25">
      <c r="B460">
        <f>436+2*(Table1[[#This Row],[Column1]])</f>
        <v>442</v>
      </c>
      <c r="C460">
        <f>MINUTE(Table1[[#This Row],[Time]])</f>
        <v>3</v>
      </c>
      <c r="D460" s="1">
        <v>0.46061615740740736</v>
      </c>
      <c r="E460" t="s">
        <v>9</v>
      </c>
      <c r="F460">
        <v>-123</v>
      </c>
      <c r="G460">
        <v>1</v>
      </c>
      <c r="K460">
        <f>400+2*(Table2[[#This Row],[Column1]]-13)</f>
        <v>442</v>
      </c>
      <c r="L460">
        <f>MINUTE(Table2[[#This Row],[Time]])</f>
        <v>34</v>
      </c>
      <c r="M460" s="1">
        <v>0.69048245370370376</v>
      </c>
      <c r="N460" t="s">
        <v>9</v>
      </c>
      <c r="O460" t="s">
        <v>11</v>
      </c>
      <c r="P460">
        <f t="shared" si="84"/>
        <v>-122</v>
      </c>
      <c r="Q460">
        <v>1.5</v>
      </c>
    </row>
    <row r="461" spans="2:17" x14ac:dyDescent="0.25">
      <c r="B461">
        <f>436+2*(Table1[[#This Row],[Column1]])</f>
        <v>442</v>
      </c>
      <c r="C461">
        <f>MINUTE(Table1[[#This Row],[Time]])</f>
        <v>3</v>
      </c>
      <c r="D461" s="1">
        <v>0.46064855324074078</v>
      </c>
      <c r="E461" t="s">
        <v>27</v>
      </c>
      <c r="F461">
        <f>F460-0.5</f>
        <v>-123.5</v>
      </c>
      <c r="G461">
        <f>G460-0.5</f>
        <v>0.5</v>
      </c>
      <c r="K461">
        <f>400+2*(Table2[[#This Row],[Column1]]-13)</f>
        <v>442</v>
      </c>
      <c r="L461">
        <f>MINUTE(Table2[[#This Row],[Time]])</f>
        <v>34</v>
      </c>
      <c r="M461" s="1">
        <v>0.69051484953703701</v>
      </c>
      <c r="N461" t="s">
        <v>9</v>
      </c>
      <c r="O461" t="s">
        <v>12</v>
      </c>
      <c r="P461">
        <f t="shared" si="84"/>
        <v>-123</v>
      </c>
      <c r="Q461">
        <v>1</v>
      </c>
    </row>
    <row r="462" spans="2:17" x14ac:dyDescent="0.25">
      <c r="B462">
        <f>436+2*(Table1[[#This Row],[Column1]])</f>
        <v>442</v>
      </c>
      <c r="C462">
        <f>MINUTE(Table1[[#This Row],[Time]])</f>
        <v>3</v>
      </c>
      <c r="D462" s="1">
        <v>0.4606809375</v>
      </c>
      <c r="E462" t="s">
        <v>9</v>
      </c>
      <c r="F462">
        <v>-123</v>
      </c>
      <c r="G462">
        <v>0.5</v>
      </c>
      <c r="K462">
        <f>400+2*(Table2[[#This Row],[Column1]]-13)</f>
        <v>442</v>
      </c>
      <c r="L462">
        <f>MINUTE(Table2[[#This Row],[Time]])</f>
        <v>34</v>
      </c>
      <c r="M462" s="1">
        <v>0.69054724537037038</v>
      </c>
      <c r="N462" t="s">
        <v>9</v>
      </c>
      <c r="O462" t="s">
        <v>11</v>
      </c>
      <c r="P462">
        <f t="shared" si="84"/>
        <v>-122</v>
      </c>
      <c r="Q462">
        <v>1</v>
      </c>
    </row>
    <row r="463" spans="2:17" x14ac:dyDescent="0.25">
      <c r="B463">
        <f>436+2*(Table1[[#This Row],[Column1]])</f>
        <v>442</v>
      </c>
      <c r="C463">
        <f>MINUTE(Table1[[#This Row],[Time]])</f>
        <v>3</v>
      </c>
      <c r="D463" s="1">
        <v>0.46071334490740745</v>
      </c>
      <c r="E463" t="s">
        <v>9</v>
      </c>
      <c r="F463">
        <v>-123</v>
      </c>
      <c r="G463">
        <v>0.8</v>
      </c>
      <c r="K463">
        <f>400+2*(Table2[[#This Row],[Column1]]-13)</f>
        <v>442</v>
      </c>
      <c r="L463">
        <f>MINUTE(Table2[[#This Row],[Time]])</f>
        <v>34</v>
      </c>
      <c r="M463" s="1">
        <v>0.6905796296296296</v>
      </c>
      <c r="N463" t="s">
        <v>27</v>
      </c>
      <c r="O463" t="str">
        <f t="shared" ref="O463:O464" si="85">O462</f>
        <v>-122.0,</v>
      </c>
      <c r="P463">
        <f t="shared" ref="P463:P464" si="86">P462-0.5</f>
        <v>-122.5</v>
      </c>
      <c r="Q463">
        <f t="shared" ref="Q463:Q464" si="87">Q462-0.5</f>
        <v>0.5</v>
      </c>
    </row>
    <row r="464" spans="2:17" x14ac:dyDescent="0.25">
      <c r="B464">
        <f>436+2*(Table1[[#This Row],[Column1]])</f>
        <v>442</v>
      </c>
      <c r="C464">
        <f>MINUTE(Table1[[#This Row],[Time]])</f>
        <v>3</v>
      </c>
      <c r="D464" s="1">
        <v>0.46074574074074076</v>
      </c>
      <c r="E464" t="s">
        <v>9</v>
      </c>
      <c r="F464">
        <v>-123</v>
      </c>
      <c r="G464">
        <v>0.8</v>
      </c>
      <c r="K464">
        <f>400+2*(Table2[[#This Row],[Column1]]-13)</f>
        <v>442</v>
      </c>
      <c r="L464">
        <f>MINUTE(Table2[[#This Row],[Time]])</f>
        <v>34</v>
      </c>
      <c r="M464" s="1">
        <v>0.690612037037037</v>
      </c>
      <c r="N464" t="s">
        <v>27</v>
      </c>
      <c r="O464" t="str">
        <f t="shared" si="85"/>
        <v>-122.0,</v>
      </c>
      <c r="P464">
        <f t="shared" si="86"/>
        <v>-123</v>
      </c>
      <c r="Q464">
        <f t="shared" si="87"/>
        <v>0</v>
      </c>
    </row>
    <row r="465" spans="2:17" x14ac:dyDescent="0.25">
      <c r="B465">
        <f>436+2*(Table1[[#This Row],[Column1]])</f>
        <v>442</v>
      </c>
      <c r="C465">
        <f>MINUTE(Table1[[#This Row],[Time]])</f>
        <v>3</v>
      </c>
      <c r="D465" s="1">
        <v>0.46077813657407407</v>
      </c>
      <c r="E465" t="s">
        <v>9</v>
      </c>
      <c r="F465">
        <v>-123</v>
      </c>
      <c r="G465">
        <v>0.8</v>
      </c>
      <c r="K465">
        <f>400+2*(Table2[[#This Row],[Column1]]-13)</f>
        <v>442</v>
      </c>
      <c r="L465">
        <f>MINUTE(Table2[[#This Row],[Time]])</f>
        <v>34</v>
      </c>
      <c r="M465" s="1">
        <v>0.69064443287037036</v>
      </c>
      <c r="N465" t="s">
        <v>9</v>
      </c>
      <c r="O465" t="s">
        <v>12</v>
      </c>
      <c r="P465">
        <f t="shared" si="84"/>
        <v>-123</v>
      </c>
      <c r="Q465">
        <v>0.8</v>
      </c>
    </row>
    <row r="466" spans="2:17" x14ac:dyDescent="0.25">
      <c r="B466">
        <f>436+2*(Table1[[#This Row],[Column1]])</f>
        <v>442</v>
      </c>
      <c r="C466">
        <f>MINUTE(Table1[[#This Row],[Time]])</f>
        <v>3</v>
      </c>
      <c r="D466" s="1">
        <v>0.46081053240740738</v>
      </c>
      <c r="E466" t="s">
        <v>9</v>
      </c>
      <c r="F466">
        <v>-123</v>
      </c>
      <c r="G466">
        <v>0.8</v>
      </c>
      <c r="K466">
        <f>400+2*(Table2[[#This Row],[Column1]]-13)</f>
        <v>442</v>
      </c>
      <c r="L466">
        <f>MINUTE(Table2[[#This Row],[Time]])</f>
        <v>34</v>
      </c>
      <c r="M466" s="1">
        <v>0.69067681712962958</v>
      </c>
      <c r="N466" t="s">
        <v>9</v>
      </c>
      <c r="O466" t="s">
        <v>12</v>
      </c>
      <c r="P466">
        <f t="shared" si="84"/>
        <v>-123</v>
      </c>
      <c r="Q466">
        <v>0.8</v>
      </c>
    </row>
    <row r="467" spans="2:17" x14ac:dyDescent="0.25">
      <c r="B467">
        <f>436+2*(Table1[[#This Row],[Column1]])</f>
        <v>442</v>
      </c>
      <c r="C467">
        <f>MINUTE(Table1[[#This Row],[Time]])</f>
        <v>3</v>
      </c>
      <c r="D467" s="1">
        <v>0.46084292824074069</v>
      </c>
      <c r="E467" t="s">
        <v>27</v>
      </c>
      <c r="F467">
        <f t="shared" ref="F467:F468" si="88">F466-0.5</f>
        <v>-123.5</v>
      </c>
      <c r="G467">
        <f t="shared" ref="G467:G468" si="89">G466-0.5</f>
        <v>0.30000000000000004</v>
      </c>
      <c r="K467">
        <f>400+2*(Table2[[#This Row],[Column1]]-13)</f>
        <v>442</v>
      </c>
      <c r="L467">
        <f>MINUTE(Table2[[#This Row],[Time]])</f>
        <v>34</v>
      </c>
      <c r="M467" s="1">
        <v>0.69070921296296295</v>
      </c>
      <c r="N467" t="s">
        <v>9</v>
      </c>
      <c r="O467" t="s">
        <v>12</v>
      </c>
      <c r="P467">
        <f t="shared" si="84"/>
        <v>-123</v>
      </c>
      <c r="Q467">
        <v>1</v>
      </c>
    </row>
    <row r="468" spans="2:17" x14ac:dyDescent="0.25">
      <c r="B468">
        <f>436+2*(Table1[[#This Row],[Column1]])</f>
        <v>442</v>
      </c>
      <c r="C468">
        <f>MINUTE(Table1[[#This Row],[Time]])</f>
        <v>3</v>
      </c>
      <c r="D468" s="1">
        <v>0.46087532407407406</v>
      </c>
      <c r="E468" t="s">
        <v>27</v>
      </c>
      <c r="F468">
        <f t="shared" si="88"/>
        <v>-124</v>
      </c>
      <c r="G468">
        <f t="shared" si="89"/>
        <v>-0.19999999999999996</v>
      </c>
      <c r="K468">
        <f>400+2*(Table2[[#This Row],[Column1]]-13)</f>
        <v>442</v>
      </c>
      <c r="L468">
        <f>MINUTE(Table2[[#This Row],[Time]])</f>
        <v>34</v>
      </c>
      <c r="M468" s="1">
        <v>0.69074160879629631</v>
      </c>
      <c r="N468" t="s">
        <v>27</v>
      </c>
      <c r="O468" t="str">
        <f>O467</f>
        <v>-123.0,</v>
      </c>
      <c r="P468">
        <f>P467-0.5</f>
        <v>-123.5</v>
      </c>
      <c r="Q468">
        <f>Q467-0.5</f>
        <v>0.5</v>
      </c>
    </row>
    <row r="469" spans="2:17" x14ac:dyDescent="0.25">
      <c r="B469">
        <f>436+2*(Table1[[#This Row],[Column1]])</f>
        <v>442</v>
      </c>
      <c r="C469">
        <f>MINUTE(Table1[[#This Row],[Time]])</f>
        <v>3</v>
      </c>
      <c r="D469" s="1">
        <v>0.46090771990740742</v>
      </c>
      <c r="E469" t="s">
        <v>9</v>
      </c>
      <c r="F469">
        <v>-117</v>
      </c>
      <c r="G469">
        <v>0.3</v>
      </c>
      <c r="K469">
        <f>400+2*(Table2[[#This Row],[Column1]]-13)</f>
        <v>442</v>
      </c>
      <c r="L469">
        <f>MINUTE(Table2[[#This Row],[Time]])</f>
        <v>34</v>
      </c>
      <c r="M469" s="1">
        <v>0.69077400462962968</v>
      </c>
      <c r="N469" t="s">
        <v>9</v>
      </c>
      <c r="O469" t="s">
        <v>12</v>
      </c>
      <c r="P469">
        <f t="shared" si="84"/>
        <v>-123</v>
      </c>
      <c r="Q469">
        <v>1</v>
      </c>
    </row>
    <row r="470" spans="2:17" x14ac:dyDescent="0.25">
      <c r="B470">
        <f>436+2*(Table1[[#This Row],[Column1]])</f>
        <v>442</v>
      </c>
      <c r="C470">
        <f>MINUTE(Table1[[#This Row],[Time]])</f>
        <v>3</v>
      </c>
      <c r="D470" s="1">
        <v>0.46094010416666664</v>
      </c>
      <c r="E470" t="s">
        <v>9</v>
      </c>
      <c r="F470">
        <v>-123</v>
      </c>
      <c r="G470">
        <v>1</v>
      </c>
      <c r="K470">
        <f>400+2*(Table2[[#This Row],[Column1]]-13)</f>
        <v>442</v>
      </c>
      <c r="L470">
        <f>MINUTE(Table2[[#This Row],[Time]])</f>
        <v>34</v>
      </c>
      <c r="M470" s="1">
        <v>0.69080641203703708</v>
      </c>
      <c r="N470" t="s">
        <v>9</v>
      </c>
      <c r="O470" t="s">
        <v>12</v>
      </c>
      <c r="P470">
        <f t="shared" si="84"/>
        <v>-123</v>
      </c>
      <c r="Q470">
        <v>1.3</v>
      </c>
    </row>
    <row r="471" spans="2:17" x14ac:dyDescent="0.25">
      <c r="B471">
        <f>436+2*(Table1[[#This Row],[Column1]])</f>
        <v>442</v>
      </c>
      <c r="C471">
        <f>MINUTE(Table1[[#This Row],[Time]])</f>
        <v>3</v>
      </c>
      <c r="D471" s="1">
        <v>0.46097249999999995</v>
      </c>
      <c r="E471" t="s">
        <v>9</v>
      </c>
      <c r="F471">
        <v>-122</v>
      </c>
      <c r="G471">
        <v>1</v>
      </c>
      <c r="K471">
        <f>400+2*(Table2[[#This Row],[Column1]]-13)</f>
        <v>442</v>
      </c>
      <c r="L471">
        <f>MINUTE(Table2[[#This Row],[Time]])</f>
        <v>34</v>
      </c>
      <c r="M471" s="1">
        <v>0.69083880787037033</v>
      </c>
      <c r="N471" t="s">
        <v>9</v>
      </c>
      <c r="O471" t="s">
        <v>12</v>
      </c>
      <c r="P471">
        <f t="shared" si="84"/>
        <v>-123</v>
      </c>
      <c r="Q471">
        <v>1.3</v>
      </c>
    </row>
    <row r="472" spans="2:17" x14ac:dyDescent="0.25">
      <c r="B472">
        <f>436+2*(Table1[[#This Row],[Column1]])</f>
        <v>442</v>
      </c>
      <c r="C472">
        <f>MINUTE(Table1[[#This Row],[Time]])</f>
        <v>3</v>
      </c>
      <c r="D472" s="1">
        <v>0.46100489583333332</v>
      </c>
      <c r="E472" t="s">
        <v>9</v>
      </c>
      <c r="F472">
        <v>-123</v>
      </c>
      <c r="G472">
        <v>0.3</v>
      </c>
      <c r="K472">
        <f>400+2*(Table2[[#This Row],[Column1]]-13)</f>
        <v>442</v>
      </c>
      <c r="L472">
        <f>MINUTE(Table2[[#This Row],[Time]])</f>
        <v>34</v>
      </c>
      <c r="M472" s="1">
        <v>0.6908712037037037</v>
      </c>
      <c r="N472" t="s">
        <v>9</v>
      </c>
      <c r="O472" t="s">
        <v>12</v>
      </c>
      <c r="P472">
        <f t="shared" si="84"/>
        <v>-123</v>
      </c>
      <c r="Q472">
        <v>0.8</v>
      </c>
    </row>
    <row r="473" spans="2:17" x14ac:dyDescent="0.25">
      <c r="B473">
        <f>436+2*(Table1[[#This Row],[Column1]])</f>
        <v>442</v>
      </c>
      <c r="C473">
        <f>MINUTE(Table1[[#This Row],[Time]])</f>
        <v>3</v>
      </c>
      <c r="D473" s="1">
        <v>0.46103730324074071</v>
      </c>
      <c r="E473" t="s">
        <v>9</v>
      </c>
      <c r="F473">
        <v>-123</v>
      </c>
      <c r="G473">
        <v>1</v>
      </c>
      <c r="K473">
        <f>400+2*(Table2[[#This Row],[Column1]]-13)</f>
        <v>442</v>
      </c>
      <c r="L473">
        <f>MINUTE(Table2[[#This Row],[Time]])</f>
        <v>34</v>
      </c>
      <c r="M473" s="1">
        <v>0.69090359953703706</v>
      </c>
      <c r="N473" t="s">
        <v>9</v>
      </c>
      <c r="O473" t="s">
        <v>12</v>
      </c>
      <c r="P473">
        <f t="shared" si="84"/>
        <v>-123</v>
      </c>
      <c r="Q473">
        <v>0.8</v>
      </c>
    </row>
    <row r="474" spans="2:17" x14ac:dyDescent="0.25">
      <c r="B474">
        <f>436+2*(Table1[[#This Row],[Column1]])</f>
        <v>442</v>
      </c>
      <c r="C474">
        <f>MINUTE(Table1[[#This Row],[Time]])</f>
        <v>3</v>
      </c>
      <c r="D474" s="1">
        <v>0.46106969907407408</v>
      </c>
      <c r="E474" t="s">
        <v>9</v>
      </c>
      <c r="F474">
        <v>-123</v>
      </c>
      <c r="G474">
        <v>1.3</v>
      </c>
      <c r="K474">
        <f>400+2*(Table2[[#This Row],[Column1]]-13)</f>
        <v>442</v>
      </c>
      <c r="L474">
        <f>MINUTE(Table2[[#This Row],[Time]])</f>
        <v>34</v>
      </c>
      <c r="M474" s="1">
        <v>0.69093599537037043</v>
      </c>
      <c r="N474" t="s">
        <v>9</v>
      </c>
      <c r="O474" t="s">
        <v>12</v>
      </c>
      <c r="P474">
        <f t="shared" si="84"/>
        <v>-123</v>
      </c>
      <c r="Q474">
        <v>1</v>
      </c>
    </row>
    <row r="475" spans="2:17" x14ac:dyDescent="0.25">
      <c r="B475">
        <f>436+2*(Table1[[#This Row],[Column1]])</f>
        <v>442</v>
      </c>
      <c r="C475">
        <f>MINUTE(Table1[[#This Row],[Time]])</f>
        <v>3</v>
      </c>
      <c r="D475" s="1">
        <v>0.46110209490740739</v>
      </c>
      <c r="E475" t="s">
        <v>9</v>
      </c>
      <c r="F475">
        <v>-123</v>
      </c>
      <c r="G475">
        <v>0.8</v>
      </c>
      <c r="K475">
        <f>400+2*(Table2[[#This Row],[Column1]]-13)</f>
        <v>444</v>
      </c>
      <c r="L475">
        <f>MINUTE(Table2[[#This Row],[Time]])</f>
        <v>35</v>
      </c>
      <c r="M475" s="1">
        <v>0.69096837962962965</v>
      </c>
      <c r="N475" t="s">
        <v>9</v>
      </c>
      <c r="O475" t="s">
        <v>12</v>
      </c>
      <c r="P475">
        <f t="shared" si="84"/>
        <v>-123</v>
      </c>
      <c r="Q475">
        <v>1</v>
      </c>
    </row>
    <row r="476" spans="2:17" x14ac:dyDescent="0.25">
      <c r="B476">
        <f>436+2*(Table1[[#This Row],[Column1]])</f>
        <v>444</v>
      </c>
      <c r="C476">
        <f>MINUTE(Table1[[#This Row],[Time]])</f>
        <v>4</v>
      </c>
      <c r="D476" s="1">
        <v>0.4611344907407407</v>
      </c>
      <c r="E476" t="s">
        <v>9</v>
      </c>
      <c r="F476">
        <v>-123</v>
      </c>
      <c r="G476">
        <v>0.8</v>
      </c>
      <c r="K476">
        <f>400+2*(Table2[[#This Row],[Column1]]-13)</f>
        <v>444</v>
      </c>
      <c r="L476">
        <f>MINUTE(Table2[[#This Row],[Time]])</f>
        <v>35</v>
      </c>
      <c r="M476" s="1">
        <v>0.69100078703703705</v>
      </c>
      <c r="N476" t="s">
        <v>9</v>
      </c>
      <c r="O476" t="s">
        <v>11</v>
      </c>
      <c r="P476">
        <f t="shared" si="84"/>
        <v>-122</v>
      </c>
      <c r="Q476">
        <v>1.3</v>
      </c>
    </row>
    <row r="477" spans="2:17" x14ac:dyDescent="0.25">
      <c r="B477">
        <f>436+2*(Table1[[#This Row],[Column1]])</f>
        <v>444</v>
      </c>
      <c r="C477">
        <f>MINUTE(Table1[[#This Row],[Time]])</f>
        <v>4</v>
      </c>
      <c r="D477" s="1">
        <v>0.46116688657407412</v>
      </c>
      <c r="E477" t="s">
        <v>27</v>
      </c>
      <c r="F477">
        <f>F476-0.5</f>
        <v>-123.5</v>
      </c>
      <c r="G477">
        <f>G476-0.5</f>
        <v>0.30000000000000004</v>
      </c>
      <c r="K477">
        <f>400+2*(Table2[[#This Row],[Column1]]-13)</f>
        <v>444</v>
      </c>
      <c r="L477">
        <f>MINUTE(Table2[[#This Row],[Time]])</f>
        <v>35</v>
      </c>
      <c r="M477" s="1">
        <v>0.69103318287037041</v>
      </c>
      <c r="N477" t="s">
        <v>9</v>
      </c>
      <c r="O477" t="s">
        <v>19</v>
      </c>
      <c r="P477">
        <f t="shared" si="84"/>
        <v>-124</v>
      </c>
      <c r="Q477">
        <v>-1</v>
      </c>
    </row>
    <row r="478" spans="2:17" x14ac:dyDescent="0.25">
      <c r="B478">
        <f>436+2*(Table1[[#This Row],[Column1]])</f>
        <v>444</v>
      </c>
      <c r="C478">
        <f>MINUTE(Table1[[#This Row],[Time]])</f>
        <v>4</v>
      </c>
      <c r="D478" s="1">
        <v>0.46119928240740743</v>
      </c>
      <c r="E478" t="s">
        <v>9</v>
      </c>
      <c r="F478">
        <v>-124</v>
      </c>
      <c r="G478">
        <v>-1.3</v>
      </c>
      <c r="K478">
        <f>400+2*(Table2[[#This Row],[Column1]]-13)</f>
        <v>444</v>
      </c>
      <c r="L478">
        <f>MINUTE(Table2[[#This Row],[Time]])</f>
        <v>35</v>
      </c>
      <c r="M478" s="1">
        <v>0.69106556712962963</v>
      </c>
      <c r="N478" t="s">
        <v>9</v>
      </c>
      <c r="O478" t="s">
        <v>19</v>
      </c>
      <c r="P478">
        <f t="shared" si="84"/>
        <v>-124</v>
      </c>
      <c r="Q478">
        <v>-1.3</v>
      </c>
    </row>
    <row r="479" spans="2:17" x14ac:dyDescent="0.25">
      <c r="B479">
        <f>436+2*(Table1[[#This Row],[Column1]])</f>
        <v>444</v>
      </c>
      <c r="C479">
        <f>MINUTE(Table1[[#This Row],[Time]])</f>
        <v>4</v>
      </c>
      <c r="D479" s="1">
        <v>0.46123167824074074</v>
      </c>
      <c r="E479" t="s">
        <v>9</v>
      </c>
      <c r="F479">
        <v>-124</v>
      </c>
      <c r="G479">
        <v>-1.3</v>
      </c>
      <c r="K479">
        <f>400+2*(Table2[[#This Row],[Column1]]-13)</f>
        <v>444</v>
      </c>
      <c r="L479">
        <f>MINUTE(Table2[[#This Row],[Time]])</f>
        <v>35</v>
      </c>
      <c r="M479" s="1">
        <v>0.691097962962963</v>
      </c>
      <c r="N479" t="s">
        <v>9</v>
      </c>
      <c r="O479" t="s">
        <v>19</v>
      </c>
      <c r="P479">
        <f t="shared" si="84"/>
        <v>-124</v>
      </c>
      <c r="Q479">
        <v>-1.3</v>
      </c>
    </row>
    <row r="480" spans="2:17" x14ac:dyDescent="0.25">
      <c r="B480">
        <f>436+2*(Table1[[#This Row],[Column1]])</f>
        <v>444</v>
      </c>
      <c r="C480">
        <f>MINUTE(Table1[[#This Row],[Time]])</f>
        <v>4</v>
      </c>
      <c r="D480" s="1">
        <v>0.46126406249999996</v>
      </c>
      <c r="E480" t="s">
        <v>27</v>
      </c>
      <c r="F480">
        <f>F479-0.5</f>
        <v>-124.5</v>
      </c>
      <c r="G480">
        <f>G479-0.5</f>
        <v>-1.8</v>
      </c>
      <c r="K480">
        <f>400+2*(Table2[[#This Row],[Column1]]-13)</f>
        <v>444</v>
      </c>
      <c r="L480">
        <f>MINUTE(Table2[[#This Row],[Time]])</f>
        <v>35</v>
      </c>
      <c r="M480" s="1">
        <v>0.69113037037037028</v>
      </c>
      <c r="N480" t="s">
        <v>13</v>
      </c>
      <c r="O480" t="str">
        <f>O479</f>
        <v>-124.0,</v>
      </c>
      <c r="P480">
        <f>P479-0.5</f>
        <v>-124.5</v>
      </c>
      <c r="Q480">
        <f>Q479-0.5</f>
        <v>-1.8</v>
      </c>
    </row>
    <row r="481" spans="2:17" x14ac:dyDescent="0.25">
      <c r="B481">
        <f>436+2*(Table1[[#This Row],[Column1]])</f>
        <v>444</v>
      </c>
      <c r="C481">
        <f>MINUTE(Table1[[#This Row],[Time]])</f>
        <v>4</v>
      </c>
      <c r="D481" s="1">
        <v>0.46129646990740741</v>
      </c>
      <c r="E481" t="s">
        <v>9</v>
      </c>
      <c r="F481">
        <v>-122</v>
      </c>
      <c r="G481">
        <v>1</v>
      </c>
      <c r="K481">
        <f>400+2*(Table2[[#This Row],[Column1]]-13)</f>
        <v>444</v>
      </c>
      <c r="L481">
        <f>MINUTE(Table2[[#This Row],[Time]])</f>
        <v>35</v>
      </c>
      <c r="M481" s="1">
        <v>0.69116275462962962</v>
      </c>
      <c r="N481" t="s">
        <v>9</v>
      </c>
      <c r="O481" t="s">
        <v>12</v>
      </c>
      <c r="P481">
        <f t="shared" si="84"/>
        <v>-123</v>
      </c>
      <c r="Q481">
        <v>1</v>
      </c>
    </row>
    <row r="482" spans="2:17" x14ac:dyDescent="0.25">
      <c r="B482">
        <f>436+2*(Table1[[#This Row],[Column1]])</f>
        <v>444</v>
      </c>
      <c r="C482">
        <f>MINUTE(Table1[[#This Row],[Time]])</f>
        <v>4</v>
      </c>
      <c r="D482" s="1">
        <v>0.46132886574074072</v>
      </c>
      <c r="E482" t="s">
        <v>9</v>
      </c>
      <c r="F482">
        <v>-123</v>
      </c>
      <c r="G482">
        <v>0.8</v>
      </c>
      <c r="K482">
        <f>400+2*(Table2[[#This Row],[Column1]]-13)</f>
        <v>444</v>
      </c>
      <c r="L482">
        <f>MINUTE(Table2[[#This Row],[Time]])</f>
        <v>35</v>
      </c>
      <c r="M482" s="1">
        <v>0.69119515046296298</v>
      </c>
      <c r="N482" t="s">
        <v>9</v>
      </c>
      <c r="O482" t="s">
        <v>12</v>
      </c>
      <c r="P482">
        <f t="shared" si="84"/>
        <v>-123</v>
      </c>
      <c r="Q482">
        <v>1</v>
      </c>
    </row>
    <row r="483" spans="2:17" x14ac:dyDescent="0.25">
      <c r="B483">
        <f>436+2*(Table1[[#This Row],[Column1]])</f>
        <v>444</v>
      </c>
      <c r="C483">
        <f>MINUTE(Table1[[#This Row],[Time]])</f>
        <v>4</v>
      </c>
      <c r="D483" s="1">
        <v>0.46136126157407403</v>
      </c>
      <c r="E483" t="s">
        <v>9</v>
      </c>
      <c r="F483">
        <v>-123</v>
      </c>
      <c r="G483">
        <v>1</v>
      </c>
      <c r="K483">
        <f>400+2*(Table2[[#This Row],[Column1]]-13)</f>
        <v>444</v>
      </c>
      <c r="L483">
        <f>MINUTE(Table2[[#This Row],[Time]])</f>
        <v>35</v>
      </c>
      <c r="M483" s="1">
        <v>0.69122754629629624</v>
      </c>
      <c r="N483" t="s">
        <v>9</v>
      </c>
      <c r="O483" t="s">
        <v>11</v>
      </c>
      <c r="P483">
        <f t="shared" si="84"/>
        <v>-122</v>
      </c>
      <c r="Q483">
        <v>1</v>
      </c>
    </row>
    <row r="484" spans="2:17" x14ac:dyDescent="0.25">
      <c r="B484">
        <f>436+2*(Table1[[#This Row],[Column1]])</f>
        <v>444</v>
      </c>
      <c r="C484">
        <f>MINUTE(Table1[[#This Row],[Time]])</f>
        <v>4</v>
      </c>
      <c r="D484" s="1">
        <v>0.46139365740740734</v>
      </c>
      <c r="E484" t="s">
        <v>27</v>
      </c>
      <c r="F484">
        <f>F483-0.5</f>
        <v>-123.5</v>
      </c>
      <c r="G484">
        <f>G483-0.5</f>
        <v>0.5</v>
      </c>
      <c r="K484">
        <f>400+2*(Table2[[#This Row],[Column1]]-13)</f>
        <v>444</v>
      </c>
      <c r="L484">
        <f>MINUTE(Table2[[#This Row],[Time]])</f>
        <v>35</v>
      </c>
      <c r="M484" s="1">
        <v>0.6912599421296296</v>
      </c>
      <c r="N484" t="s">
        <v>27</v>
      </c>
      <c r="O484" t="str">
        <f t="shared" ref="O484:O485" si="90">O483</f>
        <v>-122.0,</v>
      </c>
      <c r="P484">
        <f t="shared" ref="P484:P485" si="91">P483-0.5</f>
        <v>-122.5</v>
      </c>
      <c r="Q484">
        <f t="shared" ref="Q484:Q485" si="92">Q483-0.5</f>
        <v>0.5</v>
      </c>
    </row>
    <row r="485" spans="2:17" x14ac:dyDescent="0.25">
      <c r="B485">
        <f>436+2*(Table1[[#This Row],[Column1]])</f>
        <v>444</v>
      </c>
      <c r="C485">
        <f>MINUTE(Table1[[#This Row],[Time]])</f>
        <v>4</v>
      </c>
      <c r="D485" s="1">
        <v>0.46142605324074076</v>
      </c>
      <c r="E485" t="s">
        <v>9</v>
      </c>
      <c r="F485">
        <v>-123</v>
      </c>
      <c r="G485">
        <v>0.5</v>
      </c>
      <c r="K485">
        <f>400+2*(Table2[[#This Row],[Column1]]-13)</f>
        <v>444</v>
      </c>
      <c r="L485">
        <f>MINUTE(Table2[[#This Row],[Time]])</f>
        <v>35</v>
      </c>
      <c r="M485" s="1">
        <v>0.691292349537037</v>
      </c>
      <c r="N485" t="s">
        <v>27</v>
      </c>
      <c r="O485" t="str">
        <f t="shared" si="90"/>
        <v>-122.0,</v>
      </c>
      <c r="P485">
        <f t="shared" si="91"/>
        <v>-123</v>
      </c>
      <c r="Q485">
        <f t="shared" si="92"/>
        <v>0</v>
      </c>
    </row>
    <row r="486" spans="2:17" x14ac:dyDescent="0.25">
      <c r="B486">
        <f>436+2*(Table1[[#This Row],[Column1]])</f>
        <v>444</v>
      </c>
      <c r="C486">
        <f>MINUTE(Table1[[#This Row],[Time]])</f>
        <v>4</v>
      </c>
      <c r="D486" s="1">
        <v>0.46145844907407407</v>
      </c>
      <c r="E486" t="s">
        <v>9</v>
      </c>
      <c r="F486">
        <v>-118</v>
      </c>
      <c r="G486">
        <v>0.5</v>
      </c>
      <c r="K486">
        <f>400+2*(Table2[[#This Row],[Column1]]-13)</f>
        <v>444</v>
      </c>
      <c r="L486">
        <f>MINUTE(Table2[[#This Row],[Time]])</f>
        <v>35</v>
      </c>
      <c r="M486" s="1">
        <v>0.69132474537037036</v>
      </c>
      <c r="N486" t="s">
        <v>9</v>
      </c>
      <c r="O486" t="s">
        <v>12</v>
      </c>
      <c r="P486">
        <f t="shared" si="84"/>
        <v>-123</v>
      </c>
      <c r="Q486">
        <v>0.8</v>
      </c>
    </row>
    <row r="487" spans="2:17" x14ac:dyDescent="0.25">
      <c r="B487">
        <f>436+2*(Table1[[#This Row],[Column1]])</f>
        <v>444</v>
      </c>
      <c r="C487">
        <f>MINUTE(Table1[[#This Row],[Time]])</f>
        <v>4</v>
      </c>
      <c r="D487" s="1">
        <v>0.46149084490740744</v>
      </c>
      <c r="E487" t="s">
        <v>9</v>
      </c>
      <c r="F487">
        <v>-123</v>
      </c>
      <c r="G487">
        <v>1</v>
      </c>
      <c r="K487">
        <f>400+2*(Table2[[#This Row],[Column1]]-13)</f>
        <v>444</v>
      </c>
      <c r="L487">
        <f>MINUTE(Table2[[#This Row],[Time]])</f>
        <v>35</v>
      </c>
      <c r="M487" s="1">
        <v>0.6913571296296297</v>
      </c>
      <c r="N487" t="s">
        <v>9</v>
      </c>
      <c r="O487" t="s">
        <v>12</v>
      </c>
      <c r="P487">
        <f t="shared" si="84"/>
        <v>-123</v>
      </c>
      <c r="Q487">
        <v>1</v>
      </c>
    </row>
    <row r="488" spans="2:17" x14ac:dyDescent="0.25">
      <c r="B488">
        <f>436+2*(Table1[[#This Row],[Column1]])</f>
        <v>444</v>
      </c>
      <c r="C488">
        <f>MINUTE(Table1[[#This Row],[Time]])</f>
        <v>4</v>
      </c>
      <c r="D488" s="1">
        <v>0.46152324074074075</v>
      </c>
      <c r="E488" t="s">
        <v>27</v>
      </c>
      <c r="F488">
        <f>F487-0.5</f>
        <v>-123.5</v>
      </c>
      <c r="G488">
        <f>G487-0.5</f>
        <v>0.5</v>
      </c>
      <c r="K488">
        <f>400+2*(Table2[[#This Row],[Column1]]-13)</f>
        <v>444</v>
      </c>
      <c r="L488">
        <f>MINUTE(Table2[[#This Row],[Time]])</f>
        <v>35</v>
      </c>
      <c r="M488" s="1">
        <v>0.69138952546296295</v>
      </c>
      <c r="N488" t="s">
        <v>9</v>
      </c>
      <c r="O488" t="s">
        <v>12</v>
      </c>
      <c r="P488">
        <f t="shared" si="84"/>
        <v>-123</v>
      </c>
      <c r="Q488">
        <v>1</v>
      </c>
    </row>
    <row r="489" spans="2:17" x14ac:dyDescent="0.25">
      <c r="B489">
        <f>436+2*(Table1[[#This Row],[Column1]])</f>
        <v>444</v>
      </c>
      <c r="C489">
        <f>MINUTE(Table1[[#This Row],[Time]])</f>
        <v>4</v>
      </c>
      <c r="D489" s="1">
        <v>0.46155562500000002</v>
      </c>
      <c r="E489" t="s">
        <v>9</v>
      </c>
      <c r="F489">
        <v>-123</v>
      </c>
      <c r="G489">
        <v>1</v>
      </c>
      <c r="K489">
        <f>400+2*(Table2[[#This Row],[Column1]]-13)</f>
        <v>444</v>
      </c>
      <c r="L489">
        <f>MINUTE(Table2[[#This Row],[Time]])</f>
        <v>35</v>
      </c>
      <c r="M489" s="1">
        <v>0.69142193287037046</v>
      </c>
      <c r="N489" t="s">
        <v>9</v>
      </c>
      <c r="O489" t="s">
        <v>12</v>
      </c>
      <c r="P489">
        <f t="shared" si="84"/>
        <v>-123</v>
      </c>
      <c r="Q489">
        <v>0.5</v>
      </c>
    </row>
    <row r="490" spans="2:17" x14ac:dyDescent="0.25">
      <c r="B490">
        <f>436+2*(Table1[[#This Row],[Column1]])</f>
        <v>444</v>
      </c>
      <c r="C490">
        <f>MINUTE(Table1[[#This Row],[Time]])</f>
        <v>4</v>
      </c>
      <c r="D490" s="1">
        <v>0.46158803240740737</v>
      </c>
      <c r="E490" t="s">
        <v>9</v>
      </c>
      <c r="F490">
        <v>-123</v>
      </c>
      <c r="G490">
        <v>0.8</v>
      </c>
      <c r="K490">
        <f>400+2*(Table2[[#This Row],[Column1]]-13)</f>
        <v>444</v>
      </c>
      <c r="L490">
        <f>MINUTE(Table2[[#This Row],[Time]])</f>
        <v>35</v>
      </c>
      <c r="M490" s="1">
        <v>0.69145432870370371</v>
      </c>
      <c r="N490" t="s">
        <v>9</v>
      </c>
      <c r="O490" t="s">
        <v>11</v>
      </c>
      <c r="P490">
        <f t="shared" si="84"/>
        <v>-122</v>
      </c>
      <c r="Q490">
        <v>1</v>
      </c>
    </row>
    <row r="491" spans="2:17" x14ac:dyDescent="0.25">
      <c r="B491">
        <f>436+2*(Table1[[#This Row],[Column1]])</f>
        <v>444</v>
      </c>
      <c r="C491">
        <f>MINUTE(Table1[[#This Row],[Time]])</f>
        <v>4</v>
      </c>
      <c r="D491" s="1">
        <v>0.46162042824074073</v>
      </c>
      <c r="E491" t="s">
        <v>9</v>
      </c>
      <c r="F491">
        <v>-119</v>
      </c>
      <c r="G491">
        <v>0.8</v>
      </c>
      <c r="K491">
        <f>400+2*(Table2[[#This Row],[Column1]]-13)</f>
        <v>444</v>
      </c>
      <c r="L491">
        <f>MINUTE(Table2[[#This Row],[Time]])</f>
        <v>35</v>
      </c>
      <c r="M491" s="1">
        <v>0.69148672453703708</v>
      </c>
      <c r="N491" t="s">
        <v>27</v>
      </c>
      <c r="O491" t="str">
        <f>O490</f>
        <v>-122.0,</v>
      </c>
      <c r="P491">
        <f>P490-0.5</f>
        <v>-122.5</v>
      </c>
      <c r="Q491">
        <f>Q490-0.5</f>
        <v>0.5</v>
      </c>
    </row>
    <row r="492" spans="2:17" x14ac:dyDescent="0.25">
      <c r="B492">
        <f>436+2*(Table1[[#This Row],[Column1]])</f>
        <v>444</v>
      </c>
      <c r="C492">
        <f>MINUTE(Table1[[#This Row],[Time]])</f>
        <v>4</v>
      </c>
      <c r="D492" s="1">
        <v>0.46165282407407404</v>
      </c>
      <c r="E492" t="s">
        <v>9</v>
      </c>
      <c r="F492">
        <v>-123</v>
      </c>
      <c r="G492">
        <v>1</v>
      </c>
      <c r="K492">
        <f>400+2*(Table2[[#This Row],[Column1]]-13)</f>
        <v>444</v>
      </c>
      <c r="L492">
        <f>MINUTE(Table2[[#This Row],[Time]])</f>
        <v>35</v>
      </c>
      <c r="M492" s="1">
        <v>0.69151909722222227</v>
      </c>
      <c r="N492" t="s">
        <v>9</v>
      </c>
      <c r="O492" t="s">
        <v>12</v>
      </c>
      <c r="P492">
        <f t="shared" si="84"/>
        <v>-123</v>
      </c>
      <c r="Q492">
        <v>0.8</v>
      </c>
    </row>
    <row r="493" spans="2:17" x14ac:dyDescent="0.25">
      <c r="B493">
        <f>436+2*(Table1[[#This Row],[Column1]])</f>
        <v>444</v>
      </c>
      <c r="C493">
        <f>MINUTE(Table1[[#This Row],[Time]])</f>
        <v>4</v>
      </c>
      <c r="D493" s="1">
        <v>0.46168521990740746</v>
      </c>
      <c r="E493" t="s">
        <v>9</v>
      </c>
      <c r="F493">
        <v>-123</v>
      </c>
      <c r="G493">
        <v>0.8</v>
      </c>
      <c r="K493">
        <f>400+2*(Table2[[#This Row],[Column1]]-13)</f>
        <v>444</v>
      </c>
      <c r="L493">
        <f>MINUTE(Table2[[#This Row],[Time]])</f>
        <v>35</v>
      </c>
      <c r="M493" s="1">
        <v>0.69155150462962967</v>
      </c>
      <c r="N493" t="s">
        <v>9</v>
      </c>
      <c r="O493" t="s">
        <v>12</v>
      </c>
      <c r="P493">
        <f t="shared" si="84"/>
        <v>-123</v>
      </c>
      <c r="Q493">
        <v>0.8</v>
      </c>
    </row>
    <row r="494" spans="2:17" x14ac:dyDescent="0.25">
      <c r="B494">
        <f>436+2*(Table1[[#This Row],[Column1]])</f>
        <v>444</v>
      </c>
      <c r="C494">
        <f>MINUTE(Table1[[#This Row],[Time]])</f>
        <v>4</v>
      </c>
      <c r="D494" s="1">
        <v>0.46171761574074077</v>
      </c>
      <c r="E494" t="s">
        <v>9</v>
      </c>
      <c r="F494">
        <v>-119</v>
      </c>
      <c r="G494">
        <v>1</v>
      </c>
      <c r="K494">
        <f>400+2*(Table2[[#This Row],[Column1]]-13)</f>
        <v>444</v>
      </c>
      <c r="L494">
        <f>MINUTE(Table2[[#This Row],[Time]])</f>
        <v>35</v>
      </c>
      <c r="M494" s="1">
        <v>0.69158388888888889</v>
      </c>
      <c r="N494" t="s">
        <v>9</v>
      </c>
      <c r="O494" t="s">
        <v>12</v>
      </c>
      <c r="P494">
        <f t="shared" si="84"/>
        <v>-123</v>
      </c>
      <c r="Q494">
        <v>1</v>
      </c>
    </row>
    <row r="495" spans="2:17" x14ac:dyDescent="0.25">
      <c r="B495">
        <f>436+2*(Table1[[#This Row],[Column1]])</f>
        <v>444</v>
      </c>
      <c r="C495">
        <f>MINUTE(Table1[[#This Row],[Time]])</f>
        <v>4</v>
      </c>
      <c r="D495" s="1">
        <v>0.46174998842592591</v>
      </c>
      <c r="E495" t="s">
        <v>27</v>
      </c>
      <c r="F495">
        <f>F494-0.5</f>
        <v>-119.5</v>
      </c>
      <c r="G495">
        <f>G494-0.5</f>
        <v>0.5</v>
      </c>
      <c r="K495">
        <f>400+2*(Table2[[#This Row],[Column1]]-13)</f>
        <v>444</v>
      </c>
      <c r="L495">
        <f>MINUTE(Table2[[#This Row],[Time]])</f>
        <v>35</v>
      </c>
      <c r="M495" s="1">
        <v>0.69161630787037032</v>
      </c>
      <c r="N495" t="s">
        <v>9</v>
      </c>
      <c r="O495" t="s">
        <v>12</v>
      </c>
      <c r="P495">
        <f t="shared" si="84"/>
        <v>-123</v>
      </c>
      <c r="Q495">
        <v>0.3</v>
      </c>
    </row>
    <row r="496" spans="2:17" x14ac:dyDescent="0.25">
      <c r="B496">
        <f>436+2*(Table1[[#This Row],[Column1]])</f>
        <v>444</v>
      </c>
      <c r="C496">
        <f>MINUTE(Table1[[#This Row],[Time]])</f>
        <v>4</v>
      </c>
      <c r="D496" s="1">
        <v>0.46178240740740739</v>
      </c>
      <c r="E496" t="s">
        <v>9</v>
      </c>
      <c r="F496">
        <v>-123</v>
      </c>
      <c r="G496">
        <v>0.5</v>
      </c>
      <c r="K496">
        <f>400+2*(Table2[[#This Row],[Column1]]-13)</f>
        <v>444</v>
      </c>
      <c r="L496">
        <f>MINUTE(Table2[[#This Row],[Time]])</f>
        <v>35</v>
      </c>
      <c r="M496" s="1">
        <v>0.69164870370370368</v>
      </c>
      <c r="N496" t="s">
        <v>9</v>
      </c>
      <c r="O496" t="s">
        <v>12</v>
      </c>
      <c r="P496">
        <f t="shared" si="84"/>
        <v>-123</v>
      </c>
      <c r="Q496">
        <v>0.8</v>
      </c>
    </row>
    <row r="497" spans="2:17" x14ac:dyDescent="0.25">
      <c r="B497">
        <f>436+2*(Table1[[#This Row],[Column1]])</f>
        <v>446</v>
      </c>
      <c r="C497">
        <f>MINUTE(Table1[[#This Row],[Time]])</f>
        <v>5</v>
      </c>
      <c r="D497" s="1">
        <v>0.46181479166666667</v>
      </c>
      <c r="E497" t="s">
        <v>9</v>
      </c>
      <c r="F497">
        <v>-123</v>
      </c>
      <c r="G497">
        <v>0.5</v>
      </c>
      <c r="K497">
        <f>400+2*(Table2[[#This Row],[Column1]]-13)</f>
        <v>446</v>
      </c>
      <c r="L497">
        <f>MINUTE(Table2[[#This Row],[Time]])</f>
        <v>36</v>
      </c>
      <c r="M497" s="1">
        <v>0.69168109953703705</v>
      </c>
      <c r="N497" t="s">
        <v>9</v>
      </c>
      <c r="O497" t="s">
        <v>12</v>
      </c>
      <c r="P497">
        <f t="shared" si="84"/>
        <v>-123</v>
      </c>
      <c r="Q497">
        <v>1.3</v>
      </c>
    </row>
    <row r="498" spans="2:17" x14ac:dyDescent="0.25">
      <c r="B498">
        <f>436+2*(Table1[[#This Row],[Column1]])</f>
        <v>446</v>
      </c>
      <c r="C498">
        <f>MINUTE(Table1[[#This Row],[Time]])</f>
        <v>5</v>
      </c>
      <c r="D498" s="1">
        <v>0.46184719907407407</v>
      </c>
      <c r="E498" t="s">
        <v>13</v>
      </c>
      <c r="F498">
        <f>F497-0.5</f>
        <v>-123.5</v>
      </c>
      <c r="G498">
        <f>G497-0.5</f>
        <v>0</v>
      </c>
      <c r="K498">
        <f>400+2*(Table2[[#This Row],[Column1]]-13)</f>
        <v>446</v>
      </c>
      <c r="L498">
        <f>MINUTE(Table2[[#This Row],[Time]])</f>
        <v>36</v>
      </c>
      <c r="M498" s="1">
        <v>0.69171349537037041</v>
      </c>
      <c r="N498" t="s">
        <v>13</v>
      </c>
      <c r="O498" t="str">
        <f>O497</f>
        <v>-123.0,</v>
      </c>
      <c r="P498">
        <f>P497-0.5</f>
        <v>-123.5</v>
      </c>
      <c r="Q498">
        <f>Q497-0.5</f>
        <v>0.8</v>
      </c>
    </row>
    <row r="499" spans="2:17" x14ac:dyDescent="0.25">
      <c r="B499">
        <f>436+2*(Table1[[#This Row],[Column1]])</f>
        <v>446</v>
      </c>
      <c r="C499">
        <f>MINUTE(Table1[[#This Row],[Time]])</f>
        <v>5</v>
      </c>
      <c r="D499" s="1">
        <v>0.46187959490740738</v>
      </c>
      <c r="E499" t="s">
        <v>9</v>
      </c>
      <c r="F499">
        <v>-124</v>
      </c>
      <c r="G499">
        <v>-1.5</v>
      </c>
      <c r="K499">
        <f>400+2*(Table2[[#This Row],[Column1]]-13)</f>
        <v>446</v>
      </c>
      <c r="L499">
        <f>MINUTE(Table2[[#This Row],[Time]])</f>
        <v>36</v>
      </c>
      <c r="M499" s="1">
        <v>0.69174589120370367</v>
      </c>
      <c r="N499" t="s">
        <v>9</v>
      </c>
      <c r="O499" t="s">
        <v>19</v>
      </c>
      <c r="P499">
        <f t="shared" si="84"/>
        <v>-124</v>
      </c>
      <c r="Q499">
        <v>-0.8</v>
      </c>
    </row>
    <row r="500" spans="2:17" x14ac:dyDescent="0.25">
      <c r="B500">
        <f>436+2*(Table1[[#This Row],[Column1]])</f>
        <v>446</v>
      </c>
      <c r="C500">
        <f>MINUTE(Table1[[#This Row],[Time]])</f>
        <v>5</v>
      </c>
      <c r="D500" s="1">
        <v>0.46191197916666665</v>
      </c>
      <c r="E500" t="s">
        <v>27</v>
      </c>
      <c r="F500">
        <f t="shared" ref="F500:F501" si="93">F499-0.5</f>
        <v>-124.5</v>
      </c>
      <c r="G500">
        <f t="shared" ref="G500:G501" si="94">G499-0.5</f>
        <v>-2</v>
      </c>
      <c r="K500">
        <f>400+2*(Table2[[#This Row],[Column1]]-13)</f>
        <v>446</v>
      </c>
      <c r="L500">
        <f>MINUTE(Table2[[#This Row],[Time]])</f>
        <v>36</v>
      </c>
      <c r="M500" s="1">
        <v>0.69177828703703703</v>
      </c>
      <c r="N500" t="s">
        <v>9</v>
      </c>
      <c r="O500" t="s">
        <v>19</v>
      </c>
      <c r="P500">
        <f t="shared" si="84"/>
        <v>-124</v>
      </c>
      <c r="Q500">
        <v>-1</v>
      </c>
    </row>
    <row r="501" spans="2:17" x14ac:dyDescent="0.25">
      <c r="B501">
        <f>436+2*(Table1[[#This Row],[Column1]])</f>
        <v>446</v>
      </c>
      <c r="C501">
        <f>MINUTE(Table1[[#This Row],[Time]])</f>
        <v>5</v>
      </c>
      <c r="D501" s="1">
        <v>0.46194438657407411</v>
      </c>
      <c r="E501" t="s">
        <v>13</v>
      </c>
      <c r="F501">
        <f t="shared" si="93"/>
        <v>-125</v>
      </c>
      <c r="G501">
        <f t="shared" si="94"/>
        <v>-2.5</v>
      </c>
      <c r="K501">
        <f>400+2*(Table2[[#This Row],[Column1]]-13)</f>
        <v>446</v>
      </c>
      <c r="L501">
        <f>MINUTE(Table2[[#This Row],[Time]])</f>
        <v>36</v>
      </c>
      <c r="M501" s="1">
        <v>0.6918106828703704</v>
      </c>
      <c r="N501" t="s">
        <v>27</v>
      </c>
      <c r="O501" t="str">
        <f t="shared" ref="O501:O502" si="95">O500</f>
        <v>-124.0,</v>
      </c>
      <c r="P501">
        <f t="shared" ref="P501:P502" si="96">P500-0.5</f>
        <v>-124.5</v>
      </c>
      <c r="Q501">
        <f t="shared" ref="Q501:Q502" si="97">Q500-0.5</f>
        <v>-1.5</v>
      </c>
    </row>
    <row r="502" spans="2:17" x14ac:dyDescent="0.25">
      <c r="B502">
        <f>436+2*(Table1[[#This Row],[Column1]])</f>
        <v>446</v>
      </c>
      <c r="C502">
        <f>MINUTE(Table1[[#This Row],[Time]])</f>
        <v>5</v>
      </c>
      <c r="D502" s="1">
        <v>0.46197678240740742</v>
      </c>
      <c r="E502" t="s">
        <v>9</v>
      </c>
      <c r="F502">
        <v>-123</v>
      </c>
      <c r="G502">
        <v>0.5</v>
      </c>
      <c r="K502">
        <f>400+2*(Table2[[#This Row],[Column1]]-13)</f>
        <v>446</v>
      </c>
      <c r="L502">
        <f>MINUTE(Table2[[#This Row],[Time]])</f>
        <v>36</v>
      </c>
      <c r="M502" s="1">
        <v>0.69184306712962962</v>
      </c>
      <c r="N502" t="s">
        <v>13</v>
      </c>
      <c r="O502" t="str">
        <f t="shared" si="95"/>
        <v>-124.0,</v>
      </c>
      <c r="P502">
        <f t="shared" si="96"/>
        <v>-125</v>
      </c>
      <c r="Q502">
        <f t="shared" si="97"/>
        <v>-2</v>
      </c>
    </row>
    <row r="503" spans="2:17" x14ac:dyDescent="0.25">
      <c r="B503">
        <f>436+2*(Table1[[#This Row],[Column1]])</f>
        <v>446</v>
      </c>
      <c r="C503">
        <f>MINUTE(Table1[[#This Row],[Time]])</f>
        <v>5</v>
      </c>
      <c r="D503" s="1">
        <v>0.46200917824074073</v>
      </c>
      <c r="E503" t="s">
        <v>9</v>
      </c>
      <c r="F503">
        <v>-123</v>
      </c>
      <c r="G503">
        <v>0.3</v>
      </c>
      <c r="K503">
        <f>400+2*(Table2[[#This Row],[Column1]]-13)</f>
        <v>446</v>
      </c>
      <c r="L503">
        <f>MINUTE(Table2[[#This Row],[Time]])</f>
        <v>36</v>
      </c>
      <c r="M503" s="1">
        <v>0.69187547453703702</v>
      </c>
      <c r="N503" t="s">
        <v>9</v>
      </c>
      <c r="O503" t="s">
        <v>12</v>
      </c>
      <c r="P503">
        <f t="shared" si="84"/>
        <v>-123</v>
      </c>
      <c r="Q503">
        <v>1.3</v>
      </c>
    </row>
    <row r="504" spans="2:17" x14ac:dyDescent="0.25">
      <c r="B504">
        <f>436+2*(Table1[[#This Row],[Column1]])</f>
        <v>446</v>
      </c>
      <c r="C504">
        <f>MINUTE(Table1[[#This Row],[Time]])</f>
        <v>5</v>
      </c>
      <c r="D504" s="1">
        <v>0.46204157407407409</v>
      </c>
      <c r="E504" t="s">
        <v>9</v>
      </c>
      <c r="F504">
        <v>-122</v>
      </c>
      <c r="G504">
        <v>0.8</v>
      </c>
      <c r="K504">
        <f>400+2*(Table2[[#This Row],[Column1]]-13)</f>
        <v>446</v>
      </c>
      <c r="L504">
        <f>MINUTE(Table2[[#This Row],[Time]])</f>
        <v>36</v>
      </c>
      <c r="M504" s="1">
        <v>0.69190787037037038</v>
      </c>
      <c r="N504" t="s">
        <v>9</v>
      </c>
      <c r="O504" t="s">
        <v>11</v>
      </c>
      <c r="P504">
        <f t="shared" si="84"/>
        <v>-122</v>
      </c>
      <c r="Q504">
        <v>1</v>
      </c>
    </row>
    <row r="505" spans="2:17" x14ac:dyDescent="0.25">
      <c r="B505">
        <f>436+2*(Table1[[#This Row],[Column1]])</f>
        <v>446</v>
      </c>
      <c r="C505">
        <f>MINUTE(Table1[[#This Row],[Time]])</f>
        <v>5</v>
      </c>
      <c r="D505" s="1">
        <v>0.46207395833333337</v>
      </c>
      <c r="E505" t="s">
        <v>9</v>
      </c>
      <c r="F505">
        <v>-123</v>
      </c>
      <c r="G505">
        <v>0.5</v>
      </c>
      <c r="K505">
        <f>400+2*(Table2[[#This Row],[Column1]]-13)</f>
        <v>446</v>
      </c>
      <c r="L505">
        <f>MINUTE(Table2[[#This Row],[Time]])</f>
        <v>36</v>
      </c>
      <c r="M505" s="1">
        <v>0.6919402546296296</v>
      </c>
      <c r="N505" t="s">
        <v>9</v>
      </c>
      <c r="O505" t="s">
        <v>12</v>
      </c>
      <c r="P505">
        <f t="shared" si="84"/>
        <v>-123</v>
      </c>
      <c r="Q505">
        <v>0.8</v>
      </c>
    </row>
    <row r="506" spans="2:17" x14ac:dyDescent="0.25">
      <c r="B506">
        <f>436+2*(Table1[[#This Row],[Column1]])</f>
        <v>446</v>
      </c>
      <c r="C506">
        <f>MINUTE(Table1[[#This Row],[Time]])</f>
        <v>5</v>
      </c>
      <c r="D506" s="1">
        <v>0.46210636574074071</v>
      </c>
      <c r="E506" t="s">
        <v>9</v>
      </c>
      <c r="F506">
        <v>-123</v>
      </c>
      <c r="G506">
        <v>1</v>
      </c>
      <c r="K506">
        <f>400+2*(Table2[[#This Row],[Column1]]-13)</f>
        <v>446</v>
      </c>
      <c r="L506">
        <f>MINUTE(Table2[[#This Row],[Time]])</f>
        <v>36</v>
      </c>
      <c r="M506" s="1">
        <v>0.69197265046296297</v>
      </c>
      <c r="N506" t="s">
        <v>9</v>
      </c>
      <c r="O506" t="s">
        <v>12</v>
      </c>
      <c r="P506">
        <f t="shared" si="84"/>
        <v>-123</v>
      </c>
      <c r="Q506">
        <v>0.8</v>
      </c>
    </row>
    <row r="507" spans="2:17" x14ac:dyDescent="0.25">
      <c r="B507">
        <f>436+2*(Table1[[#This Row],[Column1]])</f>
        <v>446</v>
      </c>
      <c r="C507">
        <f>MINUTE(Table1[[#This Row],[Time]])</f>
        <v>5</v>
      </c>
      <c r="D507" s="1">
        <v>0.46213874999999999</v>
      </c>
      <c r="E507" t="s">
        <v>9</v>
      </c>
      <c r="F507">
        <v>-123</v>
      </c>
      <c r="G507">
        <v>0.3</v>
      </c>
      <c r="K507">
        <f>400+2*(Table2[[#This Row],[Column1]]-13)</f>
        <v>446</v>
      </c>
      <c r="L507">
        <f>MINUTE(Table2[[#This Row],[Time]])</f>
        <v>36</v>
      </c>
      <c r="M507" s="1">
        <v>0.69200503472222219</v>
      </c>
      <c r="N507" t="s">
        <v>9</v>
      </c>
      <c r="O507" t="s">
        <v>11</v>
      </c>
      <c r="P507">
        <f t="shared" si="84"/>
        <v>-122</v>
      </c>
      <c r="Q507">
        <v>1.3</v>
      </c>
    </row>
    <row r="508" spans="2:17" x14ac:dyDescent="0.25">
      <c r="B508">
        <f>436+2*(Table1[[#This Row],[Column1]])</f>
        <v>446</v>
      </c>
      <c r="C508">
        <f>MINUTE(Table1[[#This Row],[Time]])</f>
        <v>5</v>
      </c>
      <c r="D508" s="1">
        <v>0.46217115740740744</v>
      </c>
      <c r="E508" t="s">
        <v>9</v>
      </c>
      <c r="F508">
        <v>-123</v>
      </c>
      <c r="G508">
        <v>1.3</v>
      </c>
      <c r="K508">
        <f>400+2*(Table2[[#This Row],[Column1]]-13)</f>
        <v>446</v>
      </c>
      <c r="L508">
        <f>MINUTE(Table2[[#This Row],[Time]])</f>
        <v>36</v>
      </c>
      <c r="M508" s="1">
        <v>0.6920374421296297</v>
      </c>
      <c r="N508" t="s">
        <v>9</v>
      </c>
      <c r="O508" t="s">
        <v>12</v>
      </c>
      <c r="P508">
        <f t="shared" si="84"/>
        <v>-123</v>
      </c>
      <c r="Q508">
        <v>0.5</v>
      </c>
    </row>
    <row r="509" spans="2:17" x14ac:dyDescent="0.25">
      <c r="B509">
        <f>436+2*(Table1[[#This Row],[Column1]])</f>
        <v>446</v>
      </c>
      <c r="C509">
        <f>MINUTE(Table1[[#This Row],[Time]])</f>
        <v>5</v>
      </c>
      <c r="D509" s="1">
        <v>0.46220355324074075</v>
      </c>
      <c r="E509" t="s">
        <v>9</v>
      </c>
      <c r="F509">
        <v>-123</v>
      </c>
      <c r="G509">
        <v>0.8</v>
      </c>
      <c r="K509">
        <f>400+2*(Table2[[#This Row],[Column1]]-13)</f>
        <v>446</v>
      </c>
      <c r="L509">
        <f>MINUTE(Table2[[#This Row],[Time]])</f>
        <v>36</v>
      </c>
      <c r="M509" s="1">
        <v>0.69206983796296295</v>
      </c>
      <c r="N509" t="s">
        <v>9</v>
      </c>
      <c r="O509" t="s">
        <v>11</v>
      </c>
      <c r="P509">
        <f t="shared" si="84"/>
        <v>-122</v>
      </c>
      <c r="Q509">
        <v>1.3</v>
      </c>
    </row>
    <row r="510" spans="2:17" x14ac:dyDescent="0.25">
      <c r="B510">
        <f>436+2*(Table1[[#This Row],[Column1]])</f>
        <v>446</v>
      </c>
      <c r="C510">
        <f>MINUTE(Table1[[#This Row],[Time]])</f>
        <v>5</v>
      </c>
      <c r="D510" s="1">
        <v>0.46223593749999997</v>
      </c>
      <c r="E510" t="s">
        <v>9</v>
      </c>
      <c r="F510">
        <v>-123</v>
      </c>
      <c r="G510">
        <v>1</v>
      </c>
      <c r="K510">
        <f>400+2*(Table2[[#This Row],[Column1]]-13)</f>
        <v>446</v>
      </c>
      <c r="L510">
        <f>MINUTE(Table2[[#This Row],[Time]])</f>
        <v>36</v>
      </c>
      <c r="M510" s="1">
        <v>0.69210223379629632</v>
      </c>
      <c r="N510" t="s">
        <v>9</v>
      </c>
      <c r="O510" t="s">
        <v>12</v>
      </c>
      <c r="P510">
        <f t="shared" si="84"/>
        <v>-123</v>
      </c>
      <c r="Q510">
        <v>0.8</v>
      </c>
    </row>
    <row r="511" spans="2:17" x14ac:dyDescent="0.25">
      <c r="B511">
        <f>436+2*(Table1[[#This Row],[Column1]])</f>
        <v>446</v>
      </c>
      <c r="C511">
        <f>MINUTE(Table1[[#This Row],[Time]])</f>
        <v>5</v>
      </c>
      <c r="D511" s="1">
        <v>0.46226832175925925</v>
      </c>
      <c r="E511" t="s">
        <v>27</v>
      </c>
      <c r="F511">
        <f>F510-0.5</f>
        <v>-123.5</v>
      </c>
      <c r="G511">
        <f>G510-0.5</f>
        <v>0.5</v>
      </c>
      <c r="K511">
        <f>400+2*(Table2[[#This Row],[Column1]]-13)</f>
        <v>446</v>
      </c>
      <c r="L511">
        <f>MINUTE(Table2[[#This Row],[Time]])</f>
        <v>36</v>
      </c>
      <c r="M511" s="1">
        <v>0.69213462962962968</v>
      </c>
      <c r="N511" t="s">
        <v>9</v>
      </c>
      <c r="O511" t="s">
        <v>12</v>
      </c>
      <c r="P511">
        <f t="shared" si="84"/>
        <v>-123</v>
      </c>
      <c r="Q511">
        <v>0.8</v>
      </c>
    </row>
    <row r="512" spans="2:17" x14ac:dyDescent="0.25">
      <c r="B512">
        <f>436+2*(Table1[[#This Row],[Column1]])</f>
        <v>446</v>
      </c>
      <c r="C512">
        <f>MINUTE(Table1[[#This Row],[Time]])</f>
        <v>5</v>
      </c>
      <c r="D512" s="1">
        <v>0.4623007291666667</v>
      </c>
      <c r="E512" t="s">
        <v>9</v>
      </c>
      <c r="F512">
        <v>-123</v>
      </c>
      <c r="G512">
        <v>0</v>
      </c>
      <c r="K512">
        <f>400+2*(Table2[[#This Row],[Column1]]-13)</f>
        <v>446</v>
      </c>
      <c r="L512">
        <f>MINUTE(Table2[[#This Row],[Time]])</f>
        <v>36</v>
      </c>
      <c r="M512" s="1">
        <v>0.69216702546296294</v>
      </c>
      <c r="N512" t="s">
        <v>9</v>
      </c>
      <c r="O512" t="s">
        <v>12</v>
      </c>
      <c r="P512">
        <f t="shared" si="84"/>
        <v>-123</v>
      </c>
      <c r="Q512">
        <v>1.3</v>
      </c>
    </row>
    <row r="513" spans="2:17" x14ac:dyDescent="0.25">
      <c r="B513">
        <f>436+2*(Table1[[#This Row],[Column1]])</f>
        <v>446</v>
      </c>
      <c r="C513">
        <f>MINUTE(Table1[[#This Row],[Time]])</f>
        <v>5</v>
      </c>
      <c r="D513" s="1">
        <v>0.46233313657407404</v>
      </c>
      <c r="E513" t="s">
        <v>27</v>
      </c>
      <c r="F513">
        <f>F512-0.5</f>
        <v>-123.5</v>
      </c>
      <c r="G513">
        <f>G512-0.5</f>
        <v>-0.5</v>
      </c>
      <c r="K513">
        <f>400+2*(Table2[[#This Row],[Column1]]-13)</f>
        <v>446</v>
      </c>
      <c r="L513">
        <f>MINUTE(Table2[[#This Row],[Time]])</f>
        <v>36</v>
      </c>
      <c r="M513" s="1">
        <v>0.6921994212962963</v>
      </c>
      <c r="N513" t="s">
        <v>9</v>
      </c>
      <c r="O513" t="s">
        <v>12</v>
      </c>
      <c r="P513">
        <f t="shared" si="84"/>
        <v>-123</v>
      </c>
      <c r="Q513">
        <v>1</v>
      </c>
    </row>
    <row r="514" spans="2:17" x14ac:dyDescent="0.25">
      <c r="B514">
        <f>436+2*(Table1[[#This Row],[Column1]])</f>
        <v>446</v>
      </c>
      <c r="C514">
        <f>MINUTE(Table1[[#This Row],[Time]])</f>
        <v>5</v>
      </c>
      <c r="D514" s="1">
        <v>0.46236552083333332</v>
      </c>
      <c r="E514" t="s">
        <v>9</v>
      </c>
      <c r="F514">
        <v>-123</v>
      </c>
      <c r="G514">
        <v>0.5</v>
      </c>
      <c r="K514">
        <f>400+2*(Table2[[#This Row],[Column1]]-13)</f>
        <v>446</v>
      </c>
      <c r="L514">
        <f>MINUTE(Table2[[#This Row],[Time]])</f>
        <v>36</v>
      </c>
      <c r="M514" s="1">
        <v>0.69223181712962956</v>
      </c>
      <c r="N514" t="s">
        <v>9</v>
      </c>
      <c r="O514" t="s">
        <v>12</v>
      </c>
      <c r="P514">
        <f t="shared" si="84"/>
        <v>-123</v>
      </c>
      <c r="Q514">
        <v>0.5</v>
      </c>
    </row>
    <row r="515" spans="2:17" x14ac:dyDescent="0.25">
      <c r="B515">
        <f>436+2*(Table1[[#This Row],[Column1]])</f>
        <v>446</v>
      </c>
      <c r="C515">
        <f>MINUTE(Table1[[#This Row],[Time]])</f>
        <v>5</v>
      </c>
      <c r="D515" s="1">
        <v>0.46239791666666669</v>
      </c>
      <c r="E515" t="s">
        <v>9</v>
      </c>
      <c r="F515">
        <v>-123</v>
      </c>
      <c r="G515">
        <v>1</v>
      </c>
      <c r="K515">
        <f>400+2*(Table2[[#This Row],[Column1]]-13)</f>
        <v>446</v>
      </c>
      <c r="L515">
        <f>MINUTE(Table2[[#This Row],[Time]])</f>
        <v>36</v>
      </c>
      <c r="M515" s="1">
        <v>0.69226421296296292</v>
      </c>
      <c r="N515" t="s">
        <v>9</v>
      </c>
      <c r="O515" t="s">
        <v>12</v>
      </c>
      <c r="P515">
        <f t="shared" si="84"/>
        <v>-123</v>
      </c>
      <c r="Q515">
        <v>1</v>
      </c>
    </row>
    <row r="516" spans="2:17" x14ac:dyDescent="0.25">
      <c r="B516">
        <f>436+2*(Table1[[#This Row],[Column1]])</f>
        <v>446</v>
      </c>
      <c r="C516">
        <f>MINUTE(Table1[[#This Row],[Time]])</f>
        <v>5</v>
      </c>
      <c r="D516" s="1">
        <v>0.46243032407407408</v>
      </c>
      <c r="E516" t="s">
        <v>9</v>
      </c>
      <c r="F516">
        <v>-123</v>
      </c>
      <c r="G516">
        <v>0.8</v>
      </c>
      <c r="K516">
        <f>400+2*(Table2[[#This Row],[Column1]]-13)</f>
        <v>446</v>
      </c>
      <c r="L516">
        <f>MINUTE(Table2[[#This Row],[Time]])</f>
        <v>36</v>
      </c>
      <c r="M516" s="1">
        <v>0.69229660879629629</v>
      </c>
      <c r="N516" t="s">
        <v>9</v>
      </c>
      <c r="O516" t="s">
        <v>12</v>
      </c>
      <c r="P516">
        <f t="shared" ref="P516:P579" si="98">VALUE(LEFT(O516,LEN(O516)-1))</f>
        <v>-123</v>
      </c>
      <c r="Q516">
        <v>0.8</v>
      </c>
    </row>
    <row r="517" spans="2:17" x14ac:dyDescent="0.25">
      <c r="B517">
        <f>436+2*(Table1[[#This Row],[Column1]])</f>
        <v>446</v>
      </c>
      <c r="C517">
        <f>MINUTE(Table1[[#This Row],[Time]])</f>
        <v>5</v>
      </c>
      <c r="D517" s="1">
        <v>0.46246270833333331</v>
      </c>
      <c r="E517" t="s">
        <v>9</v>
      </c>
      <c r="F517">
        <v>-123</v>
      </c>
      <c r="G517">
        <v>0.5</v>
      </c>
      <c r="K517">
        <f>400+2*(Table2[[#This Row],[Column1]]-13)</f>
        <v>446</v>
      </c>
      <c r="L517">
        <f>MINUTE(Table2[[#This Row],[Time]])</f>
        <v>36</v>
      </c>
      <c r="M517" s="1">
        <v>0.69232900462962965</v>
      </c>
      <c r="N517" t="s">
        <v>9</v>
      </c>
      <c r="O517" t="s">
        <v>12</v>
      </c>
      <c r="P517">
        <f t="shared" si="98"/>
        <v>-123</v>
      </c>
      <c r="Q517">
        <v>1.3</v>
      </c>
    </row>
    <row r="518" spans="2:17" x14ac:dyDescent="0.25">
      <c r="B518">
        <f>436+2*(Table1[[#This Row],[Column1]])</f>
        <v>448</v>
      </c>
      <c r="C518">
        <f>MINUTE(Table1[[#This Row],[Time]])</f>
        <v>6</v>
      </c>
      <c r="D518" s="1">
        <v>0.46249511574074076</v>
      </c>
      <c r="E518" t="s">
        <v>9</v>
      </c>
      <c r="F518">
        <v>-123</v>
      </c>
      <c r="G518">
        <v>0.8</v>
      </c>
      <c r="K518">
        <f>400+2*(Table2[[#This Row],[Column1]]-13)</f>
        <v>448</v>
      </c>
      <c r="L518">
        <f>MINUTE(Table2[[#This Row],[Time]])</f>
        <v>37</v>
      </c>
      <c r="M518" s="1">
        <v>0.69236140046296302</v>
      </c>
      <c r="N518" t="s">
        <v>27</v>
      </c>
      <c r="O518" t="str">
        <f>O517</f>
        <v>-123.0,</v>
      </c>
      <c r="P518">
        <f>P517-0.5</f>
        <v>-123.5</v>
      </c>
      <c r="Q518">
        <f>Q517-0.5</f>
        <v>0.8</v>
      </c>
    </row>
    <row r="519" spans="2:17" x14ac:dyDescent="0.25">
      <c r="B519">
        <f>436+2*(Table1[[#This Row],[Column1]])</f>
        <v>448</v>
      </c>
      <c r="C519">
        <f>MINUTE(Table1[[#This Row],[Time]])</f>
        <v>6</v>
      </c>
      <c r="D519" s="1">
        <v>0.46252751157407407</v>
      </c>
      <c r="E519" t="s">
        <v>9</v>
      </c>
      <c r="F519">
        <v>-123</v>
      </c>
      <c r="G519">
        <v>0.3</v>
      </c>
      <c r="K519">
        <f>400+2*(Table2[[#This Row],[Column1]]-13)</f>
        <v>448</v>
      </c>
      <c r="L519">
        <f>MINUTE(Table2[[#This Row],[Time]])</f>
        <v>37</v>
      </c>
      <c r="M519" s="1">
        <v>0.69239379629629627</v>
      </c>
      <c r="N519" t="s">
        <v>9</v>
      </c>
      <c r="O519" t="s">
        <v>12</v>
      </c>
      <c r="P519">
        <f t="shared" si="98"/>
        <v>-123</v>
      </c>
      <c r="Q519">
        <v>0.8</v>
      </c>
    </row>
    <row r="520" spans="2:17" x14ac:dyDescent="0.25">
      <c r="B520">
        <f>436+2*(Table1[[#This Row],[Column1]])</f>
        <v>448</v>
      </c>
      <c r="C520">
        <f>MINUTE(Table1[[#This Row],[Time]])</f>
        <v>6</v>
      </c>
      <c r="D520" s="1">
        <v>0.46255990740740738</v>
      </c>
      <c r="E520" t="s">
        <v>27</v>
      </c>
      <c r="F520">
        <f>F519-0.5</f>
        <v>-123.5</v>
      </c>
      <c r="G520">
        <f>G519-0.5</f>
        <v>-0.2</v>
      </c>
      <c r="K520">
        <f>400+2*(Table2[[#This Row],[Column1]]-13)</f>
        <v>448</v>
      </c>
      <c r="L520">
        <f>MINUTE(Table2[[#This Row],[Time]])</f>
        <v>37</v>
      </c>
      <c r="M520" s="1">
        <v>0.69242619212962964</v>
      </c>
      <c r="N520" t="s">
        <v>9</v>
      </c>
      <c r="O520" t="s">
        <v>19</v>
      </c>
      <c r="P520">
        <f t="shared" si="98"/>
        <v>-124</v>
      </c>
      <c r="Q520">
        <v>-1.5</v>
      </c>
    </row>
    <row r="521" spans="2:17" x14ac:dyDescent="0.25">
      <c r="B521">
        <f>436+2*(Table1[[#This Row],[Column1]])</f>
        <v>448</v>
      </c>
      <c r="C521">
        <f>MINUTE(Table1[[#This Row],[Time]])</f>
        <v>6</v>
      </c>
      <c r="D521" s="1">
        <v>0.46259230324074074</v>
      </c>
      <c r="E521" t="s">
        <v>9</v>
      </c>
      <c r="F521">
        <v>-124</v>
      </c>
      <c r="G521">
        <v>-1.3</v>
      </c>
      <c r="K521">
        <f>400+2*(Table2[[#This Row],[Column1]]-13)</f>
        <v>448</v>
      </c>
      <c r="L521">
        <f>MINUTE(Table2[[#This Row],[Time]])</f>
        <v>37</v>
      </c>
      <c r="M521" s="1">
        <v>0.692458587962963</v>
      </c>
      <c r="N521" t="s">
        <v>9</v>
      </c>
      <c r="O521" t="s">
        <v>19</v>
      </c>
      <c r="P521">
        <f t="shared" si="98"/>
        <v>-124</v>
      </c>
      <c r="Q521">
        <v>-1.8</v>
      </c>
    </row>
    <row r="522" spans="2:17" x14ac:dyDescent="0.25">
      <c r="B522">
        <f>436+2*(Table1[[#This Row],[Column1]])</f>
        <v>448</v>
      </c>
      <c r="C522">
        <f>MINUTE(Table1[[#This Row],[Time]])</f>
        <v>6</v>
      </c>
      <c r="D522" s="1">
        <v>0.46262468750000002</v>
      </c>
      <c r="E522" t="s">
        <v>9</v>
      </c>
      <c r="F522">
        <v>-124</v>
      </c>
      <c r="G522">
        <v>-1.3</v>
      </c>
      <c r="K522">
        <f>400+2*(Table2[[#This Row],[Column1]]-13)</f>
        <v>448</v>
      </c>
      <c r="L522">
        <f>MINUTE(Table2[[#This Row],[Time]])</f>
        <v>37</v>
      </c>
      <c r="M522" s="1">
        <v>0.69249098379629626</v>
      </c>
      <c r="N522" t="s">
        <v>9</v>
      </c>
      <c r="O522" t="s">
        <v>19</v>
      </c>
      <c r="P522">
        <f t="shared" si="98"/>
        <v>-124</v>
      </c>
      <c r="Q522">
        <v>-1</v>
      </c>
    </row>
    <row r="523" spans="2:17" x14ac:dyDescent="0.25">
      <c r="B523">
        <f>436+2*(Table1[[#This Row],[Column1]])</f>
        <v>448</v>
      </c>
      <c r="C523">
        <f>MINUTE(Table1[[#This Row],[Time]])</f>
        <v>6</v>
      </c>
      <c r="D523" s="1">
        <v>0.46265709490740736</v>
      </c>
      <c r="E523" t="s">
        <v>13</v>
      </c>
      <c r="F523">
        <f>F522-0.5</f>
        <v>-124.5</v>
      </c>
      <c r="G523">
        <f>G522-0.5</f>
        <v>-1.8</v>
      </c>
      <c r="K523">
        <f>400+2*(Table2[[#This Row],[Column1]]-13)</f>
        <v>448</v>
      </c>
      <c r="L523">
        <f>MINUTE(Table2[[#This Row],[Time]])</f>
        <v>37</v>
      </c>
      <c r="M523" s="1">
        <v>0.69252337962962962</v>
      </c>
      <c r="N523" t="s">
        <v>13</v>
      </c>
      <c r="O523" t="str">
        <f>O522</f>
        <v>-124.0,</v>
      </c>
      <c r="P523">
        <f>P522-0.5</f>
        <v>-124.5</v>
      </c>
      <c r="Q523">
        <f>Q522-0.5</f>
        <v>-1.5</v>
      </c>
    </row>
    <row r="524" spans="2:17" x14ac:dyDescent="0.25">
      <c r="B524">
        <f>436+2*(Table1[[#This Row],[Column1]])</f>
        <v>448</v>
      </c>
      <c r="C524">
        <f>MINUTE(Table1[[#This Row],[Time]])</f>
        <v>6</v>
      </c>
      <c r="D524" s="1">
        <v>0.46268947916666664</v>
      </c>
      <c r="E524" t="s">
        <v>9</v>
      </c>
      <c r="F524">
        <v>-123</v>
      </c>
      <c r="G524">
        <v>0.8</v>
      </c>
      <c r="K524">
        <f>400+2*(Table2[[#This Row],[Column1]]-13)</f>
        <v>448</v>
      </c>
      <c r="L524">
        <f>MINUTE(Table2[[#This Row],[Time]])</f>
        <v>37</v>
      </c>
      <c r="M524" s="1">
        <v>0.69255577546296299</v>
      </c>
      <c r="N524" t="s">
        <v>9</v>
      </c>
      <c r="O524" t="s">
        <v>12</v>
      </c>
      <c r="P524">
        <f t="shared" si="98"/>
        <v>-123</v>
      </c>
      <c r="Q524">
        <v>1</v>
      </c>
    </row>
    <row r="525" spans="2:17" x14ac:dyDescent="0.25">
      <c r="B525">
        <f>436+2*(Table1[[#This Row],[Column1]])</f>
        <v>448</v>
      </c>
      <c r="C525">
        <f>MINUTE(Table1[[#This Row],[Time]])</f>
        <v>6</v>
      </c>
      <c r="D525" s="1">
        <v>0.46272188657407409</v>
      </c>
      <c r="E525" t="s">
        <v>9</v>
      </c>
      <c r="F525">
        <v>-123</v>
      </c>
      <c r="G525">
        <v>1.3</v>
      </c>
      <c r="K525">
        <f>400+2*(Table2[[#This Row],[Column1]]-13)</f>
        <v>448</v>
      </c>
      <c r="L525">
        <f>MINUTE(Table2[[#This Row],[Time]])</f>
        <v>37</v>
      </c>
      <c r="M525" s="1">
        <v>0.69258817129629635</v>
      </c>
      <c r="N525" t="s">
        <v>9</v>
      </c>
      <c r="O525" t="s">
        <v>12</v>
      </c>
      <c r="P525">
        <f t="shared" si="98"/>
        <v>-123</v>
      </c>
      <c r="Q525">
        <v>0.8</v>
      </c>
    </row>
    <row r="526" spans="2:17" x14ac:dyDescent="0.25">
      <c r="B526">
        <f>436+2*(Table1[[#This Row],[Column1]])</f>
        <v>448</v>
      </c>
      <c r="C526">
        <f>MINUTE(Table1[[#This Row],[Time]])</f>
        <v>6</v>
      </c>
      <c r="D526" s="1">
        <v>0.4627542824074074</v>
      </c>
      <c r="E526" t="s">
        <v>9</v>
      </c>
      <c r="F526">
        <v>-123</v>
      </c>
      <c r="G526">
        <v>1</v>
      </c>
      <c r="K526">
        <f>400+2*(Table2[[#This Row],[Column1]]-13)</f>
        <v>448</v>
      </c>
      <c r="L526">
        <f>MINUTE(Table2[[#This Row],[Time]])</f>
        <v>37</v>
      </c>
      <c r="M526" s="1">
        <v>0.69262055555555557</v>
      </c>
      <c r="N526" t="s">
        <v>27</v>
      </c>
      <c r="O526" t="str">
        <f>O525</f>
        <v>-123.0,</v>
      </c>
      <c r="P526">
        <f>P525-0.5</f>
        <v>-123.5</v>
      </c>
      <c r="Q526">
        <f>Q525-0.5</f>
        <v>0.30000000000000004</v>
      </c>
    </row>
    <row r="527" spans="2:17" x14ac:dyDescent="0.25">
      <c r="B527">
        <f>436+2*(Table1[[#This Row],[Column1]])</f>
        <v>448</v>
      </c>
      <c r="C527">
        <f>MINUTE(Table1[[#This Row],[Time]])</f>
        <v>6</v>
      </c>
      <c r="D527" s="1">
        <v>0.46278666666666662</v>
      </c>
      <c r="E527" t="s">
        <v>27</v>
      </c>
      <c r="F527">
        <f>F526-0.5</f>
        <v>-123.5</v>
      </c>
      <c r="G527">
        <f>G526-0.5</f>
        <v>0.5</v>
      </c>
      <c r="K527">
        <f>400+2*(Table2[[#This Row],[Column1]]-13)</f>
        <v>448</v>
      </c>
      <c r="L527">
        <f>MINUTE(Table2[[#This Row],[Time]])</f>
        <v>37</v>
      </c>
      <c r="M527" s="1">
        <v>0.69265295138888883</v>
      </c>
      <c r="N527" t="s">
        <v>9</v>
      </c>
      <c r="O527" t="s">
        <v>12</v>
      </c>
      <c r="P527">
        <f t="shared" si="98"/>
        <v>-123</v>
      </c>
      <c r="Q527">
        <v>1</v>
      </c>
    </row>
    <row r="528" spans="2:17" x14ac:dyDescent="0.25">
      <c r="B528">
        <f>436+2*(Table1[[#This Row],[Column1]])</f>
        <v>448</v>
      </c>
      <c r="C528">
        <f>MINUTE(Table1[[#This Row],[Time]])</f>
        <v>6</v>
      </c>
      <c r="D528" s="1">
        <v>0.4628190509259259</v>
      </c>
      <c r="E528" t="s">
        <v>9</v>
      </c>
      <c r="F528">
        <v>-123</v>
      </c>
      <c r="G528">
        <v>0.5</v>
      </c>
      <c r="K528">
        <f>400+2*(Table2[[#This Row],[Column1]]-13)</f>
        <v>448</v>
      </c>
      <c r="L528">
        <f>MINUTE(Table2[[#This Row],[Time]])</f>
        <v>37</v>
      </c>
      <c r="M528" s="1">
        <v>0.69268535879629634</v>
      </c>
      <c r="N528" t="s">
        <v>9</v>
      </c>
      <c r="O528" t="s">
        <v>12</v>
      </c>
      <c r="P528">
        <f t="shared" si="98"/>
        <v>-123</v>
      </c>
      <c r="Q528">
        <v>1</v>
      </c>
    </row>
    <row r="529" spans="2:17" x14ac:dyDescent="0.25">
      <c r="B529">
        <f>436+2*(Table1[[#This Row],[Column1]])</f>
        <v>448</v>
      </c>
      <c r="C529">
        <f>MINUTE(Table1[[#This Row],[Time]])</f>
        <v>6</v>
      </c>
      <c r="D529" s="1">
        <v>0.46285146990740739</v>
      </c>
      <c r="E529" t="s">
        <v>9</v>
      </c>
      <c r="F529">
        <v>-123</v>
      </c>
      <c r="G529">
        <v>0.5</v>
      </c>
      <c r="K529">
        <f>400+2*(Table2[[#This Row],[Column1]]-13)</f>
        <v>448</v>
      </c>
      <c r="L529">
        <f>MINUTE(Table2[[#This Row],[Time]])</f>
        <v>37</v>
      </c>
      <c r="M529" s="1">
        <v>0.69271775462962959</v>
      </c>
      <c r="N529" t="s">
        <v>9</v>
      </c>
      <c r="O529" t="s">
        <v>12</v>
      </c>
      <c r="P529">
        <f t="shared" si="98"/>
        <v>-123</v>
      </c>
      <c r="Q529">
        <v>0.8</v>
      </c>
    </row>
    <row r="530" spans="2:17" x14ac:dyDescent="0.25">
      <c r="B530">
        <f>436+2*(Table1[[#This Row],[Column1]])</f>
        <v>448</v>
      </c>
      <c r="C530">
        <f>MINUTE(Table1[[#This Row],[Time]])</f>
        <v>6</v>
      </c>
      <c r="D530" s="1">
        <v>0.46288385416666666</v>
      </c>
      <c r="E530" t="s">
        <v>9</v>
      </c>
      <c r="F530">
        <v>-123</v>
      </c>
      <c r="G530">
        <v>0.5</v>
      </c>
      <c r="K530">
        <f>400+2*(Table2[[#This Row],[Column1]]-13)</f>
        <v>448</v>
      </c>
      <c r="L530">
        <f>MINUTE(Table2[[#This Row],[Time]])</f>
        <v>37</v>
      </c>
      <c r="M530" s="1">
        <v>0.69275015046296295</v>
      </c>
      <c r="N530" t="s">
        <v>9</v>
      </c>
      <c r="O530" t="s">
        <v>12</v>
      </c>
      <c r="P530">
        <f t="shared" si="98"/>
        <v>-123</v>
      </c>
      <c r="Q530">
        <v>1.3</v>
      </c>
    </row>
    <row r="531" spans="2:17" x14ac:dyDescent="0.25">
      <c r="B531">
        <f>436+2*(Table1[[#This Row],[Column1]])</f>
        <v>448</v>
      </c>
      <c r="C531">
        <f>MINUTE(Table1[[#This Row],[Time]])</f>
        <v>6</v>
      </c>
      <c r="D531" s="1">
        <v>0.46291626157407401</v>
      </c>
      <c r="E531" t="s">
        <v>9</v>
      </c>
      <c r="F531">
        <v>-123</v>
      </c>
      <c r="G531">
        <v>1</v>
      </c>
      <c r="K531">
        <f>400+2*(Table2[[#This Row],[Column1]]-13)</f>
        <v>448</v>
      </c>
      <c r="L531">
        <f>MINUTE(Table2[[#This Row],[Time]])</f>
        <v>37</v>
      </c>
      <c r="M531" s="1">
        <v>0.69278253472222218</v>
      </c>
      <c r="N531" t="s">
        <v>9</v>
      </c>
      <c r="O531" t="s">
        <v>11</v>
      </c>
      <c r="P531">
        <f t="shared" si="98"/>
        <v>-122</v>
      </c>
      <c r="Q531">
        <v>1.3</v>
      </c>
    </row>
    <row r="532" spans="2:17" x14ac:dyDescent="0.25">
      <c r="B532">
        <f>436+2*(Table1[[#This Row],[Column1]])</f>
        <v>448</v>
      </c>
      <c r="C532">
        <f>MINUTE(Table1[[#This Row],[Time]])</f>
        <v>6</v>
      </c>
      <c r="D532" s="1">
        <v>0.46294865740740743</v>
      </c>
      <c r="E532" t="s">
        <v>9</v>
      </c>
      <c r="F532">
        <v>-123</v>
      </c>
      <c r="G532">
        <v>0.8</v>
      </c>
      <c r="K532">
        <f>400+2*(Table2[[#This Row],[Column1]]-13)</f>
        <v>448</v>
      </c>
      <c r="L532">
        <f>MINUTE(Table2[[#This Row],[Time]])</f>
        <v>37</v>
      </c>
      <c r="M532" s="1">
        <v>0.69281494212962969</v>
      </c>
      <c r="N532" t="s">
        <v>9</v>
      </c>
      <c r="O532" t="s">
        <v>12</v>
      </c>
      <c r="P532">
        <f t="shared" si="98"/>
        <v>-123</v>
      </c>
      <c r="Q532">
        <v>1.3</v>
      </c>
    </row>
    <row r="533" spans="2:17" x14ac:dyDescent="0.25">
      <c r="B533">
        <f>436+2*(Table1[[#This Row],[Column1]])</f>
        <v>448</v>
      </c>
      <c r="C533">
        <f>MINUTE(Table1[[#This Row],[Time]])</f>
        <v>6</v>
      </c>
      <c r="D533" s="1">
        <v>0.46298104166666665</v>
      </c>
      <c r="E533" t="s">
        <v>9</v>
      </c>
      <c r="F533">
        <v>-123</v>
      </c>
      <c r="G533">
        <v>1</v>
      </c>
      <c r="K533">
        <f>400+2*(Table2[[#This Row],[Column1]]-13)</f>
        <v>448</v>
      </c>
      <c r="L533">
        <f>MINUTE(Table2[[#This Row],[Time]])</f>
        <v>37</v>
      </c>
      <c r="M533" s="1">
        <v>0.69284733796296294</v>
      </c>
      <c r="N533" t="s">
        <v>9</v>
      </c>
      <c r="O533" t="s">
        <v>12</v>
      </c>
      <c r="P533">
        <f t="shared" si="98"/>
        <v>-123</v>
      </c>
      <c r="Q533">
        <v>0.8</v>
      </c>
    </row>
    <row r="534" spans="2:17" x14ac:dyDescent="0.25">
      <c r="B534">
        <f>436+2*(Table1[[#This Row],[Column1]])</f>
        <v>448</v>
      </c>
      <c r="C534">
        <f>MINUTE(Table1[[#This Row],[Time]])</f>
        <v>6</v>
      </c>
      <c r="D534" s="1">
        <v>0.4630134490740741</v>
      </c>
      <c r="E534" t="s">
        <v>9</v>
      </c>
      <c r="F534">
        <v>-123</v>
      </c>
      <c r="G534">
        <v>0.8</v>
      </c>
      <c r="K534">
        <f>400+2*(Table2[[#This Row],[Column1]]-13)</f>
        <v>448</v>
      </c>
      <c r="L534">
        <f>MINUTE(Table2[[#This Row],[Time]])</f>
        <v>37</v>
      </c>
      <c r="M534" s="1">
        <v>0.6928797337962963</v>
      </c>
      <c r="N534" t="s">
        <v>9</v>
      </c>
      <c r="O534" t="s">
        <v>12</v>
      </c>
      <c r="P534">
        <f t="shared" si="98"/>
        <v>-123</v>
      </c>
      <c r="Q534">
        <v>0.8</v>
      </c>
    </row>
    <row r="535" spans="2:17" x14ac:dyDescent="0.25">
      <c r="B535">
        <f>436+2*(Table1[[#This Row],[Column1]])</f>
        <v>448</v>
      </c>
      <c r="C535">
        <f>MINUTE(Table1[[#This Row],[Time]])</f>
        <v>6</v>
      </c>
      <c r="D535" s="1">
        <v>0.46304583333333338</v>
      </c>
      <c r="E535" t="s">
        <v>9</v>
      </c>
      <c r="F535">
        <v>-122</v>
      </c>
      <c r="G535">
        <v>0.8</v>
      </c>
      <c r="K535">
        <f>400+2*(Table2[[#This Row],[Column1]]-13)</f>
        <v>448</v>
      </c>
      <c r="L535">
        <f>MINUTE(Table2[[#This Row],[Time]])</f>
        <v>37</v>
      </c>
      <c r="M535" s="1">
        <v>0.69291212962962967</v>
      </c>
      <c r="N535" t="s">
        <v>9</v>
      </c>
      <c r="O535" t="s">
        <v>12</v>
      </c>
      <c r="P535">
        <f t="shared" si="98"/>
        <v>-123</v>
      </c>
      <c r="Q535">
        <v>0.8</v>
      </c>
    </row>
    <row r="536" spans="2:17" x14ac:dyDescent="0.25">
      <c r="B536">
        <f>436+2*(Table1[[#This Row],[Column1]])</f>
        <v>448</v>
      </c>
      <c r="C536">
        <f>MINUTE(Table1[[#This Row],[Time]])</f>
        <v>6</v>
      </c>
      <c r="D536" s="1">
        <v>0.46307824074074072</v>
      </c>
      <c r="E536" t="s">
        <v>9</v>
      </c>
      <c r="F536">
        <v>-123</v>
      </c>
      <c r="G536">
        <v>0.5</v>
      </c>
      <c r="K536">
        <f>400+2*(Table2[[#This Row],[Column1]]-13)</f>
        <v>448</v>
      </c>
      <c r="L536">
        <f>MINUTE(Table2[[#This Row],[Time]])</f>
        <v>37</v>
      </c>
      <c r="M536" s="1">
        <v>0.69294452546296292</v>
      </c>
      <c r="N536" t="s">
        <v>9</v>
      </c>
      <c r="O536" t="s">
        <v>12</v>
      </c>
      <c r="P536">
        <f t="shared" si="98"/>
        <v>-123</v>
      </c>
      <c r="Q536">
        <v>0.8</v>
      </c>
    </row>
    <row r="537" spans="2:17" x14ac:dyDescent="0.25">
      <c r="B537">
        <f>436+2*(Table1[[#This Row],[Column1]])</f>
        <v>448</v>
      </c>
      <c r="C537">
        <f>MINUTE(Table1[[#This Row],[Time]])</f>
        <v>6</v>
      </c>
      <c r="D537" s="1">
        <v>0.463110625</v>
      </c>
      <c r="E537" t="s">
        <v>9</v>
      </c>
      <c r="F537">
        <v>-123</v>
      </c>
      <c r="G537">
        <v>0.5</v>
      </c>
      <c r="K537">
        <f>400+2*(Table2[[#This Row],[Column1]]-13)</f>
        <v>448</v>
      </c>
      <c r="L537">
        <f>MINUTE(Table2[[#This Row],[Time]])</f>
        <v>37</v>
      </c>
      <c r="M537" s="1">
        <v>0.69297692129629629</v>
      </c>
      <c r="N537" t="s">
        <v>9</v>
      </c>
      <c r="O537" t="s">
        <v>12</v>
      </c>
      <c r="P537">
        <f t="shared" si="98"/>
        <v>-123</v>
      </c>
      <c r="Q537">
        <v>1.3</v>
      </c>
    </row>
    <row r="538" spans="2:17" x14ac:dyDescent="0.25">
      <c r="B538">
        <f>436+2*(Table1[[#This Row],[Column1]])</f>
        <v>448</v>
      </c>
      <c r="C538">
        <f>MINUTE(Table1[[#This Row],[Time]])</f>
        <v>6</v>
      </c>
      <c r="D538" s="1">
        <v>0.4631430324074074</v>
      </c>
      <c r="E538" t="s">
        <v>9</v>
      </c>
      <c r="F538">
        <v>-123</v>
      </c>
      <c r="G538">
        <v>0.8</v>
      </c>
      <c r="K538">
        <f>400+2*(Table2[[#This Row],[Column1]]-13)</f>
        <v>448</v>
      </c>
      <c r="L538">
        <f>MINUTE(Table2[[#This Row],[Time]])</f>
        <v>37</v>
      </c>
      <c r="M538" s="1">
        <v>0.69300931712962965</v>
      </c>
      <c r="N538" t="s">
        <v>9</v>
      </c>
      <c r="O538" t="s">
        <v>12</v>
      </c>
      <c r="P538">
        <f t="shared" si="98"/>
        <v>-123</v>
      </c>
      <c r="Q538">
        <v>1</v>
      </c>
    </row>
    <row r="539" spans="2:17" x14ac:dyDescent="0.25">
      <c r="B539">
        <f>436+2*(Table1[[#This Row],[Column1]])</f>
        <v>448</v>
      </c>
      <c r="C539">
        <f>MINUTE(Table1[[#This Row],[Time]])</f>
        <v>6</v>
      </c>
      <c r="D539" s="1">
        <v>0.46317542824074076</v>
      </c>
      <c r="E539" t="s">
        <v>9</v>
      </c>
      <c r="F539">
        <v>-123</v>
      </c>
      <c r="G539">
        <v>0.8</v>
      </c>
      <c r="K539">
        <f>400+2*(Table2[[#This Row],[Column1]]-13)</f>
        <v>448</v>
      </c>
      <c r="L539">
        <f>MINUTE(Table2[[#This Row],[Time]])</f>
        <v>37</v>
      </c>
      <c r="M539" s="1">
        <v>0.69304171296296291</v>
      </c>
      <c r="N539" t="s">
        <v>9</v>
      </c>
      <c r="O539" t="s">
        <v>11</v>
      </c>
      <c r="P539">
        <f t="shared" si="98"/>
        <v>-122</v>
      </c>
      <c r="Q539">
        <v>0.8</v>
      </c>
    </row>
    <row r="540" spans="2:17" x14ac:dyDescent="0.25">
      <c r="B540">
        <f>436+2*(Table1[[#This Row],[Column1]])</f>
        <v>450</v>
      </c>
      <c r="C540">
        <f>MINUTE(Table1[[#This Row],[Time]])</f>
        <v>7</v>
      </c>
      <c r="D540" s="1">
        <v>0.46320781249999998</v>
      </c>
      <c r="E540" t="s">
        <v>9</v>
      </c>
      <c r="F540">
        <v>-123</v>
      </c>
      <c r="G540">
        <v>0.3</v>
      </c>
      <c r="K540">
        <f>400+2*(Table2[[#This Row],[Column1]]-13)</f>
        <v>450</v>
      </c>
      <c r="L540">
        <f>MINUTE(Table2[[#This Row],[Time]])</f>
        <v>38</v>
      </c>
      <c r="M540" s="1">
        <v>0.69307409722222224</v>
      </c>
      <c r="N540" t="s">
        <v>9</v>
      </c>
      <c r="O540" t="s">
        <v>11</v>
      </c>
      <c r="P540">
        <f t="shared" si="98"/>
        <v>-122</v>
      </c>
      <c r="Q540">
        <v>0.8</v>
      </c>
    </row>
    <row r="541" spans="2:17" x14ac:dyDescent="0.25">
      <c r="B541">
        <f>436+2*(Table1[[#This Row],[Column1]])</f>
        <v>450</v>
      </c>
      <c r="C541">
        <f>MINUTE(Table1[[#This Row],[Time]])</f>
        <v>7</v>
      </c>
      <c r="D541" s="1">
        <v>0.46324020833333329</v>
      </c>
      <c r="E541" t="s">
        <v>13</v>
      </c>
      <c r="F541">
        <f>F540-0.5</f>
        <v>-123.5</v>
      </c>
      <c r="G541">
        <f>G540-0.5</f>
        <v>-0.2</v>
      </c>
      <c r="K541">
        <f>400+2*(Table2[[#This Row],[Column1]]-13)</f>
        <v>450</v>
      </c>
      <c r="L541">
        <f>MINUTE(Table2[[#This Row],[Time]])</f>
        <v>38</v>
      </c>
      <c r="M541" s="1">
        <v>0.69310650462962964</v>
      </c>
      <c r="N541" t="s">
        <v>9</v>
      </c>
      <c r="O541" t="s">
        <v>19</v>
      </c>
      <c r="P541">
        <f t="shared" si="98"/>
        <v>-124</v>
      </c>
      <c r="Q541">
        <v>-1.3</v>
      </c>
    </row>
    <row r="542" spans="2:17" x14ac:dyDescent="0.25">
      <c r="B542">
        <f>436+2*(Table1[[#This Row],[Column1]])</f>
        <v>450</v>
      </c>
      <c r="C542">
        <f>MINUTE(Table1[[#This Row],[Time]])</f>
        <v>7</v>
      </c>
      <c r="D542" s="1">
        <v>0.46327261574074075</v>
      </c>
      <c r="E542" t="s">
        <v>9</v>
      </c>
      <c r="F542">
        <v>-124</v>
      </c>
      <c r="G542">
        <v>-1.8</v>
      </c>
      <c r="K542">
        <f>400+2*(Table2[[#This Row],[Column1]]-13)</f>
        <v>450</v>
      </c>
      <c r="L542">
        <f>MINUTE(Table2[[#This Row],[Time]])</f>
        <v>38</v>
      </c>
      <c r="M542" s="1">
        <v>0.693138900462963</v>
      </c>
      <c r="N542" t="s">
        <v>27</v>
      </c>
      <c r="O542" t="str">
        <f>O541</f>
        <v>-124.0,</v>
      </c>
      <c r="P542">
        <f>P541-0.5</f>
        <v>-124.5</v>
      </c>
      <c r="Q542">
        <f>Q541-0.5</f>
        <v>-1.8</v>
      </c>
    </row>
    <row r="543" spans="2:17" x14ac:dyDescent="0.25">
      <c r="B543">
        <f>436+2*(Table1[[#This Row],[Column1]])</f>
        <v>450</v>
      </c>
      <c r="C543">
        <f>MINUTE(Table1[[#This Row],[Time]])</f>
        <v>7</v>
      </c>
      <c r="D543" s="1">
        <v>0.46330501157407405</v>
      </c>
      <c r="E543" t="s">
        <v>9</v>
      </c>
      <c r="F543">
        <v>-124</v>
      </c>
      <c r="G543">
        <v>-1</v>
      </c>
      <c r="K543">
        <f>400+2*(Table2[[#This Row],[Column1]]-13)</f>
        <v>450</v>
      </c>
      <c r="L543">
        <f>MINUTE(Table2[[#This Row],[Time]])</f>
        <v>38</v>
      </c>
      <c r="M543" s="1">
        <v>0.69317129629629626</v>
      </c>
      <c r="N543" t="s">
        <v>9</v>
      </c>
      <c r="O543" t="s">
        <v>19</v>
      </c>
      <c r="P543">
        <f t="shared" si="98"/>
        <v>-124</v>
      </c>
      <c r="Q543">
        <v>-1.5</v>
      </c>
    </row>
    <row r="544" spans="2:17" x14ac:dyDescent="0.25">
      <c r="B544">
        <f>436+2*(Table1[[#This Row],[Column1]])</f>
        <v>450</v>
      </c>
      <c r="C544">
        <f>MINUTE(Table1[[#This Row],[Time]])</f>
        <v>7</v>
      </c>
      <c r="D544" s="1">
        <v>0.46333739583333339</v>
      </c>
      <c r="E544" t="s">
        <v>27</v>
      </c>
      <c r="F544">
        <f t="shared" ref="F544:F545" si="99">F543-0.5</f>
        <v>-124.5</v>
      </c>
      <c r="G544">
        <f t="shared" ref="G544:G545" si="100">G543-0.5</f>
        <v>-1.5</v>
      </c>
      <c r="K544">
        <f>400+2*(Table2[[#This Row],[Column1]]-13)</f>
        <v>450</v>
      </c>
      <c r="L544">
        <f>MINUTE(Table2[[#This Row],[Time]])</f>
        <v>38</v>
      </c>
      <c r="M544" s="1">
        <v>0.69320369212962962</v>
      </c>
      <c r="N544" t="s">
        <v>27</v>
      </c>
      <c r="O544" t="str">
        <f>O543</f>
        <v>-124.0,</v>
      </c>
      <c r="P544">
        <f>P543-0.5</f>
        <v>-124.5</v>
      </c>
      <c r="Q544">
        <f>Q543-0.5</f>
        <v>-2</v>
      </c>
    </row>
    <row r="545" spans="2:17" x14ac:dyDescent="0.25">
      <c r="B545">
        <f>436+2*(Table1[[#This Row],[Column1]])</f>
        <v>450</v>
      </c>
      <c r="C545">
        <f>MINUTE(Table1[[#This Row],[Time]])</f>
        <v>7</v>
      </c>
      <c r="D545" s="1">
        <v>0.4633697916666667</v>
      </c>
      <c r="E545" t="s">
        <v>13</v>
      </c>
      <c r="F545">
        <f t="shared" si="99"/>
        <v>-125</v>
      </c>
      <c r="G545">
        <f t="shared" si="100"/>
        <v>-2</v>
      </c>
      <c r="K545">
        <f>400+2*(Table2[[#This Row],[Column1]]-13)</f>
        <v>450</v>
      </c>
      <c r="L545">
        <f>MINUTE(Table2[[#This Row],[Time]])</f>
        <v>38</v>
      </c>
      <c r="M545" s="1">
        <v>0.69323608796296299</v>
      </c>
      <c r="N545" t="s">
        <v>9</v>
      </c>
      <c r="O545" t="s">
        <v>12</v>
      </c>
      <c r="P545">
        <f t="shared" si="98"/>
        <v>-123</v>
      </c>
      <c r="Q545">
        <v>1</v>
      </c>
    </row>
    <row r="546" spans="2:17" x14ac:dyDescent="0.25">
      <c r="B546">
        <f>436+2*(Table1[[#This Row],[Column1]])</f>
        <v>450</v>
      </c>
      <c r="C546">
        <f>MINUTE(Table1[[#This Row],[Time]])</f>
        <v>7</v>
      </c>
      <c r="D546" s="1">
        <v>0.46340217592592586</v>
      </c>
      <c r="E546" t="s">
        <v>9</v>
      </c>
      <c r="F546">
        <v>-123</v>
      </c>
      <c r="G546">
        <v>1</v>
      </c>
      <c r="K546">
        <f>400+2*(Table2[[#This Row],[Column1]]-13)</f>
        <v>450</v>
      </c>
      <c r="L546">
        <f>MINUTE(Table2[[#This Row],[Time]])</f>
        <v>38</v>
      </c>
      <c r="M546" s="1">
        <v>0.69326848379629624</v>
      </c>
      <c r="N546" t="s">
        <v>9</v>
      </c>
      <c r="O546" t="s">
        <v>12</v>
      </c>
      <c r="P546">
        <f t="shared" si="98"/>
        <v>-123</v>
      </c>
      <c r="Q546">
        <v>1</v>
      </c>
    </row>
    <row r="547" spans="2:17" x14ac:dyDescent="0.25">
      <c r="B547">
        <f>436+2*(Table1[[#This Row],[Column1]])</f>
        <v>450</v>
      </c>
      <c r="C547">
        <f>MINUTE(Table1[[#This Row],[Time]])</f>
        <v>7</v>
      </c>
      <c r="D547" s="1">
        <v>0.46343458333333332</v>
      </c>
      <c r="E547" t="s">
        <v>9</v>
      </c>
      <c r="F547">
        <v>-123</v>
      </c>
      <c r="G547">
        <v>1</v>
      </c>
      <c r="K547">
        <f>400+2*(Table2[[#This Row],[Column1]]-13)</f>
        <v>450</v>
      </c>
      <c r="L547">
        <f>MINUTE(Table2[[#This Row],[Time]])</f>
        <v>38</v>
      </c>
      <c r="M547" s="1">
        <v>0.69330087962962972</v>
      </c>
      <c r="N547" t="s">
        <v>9</v>
      </c>
      <c r="O547" t="s">
        <v>12</v>
      </c>
      <c r="P547">
        <f t="shared" si="98"/>
        <v>-123</v>
      </c>
      <c r="Q547">
        <v>1</v>
      </c>
    </row>
    <row r="548" spans="2:17" x14ac:dyDescent="0.25">
      <c r="B548">
        <f>436+2*(Table1[[#This Row],[Column1]])</f>
        <v>450</v>
      </c>
      <c r="C548">
        <f>MINUTE(Table1[[#This Row],[Time]])</f>
        <v>7</v>
      </c>
      <c r="D548" s="1">
        <v>0.46346699074074077</v>
      </c>
      <c r="E548" t="s">
        <v>9</v>
      </c>
      <c r="F548">
        <v>-123</v>
      </c>
      <c r="G548">
        <v>0.8</v>
      </c>
      <c r="K548">
        <f>400+2*(Table2[[#This Row],[Column1]]-13)</f>
        <v>450</v>
      </c>
      <c r="L548">
        <f>MINUTE(Table2[[#This Row],[Time]])</f>
        <v>38</v>
      </c>
      <c r="M548" s="1">
        <v>0.69333327546296297</v>
      </c>
      <c r="N548" t="s">
        <v>27</v>
      </c>
      <c r="O548" t="str">
        <f>O547</f>
        <v>-123.0,</v>
      </c>
      <c r="P548">
        <f>P547-0.5</f>
        <v>-123.5</v>
      </c>
      <c r="Q548">
        <f>Q547-0.5</f>
        <v>0.5</v>
      </c>
    </row>
    <row r="549" spans="2:17" x14ac:dyDescent="0.25">
      <c r="B549">
        <f>436+2*(Table1[[#This Row],[Column1]])</f>
        <v>450</v>
      </c>
      <c r="C549">
        <f>MINUTE(Table1[[#This Row],[Time]])</f>
        <v>7</v>
      </c>
      <c r="D549" s="1">
        <v>0.46349938657407408</v>
      </c>
      <c r="E549" t="s">
        <v>27</v>
      </c>
      <c r="F549">
        <f>F548-0.5</f>
        <v>-123.5</v>
      </c>
      <c r="G549">
        <f>G548-0.5</f>
        <v>0.30000000000000004</v>
      </c>
      <c r="K549">
        <f>400+2*(Table2[[#This Row],[Column1]]-13)</f>
        <v>450</v>
      </c>
      <c r="L549">
        <f>MINUTE(Table2[[#This Row],[Time]])</f>
        <v>38</v>
      </c>
      <c r="M549" s="1">
        <v>0.69336567129629634</v>
      </c>
      <c r="N549" t="s">
        <v>9</v>
      </c>
      <c r="O549" t="s">
        <v>12</v>
      </c>
      <c r="P549">
        <f t="shared" si="98"/>
        <v>-123</v>
      </c>
      <c r="Q549">
        <v>1.3</v>
      </c>
    </row>
    <row r="550" spans="2:17" x14ac:dyDescent="0.25">
      <c r="B550">
        <f>436+2*(Table1[[#This Row],[Column1]])</f>
        <v>450</v>
      </c>
      <c r="C550">
        <f>MINUTE(Table1[[#This Row],[Time]])</f>
        <v>7</v>
      </c>
      <c r="D550" s="1">
        <v>0.46353178240740739</v>
      </c>
      <c r="E550" t="s">
        <v>9</v>
      </c>
      <c r="F550">
        <v>-123</v>
      </c>
      <c r="G550">
        <v>0.8</v>
      </c>
      <c r="K550">
        <f>400+2*(Table2[[#This Row],[Column1]]-13)</f>
        <v>450</v>
      </c>
      <c r="L550">
        <f>MINUTE(Table2[[#This Row],[Time]])</f>
        <v>38</v>
      </c>
      <c r="M550" s="1">
        <v>0.69339806712962959</v>
      </c>
      <c r="N550" t="s">
        <v>9</v>
      </c>
      <c r="O550" t="s">
        <v>12</v>
      </c>
      <c r="P550">
        <f t="shared" si="98"/>
        <v>-123</v>
      </c>
      <c r="Q550">
        <v>1</v>
      </c>
    </row>
    <row r="551" spans="2:17" x14ac:dyDescent="0.25">
      <c r="B551">
        <f>436+2*(Table1[[#This Row],[Column1]])</f>
        <v>450</v>
      </c>
      <c r="C551">
        <f>MINUTE(Table1[[#This Row],[Time]])</f>
        <v>7</v>
      </c>
      <c r="D551" s="1">
        <v>0.46356417824074075</v>
      </c>
      <c r="E551" t="s">
        <v>9</v>
      </c>
      <c r="F551">
        <v>-123</v>
      </c>
      <c r="G551">
        <v>1.3</v>
      </c>
      <c r="K551">
        <f>400+2*(Table2[[#This Row],[Column1]]-13)</f>
        <v>450</v>
      </c>
      <c r="L551">
        <f>MINUTE(Table2[[#This Row],[Time]])</f>
        <v>38</v>
      </c>
      <c r="M551" s="1">
        <v>0.69343046296296296</v>
      </c>
      <c r="N551" t="s">
        <v>9</v>
      </c>
      <c r="O551" t="s">
        <v>11</v>
      </c>
      <c r="P551">
        <f t="shared" si="98"/>
        <v>-122</v>
      </c>
      <c r="Q551">
        <v>1.3</v>
      </c>
    </row>
    <row r="552" spans="2:17" x14ac:dyDescent="0.25">
      <c r="B552">
        <f>436+2*(Table1[[#This Row],[Column1]])</f>
        <v>450</v>
      </c>
      <c r="C552">
        <f>MINUTE(Table1[[#This Row],[Time]])</f>
        <v>7</v>
      </c>
      <c r="D552" s="1">
        <v>0.46359656250000003</v>
      </c>
      <c r="E552" t="s">
        <v>9</v>
      </c>
      <c r="F552">
        <v>-123</v>
      </c>
      <c r="G552">
        <v>0.8</v>
      </c>
      <c r="K552">
        <f>400+2*(Table2[[#This Row],[Column1]]-13)</f>
        <v>450</v>
      </c>
      <c r="L552">
        <f>MINUTE(Table2[[#This Row],[Time]])</f>
        <v>38</v>
      </c>
      <c r="M552" s="1">
        <v>0.69346285879629632</v>
      </c>
      <c r="N552" t="s">
        <v>9</v>
      </c>
      <c r="O552" t="s">
        <v>11</v>
      </c>
      <c r="P552">
        <f t="shared" si="98"/>
        <v>-122</v>
      </c>
      <c r="Q552">
        <v>0.8</v>
      </c>
    </row>
    <row r="553" spans="2:17" x14ac:dyDescent="0.25">
      <c r="B553">
        <f>436+2*(Table1[[#This Row],[Column1]])</f>
        <v>450</v>
      </c>
      <c r="C553">
        <f>MINUTE(Table1[[#This Row],[Time]])</f>
        <v>7</v>
      </c>
      <c r="D553" s="1">
        <v>0.46362896990740737</v>
      </c>
      <c r="E553" t="s">
        <v>27</v>
      </c>
      <c r="F553">
        <f>F552-0.5</f>
        <v>-123.5</v>
      </c>
      <c r="G553">
        <f>G552-0.5</f>
        <v>0.30000000000000004</v>
      </c>
      <c r="K553">
        <f>400+2*(Table2[[#This Row],[Column1]]-13)</f>
        <v>450</v>
      </c>
      <c r="L553">
        <f>MINUTE(Table2[[#This Row],[Time]])</f>
        <v>38</v>
      </c>
      <c r="M553" s="1">
        <v>0.69349525462962958</v>
      </c>
      <c r="N553" t="s">
        <v>9</v>
      </c>
      <c r="O553" t="s">
        <v>12</v>
      </c>
      <c r="P553">
        <f t="shared" si="98"/>
        <v>-123</v>
      </c>
      <c r="Q553">
        <v>1</v>
      </c>
    </row>
    <row r="554" spans="2:17" x14ac:dyDescent="0.25">
      <c r="B554">
        <f>436+2*(Table1[[#This Row],[Column1]])</f>
        <v>450</v>
      </c>
      <c r="C554">
        <f>MINUTE(Table1[[#This Row],[Time]])</f>
        <v>7</v>
      </c>
      <c r="D554" s="1">
        <v>0.46366136574074068</v>
      </c>
      <c r="E554" t="s">
        <v>9</v>
      </c>
      <c r="F554">
        <v>-123</v>
      </c>
      <c r="G554">
        <v>1</v>
      </c>
      <c r="K554">
        <f>400+2*(Table2[[#This Row],[Column1]]-13)</f>
        <v>450</v>
      </c>
      <c r="L554">
        <f>MINUTE(Table2[[#This Row],[Time]])</f>
        <v>38</v>
      </c>
      <c r="M554" s="1">
        <v>0.69352765046296294</v>
      </c>
      <c r="N554" t="s">
        <v>9</v>
      </c>
      <c r="O554" t="s">
        <v>12</v>
      </c>
      <c r="P554">
        <f t="shared" si="98"/>
        <v>-123</v>
      </c>
      <c r="Q554">
        <v>1</v>
      </c>
    </row>
    <row r="555" spans="2:17" x14ac:dyDescent="0.25">
      <c r="B555">
        <f>436+2*(Table1[[#This Row],[Column1]])</f>
        <v>450</v>
      </c>
      <c r="C555">
        <f>MINUTE(Table1[[#This Row],[Time]])</f>
        <v>7</v>
      </c>
      <c r="D555" s="1">
        <v>0.46369375000000002</v>
      </c>
      <c r="E555" t="s">
        <v>27</v>
      </c>
      <c r="F555">
        <f>F554-0.5</f>
        <v>-123.5</v>
      </c>
      <c r="G555">
        <f>G554-0.5</f>
        <v>0.5</v>
      </c>
      <c r="K555">
        <f>400+2*(Table2[[#This Row],[Column1]]-13)</f>
        <v>450</v>
      </c>
      <c r="L555">
        <f>MINUTE(Table2[[#This Row],[Time]])</f>
        <v>38</v>
      </c>
      <c r="M555" s="1">
        <v>0.69356004629629631</v>
      </c>
      <c r="N555" t="s">
        <v>9</v>
      </c>
      <c r="O555" t="s">
        <v>12</v>
      </c>
      <c r="P555">
        <f t="shared" si="98"/>
        <v>-123</v>
      </c>
      <c r="Q555">
        <v>1.3</v>
      </c>
    </row>
    <row r="556" spans="2:17" x14ac:dyDescent="0.25">
      <c r="B556">
        <f>436+2*(Table1[[#This Row],[Column1]])</f>
        <v>450</v>
      </c>
      <c r="C556">
        <f>MINUTE(Table1[[#This Row],[Time]])</f>
        <v>7</v>
      </c>
      <c r="D556" s="1">
        <v>0.46372615740740741</v>
      </c>
      <c r="E556" t="s">
        <v>9</v>
      </c>
      <c r="F556">
        <v>-123</v>
      </c>
      <c r="G556">
        <v>0.8</v>
      </c>
      <c r="K556">
        <f>400+2*(Table2[[#This Row],[Column1]]-13)</f>
        <v>450</v>
      </c>
      <c r="L556">
        <f>MINUTE(Table2[[#This Row],[Time]])</f>
        <v>38</v>
      </c>
      <c r="M556" s="1">
        <v>0.69359244212962967</v>
      </c>
      <c r="N556" t="s">
        <v>9</v>
      </c>
      <c r="O556" t="s">
        <v>11</v>
      </c>
      <c r="P556">
        <f t="shared" si="98"/>
        <v>-122</v>
      </c>
      <c r="Q556">
        <v>1.3</v>
      </c>
    </row>
    <row r="557" spans="2:17" x14ac:dyDescent="0.25">
      <c r="B557">
        <f>436+2*(Table1[[#This Row],[Column1]])</f>
        <v>450</v>
      </c>
      <c r="C557">
        <f>MINUTE(Table1[[#This Row],[Time]])</f>
        <v>7</v>
      </c>
      <c r="D557" s="1">
        <v>0.46375854166666663</v>
      </c>
      <c r="E557" t="s">
        <v>27</v>
      </c>
      <c r="F557">
        <f t="shared" ref="F557:F558" si="101">F556-0.5</f>
        <v>-123.5</v>
      </c>
      <c r="G557">
        <f t="shared" ref="G557:G558" si="102">G556-0.5</f>
        <v>0.30000000000000004</v>
      </c>
      <c r="K557">
        <f>400+2*(Table2[[#This Row],[Column1]]-13)</f>
        <v>450</v>
      </c>
      <c r="L557">
        <f>MINUTE(Table2[[#This Row],[Time]])</f>
        <v>38</v>
      </c>
      <c r="M557" s="1">
        <v>0.69362483796296293</v>
      </c>
      <c r="N557" t="s">
        <v>27</v>
      </c>
      <c r="O557" t="str">
        <f t="shared" ref="O557:O558" si="103">O556</f>
        <v>-122.0,</v>
      </c>
      <c r="P557">
        <f t="shared" ref="P557:P558" si="104">P556-0.5</f>
        <v>-122.5</v>
      </c>
      <c r="Q557">
        <f t="shared" ref="Q557:Q558" si="105">Q556-0.5</f>
        <v>0.8</v>
      </c>
    </row>
    <row r="558" spans="2:17" x14ac:dyDescent="0.25">
      <c r="B558">
        <f>436+2*(Table1[[#This Row],[Column1]])</f>
        <v>450</v>
      </c>
      <c r="C558">
        <f>MINUTE(Table1[[#This Row],[Time]])</f>
        <v>7</v>
      </c>
      <c r="D558" s="1">
        <v>0.46379093749999994</v>
      </c>
      <c r="E558" t="s">
        <v>27</v>
      </c>
      <c r="F558">
        <f t="shared" si="101"/>
        <v>-124</v>
      </c>
      <c r="G558">
        <f t="shared" si="102"/>
        <v>-0.19999999999999996</v>
      </c>
      <c r="K558">
        <f>400+2*(Table2[[#This Row],[Column1]]-13)</f>
        <v>450</v>
      </c>
      <c r="L558">
        <f>MINUTE(Table2[[#This Row],[Time]])</f>
        <v>38</v>
      </c>
      <c r="M558" s="1">
        <v>0.69365722222222215</v>
      </c>
      <c r="N558" t="s">
        <v>27</v>
      </c>
      <c r="O558" t="str">
        <f t="shared" si="103"/>
        <v>-122.0,</v>
      </c>
      <c r="P558">
        <f t="shared" si="104"/>
        <v>-123</v>
      </c>
      <c r="Q558">
        <f t="shared" si="105"/>
        <v>0.30000000000000004</v>
      </c>
    </row>
    <row r="559" spans="2:17" x14ac:dyDescent="0.25">
      <c r="B559">
        <f>436+2*(Table1[[#This Row],[Column1]])</f>
        <v>450</v>
      </c>
      <c r="C559">
        <f>MINUTE(Table1[[#This Row],[Time]])</f>
        <v>7</v>
      </c>
      <c r="D559" s="1">
        <v>0.4638233449074074</v>
      </c>
      <c r="E559" t="s">
        <v>9</v>
      </c>
      <c r="F559">
        <v>-122</v>
      </c>
      <c r="G559">
        <v>1</v>
      </c>
      <c r="K559">
        <f>400+2*(Table2[[#This Row],[Column1]]-13)</f>
        <v>450</v>
      </c>
      <c r="L559">
        <f>MINUTE(Table2[[#This Row],[Time]])</f>
        <v>38</v>
      </c>
      <c r="M559" s="1">
        <v>0.69368962962962966</v>
      </c>
      <c r="N559" t="s">
        <v>9</v>
      </c>
      <c r="O559" t="s">
        <v>12</v>
      </c>
      <c r="P559">
        <f t="shared" si="98"/>
        <v>-123</v>
      </c>
      <c r="Q559">
        <v>1</v>
      </c>
    </row>
    <row r="560" spans="2:17" x14ac:dyDescent="0.25">
      <c r="B560">
        <f>436+2*(Table1[[#This Row],[Column1]])</f>
        <v>450</v>
      </c>
      <c r="C560">
        <f>MINUTE(Table1[[#This Row],[Time]])</f>
        <v>7</v>
      </c>
      <c r="D560" s="1">
        <v>0.46385574074074071</v>
      </c>
      <c r="E560" t="s">
        <v>27</v>
      </c>
      <c r="F560">
        <f t="shared" ref="F560:F561" si="106">F559-0.5</f>
        <v>-122.5</v>
      </c>
      <c r="G560">
        <f t="shared" ref="G560:G561" si="107">G559-0.5</f>
        <v>0.5</v>
      </c>
      <c r="K560">
        <f>400+2*(Table2[[#This Row],[Column1]]-13)</f>
        <v>450</v>
      </c>
      <c r="L560">
        <f>MINUTE(Table2[[#This Row],[Time]])</f>
        <v>38</v>
      </c>
      <c r="M560" s="1">
        <v>0.69372202546296291</v>
      </c>
      <c r="N560" t="s">
        <v>27</v>
      </c>
      <c r="O560" t="str">
        <f>O559</f>
        <v>-123.0,</v>
      </c>
      <c r="P560">
        <f>P559-0.5</f>
        <v>-123.5</v>
      </c>
      <c r="Q560">
        <f>Q559-0.5</f>
        <v>0.5</v>
      </c>
    </row>
    <row r="561" spans="2:17" x14ac:dyDescent="0.25">
      <c r="B561">
        <f>436+2*(Table1[[#This Row],[Column1]])</f>
        <v>452</v>
      </c>
      <c r="C561">
        <f>MINUTE(Table1[[#This Row],[Time]])</f>
        <v>8</v>
      </c>
      <c r="D561" s="1">
        <v>0.46388812500000004</v>
      </c>
      <c r="E561" t="s">
        <v>27</v>
      </c>
      <c r="F561">
        <f t="shared" si="106"/>
        <v>-123</v>
      </c>
      <c r="G561">
        <f t="shared" si="107"/>
        <v>0</v>
      </c>
      <c r="K561">
        <f>400+2*(Table2[[#This Row],[Column1]]-13)</f>
        <v>452</v>
      </c>
      <c r="L561">
        <f>MINUTE(Table2[[#This Row],[Time]])</f>
        <v>39</v>
      </c>
      <c r="M561" s="1">
        <v>0.69375442129629628</v>
      </c>
      <c r="N561" t="s">
        <v>9</v>
      </c>
      <c r="O561" t="s">
        <v>12</v>
      </c>
      <c r="P561">
        <f t="shared" si="98"/>
        <v>-123</v>
      </c>
      <c r="Q561">
        <v>1.3</v>
      </c>
    </row>
    <row r="562" spans="2:17" x14ac:dyDescent="0.25">
      <c r="B562">
        <f>436+2*(Table1[[#This Row],[Column1]])</f>
        <v>452</v>
      </c>
      <c r="C562">
        <f>MINUTE(Table1[[#This Row],[Time]])</f>
        <v>8</v>
      </c>
      <c r="D562" s="1">
        <v>0.46392053240740738</v>
      </c>
      <c r="E562" t="s">
        <v>9</v>
      </c>
      <c r="F562">
        <v>-123</v>
      </c>
      <c r="G562">
        <v>1</v>
      </c>
      <c r="K562">
        <f>400+2*(Table2[[#This Row],[Column1]]-13)</f>
        <v>452</v>
      </c>
      <c r="L562">
        <f>MINUTE(Table2[[#This Row],[Time]])</f>
        <v>39</v>
      </c>
      <c r="M562" s="1">
        <v>0.69378681712962964</v>
      </c>
      <c r="N562" t="s">
        <v>9</v>
      </c>
      <c r="O562" t="s">
        <v>12</v>
      </c>
      <c r="P562">
        <f t="shared" si="98"/>
        <v>-123</v>
      </c>
      <c r="Q562">
        <v>0.8</v>
      </c>
    </row>
    <row r="563" spans="2:17" x14ac:dyDescent="0.25">
      <c r="B563">
        <f>436+2*(Table1[[#This Row],[Column1]])</f>
        <v>452</v>
      </c>
      <c r="C563">
        <f>MINUTE(Table1[[#This Row],[Time]])</f>
        <v>8</v>
      </c>
      <c r="D563" s="1">
        <v>0.4639529282407408</v>
      </c>
      <c r="E563" t="s">
        <v>9</v>
      </c>
      <c r="F563">
        <v>-124</v>
      </c>
      <c r="G563">
        <v>-1.8</v>
      </c>
      <c r="K563">
        <f>400+2*(Table2[[#This Row],[Column1]]-13)</f>
        <v>452</v>
      </c>
      <c r="L563">
        <f>MINUTE(Table2[[#This Row],[Time]])</f>
        <v>39</v>
      </c>
      <c r="M563" s="1">
        <v>0.69381921296296301</v>
      </c>
      <c r="N563" t="s">
        <v>9</v>
      </c>
      <c r="O563" t="s">
        <v>19</v>
      </c>
      <c r="P563">
        <f t="shared" si="98"/>
        <v>-124</v>
      </c>
      <c r="Q563">
        <v>-0.8</v>
      </c>
    </row>
    <row r="564" spans="2:17" x14ac:dyDescent="0.25">
      <c r="B564">
        <f>436+2*(Table1[[#This Row],[Column1]])</f>
        <v>452</v>
      </c>
      <c r="C564">
        <f>MINUTE(Table1[[#This Row],[Time]])</f>
        <v>8</v>
      </c>
      <c r="D564" s="1">
        <v>0.46398531249999997</v>
      </c>
      <c r="E564" t="s">
        <v>27</v>
      </c>
      <c r="F564">
        <f>F563-0.5</f>
        <v>-124.5</v>
      </c>
      <c r="G564">
        <f>G563-0.5</f>
        <v>-2.2999999999999998</v>
      </c>
      <c r="K564">
        <f>400+2*(Table2[[#This Row],[Column1]]-13)</f>
        <v>452</v>
      </c>
      <c r="L564">
        <f>MINUTE(Table2[[#This Row],[Time]])</f>
        <v>39</v>
      </c>
      <c r="M564" s="1">
        <v>0.69385160879629637</v>
      </c>
      <c r="N564" t="s">
        <v>9</v>
      </c>
      <c r="O564" t="s">
        <v>19</v>
      </c>
      <c r="P564">
        <f t="shared" si="98"/>
        <v>-124</v>
      </c>
      <c r="Q564">
        <v>-1.5</v>
      </c>
    </row>
    <row r="565" spans="2:17" x14ac:dyDescent="0.25">
      <c r="B565">
        <f>436+2*(Table1[[#This Row],[Column1]])</f>
        <v>452</v>
      </c>
      <c r="C565">
        <f>MINUTE(Table1[[#This Row],[Time]])</f>
        <v>8</v>
      </c>
      <c r="D565" s="1">
        <v>0.46401770833333328</v>
      </c>
      <c r="E565" t="s">
        <v>9</v>
      </c>
      <c r="F565">
        <v>-123</v>
      </c>
      <c r="G565">
        <v>-1.5</v>
      </c>
      <c r="K565">
        <f>400+2*(Table2[[#This Row],[Column1]]-13)</f>
        <v>452</v>
      </c>
      <c r="L565">
        <f>MINUTE(Table2[[#This Row],[Time]])</f>
        <v>39</v>
      </c>
      <c r="M565" s="1">
        <v>0.69388400462962962</v>
      </c>
      <c r="N565" t="s">
        <v>9</v>
      </c>
      <c r="O565" t="s">
        <v>19</v>
      </c>
      <c r="P565">
        <f t="shared" si="98"/>
        <v>-124</v>
      </c>
      <c r="Q565">
        <v>-1</v>
      </c>
    </row>
    <row r="566" spans="2:17" x14ac:dyDescent="0.25">
      <c r="B566">
        <f>436+2*(Table1[[#This Row],[Column1]])</f>
        <v>452</v>
      </c>
      <c r="C566">
        <f>MINUTE(Table1[[#This Row],[Time]])</f>
        <v>8</v>
      </c>
      <c r="D566" s="1">
        <v>0.46405010416666664</v>
      </c>
      <c r="E566" t="s">
        <v>13</v>
      </c>
      <c r="F566">
        <f>F565-0.5</f>
        <v>-123.5</v>
      </c>
      <c r="G566">
        <f>G565-0.5</f>
        <v>-2</v>
      </c>
      <c r="K566">
        <f>400+2*(Table2[[#This Row],[Column1]]-13)</f>
        <v>452</v>
      </c>
      <c r="L566">
        <f>MINUTE(Table2[[#This Row],[Time]])</f>
        <v>39</v>
      </c>
      <c r="M566" s="1">
        <v>0.69391638888888885</v>
      </c>
      <c r="N566" t="s">
        <v>13</v>
      </c>
      <c r="O566" t="str">
        <f>O565</f>
        <v>-124.0,</v>
      </c>
      <c r="P566">
        <f>P565-0.5</f>
        <v>-124.5</v>
      </c>
      <c r="Q566">
        <f>Q565-0.5</f>
        <v>-1.5</v>
      </c>
    </row>
    <row r="567" spans="2:17" x14ac:dyDescent="0.25">
      <c r="B567">
        <f>436+2*(Table1[[#This Row],[Column1]])</f>
        <v>452</v>
      </c>
      <c r="C567">
        <f>MINUTE(Table1[[#This Row],[Time]])</f>
        <v>8</v>
      </c>
      <c r="D567" s="1">
        <v>0.46408250000000001</v>
      </c>
      <c r="E567" t="s">
        <v>9</v>
      </c>
      <c r="F567">
        <v>-123</v>
      </c>
      <c r="G567">
        <v>1</v>
      </c>
      <c r="K567">
        <f>400+2*(Table2[[#This Row],[Column1]]-13)</f>
        <v>452</v>
      </c>
      <c r="L567">
        <f>MINUTE(Table2[[#This Row],[Time]])</f>
        <v>39</v>
      </c>
      <c r="M567" s="1">
        <v>0.69394879629629624</v>
      </c>
      <c r="N567" t="s">
        <v>9</v>
      </c>
      <c r="O567" t="s">
        <v>11</v>
      </c>
      <c r="P567">
        <f t="shared" si="98"/>
        <v>-122</v>
      </c>
      <c r="Q567">
        <v>1.3</v>
      </c>
    </row>
    <row r="568" spans="2:17" x14ac:dyDescent="0.25">
      <c r="B568">
        <f>436+2*(Table1[[#This Row],[Column1]])</f>
        <v>452</v>
      </c>
      <c r="C568">
        <f>MINUTE(Table1[[#This Row],[Time]])</f>
        <v>8</v>
      </c>
      <c r="D568" s="1">
        <v>0.46411489583333337</v>
      </c>
      <c r="E568" t="s">
        <v>9</v>
      </c>
      <c r="F568">
        <v>-123</v>
      </c>
      <c r="G568">
        <v>0.5</v>
      </c>
      <c r="K568">
        <f>400+2*(Table2[[#This Row],[Column1]]-13)</f>
        <v>452</v>
      </c>
      <c r="L568">
        <f>MINUTE(Table2[[#This Row],[Time]])</f>
        <v>39</v>
      </c>
      <c r="M568" s="1">
        <v>0.69398118055555558</v>
      </c>
      <c r="N568" t="s">
        <v>27</v>
      </c>
      <c r="O568" t="str">
        <f>O567</f>
        <v>-122.0,</v>
      </c>
      <c r="P568">
        <f>P567-0.5</f>
        <v>-122.5</v>
      </c>
      <c r="Q568">
        <f>Q567-0.5</f>
        <v>0.8</v>
      </c>
    </row>
    <row r="569" spans="2:17" x14ac:dyDescent="0.25">
      <c r="B569">
        <f>436+2*(Table1[[#This Row],[Column1]])</f>
        <v>452</v>
      </c>
      <c r="C569">
        <f>MINUTE(Table1[[#This Row],[Time]])</f>
        <v>8</v>
      </c>
      <c r="D569" s="1">
        <v>0.46414729166666668</v>
      </c>
      <c r="E569" t="s">
        <v>9</v>
      </c>
      <c r="F569">
        <v>-123</v>
      </c>
      <c r="G569">
        <v>0.8</v>
      </c>
      <c r="K569">
        <f>400+2*(Table2[[#This Row],[Column1]]-13)</f>
        <v>452</v>
      </c>
      <c r="L569">
        <f>MINUTE(Table2[[#This Row],[Time]])</f>
        <v>39</v>
      </c>
      <c r="M569" s="1">
        <v>0.69401358796296297</v>
      </c>
      <c r="N569" t="s">
        <v>9</v>
      </c>
      <c r="O569" t="s">
        <v>12</v>
      </c>
      <c r="P569">
        <f t="shared" si="98"/>
        <v>-123</v>
      </c>
      <c r="Q569">
        <v>0.8</v>
      </c>
    </row>
    <row r="570" spans="2:17" x14ac:dyDescent="0.25">
      <c r="B570">
        <f>436+2*(Table1[[#This Row],[Column1]])</f>
        <v>452</v>
      </c>
      <c r="C570">
        <f>MINUTE(Table1[[#This Row],[Time]])</f>
        <v>8</v>
      </c>
      <c r="D570" s="1">
        <v>0.46417969907407403</v>
      </c>
      <c r="E570" t="s">
        <v>9</v>
      </c>
      <c r="F570">
        <v>-123</v>
      </c>
      <c r="G570">
        <v>1</v>
      </c>
      <c r="K570">
        <f>400+2*(Table2[[#This Row],[Column1]]-13)</f>
        <v>452</v>
      </c>
      <c r="L570">
        <f>MINUTE(Table2[[#This Row],[Time]])</f>
        <v>39</v>
      </c>
      <c r="M570" s="1">
        <v>0.69404598379629623</v>
      </c>
      <c r="N570" t="s">
        <v>27</v>
      </c>
      <c r="O570" t="str">
        <f>O569</f>
        <v>-123.0,</v>
      </c>
      <c r="P570">
        <f>P569-0.5</f>
        <v>-123.5</v>
      </c>
      <c r="Q570">
        <f>Q569-0.5</f>
        <v>0.30000000000000004</v>
      </c>
    </row>
    <row r="571" spans="2:17" x14ac:dyDescent="0.25">
      <c r="B571">
        <f>436+2*(Table1[[#This Row],[Column1]])</f>
        <v>452</v>
      </c>
      <c r="C571">
        <f>MINUTE(Table1[[#This Row],[Time]])</f>
        <v>8</v>
      </c>
      <c r="D571" s="1">
        <v>0.4642120833333333</v>
      </c>
      <c r="E571" t="s">
        <v>9</v>
      </c>
      <c r="F571">
        <v>-118</v>
      </c>
      <c r="G571">
        <v>1</v>
      </c>
      <c r="K571">
        <f>400+2*(Table2[[#This Row],[Column1]]-13)</f>
        <v>452</v>
      </c>
      <c r="L571">
        <f>MINUTE(Table2[[#This Row],[Time]])</f>
        <v>39</v>
      </c>
      <c r="M571" s="1">
        <v>0.69407836805555556</v>
      </c>
      <c r="N571" t="s">
        <v>9</v>
      </c>
      <c r="O571" t="s">
        <v>11</v>
      </c>
      <c r="P571">
        <f t="shared" si="98"/>
        <v>-122</v>
      </c>
      <c r="Q571">
        <v>1</v>
      </c>
    </row>
    <row r="572" spans="2:17" x14ac:dyDescent="0.25">
      <c r="B572">
        <f>436+2*(Table1[[#This Row],[Column1]])</f>
        <v>452</v>
      </c>
      <c r="C572">
        <f>MINUTE(Table1[[#This Row],[Time]])</f>
        <v>8</v>
      </c>
      <c r="D572" s="1">
        <v>0.46424447916666667</v>
      </c>
      <c r="E572" t="s">
        <v>9</v>
      </c>
      <c r="F572">
        <v>-123</v>
      </c>
      <c r="G572">
        <v>1.3</v>
      </c>
      <c r="K572">
        <f>400+2*(Table2[[#This Row],[Column1]]-13)</f>
        <v>452</v>
      </c>
      <c r="L572">
        <f>MINUTE(Table2[[#This Row],[Time]])</f>
        <v>39</v>
      </c>
      <c r="M572" s="1">
        <v>0.69411077546296296</v>
      </c>
      <c r="N572" t="s">
        <v>9</v>
      </c>
      <c r="O572" t="s">
        <v>12</v>
      </c>
      <c r="P572">
        <f t="shared" si="98"/>
        <v>-123</v>
      </c>
      <c r="Q572">
        <v>0.8</v>
      </c>
    </row>
    <row r="573" spans="2:17" x14ac:dyDescent="0.25">
      <c r="B573">
        <f>436+2*(Table1[[#This Row],[Column1]])</f>
        <v>452</v>
      </c>
      <c r="C573">
        <f>MINUTE(Table1[[#This Row],[Time]])</f>
        <v>8</v>
      </c>
      <c r="D573" s="1">
        <v>0.46427687499999998</v>
      </c>
      <c r="E573" t="s">
        <v>9</v>
      </c>
      <c r="F573">
        <v>-123</v>
      </c>
      <c r="G573">
        <v>0.8</v>
      </c>
      <c r="K573">
        <f>400+2*(Table2[[#This Row],[Column1]]-13)</f>
        <v>452</v>
      </c>
      <c r="L573">
        <f>MINUTE(Table2[[#This Row],[Time]])</f>
        <v>39</v>
      </c>
      <c r="M573" s="1">
        <v>0.69414315972222218</v>
      </c>
      <c r="N573" t="s">
        <v>9</v>
      </c>
      <c r="O573" t="s">
        <v>12</v>
      </c>
      <c r="P573">
        <f t="shared" si="98"/>
        <v>-123</v>
      </c>
      <c r="Q573">
        <v>1.3</v>
      </c>
    </row>
    <row r="574" spans="2:17" x14ac:dyDescent="0.25">
      <c r="B574">
        <f>436+2*(Table1[[#This Row],[Column1]])</f>
        <v>452</v>
      </c>
      <c r="C574">
        <f>MINUTE(Table1[[#This Row],[Time]])</f>
        <v>8</v>
      </c>
      <c r="D574" s="1">
        <v>0.4643092708333334</v>
      </c>
      <c r="E574" t="s">
        <v>9</v>
      </c>
      <c r="F574">
        <v>-123</v>
      </c>
      <c r="G574">
        <v>1</v>
      </c>
      <c r="K574">
        <f>400+2*(Table2[[#This Row],[Column1]]-13)</f>
        <v>452</v>
      </c>
      <c r="L574">
        <f>MINUTE(Table2[[#This Row],[Time]])</f>
        <v>39</v>
      </c>
      <c r="M574" s="1">
        <v>0.69417555555555555</v>
      </c>
      <c r="N574" t="s">
        <v>9</v>
      </c>
      <c r="O574" t="s">
        <v>12</v>
      </c>
      <c r="P574">
        <f t="shared" si="98"/>
        <v>-123</v>
      </c>
      <c r="Q574">
        <v>1</v>
      </c>
    </row>
    <row r="575" spans="2:17" x14ac:dyDescent="0.25">
      <c r="B575">
        <f>436+2*(Table1[[#This Row],[Column1]])</f>
        <v>452</v>
      </c>
      <c r="C575">
        <f>MINUTE(Table1[[#This Row],[Time]])</f>
        <v>8</v>
      </c>
      <c r="D575" s="1">
        <v>0.46434167824074074</v>
      </c>
      <c r="E575" t="s">
        <v>9</v>
      </c>
      <c r="F575">
        <v>-123</v>
      </c>
      <c r="G575">
        <v>0.8</v>
      </c>
      <c r="K575">
        <f>400+2*(Table2[[#This Row],[Column1]]-13)</f>
        <v>452</v>
      </c>
      <c r="L575">
        <f>MINUTE(Table2[[#This Row],[Time]])</f>
        <v>39</v>
      </c>
      <c r="M575" s="1">
        <v>0.69420796296296294</v>
      </c>
      <c r="N575" t="s">
        <v>9</v>
      </c>
      <c r="O575" t="s">
        <v>12</v>
      </c>
      <c r="P575">
        <f t="shared" si="98"/>
        <v>-123</v>
      </c>
      <c r="Q575">
        <v>1</v>
      </c>
    </row>
    <row r="576" spans="2:17" x14ac:dyDescent="0.25">
      <c r="B576">
        <f>436+2*(Table1[[#This Row],[Column1]])</f>
        <v>452</v>
      </c>
      <c r="C576">
        <f>MINUTE(Table1[[#This Row],[Time]])</f>
        <v>8</v>
      </c>
      <c r="D576" s="1">
        <v>0.46437406250000002</v>
      </c>
      <c r="E576" t="s">
        <v>9</v>
      </c>
      <c r="F576">
        <v>-123</v>
      </c>
      <c r="G576">
        <v>0.8</v>
      </c>
      <c r="K576">
        <f>400+2*(Table2[[#This Row],[Column1]]-13)</f>
        <v>452</v>
      </c>
      <c r="L576">
        <f>MINUTE(Table2[[#This Row],[Time]])</f>
        <v>39</v>
      </c>
      <c r="M576" s="1">
        <v>0.69424034722222228</v>
      </c>
      <c r="N576" t="s">
        <v>9</v>
      </c>
      <c r="O576" t="s">
        <v>12</v>
      </c>
      <c r="P576">
        <f t="shared" si="98"/>
        <v>-123</v>
      </c>
      <c r="Q576">
        <v>0.8</v>
      </c>
    </row>
    <row r="577" spans="2:17" x14ac:dyDescent="0.25">
      <c r="B577">
        <f>436+2*(Table1[[#This Row],[Column1]])</f>
        <v>452</v>
      </c>
      <c r="C577">
        <f>MINUTE(Table1[[#This Row],[Time]])</f>
        <v>8</v>
      </c>
      <c r="D577" s="1">
        <v>0.46440645833333333</v>
      </c>
      <c r="E577" t="s">
        <v>9</v>
      </c>
      <c r="F577">
        <v>-123</v>
      </c>
      <c r="G577">
        <v>0.5</v>
      </c>
      <c r="K577">
        <f>400+2*(Table2[[#This Row],[Column1]]-13)</f>
        <v>452</v>
      </c>
      <c r="L577">
        <f>MINUTE(Table2[[#This Row],[Time]])</f>
        <v>39</v>
      </c>
      <c r="M577" s="1">
        <v>0.69427275462962956</v>
      </c>
      <c r="N577" t="s">
        <v>9</v>
      </c>
      <c r="O577" t="s">
        <v>12</v>
      </c>
      <c r="P577">
        <f t="shared" si="98"/>
        <v>-123</v>
      </c>
      <c r="Q577">
        <v>1</v>
      </c>
    </row>
    <row r="578" spans="2:17" x14ac:dyDescent="0.25">
      <c r="B578">
        <f>436+2*(Table1[[#This Row],[Column1]])</f>
        <v>452</v>
      </c>
      <c r="C578">
        <f>MINUTE(Table1[[#This Row],[Time]])</f>
        <v>8</v>
      </c>
      <c r="D578" s="1">
        <v>0.46443885416666664</v>
      </c>
      <c r="E578" t="s">
        <v>9</v>
      </c>
      <c r="F578">
        <v>-123</v>
      </c>
      <c r="G578">
        <v>0.8</v>
      </c>
      <c r="K578">
        <f>400+2*(Table2[[#This Row],[Column1]]-13)</f>
        <v>452</v>
      </c>
      <c r="L578">
        <f>MINUTE(Table2[[#This Row],[Time]])</f>
        <v>39</v>
      </c>
      <c r="M578" s="1">
        <v>0.6943051388888889</v>
      </c>
      <c r="N578" t="s">
        <v>9</v>
      </c>
      <c r="O578" t="s">
        <v>12</v>
      </c>
      <c r="P578">
        <f t="shared" si="98"/>
        <v>-123</v>
      </c>
      <c r="Q578">
        <v>0.8</v>
      </c>
    </row>
    <row r="579" spans="2:17" x14ac:dyDescent="0.25">
      <c r="B579">
        <f>436+2*(Table1[[#This Row],[Column1]])</f>
        <v>452</v>
      </c>
      <c r="C579">
        <f>MINUTE(Table1[[#This Row],[Time]])</f>
        <v>8</v>
      </c>
      <c r="D579" s="1">
        <v>0.46447125</v>
      </c>
      <c r="E579" t="s">
        <v>27</v>
      </c>
      <c r="F579">
        <f>F578-0.5</f>
        <v>-123.5</v>
      </c>
      <c r="G579">
        <f>G578-0.5</f>
        <v>0.30000000000000004</v>
      </c>
      <c r="K579">
        <f>400+2*(Table2[[#This Row],[Column1]]-13)</f>
        <v>452</v>
      </c>
      <c r="L579">
        <f>MINUTE(Table2[[#This Row],[Time]])</f>
        <v>39</v>
      </c>
      <c r="M579" s="1">
        <v>0.69433754629629629</v>
      </c>
      <c r="N579" t="s">
        <v>27</v>
      </c>
      <c r="O579" t="str">
        <f>O578</f>
        <v>-123.0,</v>
      </c>
      <c r="P579">
        <f>P578-0.5</f>
        <v>-123.5</v>
      </c>
      <c r="Q579">
        <f>Q578-0.5</f>
        <v>0.30000000000000004</v>
      </c>
    </row>
    <row r="580" spans="2:17" x14ac:dyDescent="0.25">
      <c r="B580">
        <f>436+2*(Table1[[#This Row],[Column1]])</f>
        <v>452</v>
      </c>
      <c r="C580">
        <f>MINUTE(Table1[[#This Row],[Time]])</f>
        <v>8</v>
      </c>
      <c r="D580" s="1">
        <v>0.46450364583333331</v>
      </c>
      <c r="E580" t="s">
        <v>9</v>
      </c>
      <c r="F580">
        <v>-123</v>
      </c>
      <c r="G580">
        <v>0.5</v>
      </c>
      <c r="K580">
        <f>400+2*(Table2[[#This Row],[Column1]]-13)</f>
        <v>452</v>
      </c>
      <c r="L580">
        <f>MINUTE(Table2[[#This Row],[Time]])</f>
        <v>39</v>
      </c>
      <c r="M580" s="1">
        <v>0.69436994212962966</v>
      </c>
      <c r="N580" t="s">
        <v>9</v>
      </c>
      <c r="O580" t="s">
        <v>12</v>
      </c>
      <c r="P580">
        <f t="shared" ref="P580:P643" si="108">VALUE(LEFT(O580,LEN(O580)-1))</f>
        <v>-123</v>
      </c>
      <c r="Q580">
        <v>0.8</v>
      </c>
    </row>
    <row r="581" spans="2:17" x14ac:dyDescent="0.25">
      <c r="B581">
        <f>436+2*(Table1[[#This Row],[Column1]])</f>
        <v>452</v>
      </c>
      <c r="C581">
        <f>MINUTE(Table1[[#This Row],[Time]])</f>
        <v>8</v>
      </c>
      <c r="D581" s="1">
        <v>0.46453604166666662</v>
      </c>
      <c r="E581" t="s">
        <v>9</v>
      </c>
      <c r="F581">
        <v>-123</v>
      </c>
      <c r="G581">
        <v>1</v>
      </c>
      <c r="K581">
        <f>400+2*(Table2[[#This Row],[Column1]]-13)</f>
        <v>452</v>
      </c>
      <c r="L581">
        <f>MINUTE(Table2[[#This Row],[Time]])</f>
        <v>39</v>
      </c>
      <c r="M581" s="1">
        <v>0.69440233796296302</v>
      </c>
      <c r="N581" t="s">
        <v>9</v>
      </c>
      <c r="O581" t="s">
        <v>12</v>
      </c>
      <c r="P581">
        <f t="shared" si="108"/>
        <v>-123</v>
      </c>
      <c r="Q581">
        <v>0.8</v>
      </c>
    </row>
    <row r="582" spans="2:17" x14ac:dyDescent="0.25">
      <c r="B582">
        <f>436+2*(Table1[[#This Row],[Column1]])</f>
        <v>452</v>
      </c>
      <c r="C582">
        <f>MINUTE(Table1[[#This Row],[Time]])</f>
        <v>8</v>
      </c>
      <c r="D582" s="1">
        <v>0.46456843750000004</v>
      </c>
      <c r="E582" t="s">
        <v>9</v>
      </c>
      <c r="F582">
        <v>-122</v>
      </c>
      <c r="G582">
        <v>1</v>
      </c>
      <c r="K582">
        <f>400+2*(Table2[[#This Row],[Column1]]-13)</f>
        <v>452</v>
      </c>
      <c r="L582">
        <f>MINUTE(Table2[[#This Row],[Time]])</f>
        <v>39</v>
      </c>
      <c r="M582" s="1">
        <v>0.69443473379629628</v>
      </c>
      <c r="N582" t="s">
        <v>9</v>
      </c>
      <c r="O582" t="s">
        <v>12</v>
      </c>
      <c r="P582">
        <f t="shared" si="108"/>
        <v>-123</v>
      </c>
      <c r="Q582">
        <v>0.8</v>
      </c>
    </row>
    <row r="583" spans="2:17" x14ac:dyDescent="0.25">
      <c r="B583">
        <f>436+2*(Table1[[#This Row],[Column1]])</f>
        <v>454</v>
      </c>
      <c r="C583">
        <f>MINUTE(Table1[[#This Row],[Time]])</f>
        <v>9</v>
      </c>
      <c r="D583" s="1">
        <v>0.46460083333333335</v>
      </c>
      <c r="E583" t="s">
        <v>9</v>
      </c>
      <c r="F583">
        <v>-123</v>
      </c>
      <c r="G583">
        <v>1</v>
      </c>
      <c r="K583">
        <f>400+2*(Table2[[#This Row],[Column1]]-13)</f>
        <v>454</v>
      </c>
      <c r="L583">
        <f>MINUTE(Table2[[#This Row],[Time]])</f>
        <v>40</v>
      </c>
      <c r="M583" s="1">
        <v>0.69446712962962964</v>
      </c>
      <c r="N583" t="s">
        <v>9</v>
      </c>
      <c r="O583" t="s">
        <v>12</v>
      </c>
      <c r="P583">
        <f t="shared" si="108"/>
        <v>-123</v>
      </c>
      <c r="Q583">
        <v>0.8</v>
      </c>
    </row>
    <row r="584" spans="2:17" x14ac:dyDescent="0.25">
      <c r="B584">
        <f>436+2*(Table1[[#This Row],[Column1]])</f>
        <v>454</v>
      </c>
      <c r="C584">
        <f>MINUTE(Table1[[#This Row],[Time]])</f>
        <v>9</v>
      </c>
      <c r="D584" s="1">
        <v>0.46463322916666666</v>
      </c>
      <c r="E584" t="s">
        <v>9</v>
      </c>
      <c r="F584">
        <v>-124</v>
      </c>
      <c r="G584">
        <v>-1</v>
      </c>
      <c r="K584">
        <f>400+2*(Table2[[#This Row],[Column1]]-13)</f>
        <v>454</v>
      </c>
      <c r="L584">
        <f>MINUTE(Table2[[#This Row],[Time]])</f>
        <v>40</v>
      </c>
      <c r="M584" s="1">
        <v>0.69449951388888886</v>
      </c>
      <c r="N584" t="s">
        <v>9</v>
      </c>
      <c r="O584" t="s">
        <v>19</v>
      </c>
      <c r="P584">
        <f t="shared" si="108"/>
        <v>-124</v>
      </c>
      <c r="Q584">
        <v>-0.8</v>
      </c>
    </row>
    <row r="585" spans="2:17" x14ac:dyDescent="0.25">
      <c r="B585">
        <f>436+2*(Table1[[#This Row],[Column1]])</f>
        <v>454</v>
      </c>
      <c r="C585">
        <f>MINUTE(Table1[[#This Row],[Time]])</f>
        <v>9</v>
      </c>
      <c r="D585" s="1">
        <v>0.46466562500000003</v>
      </c>
      <c r="E585" t="s">
        <v>27</v>
      </c>
      <c r="F585">
        <f t="shared" ref="F585:F588" si="109">F584-0.5</f>
        <v>-124.5</v>
      </c>
      <c r="G585">
        <f t="shared" ref="G585:G588" si="110">G584-0.5</f>
        <v>-1.5</v>
      </c>
      <c r="K585">
        <f>400+2*(Table2[[#This Row],[Column1]]-13)</f>
        <v>454</v>
      </c>
      <c r="L585">
        <f>MINUTE(Table2[[#This Row],[Time]])</f>
        <v>40</v>
      </c>
      <c r="M585" s="1">
        <v>0.69453189814814809</v>
      </c>
      <c r="N585" t="s">
        <v>9</v>
      </c>
      <c r="O585" t="s">
        <v>19</v>
      </c>
      <c r="P585">
        <f t="shared" si="108"/>
        <v>-124</v>
      </c>
      <c r="Q585">
        <v>-1.3</v>
      </c>
    </row>
    <row r="586" spans="2:17" x14ac:dyDescent="0.25">
      <c r="B586">
        <f>436+2*(Table1[[#This Row],[Column1]])</f>
        <v>454</v>
      </c>
      <c r="C586">
        <f>MINUTE(Table1[[#This Row],[Time]])</f>
        <v>9</v>
      </c>
      <c r="D586" s="1">
        <v>0.46469802083333334</v>
      </c>
      <c r="E586" t="s">
        <v>27</v>
      </c>
      <c r="F586">
        <f t="shared" si="109"/>
        <v>-125</v>
      </c>
      <c r="G586">
        <f t="shared" si="110"/>
        <v>-2</v>
      </c>
      <c r="K586">
        <f>400+2*(Table2[[#This Row],[Column1]]-13)</f>
        <v>454</v>
      </c>
      <c r="L586">
        <f>MINUTE(Table2[[#This Row],[Time]])</f>
        <v>40</v>
      </c>
      <c r="M586" s="1">
        <v>0.69456431712962963</v>
      </c>
      <c r="N586" t="s">
        <v>9</v>
      </c>
      <c r="O586" t="s">
        <v>19</v>
      </c>
      <c r="P586">
        <f t="shared" si="108"/>
        <v>-124</v>
      </c>
      <c r="Q586">
        <v>-1.3</v>
      </c>
    </row>
    <row r="587" spans="2:17" x14ac:dyDescent="0.25">
      <c r="B587">
        <f>436+2*(Table1[[#This Row],[Column1]])</f>
        <v>454</v>
      </c>
      <c r="C587">
        <f>MINUTE(Table1[[#This Row],[Time]])</f>
        <v>9</v>
      </c>
      <c r="D587" s="1">
        <v>0.46473041666666665</v>
      </c>
      <c r="E587" t="s">
        <v>27</v>
      </c>
      <c r="F587">
        <f t="shared" si="109"/>
        <v>-125.5</v>
      </c>
      <c r="G587">
        <f t="shared" si="110"/>
        <v>-2.5</v>
      </c>
      <c r="K587">
        <f>400+2*(Table2[[#This Row],[Column1]]-13)</f>
        <v>454</v>
      </c>
      <c r="L587">
        <f>MINUTE(Table2[[#This Row],[Time]])</f>
        <v>40</v>
      </c>
      <c r="M587" s="1">
        <v>0.69459671296296299</v>
      </c>
      <c r="N587" t="s">
        <v>27</v>
      </c>
      <c r="O587" t="str">
        <f>O586</f>
        <v>-124.0,</v>
      </c>
      <c r="P587">
        <f>P586-0.5</f>
        <v>-124.5</v>
      </c>
      <c r="Q587">
        <f>Q586-0.5</f>
        <v>-1.8</v>
      </c>
    </row>
    <row r="588" spans="2:17" x14ac:dyDescent="0.25">
      <c r="B588">
        <f>436+2*(Table1[[#This Row],[Column1]])</f>
        <v>454</v>
      </c>
      <c r="C588">
        <f>MINUTE(Table1[[#This Row],[Time]])</f>
        <v>9</v>
      </c>
      <c r="D588" s="1">
        <v>0.46476281249999996</v>
      </c>
      <c r="E588" t="s">
        <v>27</v>
      </c>
      <c r="F588">
        <f t="shared" si="109"/>
        <v>-126</v>
      </c>
      <c r="G588">
        <f t="shared" si="110"/>
        <v>-3</v>
      </c>
      <c r="K588">
        <f>400+2*(Table2[[#This Row],[Column1]]-13)</f>
        <v>454</v>
      </c>
      <c r="L588">
        <f>MINUTE(Table2[[#This Row],[Time]])</f>
        <v>40</v>
      </c>
      <c r="M588" s="1">
        <v>0.69462910879629636</v>
      </c>
      <c r="N588" t="s">
        <v>9</v>
      </c>
      <c r="O588" t="s">
        <v>12</v>
      </c>
      <c r="P588">
        <f t="shared" si="108"/>
        <v>-123</v>
      </c>
      <c r="Q588">
        <v>1</v>
      </c>
    </row>
    <row r="589" spans="2:17" x14ac:dyDescent="0.25">
      <c r="B589">
        <f>436+2*(Table1[[#This Row],[Column1]])</f>
        <v>454</v>
      </c>
      <c r="C589">
        <f>MINUTE(Table1[[#This Row],[Time]])</f>
        <v>9</v>
      </c>
      <c r="D589" s="1">
        <v>0.46479520833333332</v>
      </c>
      <c r="E589" t="s">
        <v>9</v>
      </c>
      <c r="F589">
        <v>-123</v>
      </c>
      <c r="G589">
        <v>1</v>
      </c>
      <c r="K589">
        <f>400+2*(Table2[[#This Row],[Column1]]-13)</f>
        <v>454</v>
      </c>
      <c r="L589">
        <f>MINUTE(Table2[[#This Row],[Time]])</f>
        <v>40</v>
      </c>
      <c r="M589" s="1">
        <v>0.69466150462962961</v>
      </c>
      <c r="N589" t="s">
        <v>9</v>
      </c>
      <c r="O589" t="s">
        <v>12</v>
      </c>
      <c r="P589">
        <f t="shared" si="108"/>
        <v>-123</v>
      </c>
      <c r="Q589">
        <v>1</v>
      </c>
    </row>
    <row r="590" spans="2:17" x14ac:dyDescent="0.25">
      <c r="B590">
        <f>436+2*(Table1[[#This Row],[Column1]])</f>
        <v>454</v>
      </c>
      <c r="C590">
        <f>MINUTE(Table1[[#This Row],[Time]])</f>
        <v>9</v>
      </c>
      <c r="D590" s="1">
        <v>0.46482760416666669</v>
      </c>
      <c r="E590" t="s">
        <v>9</v>
      </c>
      <c r="F590">
        <v>-123</v>
      </c>
      <c r="G590">
        <v>0.8</v>
      </c>
      <c r="K590">
        <f>400+2*(Table2[[#This Row],[Column1]]-13)</f>
        <v>454</v>
      </c>
      <c r="L590">
        <f>MINUTE(Table2[[#This Row],[Time]])</f>
        <v>40</v>
      </c>
      <c r="M590" s="1">
        <v>0.69469390046296298</v>
      </c>
      <c r="N590" t="s">
        <v>9</v>
      </c>
      <c r="O590" t="s">
        <v>11</v>
      </c>
      <c r="P590">
        <f t="shared" si="108"/>
        <v>-122</v>
      </c>
      <c r="Q590">
        <v>1.3</v>
      </c>
    </row>
    <row r="591" spans="2:17" x14ac:dyDescent="0.25">
      <c r="B591">
        <f>436+2*(Table1[[#This Row],[Column1]])</f>
        <v>454</v>
      </c>
      <c r="C591">
        <f>MINUTE(Table1[[#This Row],[Time]])</f>
        <v>9</v>
      </c>
      <c r="D591" s="1">
        <v>0.46486000000000005</v>
      </c>
      <c r="E591" t="s">
        <v>9</v>
      </c>
      <c r="F591">
        <v>-123</v>
      </c>
      <c r="G591">
        <v>0.5</v>
      </c>
      <c r="K591">
        <f>400+2*(Table2[[#This Row],[Column1]]-13)</f>
        <v>454</v>
      </c>
      <c r="L591">
        <f>MINUTE(Table2[[#This Row],[Time]])</f>
        <v>40</v>
      </c>
      <c r="M591" s="1">
        <v>0.69472629629629623</v>
      </c>
      <c r="N591" t="s">
        <v>9</v>
      </c>
      <c r="O591" t="s">
        <v>12</v>
      </c>
      <c r="P591">
        <f t="shared" si="108"/>
        <v>-123</v>
      </c>
      <c r="Q591">
        <v>0.8</v>
      </c>
    </row>
    <row r="592" spans="2:17" x14ac:dyDescent="0.25">
      <c r="B592">
        <f>436+2*(Table1[[#This Row],[Column1]])</f>
        <v>454</v>
      </c>
      <c r="C592">
        <f>MINUTE(Table1[[#This Row],[Time]])</f>
        <v>9</v>
      </c>
      <c r="D592" s="1">
        <v>0.46489239583333336</v>
      </c>
      <c r="E592" t="s">
        <v>9</v>
      </c>
      <c r="F592">
        <v>-123</v>
      </c>
      <c r="G592">
        <v>0.5</v>
      </c>
      <c r="K592">
        <f>400+2*(Table2[[#This Row],[Column1]]-13)</f>
        <v>454</v>
      </c>
      <c r="L592">
        <f>MINUTE(Table2[[#This Row],[Time]])</f>
        <v>40</v>
      </c>
      <c r="M592" s="1">
        <v>0.6947586921296296</v>
      </c>
      <c r="N592" t="s">
        <v>9</v>
      </c>
      <c r="O592" t="s">
        <v>12</v>
      </c>
      <c r="P592">
        <f t="shared" si="108"/>
        <v>-123</v>
      </c>
      <c r="Q592">
        <v>1</v>
      </c>
    </row>
    <row r="593" spans="2:17" x14ac:dyDescent="0.25">
      <c r="B593">
        <f>436+2*(Table1[[#This Row],[Column1]])</f>
        <v>454</v>
      </c>
      <c r="C593">
        <f>MINUTE(Table1[[#This Row],[Time]])</f>
        <v>9</v>
      </c>
      <c r="D593" s="1">
        <v>0.46492478009259253</v>
      </c>
      <c r="E593" t="s">
        <v>9</v>
      </c>
      <c r="F593">
        <v>-123</v>
      </c>
      <c r="G593">
        <v>0.5</v>
      </c>
      <c r="K593">
        <f>400+2*(Table2[[#This Row],[Column1]]-13)</f>
        <v>454</v>
      </c>
      <c r="L593">
        <f>MINUTE(Table2[[#This Row],[Time]])</f>
        <v>40</v>
      </c>
      <c r="M593" s="1">
        <v>0.69479108796296296</v>
      </c>
      <c r="N593" t="s">
        <v>9</v>
      </c>
      <c r="O593" t="s">
        <v>12</v>
      </c>
      <c r="P593">
        <f t="shared" si="108"/>
        <v>-123</v>
      </c>
      <c r="Q593">
        <v>1.3</v>
      </c>
    </row>
    <row r="594" spans="2:17" x14ac:dyDescent="0.25">
      <c r="B594">
        <f>436+2*(Table1[[#This Row],[Column1]])</f>
        <v>454</v>
      </c>
      <c r="C594">
        <f>MINUTE(Table1[[#This Row],[Time]])</f>
        <v>9</v>
      </c>
      <c r="D594" s="1">
        <v>0.46495718749999998</v>
      </c>
      <c r="E594" t="s">
        <v>9</v>
      </c>
      <c r="F594">
        <v>-123</v>
      </c>
      <c r="G594">
        <v>0.8</v>
      </c>
      <c r="K594">
        <f>400+2*(Table2[[#This Row],[Column1]]-13)</f>
        <v>454</v>
      </c>
      <c r="L594">
        <f>MINUTE(Table2[[#This Row],[Time]])</f>
        <v>40</v>
      </c>
      <c r="M594" s="1">
        <v>0.69482348379629633</v>
      </c>
      <c r="N594" t="s">
        <v>9</v>
      </c>
      <c r="O594" t="s">
        <v>12</v>
      </c>
      <c r="P594">
        <f t="shared" si="108"/>
        <v>-123</v>
      </c>
      <c r="Q594">
        <v>0.8</v>
      </c>
    </row>
    <row r="595" spans="2:17" x14ac:dyDescent="0.25">
      <c r="B595">
        <f>436+2*(Table1[[#This Row],[Column1]])</f>
        <v>454</v>
      </c>
      <c r="C595">
        <f>MINUTE(Table1[[#This Row],[Time]])</f>
        <v>9</v>
      </c>
      <c r="D595" s="1">
        <v>0.46498958333333329</v>
      </c>
      <c r="E595" t="s">
        <v>9</v>
      </c>
      <c r="F595">
        <v>-123</v>
      </c>
      <c r="G595">
        <v>1</v>
      </c>
      <c r="K595">
        <f>400+2*(Table2[[#This Row],[Column1]]-13)</f>
        <v>454</v>
      </c>
      <c r="L595">
        <f>MINUTE(Table2[[#This Row],[Time]])</f>
        <v>40</v>
      </c>
      <c r="M595" s="1">
        <v>0.69485585648148152</v>
      </c>
      <c r="N595" t="s">
        <v>27</v>
      </c>
      <c r="O595" t="str">
        <f>O594</f>
        <v>-123.0,</v>
      </c>
      <c r="P595">
        <f>P594-0.5</f>
        <v>-123.5</v>
      </c>
      <c r="Q595">
        <f>Q594-0.5</f>
        <v>0.30000000000000004</v>
      </c>
    </row>
    <row r="596" spans="2:17" x14ac:dyDescent="0.25">
      <c r="B596">
        <f>436+2*(Table1[[#This Row],[Column1]])</f>
        <v>454</v>
      </c>
      <c r="C596">
        <f>MINUTE(Table1[[#This Row],[Time]])</f>
        <v>9</v>
      </c>
      <c r="D596" s="1">
        <v>0.46502197916666665</v>
      </c>
      <c r="E596" t="s">
        <v>9</v>
      </c>
      <c r="F596">
        <v>-123</v>
      </c>
      <c r="G596">
        <v>0.8</v>
      </c>
      <c r="K596">
        <f>400+2*(Table2[[#This Row],[Column1]]-13)</f>
        <v>454</v>
      </c>
      <c r="L596">
        <f>MINUTE(Table2[[#This Row],[Time]])</f>
        <v>40</v>
      </c>
      <c r="M596" s="1">
        <v>0.69488827546296295</v>
      </c>
      <c r="N596" t="s">
        <v>9</v>
      </c>
      <c r="O596" t="s">
        <v>12</v>
      </c>
      <c r="P596">
        <f t="shared" si="108"/>
        <v>-123</v>
      </c>
      <c r="Q596">
        <v>0.8</v>
      </c>
    </row>
    <row r="597" spans="2:17" x14ac:dyDescent="0.25">
      <c r="B597">
        <f>436+2*(Table1[[#This Row],[Column1]])</f>
        <v>454</v>
      </c>
      <c r="C597">
        <f>MINUTE(Table1[[#This Row],[Time]])</f>
        <v>9</v>
      </c>
      <c r="D597" s="1">
        <v>0.46505437499999996</v>
      </c>
      <c r="E597" t="s">
        <v>9</v>
      </c>
      <c r="F597">
        <v>-123</v>
      </c>
      <c r="G597">
        <v>0.8</v>
      </c>
      <c r="K597">
        <f>400+2*(Table2[[#This Row],[Column1]]-13)</f>
        <v>454</v>
      </c>
      <c r="L597">
        <f>MINUTE(Table2[[#This Row],[Time]])</f>
        <v>40</v>
      </c>
      <c r="M597" s="1">
        <v>0.69492065972222217</v>
      </c>
      <c r="N597" t="s">
        <v>9</v>
      </c>
      <c r="O597" t="s">
        <v>12</v>
      </c>
      <c r="P597">
        <f t="shared" si="108"/>
        <v>-123</v>
      </c>
      <c r="Q597">
        <v>1</v>
      </c>
    </row>
    <row r="598" spans="2:17" x14ac:dyDescent="0.25">
      <c r="B598">
        <f>436+2*(Table1[[#This Row],[Column1]])</f>
        <v>454</v>
      </c>
      <c r="C598">
        <f>MINUTE(Table1[[#This Row],[Time]])</f>
        <v>9</v>
      </c>
      <c r="D598" s="1">
        <v>0.46508677083333338</v>
      </c>
      <c r="E598" t="s">
        <v>9</v>
      </c>
      <c r="F598">
        <v>-123</v>
      </c>
      <c r="G598">
        <v>0.5</v>
      </c>
      <c r="K598">
        <f>400+2*(Table2[[#This Row],[Column1]]-13)</f>
        <v>454</v>
      </c>
      <c r="L598">
        <f>MINUTE(Table2[[#This Row],[Time]])</f>
        <v>40</v>
      </c>
      <c r="M598" s="1">
        <v>0.69495306712962968</v>
      </c>
      <c r="N598" t="s">
        <v>27</v>
      </c>
      <c r="O598" t="str">
        <f>O597</f>
        <v>-123.0,</v>
      </c>
      <c r="P598">
        <f>P597-0.5</f>
        <v>-123.5</v>
      </c>
      <c r="Q598">
        <f>Q597-0.5</f>
        <v>0.5</v>
      </c>
    </row>
    <row r="599" spans="2:17" x14ac:dyDescent="0.25">
      <c r="B599">
        <f>436+2*(Table1[[#This Row],[Column1]])</f>
        <v>454</v>
      </c>
      <c r="C599">
        <f>MINUTE(Table1[[#This Row],[Time]])</f>
        <v>9</v>
      </c>
      <c r="D599" s="1">
        <v>0.46511916666666669</v>
      </c>
      <c r="E599" t="s">
        <v>9</v>
      </c>
      <c r="F599">
        <v>-123</v>
      </c>
      <c r="G599">
        <v>0.5</v>
      </c>
      <c r="K599">
        <f>400+2*(Table2[[#This Row],[Column1]]-13)</f>
        <v>454</v>
      </c>
      <c r="L599">
        <f>MINUTE(Table2[[#This Row],[Time]])</f>
        <v>40</v>
      </c>
      <c r="M599" s="1">
        <v>0.69498546296296293</v>
      </c>
      <c r="N599" t="s">
        <v>9</v>
      </c>
      <c r="O599" t="s">
        <v>12</v>
      </c>
      <c r="P599">
        <f t="shared" si="108"/>
        <v>-123</v>
      </c>
      <c r="Q599">
        <v>1</v>
      </c>
    </row>
    <row r="600" spans="2:17" x14ac:dyDescent="0.25">
      <c r="B600">
        <f>436+2*(Table1[[#This Row],[Column1]])</f>
        <v>454</v>
      </c>
      <c r="C600">
        <f>MINUTE(Table1[[#This Row],[Time]])</f>
        <v>9</v>
      </c>
      <c r="D600" s="1">
        <v>0.4651515625</v>
      </c>
      <c r="E600" t="s">
        <v>9</v>
      </c>
      <c r="F600">
        <v>-123</v>
      </c>
      <c r="G600">
        <v>0.8</v>
      </c>
      <c r="K600">
        <f>400+2*(Table2[[#This Row],[Column1]]-13)</f>
        <v>454</v>
      </c>
      <c r="L600">
        <f>MINUTE(Table2[[#This Row],[Time]])</f>
        <v>40</v>
      </c>
      <c r="M600" s="1">
        <v>0.6950178587962963</v>
      </c>
      <c r="N600" t="s">
        <v>9</v>
      </c>
      <c r="O600" t="s">
        <v>12</v>
      </c>
      <c r="P600">
        <f t="shared" si="108"/>
        <v>-123</v>
      </c>
      <c r="Q600">
        <v>1</v>
      </c>
    </row>
    <row r="601" spans="2:17" x14ac:dyDescent="0.25">
      <c r="B601">
        <f>436+2*(Table1[[#This Row],[Column1]])</f>
        <v>454</v>
      </c>
      <c r="C601">
        <f>MINUTE(Table1[[#This Row],[Time]])</f>
        <v>9</v>
      </c>
      <c r="D601" s="1">
        <v>0.46518394675925923</v>
      </c>
      <c r="E601" t="s">
        <v>9</v>
      </c>
      <c r="F601">
        <v>-123</v>
      </c>
      <c r="G601">
        <v>1</v>
      </c>
      <c r="K601">
        <f>400+2*(Table2[[#This Row],[Column1]]-13)</f>
        <v>454</v>
      </c>
      <c r="L601">
        <f>MINUTE(Table2[[#This Row],[Time]])</f>
        <v>40</v>
      </c>
      <c r="M601" s="1">
        <v>0.69505025462962955</v>
      </c>
      <c r="N601" t="s">
        <v>9</v>
      </c>
      <c r="O601" t="s">
        <v>12</v>
      </c>
      <c r="P601">
        <f t="shared" si="108"/>
        <v>-123</v>
      </c>
      <c r="Q601">
        <v>1</v>
      </c>
    </row>
    <row r="602" spans="2:17" x14ac:dyDescent="0.25">
      <c r="B602">
        <f>436+2*(Table1[[#This Row],[Column1]])</f>
        <v>454</v>
      </c>
      <c r="C602">
        <f>MINUTE(Table1[[#This Row],[Time]])</f>
        <v>9</v>
      </c>
      <c r="D602" s="1">
        <v>0.46521635416666668</v>
      </c>
      <c r="E602" t="s">
        <v>9</v>
      </c>
      <c r="F602">
        <v>-123</v>
      </c>
      <c r="G602">
        <v>0.8</v>
      </c>
      <c r="K602">
        <f>400+2*(Table2[[#This Row],[Column1]]-13)</f>
        <v>454</v>
      </c>
      <c r="L602">
        <f>MINUTE(Table2[[#This Row],[Time]])</f>
        <v>40</v>
      </c>
      <c r="M602" s="1">
        <v>0.69508263888888888</v>
      </c>
      <c r="N602" t="s">
        <v>9</v>
      </c>
      <c r="O602" t="s">
        <v>12</v>
      </c>
      <c r="P602">
        <f t="shared" si="108"/>
        <v>-123</v>
      </c>
      <c r="Q602">
        <v>1.3</v>
      </c>
    </row>
    <row r="603" spans="2:17" x14ac:dyDescent="0.25">
      <c r="B603">
        <f>436+2*(Table1[[#This Row],[Column1]])</f>
        <v>454</v>
      </c>
      <c r="C603">
        <f>MINUTE(Table1[[#This Row],[Time]])</f>
        <v>9</v>
      </c>
      <c r="D603" s="1">
        <v>0.46524874999999999</v>
      </c>
      <c r="E603" t="s">
        <v>9</v>
      </c>
      <c r="F603">
        <v>-123</v>
      </c>
      <c r="G603">
        <v>1</v>
      </c>
      <c r="K603">
        <f>400+2*(Table2[[#This Row],[Column1]]-13)</f>
        <v>454</v>
      </c>
      <c r="L603">
        <f>MINUTE(Table2[[#This Row],[Time]])</f>
        <v>40</v>
      </c>
      <c r="M603" s="1">
        <v>0.69511504629629628</v>
      </c>
      <c r="N603" t="s">
        <v>9</v>
      </c>
      <c r="O603" t="s">
        <v>12</v>
      </c>
      <c r="P603">
        <f t="shared" si="108"/>
        <v>-123</v>
      </c>
      <c r="Q603">
        <v>1.3</v>
      </c>
    </row>
    <row r="604" spans="2:17" x14ac:dyDescent="0.25">
      <c r="B604">
        <f>436+2*(Table1[[#This Row],[Column1]])</f>
        <v>456</v>
      </c>
      <c r="C604">
        <f>MINUTE(Table1[[#This Row],[Time]])</f>
        <v>10</v>
      </c>
      <c r="D604" s="1">
        <v>0.4652811458333333</v>
      </c>
      <c r="E604" t="s">
        <v>9</v>
      </c>
      <c r="F604">
        <v>-123</v>
      </c>
      <c r="G604">
        <v>0.8</v>
      </c>
      <c r="K604">
        <f>400+2*(Table2[[#This Row],[Column1]]-13)</f>
        <v>456</v>
      </c>
      <c r="L604">
        <f>MINUTE(Table2[[#This Row],[Time]])</f>
        <v>41</v>
      </c>
      <c r="M604" s="1">
        <v>0.69514744212962964</v>
      </c>
      <c r="N604" t="s">
        <v>9</v>
      </c>
      <c r="O604" t="s">
        <v>12</v>
      </c>
      <c r="P604">
        <f t="shared" si="108"/>
        <v>-123</v>
      </c>
      <c r="Q604">
        <v>1</v>
      </c>
    </row>
    <row r="605" spans="2:17" x14ac:dyDescent="0.25">
      <c r="B605">
        <f>436+2*(Table1[[#This Row],[Column1]])</f>
        <v>456</v>
      </c>
      <c r="C605">
        <f>MINUTE(Table1[[#This Row],[Time]])</f>
        <v>10</v>
      </c>
      <c r="D605" s="1">
        <v>0.46531354166666661</v>
      </c>
      <c r="E605" t="s">
        <v>9</v>
      </c>
      <c r="F605">
        <v>-123</v>
      </c>
      <c r="G605">
        <v>1</v>
      </c>
      <c r="K605">
        <f>400+2*(Table2[[#This Row],[Column1]]-13)</f>
        <v>456</v>
      </c>
      <c r="L605">
        <f>MINUTE(Table2[[#This Row],[Time]])</f>
        <v>41</v>
      </c>
      <c r="M605" s="1">
        <v>0.69517983796296301</v>
      </c>
      <c r="N605" t="s">
        <v>13</v>
      </c>
      <c r="O605" t="str">
        <f>O604</f>
        <v>-123.0,</v>
      </c>
      <c r="P605">
        <f>P604-0.5</f>
        <v>-123.5</v>
      </c>
      <c r="Q605">
        <f>Q604-0.5</f>
        <v>0.5</v>
      </c>
    </row>
    <row r="606" spans="2:17" x14ac:dyDescent="0.25">
      <c r="B606">
        <f>436+2*(Table1[[#This Row],[Column1]])</f>
        <v>456</v>
      </c>
      <c r="C606">
        <f>MINUTE(Table1[[#This Row],[Time]])</f>
        <v>10</v>
      </c>
      <c r="D606" s="1">
        <v>0.46534593750000003</v>
      </c>
      <c r="E606" t="s">
        <v>9</v>
      </c>
      <c r="F606">
        <v>-124</v>
      </c>
      <c r="G606">
        <v>-1.8</v>
      </c>
      <c r="K606">
        <f>400+2*(Table2[[#This Row],[Column1]]-13)</f>
        <v>456</v>
      </c>
      <c r="L606">
        <f>MINUTE(Table2[[#This Row],[Time]])</f>
        <v>41</v>
      </c>
      <c r="M606" s="1">
        <v>0.69521223379629626</v>
      </c>
      <c r="N606" t="s">
        <v>9</v>
      </c>
      <c r="O606" t="s">
        <v>12</v>
      </c>
      <c r="P606">
        <f t="shared" si="108"/>
        <v>-123</v>
      </c>
      <c r="Q606">
        <v>-1</v>
      </c>
    </row>
    <row r="607" spans="2:17" x14ac:dyDescent="0.25">
      <c r="B607">
        <f>436+2*(Table1[[#This Row],[Column1]])</f>
        <v>456</v>
      </c>
      <c r="C607">
        <f>MINUTE(Table1[[#This Row],[Time]])</f>
        <v>10</v>
      </c>
      <c r="D607" s="1">
        <v>0.46537833333333334</v>
      </c>
      <c r="E607" t="s">
        <v>9</v>
      </c>
      <c r="F607">
        <v>-120</v>
      </c>
      <c r="G607">
        <v>-1</v>
      </c>
      <c r="K607">
        <f>400+2*(Table2[[#This Row],[Column1]]-13)</f>
        <v>456</v>
      </c>
      <c r="L607">
        <f>MINUTE(Table2[[#This Row],[Time]])</f>
        <v>41</v>
      </c>
      <c r="M607" s="1">
        <v>0.69524462962962963</v>
      </c>
      <c r="N607" t="s">
        <v>9</v>
      </c>
      <c r="O607" t="s">
        <v>19</v>
      </c>
      <c r="P607">
        <f t="shared" si="108"/>
        <v>-124</v>
      </c>
      <c r="Q607">
        <v>-1.5</v>
      </c>
    </row>
    <row r="608" spans="2:17" x14ac:dyDescent="0.25">
      <c r="B608">
        <f>436+2*(Table1[[#This Row],[Column1]])</f>
        <v>456</v>
      </c>
      <c r="C608">
        <f>MINUTE(Table1[[#This Row],[Time]])</f>
        <v>10</v>
      </c>
      <c r="D608" s="1">
        <v>0.4654107291666667</v>
      </c>
      <c r="E608" t="s">
        <v>9</v>
      </c>
      <c r="F608">
        <v>-124</v>
      </c>
      <c r="G608">
        <v>-1.8</v>
      </c>
      <c r="K608">
        <f>400+2*(Table2[[#This Row],[Column1]]-13)</f>
        <v>456</v>
      </c>
      <c r="L608">
        <f>MINUTE(Table2[[#This Row],[Time]])</f>
        <v>41</v>
      </c>
      <c r="M608" s="1">
        <v>0.69527701388888885</v>
      </c>
      <c r="N608" t="s">
        <v>9</v>
      </c>
      <c r="O608" t="s">
        <v>19</v>
      </c>
      <c r="P608">
        <f t="shared" si="108"/>
        <v>-124</v>
      </c>
      <c r="Q608">
        <v>-1</v>
      </c>
    </row>
    <row r="609" spans="2:17" x14ac:dyDescent="0.25">
      <c r="B609">
        <f>436+2*(Table1[[#This Row],[Column1]])</f>
        <v>456</v>
      </c>
      <c r="C609">
        <f>MINUTE(Table1[[#This Row],[Time]])</f>
        <v>10</v>
      </c>
      <c r="D609" s="1">
        <v>0.46544312500000001</v>
      </c>
      <c r="E609" t="s">
        <v>13</v>
      </c>
      <c r="F609">
        <f>F608-0.5</f>
        <v>-124.5</v>
      </c>
      <c r="G609">
        <f>G608-0.5</f>
        <v>-2.2999999999999998</v>
      </c>
      <c r="K609">
        <f>400+2*(Table2[[#This Row],[Column1]]-13)</f>
        <v>456</v>
      </c>
      <c r="L609">
        <f>MINUTE(Table2[[#This Row],[Time]])</f>
        <v>41</v>
      </c>
      <c r="M609" s="1">
        <v>0.69530940972222222</v>
      </c>
      <c r="N609" t="s">
        <v>9</v>
      </c>
      <c r="O609" t="s">
        <v>12</v>
      </c>
      <c r="P609">
        <f t="shared" si="108"/>
        <v>-123</v>
      </c>
      <c r="Q609">
        <v>0.5</v>
      </c>
    </row>
    <row r="610" spans="2:17" x14ac:dyDescent="0.25">
      <c r="B610">
        <f>436+2*(Table1[[#This Row],[Column1]])</f>
        <v>456</v>
      </c>
      <c r="C610">
        <f>MINUTE(Table1[[#This Row],[Time]])</f>
        <v>10</v>
      </c>
      <c r="D610" s="1">
        <v>0.46547552083333332</v>
      </c>
      <c r="E610" t="s">
        <v>9</v>
      </c>
      <c r="F610">
        <v>-123</v>
      </c>
      <c r="G610">
        <v>1</v>
      </c>
      <c r="K610">
        <f>400+2*(Table2[[#This Row],[Column1]]-13)</f>
        <v>456</v>
      </c>
      <c r="L610">
        <f>MINUTE(Table2[[#This Row],[Time]])</f>
        <v>41</v>
      </c>
      <c r="M610" s="1">
        <v>0.69534180555555558</v>
      </c>
      <c r="N610" t="s">
        <v>9</v>
      </c>
      <c r="O610" t="s">
        <v>12</v>
      </c>
      <c r="P610">
        <f t="shared" si="108"/>
        <v>-123</v>
      </c>
      <c r="Q610">
        <v>1.3</v>
      </c>
    </row>
    <row r="611" spans="2:17" x14ac:dyDescent="0.25">
      <c r="B611">
        <f>436+2*(Table1[[#This Row],[Column1]])</f>
        <v>456</v>
      </c>
      <c r="C611">
        <f>MINUTE(Table1[[#This Row],[Time]])</f>
        <v>10</v>
      </c>
      <c r="D611" s="1">
        <v>0.4655079050925926</v>
      </c>
      <c r="E611" t="s">
        <v>9</v>
      </c>
      <c r="F611">
        <v>-123</v>
      </c>
      <c r="G611">
        <v>0.8</v>
      </c>
      <c r="K611">
        <f>400+2*(Table2[[#This Row],[Column1]]-13)</f>
        <v>456</v>
      </c>
      <c r="L611">
        <f>MINUTE(Table2[[#This Row],[Time]])</f>
        <v>41</v>
      </c>
      <c r="M611" s="1">
        <v>0.69537420138888884</v>
      </c>
      <c r="N611" t="s">
        <v>27</v>
      </c>
      <c r="O611" t="str">
        <f>O610</f>
        <v>-123.0,</v>
      </c>
      <c r="P611">
        <f>P610-0.5</f>
        <v>-123.5</v>
      </c>
      <c r="Q611">
        <f>Q610-0.5</f>
        <v>0.8</v>
      </c>
    </row>
    <row r="612" spans="2:17" x14ac:dyDescent="0.25">
      <c r="B612">
        <f>436+2*(Table1[[#This Row],[Column1]])</f>
        <v>456</v>
      </c>
      <c r="C612">
        <f>MINUTE(Table1[[#This Row],[Time]])</f>
        <v>10</v>
      </c>
      <c r="D612" s="1">
        <v>0.46554030092592591</v>
      </c>
      <c r="E612" t="s">
        <v>9</v>
      </c>
      <c r="F612">
        <v>-123</v>
      </c>
      <c r="G612">
        <v>1</v>
      </c>
      <c r="K612">
        <f>400+2*(Table2[[#This Row],[Column1]]-13)</f>
        <v>456</v>
      </c>
      <c r="L612">
        <f>MINUTE(Table2[[#This Row],[Time]])</f>
        <v>41</v>
      </c>
      <c r="M612" s="1">
        <v>0.6954065972222222</v>
      </c>
      <c r="N612" t="s">
        <v>9</v>
      </c>
      <c r="O612" t="s">
        <v>12</v>
      </c>
      <c r="P612">
        <f t="shared" si="108"/>
        <v>-123</v>
      </c>
      <c r="Q612">
        <v>1</v>
      </c>
    </row>
    <row r="613" spans="2:17" x14ac:dyDescent="0.25">
      <c r="B613">
        <f>436+2*(Table1[[#This Row],[Column1]])</f>
        <v>456</v>
      </c>
      <c r="C613">
        <f>MINUTE(Table1[[#This Row],[Time]])</f>
        <v>10</v>
      </c>
      <c r="D613" s="1">
        <v>0.46557270833333336</v>
      </c>
      <c r="E613" t="s">
        <v>9</v>
      </c>
      <c r="F613">
        <v>-123</v>
      </c>
      <c r="G613">
        <v>0.8</v>
      </c>
      <c r="K613">
        <f>400+2*(Table2[[#This Row],[Column1]]-13)</f>
        <v>456</v>
      </c>
      <c r="L613">
        <f>MINUTE(Table2[[#This Row],[Time]])</f>
        <v>41</v>
      </c>
      <c r="M613" s="1">
        <v>0.6954390046296296</v>
      </c>
      <c r="N613" t="s">
        <v>9</v>
      </c>
      <c r="O613" t="s">
        <v>12</v>
      </c>
      <c r="P613">
        <f t="shared" si="108"/>
        <v>-123</v>
      </c>
      <c r="Q613">
        <v>1.3</v>
      </c>
    </row>
    <row r="614" spans="2:17" x14ac:dyDescent="0.25">
      <c r="B614">
        <f>436+2*(Table1[[#This Row],[Column1]])</f>
        <v>456</v>
      </c>
      <c r="C614">
        <f>MINUTE(Table1[[#This Row],[Time]])</f>
        <v>10</v>
      </c>
      <c r="D614" s="1">
        <v>0.46560510416666667</v>
      </c>
      <c r="E614" t="s">
        <v>9</v>
      </c>
      <c r="F614">
        <v>-123</v>
      </c>
      <c r="G614">
        <v>1</v>
      </c>
      <c r="K614">
        <f>400+2*(Table2[[#This Row],[Column1]]-13)</f>
        <v>456</v>
      </c>
      <c r="L614">
        <f>MINUTE(Table2[[#This Row],[Time]])</f>
        <v>41</v>
      </c>
      <c r="M614" s="1">
        <v>0.69547140046296296</v>
      </c>
      <c r="N614" t="s">
        <v>9</v>
      </c>
      <c r="O614" t="s">
        <v>12</v>
      </c>
      <c r="P614">
        <f t="shared" si="108"/>
        <v>-123</v>
      </c>
      <c r="Q614">
        <v>1</v>
      </c>
    </row>
    <row r="615" spans="2:17" x14ac:dyDescent="0.25">
      <c r="B615">
        <f>436+2*(Table1[[#This Row],[Column1]])</f>
        <v>456</v>
      </c>
      <c r="C615">
        <f>MINUTE(Table1[[#This Row],[Time]])</f>
        <v>10</v>
      </c>
      <c r="D615" s="1">
        <v>0.46563748842592589</v>
      </c>
      <c r="E615" t="s">
        <v>27</v>
      </c>
      <c r="F615">
        <f t="shared" ref="F615:F616" si="111">F614-0.5</f>
        <v>-123.5</v>
      </c>
      <c r="G615">
        <f t="shared" ref="G615:G616" si="112">G614-0.5</f>
        <v>0.5</v>
      </c>
      <c r="K615">
        <f>400+2*(Table2[[#This Row],[Column1]]-13)</f>
        <v>456</v>
      </c>
      <c r="L615">
        <f>MINUTE(Table2[[#This Row],[Time]])</f>
        <v>41</v>
      </c>
      <c r="M615" s="1">
        <v>0.69550379629629633</v>
      </c>
      <c r="N615" t="s">
        <v>9</v>
      </c>
      <c r="O615" t="s">
        <v>12</v>
      </c>
      <c r="P615">
        <f t="shared" si="108"/>
        <v>-123</v>
      </c>
      <c r="Q615">
        <v>0.8</v>
      </c>
    </row>
    <row r="616" spans="2:17" x14ac:dyDescent="0.25">
      <c r="B616">
        <f>436+2*(Table1[[#This Row],[Column1]])</f>
        <v>456</v>
      </c>
      <c r="C616">
        <f>MINUTE(Table1[[#This Row],[Time]])</f>
        <v>10</v>
      </c>
      <c r="D616" s="1">
        <v>0.46566989583333335</v>
      </c>
      <c r="E616" t="s">
        <v>27</v>
      </c>
      <c r="F616">
        <f t="shared" si="111"/>
        <v>-124</v>
      </c>
      <c r="G616">
        <f t="shared" si="112"/>
        <v>0</v>
      </c>
      <c r="K616">
        <f>400+2*(Table2[[#This Row],[Column1]]-13)</f>
        <v>456</v>
      </c>
      <c r="L616">
        <f>MINUTE(Table2[[#This Row],[Time]])</f>
        <v>41</v>
      </c>
      <c r="M616" s="1">
        <v>0.69553619212962958</v>
      </c>
      <c r="N616" t="s">
        <v>9</v>
      </c>
      <c r="O616" t="s">
        <v>12</v>
      </c>
      <c r="P616">
        <f t="shared" si="108"/>
        <v>-123</v>
      </c>
      <c r="Q616">
        <v>0.8</v>
      </c>
    </row>
    <row r="617" spans="2:17" x14ac:dyDescent="0.25">
      <c r="B617">
        <f>436+2*(Table1[[#This Row],[Column1]])</f>
        <v>456</v>
      </c>
      <c r="C617">
        <f>MINUTE(Table1[[#This Row],[Time]])</f>
        <v>10</v>
      </c>
      <c r="D617" s="1">
        <v>0.46570229166666666</v>
      </c>
      <c r="E617" t="s">
        <v>9</v>
      </c>
      <c r="F617">
        <v>-123</v>
      </c>
      <c r="G617">
        <v>0.5</v>
      </c>
      <c r="K617">
        <f>400+2*(Table2[[#This Row],[Column1]]-13)</f>
        <v>456</v>
      </c>
      <c r="L617">
        <f>MINUTE(Table2[[#This Row],[Time]])</f>
        <v>41</v>
      </c>
      <c r="M617" s="1">
        <v>0.69556858796296295</v>
      </c>
      <c r="N617" t="s">
        <v>27</v>
      </c>
      <c r="O617" t="str">
        <f>O616</f>
        <v>-123.0,</v>
      </c>
      <c r="P617">
        <f>P616-0.5</f>
        <v>-123.5</v>
      </c>
      <c r="Q617">
        <f>Q616-0.5</f>
        <v>0.30000000000000004</v>
      </c>
    </row>
    <row r="618" spans="2:17" x14ac:dyDescent="0.25">
      <c r="B618">
        <f>436+2*(Table1[[#This Row],[Column1]])</f>
        <v>456</v>
      </c>
      <c r="C618">
        <f>MINUTE(Table1[[#This Row],[Time]])</f>
        <v>10</v>
      </c>
      <c r="D618" s="1">
        <v>0.46573467592592593</v>
      </c>
      <c r="E618" t="s">
        <v>27</v>
      </c>
      <c r="F618">
        <f>F617-0.5</f>
        <v>-123.5</v>
      </c>
      <c r="G618">
        <f>G617-0.5</f>
        <v>0</v>
      </c>
      <c r="K618">
        <f>400+2*(Table2[[#This Row],[Column1]]-13)</f>
        <v>456</v>
      </c>
      <c r="L618">
        <f>MINUTE(Table2[[#This Row],[Time]])</f>
        <v>41</v>
      </c>
      <c r="M618" s="1">
        <v>0.69560098379629631</v>
      </c>
      <c r="N618" t="s">
        <v>9</v>
      </c>
      <c r="O618" t="s">
        <v>12</v>
      </c>
      <c r="P618">
        <f t="shared" si="108"/>
        <v>-123</v>
      </c>
      <c r="Q618">
        <v>1</v>
      </c>
    </row>
    <row r="619" spans="2:17" x14ac:dyDescent="0.25">
      <c r="B619">
        <f>436+2*(Table1[[#This Row],[Column1]])</f>
        <v>456</v>
      </c>
      <c r="C619">
        <f>MINUTE(Table1[[#This Row],[Time]])</f>
        <v>10</v>
      </c>
      <c r="D619" s="1">
        <v>0.46576708333333333</v>
      </c>
      <c r="E619" t="s">
        <v>9</v>
      </c>
      <c r="F619">
        <v>-123</v>
      </c>
      <c r="G619">
        <v>0.8</v>
      </c>
      <c r="K619">
        <f>400+2*(Table2[[#This Row],[Column1]]-13)</f>
        <v>456</v>
      </c>
      <c r="L619">
        <f>MINUTE(Table2[[#This Row],[Time]])</f>
        <v>41</v>
      </c>
      <c r="M619" s="1">
        <v>0.69563336805555553</v>
      </c>
      <c r="N619" t="s">
        <v>9</v>
      </c>
      <c r="O619" t="s">
        <v>11</v>
      </c>
      <c r="P619">
        <f t="shared" si="108"/>
        <v>-122</v>
      </c>
      <c r="Q619">
        <v>1</v>
      </c>
    </row>
    <row r="620" spans="2:17" x14ac:dyDescent="0.25">
      <c r="B620">
        <f>436+2*(Table1[[#This Row],[Column1]])</f>
        <v>456</v>
      </c>
      <c r="C620">
        <f>MINUTE(Table1[[#This Row],[Time]])</f>
        <v>10</v>
      </c>
      <c r="D620" s="1">
        <v>0.46579947916666664</v>
      </c>
      <c r="E620" t="s">
        <v>9</v>
      </c>
      <c r="F620">
        <v>-123</v>
      </c>
      <c r="G620">
        <v>1</v>
      </c>
      <c r="K620">
        <f>400+2*(Table2[[#This Row],[Column1]]-13)</f>
        <v>456</v>
      </c>
      <c r="L620">
        <f>MINUTE(Table2[[#This Row],[Time]])</f>
        <v>41</v>
      </c>
      <c r="M620" s="1">
        <v>0.6956657638888889</v>
      </c>
      <c r="N620" t="s">
        <v>9</v>
      </c>
      <c r="O620" t="s">
        <v>12</v>
      </c>
      <c r="P620">
        <f t="shared" si="108"/>
        <v>-123</v>
      </c>
      <c r="Q620">
        <v>0.8</v>
      </c>
    </row>
    <row r="621" spans="2:17" x14ac:dyDescent="0.25">
      <c r="B621">
        <f>436+2*(Table1[[#This Row],[Column1]])</f>
        <v>456</v>
      </c>
      <c r="C621">
        <f>MINUTE(Table1[[#This Row],[Time]])</f>
        <v>10</v>
      </c>
      <c r="D621" s="1">
        <v>0.46583187500000006</v>
      </c>
      <c r="E621" t="s">
        <v>9</v>
      </c>
      <c r="F621">
        <v>-123</v>
      </c>
      <c r="G621">
        <v>1</v>
      </c>
      <c r="K621">
        <f>400+2*(Table2[[#This Row],[Column1]]-13)</f>
        <v>456</v>
      </c>
      <c r="L621">
        <f>MINUTE(Table2[[#This Row],[Time]])</f>
        <v>41</v>
      </c>
      <c r="M621" s="1">
        <v>0.6956981712962963</v>
      </c>
      <c r="N621" t="s">
        <v>27</v>
      </c>
      <c r="O621" t="str">
        <f>O620</f>
        <v>-123.0,</v>
      </c>
      <c r="P621">
        <f>P620-0.5</f>
        <v>-123.5</v>
      </c>
      <c r="Q621">
        <f>Q620-0.5</f>
        <v>0.30000000000000004</v>
      </c>
    </row>
    <row r="622" spans="2:17" x14ac:dyDescent="0.25">
      <c r="B622">
        <f>436+2*(Table1[[#This Row],[Column1]])</f>
        <v>456</v>
      </c>
      <c r="C622">
        <f>MINUTE(Table1[[#This Row],[Time]])</f>
        <v>10</v>
      </c>
      <c r="D622" s="1">
        <v>0.46586427083333337</v>
      </c>
      <c r="E622" t="s">
        <v>9</v>
      </c>
      <c r="F622">
        <v>-123</v>
      </c>
      <c r="G622">
        <v>0.8</v>
      </c>
      <c r="K622">
        <f>400+2*(Table2[[#This Row],[Column1]]-13)</f>
        <v>456</v>
      </c>
      <c r="L622">
        <f>MINUTE(Table2[[#This Row],[Time]])</f>
        <v>41</v>
      </c>
      <c r="M622" s="1">
        <v>0.69573055555555563</v>
      </c>
      <c r="N622" t="s">
        <v>9</v>
      </c>
      <c r="O622" t="s">
        <v>11</v>
      </c>
      <c r="P622">
        <f t="shared" si="108"/>
        <v>-122</v>
      </c>
      <c r="Q622">
        <v>0.8</v>
      </c>
    </row>
    <row r="623" spans="2:17" x14ac:dyDescent="0.25">
      <c r="B623">
        <f>436+2*(Table1[[#This Row],[Column1]])</f>
        <v>456</v>
      </c>
      <c r="C623">
        <f>MINUTE(Table1[[#This Row],[Time]])</f>
        <v>10</v>
      </c>
      <c r="D623" s="1">
        <v>0.46589666666666668</v>
      </c>
      <c r="E623" t="s">
        <v>9</v>
      </c>
      <c r="F623">
        <v>-123</v>
      </c>
      <c r="G623">
        <v>1</v>
      </c>
      <c r="K623">
        <f>400+2*(Table2[[#This Row],[Column1]]-13)</f>
        <v>456</v>
      </c>
      <c r="L623">
        <f>MINUTE(Table2[[#This Row],[Time]])</f>
        <v>41</v>
      </c>
      <c r="M623" s="1">
        <v>0.69576295138888888</v>
      </c>
      <c r="N623" t="s">
        <v>9</v>
      </c>
      <c r="O623" t="s">
        <v>12</v>
      </c>
      <c r="P623">
        <f t="shared" si="108"/>
        <v>-123</v>
      </c>
      <c r="Q623">
        <v>0.8</v>
      </c>
    </row>
    <row r="624" spans="2:17" x14ac:dyDescent="0.25">
      <c r="B624">
        <f>436+2*(Table1[[#This Row],[Column1]])</f>
        <v>456</v>
      </c>
      <c r="C624">
        <f>MINUTE(Table1[[#This Row],[Time]])</f>
        <v>10</v>
      </c>
      <c r="D624" s="1">
        <v>0.46592906249999999</v>
      </c>
      <c r="E624" t="s">
        <v>9</v>
      </c>
      <c r="F624">
        <v>-123</v>
      </c>
      <c r="G624">
        <v>0.5</v>
      </c>
      <c r="K624">
        <f>400+2*(Table2[[#This Row],[Column1]]-13)</f>
        <v>456</v>
      </c>
      <c r="L624">
        <f>MINUTE(Table2[[#This Row],[Time]])</f>
        <v>41</v>
      </c>
      <c r="M624" s="1">
        <v>0.69579534722222225</v>
      </c>
      <c r="N624" t="s">
        <v>9</v>
      </c>
      <c r="O624" t="s">
        <v>12</v>
      </c>
      <c r="P624">
        <f t="shared" si="108"/>
        <v>-123</v>
      </c>
      <c r="Q624">
        <v>1</v>
      </c>
    </row>
    <row r="625" spans="2:17" x14ac:dyDescent="0.25">
      <c r="B625">
        <f>436+2*(Table1[[#This Row],[Column1]])</f>
        <v>456</v>
      </c>
      <c r="C625">
        <f>MINUTE(Table1[[#This Row],[Time]])</f>
        <v>10</v>
      </c>
      <c r="D625" s="1">
        <v>0.46596145833333336</v>
      </c>
      <c r="E625" t="s">
        <v>27</v>
      </c>
      <c r="F625">
        <f t="shared" ref="F625:F626" si="113">F624-0.5</f>
        <v>-123.5</v>
      </c>
      <c r="G625">
        <f t="shared" ref="G625:G626" si="114">G624-0.5</f>
        <v>0</v>
      </c>
      <c r="K625">
        <f>400+2*(Table2[[#This Row],[Column1]]-13)</f>
        <v>458</v>
      </c>
      <c r="L625">
        <f>MINUTE(Table2[[#This Row],[Time]])</f>
        <v>42</v>
      </c>
      <c r="M625" s="1">
        <v>0.69582775462962954</v>
      </c>
      <c r="N625" t="s">
        <v>9</v>
      </c>
      <c r="O625" t="s">
        <v>11</v>
      </c>
      <c r="P625">
        <f t="shared" si="108"/>
        <v>-122</v>
      </c>
      <c r="Q625">
        <v>0.8</v>
      </c>
    </row>
    <row r="626" spans="2:17" x14ac:dyDescent="0.25">
      <c r="B626">
        <f>436+2*(Table1[[#This Row],[Column1]])</f>
        <v>458</v>
      </c>
      <c r="C626">
        <f>MINUTE(Table1[[#This Row],[Time]])</f>
        <v>11</v>
      </c>
      <c r="D626" s="1">
        <v>0.46599385416666667</v>
      </c>
      <c r="E626" t="s">
        <v>27</v>
      </c>
      <c r="F626">
        <f t="shared" si="113"/>
        <v>-124</v>
      </c>
      <c r="G626">
        <f t="shared" si="114"/>
        <v>-0.5</v>
      </c>
      <c r="K626">
        <f>400+2*(Table2[[#This Row],[Column1]]-13)</f>
        <v>458</v>
      </c>
      <c r="L626">
        <f>MINUTE(Table2[[#This Row],[Time]])</f>
        <v>42</v>
      </c>
      <c r="M626" s="1">
        <v>0.69586015046296301</v>
      </c>
      <c r="N626" t="s">
        <v>9</v>
      </c>
      <c r="O626" t="s">
        <v>11</v>
      </c>
      <c r="P626">
        <f t="shared" si="108"/>
        <v>-122</v>
      </c>
      <c r="Q626">
        <v>0.8</v>
      </c>
    </row>
    <row r="627" spans="2:17" x14ac:dyDescent="0.25">
      <c r="B627">
        <f>436+2*(Table1[[#This Row],[Column1]])</f>
        <v>458</v>
      </c>
      <c r="C627">
        <f>MINUTE(Table1[[#This Row],[Time]])</f>
        <v>11</v>
      </c>
      <c r="D627" s="1">
        <v>0.46602624999999998</v>
      </c>
      <c r="E627" t="s">
        <v>9</v>
      </c>
      <c r="F627">
        <v>-124</v>
      </c>
      <c r="G627">
        <v>-1.5</v>
      </c>
      <c r="K627">
        <f>400+2*(Table2[[#This Row],[Column1]]-13)</f>
        <v>458</v>
      </c>
      <c r="L627">
        <f>MINUTE(Table2[[#This Row],[Time]])</f>
        <v>42</v>
      </c>
      <c r="M627" s="1">
        <v>0.69589254629629627</v>
      </c>
      <c r="N627" t="s">
        <v>9</v>
      </c>
      <c r="O627" t="s">
        <v>19</v>
      </c>
      <c r="P627">
        <f t="shared" si="108"/>
        <v>-124</v>
      </c>
      <c r="Q627">
        <v>-1</v>
      </c>
    </row>
    <row r="628" spans="2:17" x14ac:dyDescent="0.25">
      <c r="B628">
        <f>436+2*(Table1[[#This Row],[Column1]])</f>
        <v>458</v>
      </c>
      <c r="C628">
        <f>MINUTE(Table1[[#This Row],[Time]])</f>
        <v>11</v>
      </c>
      <c r="D628" s="1">
        <v>0.46605863425925925</v>
      </c>
      <c r="E628" t="s">
        <v>9</v>
      </c>
      <c r="F628">
        <v>-124</v>
      </c>
      <c r="G628">
        <v>-1.3</v>
      </c>
      <c r="K628">
        <f>400+2*(Table2[[#This Row],[Column1]]-13)</f>
        <v>458</v>
      </c>
      <c r="L628">
        <f>MINUTE(Table2[[#This Row],[Time]])</f>
        <v>42</v>
      </c>
      <c r="M628" s="1">
        <v>0.69592493055555549</v>
      </c>
      <c r="N628" t="s">
        <v>9</v>
      </c>
      <c r="O628" t="s">
        <v>19</v>
      </c>
      <c r="P628">
        <f t="shared" si="108"/>
        <v>-124</v>
      </c>
      <c r="Q628">
        <v>-1.3</v>
      </c>
    </row>
    <row r="629" spans="2:17" x14ac:dyDescent="0.25">
      <c r="B629">
        <f>436+2*(Table1[[#This Row],[Column1]])</f>
        <v>458</v>
      </c>
      <c r="C629">
        <f>MINUTE(Table1[[#This Row],[Time]])</f>
        <v>11</v>
      </c>
      <c r="D629" s="1">
        <v>0.46609103009259256</v>
      </c>
      <c r="E629" t="s">
        <v>9</v>
      </c>
      <c r="F629">
        <v>-124</v>
      </c>
      <c r="G629">
        <v>-1.5</v>
      </c>
      <c r="K629">
        <f>400+2*(Table2[[#This Row],[Column1]]-13)</f>
        <v>458</v>
      </c>
      <c r="L629">
        <f>MINUTE(Table2[[#This Row],[Time]])</f>
        <v>42</v>
      </c>
      <c r="M629" s="1">
        <v>0.69595731481481482</v>
      </c>
      <c r="N629" t="s">
        <v>9</v>
      </c>
      <c r="O629" t="s">
        <v>19</v>
      </c>
      <c r="P629">
        <f t="shared" si="108"/>
        <v>-124</v>
      </c>
      <c r="Q629">
        <v>-1.5</v>
      </c>
    </row>
    <row r="630" spans="2:17" x14ac:dyDescent="0.25">
      <c r="B630">
        <f>436+2*(Table1[[#This Row],[Column1]])</f>
        <v>458</v>
      </c>
      <c r="C630">
        <f>MINUTE(Table1[[#This Row],[Time]])</f>
        <v>11</v>
      </c>
      <c r="D630" s="1">
        <v>0.46612343750000002</v>
      </c>
      <c r="E630" t="s">
        <v>27</v>
      </c>
      <c r="F630">
        <f>F629-0.5</f>
        <v>-124.5</v>
      </c>
      <c r="G630">
        <f>G629-0.5</f>
        <v>-2</v>
      </c>
      <c r="K630">
        <f>400+2*(Table2[[#This Row],[Column1]]-13)</f>
        <v>458</v>
      </c>
      <c r="L630">
        <f>MINUTE(Table2[[#This Row],[Time]])</f>
        <v>42</v>
      </c>
      <c r="M630" s="1">
        <v>0.69598973379629625</v>
      </c>
      <c r="N630" t="s">
        <v>13</v>
      </c>
      <c r="O630" t="str">
        <f>O629</f>
        <v>-124.0,</v>
      </c>
      <c r="P630">
        <f>P629-0.5</f>
        <v>-124.5</v>
      </c>
      <c r="Q630">
        <f>Q629-0.5</f>
        <v>-2</v>
      </c>
    </row>
    <row r="631" spans="2:17" x14ac:dyDescent="0.25">
      <c r="B631">
        <f>436+2*(Table1[[#This Row],[Column1]])</f>
        <v>458</v>
      </c>
      <c r="C631">
        <f>MINUTE(Table1[[#This Row],[Time]])</f>
        <v>11</v>
      </c>
      <c r="D631" s="1">
        <v>0.46615583333333332</v>
      </c>
      <c r="E631" t="s">
        <v>9</v>
      </c>
      <c r="F631">
        <v>-123</v>
      </c>
      <c r="G631">
        <v>0.8</v>
      </c>
      <c r="K631">
        <f>400+2*(Table2[[#This Row],[Column1]]-13)</f>
        <v>458</v>
      </c>
      <c r="L631">
        <f>MINUTE(Table2[[#This Row],[Time]])</f>
        <v>42</v>
      </c>
      <c r="M631" s="1">
        <v>0.69602212962962962</v>
      </c>
      <c r="N631" t="s">
        <v>9</v>
      </c>
      <c r="O631" t="s">
        <v>12</v>
      </c>
      <c r="P631">
        <f t="shared" si="108"/>
        <v>-123</v>
      </c>
      <c r="Q631">
        <v>1</v>
      </c>
    </row>
    <row r="632" spans="2:17" x14ac:dyDescent="0.25">
      <c r="B632">
        <f>436+2*(Table1[[#This Row],[Column1]])</f>
        <v>458</v>
      </c>
      <c r="C632">
        <f>MINUTE(Table1[[#This Row],[Time]])</f>
        <v>11</v>
      </c>
      <c r="D632" s="1">
        <v>0.46618822916666669</v>
      </c>
      <c r="E632" t="s">
        <v>9</v>
      </c>
      <c r="F632">
        <v>-123</v>
      </c>
      <c r="G632">
        <v>1</v>
      </c>
      <c r="K632">
        <f>400+2*(Table2[[#This Row],[Column1]]-13)</f>
        <v>458</v>
      </c>
      <c r="L632">
        <f>MINUTE(Table2[[#This Row],[Time]])</f>
        <v>42</v>
      </c>
      <c r="M632" s="1">
        <v>0.69605452546296298</v>
      </c>
      <c r="N632" t="s">
        <v>9</v>
      </c>
      <c r="O632" t="s">
        <v>12</v>
      </c>
      <c r="P632">
        <f t="shared" si="108"/>
        <v>-123</v>
      </c>
      <c r="Q632">
        <v>1.3</v>
      </c>
    </row>
    <row r="633" spans="2:17" x14ac:dyDescent="0.25">
      <c r="B633">
        <f>436+2*(Table1[[#This Row],[Column1]])</f>
        <v>458</v>
      </c>
      <c r="C633">
        <f>MINUTE(Table1[[#This Row],[Time]])</f>
        <v>11</v>
      </c>
      <c r="D633" s="1">
        <v>0.466220625</v>
      </c>
      <c r="E633" t="s">
        <v>9</v>
      </c>
      <c r="F633">
        <v>-123</v>
      </c>
      <c r="G633">
        <v>0.8</v>
      </c>
      <c r="K633">
        <f>400+2*(Table2[[#This Row],[Column1]]-13)</f>
        <v>458</v>
      </c>
      <c r="L633">
        <f>MINUTE(Table2[[#This Row],[Time]])</f>
        <v>42</v>
      </c>
      <c r="M633" s="1">
        <v>0.69608692129629635</v>
      </c>
      <c r="N633" t="s">
        <v>9</v>
      </c>
      <c r="O633" t="s">
        <v>12</v>
      </c>
      <c r="P633">
        <f t="shared" si="108"/>
        <v>-123</v>
      </c>
      <c r="Q633">
        <v>1</v>
      </c>
    </row>
    <row r="634" spans="2:17" x14ac:dyDescent="0.25">
      <c r="B634">
        <f>436+2*(Table1[[#This Row],[Column1]])</f>
        <v>458</v>
      </c>
      <c r="C634">
        <f>MINUTE(Table1[[#This Row],[Time]])</f>
        <v>11</v>
      </c>
      <c r="D634" s="1">
        <v>0.46625302083333331</v>
      </c>
      <c r="E634" t="s">
        <v>9</v>
      </c>
      <c r="F634">
        <v>-123</v>
      </c>
      <c r="G634">
        <v>0.5</v>
      </c>
      <c r="K634">
        <f>400+2*(Table2[[#This Row],[Column1]]-13)</f>
        <v>458</v>
      </c>
      <c r="L634">
        <f>MINUTE(Table2[[#This Row],[Time]])</f>
        <v>42</v>
      </c>
      <c r="M634" s="1">
        <v>0.69611930555555557</v>
      </c>
      <c r="N634" t="s">
        <v>27</v>
      </c>
      <c r="O634" t="str">
        <f>O633</f>
        <v>-123.0,</v>
      </c>
      <c r="P634">
        <f>P633-0.5</f>
        <v>-123.5</v>
      </c>
      <c r="Q634">
        <f>Q633-0.5</f>
        <v>0.5</v>
      </c>
    </row>
    <row r="635" spans="2:17" x14ac:dyDescent="0.25">
      <c r="B635">
        <f>436+2*(Table1[[#This Row],[Column1]])</f>
        <v>458</v>
      </c>
      <c r="C635">
        <f>MINUTE(Table1[[#This Row],[Time]])</f>
        <v>11</v>
      </c>
      <c r="D635" s="1">
        <v>0.46628541666666662</v>
      </c>
      <c r="E635" t="s">
        <v>9</v>
      </c>
      <c r="F635">
        <v>-123</v>
      </c>
      <c r="G635">
        <v>0.5</v>
      </c>
      <c r="K635">
        <f>400+2*(Table2[[#This Row],[Column1]]-13)</f>
        <v>458</v>
      </c>
      <c r="L635">
        <f>MINUTE(Table2[[#This Row],[Time]])</f>
        <v>42</v>
      </c>
      <c r="M635" s="1">
        <v>0.69615170138888882</v>
      </c>
      <c r="N635" t="s">
        <v>9</v>
      </c>
      <c r="O635" t="s">
        <v>11</v>
      </c>
      <c r="P635">
        <f t="shared" si="108"/>
        <v>-122</v>
      </c>
      <c r="Q635">
        <v>0.8</v>
      </c>
    </row>
    <row r="636" spans="2:17" x14ac:dyDescent="0.25">
      <c r="B636">
        <f>436+2*(Table1[[#This Row],[Column1]])</f>
        <v>458</v>
      </c>
      <c r="C636">
        <f>MINUTE(Table1[[#This Row],[Time]])</f>
        <v>11</v>
      </c>
      <c r="D636" s="1">
        <v>0.46631780092592595</v>
      </c>
      <c r="E636" t="s">
        <v>9</v>
      </c>
      <c r="F636">
        <v>-123</v>
      </c>
      <c r="G636">
        <v>0.8</v>
      </c>
      <c r="K636">
        <f>400+2*(Table2[[#This Row],[Column1]]-13)</f>
        <v>458</v>
      </c>
      <c r="L636">
        <f>MINUTE(Table2[[#This Row],[Time]])</f>
        <v>42</v>
      </c>
      <c r="M636" s="1">
        <v>0.69618408564814815</v>
      </c>
      <c r="N636" t="s">
        <v>9</v>
      </c>
      <c r="O636" t="s">
        <v>12</v>
      </c>
      <c r="P636">
        <f t="shared" si="108"/>
        <v>-123</v>
      </c>
      <c r="Q636">
        <v>0.8</v>
      </c>
    </row>
    <row r="637" spans="2:17" x14ac:dyDescent="0.25">
      <c r="B637">
        <f>436+2*(Table1[[#This Row],[Column1]])</f>
        <v>458</v>
      </c>
      <c r="C637">
        <f>MINUTE(Table1[[#This Row],[Time]])</f>
        <v>11</v>
      </c>
      <c r="D637" s="1">
        <v>0.46635020833333335</v>
      </c>
      <c r="E637" t="s">
        <v>9</v>
      </c>
      <c r="F637">
        <v>-123</v>
      </c>
      <c r="G637">
        <v>0.8</v>
      </c>
      <c r="K637">
        <f>400+2*(Table2[[#This Row],[Column1]]-13)</f>
        <v>458</v>
      </c>
      <c r="L637">
        <f>MINUTE(Table2[[#This Row],[Time]])</f>
        <v>42</v>
      </c>
      <c r="M637" s="1">
        <v>0.69621650462962958</v>
      </c>
      <c r="N637" t="s">
        <v>9</v>
      </c>
      <c r="O637" t="s">
        <v>12</v>
      </c>
      <c r="P637">
        <f t="shared" si="108"/>
        <v>-123</v>
      </c>
      <c r="Q637">
        <v>0.8</v>
      </c>
    </row>
    <row r="638" spans="2:17" x14ac:dyDescent="0.25">
      <c r="B638">
        <f>436+2*(Table1[[#This Row],[Column1]])</f>
        <v>458</v>
      </c>
      <c r="C638">
        <f>MINUTE(Table1[[#This Row],[Time]])</f>
        <v>11</v>
      </c>
      <c r="D638" s="1">
        <v>0.46638260416666671</v>
      </c>
      <c r="E638" t="s">
        <v>9</v>
      </c>
      <c r="F638">
        <v>-123</v>
      </c>
      <c r="G638">
        <v>0.5</v>
      </c>
      <c r="K638">
        <f>400+2*(Table2[[#This Row],[Column1]]-13)</f>
        <v>458</v>
      </c>
      <c r="L638">
        <f>MINUTE(Table2[[#This Row],[Time]])</f>
        <v>42</v>
      </c>
      <c r="M638" s="1">
        <v>0.69624890046296295</v>
      </c>
      <c r="N638" t="s">
        <v>9</v>
      </c>
      <c r="O638" t="s">
        <v>12</v>
      </c>
      <c r="P638">
        <f t="shared" si="108"/>
        <v>-123</v>
      </c>
      <c r="Q638">
        <v>1</v>
      </c>
    </row>
    <row r="639" spans="2:17" x14ac:dyDescent="0.25">
      <c r="B639">
        <f>436+2*(Table1[[#This Row],[Column1]])</f>
        <v>458</v>
      </c>
      <c r="C639">
        <f>MINUTE(Table1[[#This Row],[Time]])</f>
        <v>11</v>
      </c>
      <c r="D639" s="1">
        <v>0.46641500000000002</v>
      </c>
      <c r="E639" t="s">
        <v>9</v>
      </c>
      <c r="F639">
        <v>-123</v>
      </c>
      <c r="G639">
        <v>1</v>
      </c>
      <c r="K639">
        <f>400+2*(Table2[[#This Row],[Column1]]-13)</f>
        <v>458</v>
      </c>
      <c r="L639">
        <f>MINUTE(Table2[[#This Row],[Time]])</f>
        <v>42</v>
      </c>
      <c r="M639" s="1">
        <v>0.69628129629629631</v>
      </c>
      <c r="N639" t="s">
        <v>9</v>
      </c>
      <c r="O639" t="s">
        <v>12</v>
      </c>
      <c r="P639">
        <f t="shared" si="108"/>
        <v>-123</v>
      </c>
      <c r="Q639">
        <v>1.3</v>
      </c>
    </row>
    <row r="640" spans="2:17" x14ac:dyDescent="0.25">
      <c r="B640">
        <f>436+2*(Table1[[#This Row],[Column1]])</f>
        <v>458</v>
      </c>
      <c r="C640">
        <f>MINUTE(Table1[[#This Row],[Time]])</f>
        <v>11</v>
      </c>
      <c r="D640" s="1">
        <v>0.46644739583333333</v>
      </c>
      <c r="E640" t="s">
        <v>9</v>
      </c>
      <c r="F640">
        <v>-123</v>
      </c>
      <c r="G640">
        <v>0.8</v>
      </c>
      <c r="K640">
        <f>400+2*(Table2[[#This Row],[Column1]]-13)</f>
        <v>458</v>
      </c>
      <c r="L640">
        <f>MINUTE(Table2[[#This Row],[Time]])</f>
        <v>42</v>
      </c>
      <c r="M640" s="1">
        <v>0.69631369212962957</v>
      </c>
      <c r="N640" t="s">
        <v>9</v>
      </c>
      <c r="O640" t="s">
        <v>12</v>
      </c>
      <c r="P640">
        <f t="shared" si="108"/>
        <v>-123</v>
      </c>
      <c r="Q640">
        <v>0.8</v>
      </c>
    </row>
    <row r="641" spans="2:17" x14ac:dyDescent="0.25">
      <c r="B641">
        <f>436+2*(Table1[[#This Row],[Column1]])</f>
        <v>458</v>
      </c>
      <c r="C641">
        <f>MINUTE(Table1[[#This Row],[Time]])</f>
        <v>11</v>
      </c>
      <c r="D641" s="1">
        <v>0.46647978009259261</v>
      </c>
      <c r="E641" t="s">
        <v>27</v>
      </c>
      <c r="F641">
        <f>F640-0.5</f>
        <v>-123.5</v>
      </c>
      <c r="G641">
        <f>G640-0.5</f>
        <v>0.30000000000000004</v>
      </c>
      <c r="K641">
        <f>400+2*(Table2[[#This Row],[Column1]]-13)</f>
        <v>458</v>
      </c>
      <c r="L641">
        <f>MINUTE(Table2[[#This Row],[Time]])</f>
        <v>42</v>
      </c>
      <c r="M641" s="1">
        <v>0.69634608796296305</v>
      </c>
      <c r="N641" t="s">
        <v>9</v>
      </c>
      <c r="O641" t="s">
        <v>12</v>
      </c>
      <c r="P641">
        <f t="shared" si="108"/>
        <v>-123</v>
      </c>
      <c r="Q641">
        <v>0.8</v>
      </c>
    </row>
    <row r="642" spans="2:17" x14ac:dyDescent="0.25">
      <c r="B642">
        <f>436+2*(Table1[[#This Row],[Column1]])</f>
        <v>458</v>
      </c>
      <c r="C642">
        <f>MINUTE(Table1[[#This Row],[Time]])</f>
        <v>11</v>
      </c>
      <c r="D642" s="1">
        <v>0.46651218750000001</v>
      </c>
      <c r="E642" t="s">
        <v>9</v>
      </c>
      <c r="F642">
        <v>-123</v>
      </c>
      <c r="G642">
        <v>1</v>
      </c>
      <c r="K642">
        <f>400+2*(Table2[[#This Row],[Column1]]-13)</f>
        <v>458</v>
      </c>
      <c r="L642">
        <f>MINUTE(Table2[[#This Row],[Time]])</f>
        <v>42</v>
      </c>
      <c r="M642" s="1">
        <v>0.6963784837962963</v>
      </c>
      <c r="N642" t="s">
        <v>9</v>
      </c>
      <c r="O642" t="s">
        <v>12</v>
      </c>
      <c r="P642">
        <f t="shared" si="108"/>
        <v>-123</v>
      </c>
      <c r="Q642">
        <v>1</v>
      </c>
    </row>
    <row r="643" spans="2:17" x14ac:dyDescent="0.25">
      <c r="B643">
        <f>436+2*(Table1[[#This Row],[Column1]])</f>
        <v>458</v>
      </c>
      <c r="C643">
        <f>MINUTE(Table1[[#This Row],[Time]])</f>
        <v>11</v>
      </c>
      <c r="D643" s="1">
        <v>0.46654458333333332</v>
      </c>
      <c r="E643" t="s">
        <v>27</v>
      </c>
      <c r="F643">
        <f>F642-0.5</f>
        <v>-123.5</v>
      </c>
      <c r="G643">
        <f>G642-0.5</f>
        <v>0.5</v>
      </c>
      <c r="K643">
        <f>400+2*(Table2[[#This Row],[Column1]]-13)</f>
        <v>458</v>
      </c>
      <c r="L643">
        <f>MINUTE(Table2[[#This Row],[Time]])</f>
        <v>42</v>
      </c>
      <c r="M643" s="1">
        <v>0.69641087962962966</v>
      </c>
      <c r="N643" t="s">
        <v>9</v>
      </c>
      <c r="O643" t="s">
        <v>12</v>
      </c>
      <c r="P643">
        <f t="shared" si="108"/>
        <v>-123</v>
      </c>
      <c r="Q643">
        <v>1.3</v>
      </c>
    </row>
    <row r="644" spans="2:17" x14ac:dyDescent="0.25">
      <c r="B644">
        <f>436+2*(Table1[[#This Row],[Column1]])</f>
        <v>458</v>
      </c>
      <c r="C644">
        <f>MINUTE(Table1[[#This Row],[Time]])</f>
        <v>11</v>
      </c>
      <c r="D644" s="1">
        <v>0.46657697916666663</v>
      </c>
      <c r="E644" t="s">
        <v>9</v>
      </c>
      <c r="F644">
        <v>-123</v>
      </c>
      <c r="G644">
        <v>1</v>
      </c>
      <c r="K644">
        <f>400+2*(Table2[[#This Row],[Column1]]-13)</f>
        <v>458</v>
      </c>
      <c r="L644">
        <f>MINUTE(Table2[[#This Row],[Time]])</f>
        <v>42</v>
      </c>
      <c r="M644" s="1">
        <v>0.69644326388888889</v>
      </c>
      <c r="N644" t="s">
        <v>27</v>
      </c>
      <c r="O644" t="str">
        <f>O643</f>
        <v>-123.0,</v>
      </c>
      <c r="P644">
        <f>P643-0.5</f>
        <v>-123.5</v>
      </c>
      <c r="Q644">
        <f>Q643-0.5</f>
        <v>0.8</v>
      </c>
    </row>
    <row r="645" spans="2:17" x14ac:dyDescent="0.25">
      <c r="B645">
        <f>436+2*(Table1[[#This Row],[Column1]])</f>
        <v>458</v>
      </c>
      <c r="C645">
        <f>MINUTE(Table1[[#This Row],[Time]])</f>
        <v>11</v>
      </c>
      <c r="D645" s="1">
        <v>0.46660937500000005</v>
      </c>
      <c r="E645" t="s">
        <v>9</v>
      </c>
      <c r="F645">
        <v>-122</v>
      </c>
      <c r="G645">
        <v>0.5</v>
      </c>
      <c r="K645">
        <f>400+2*(Table2[[#This Row],[Column1]]-13)</f>
        <v>458</v>
      </c>
      <c r="L645">
        <f>MINUTE(Table2[[#This Row],[Time]])</f>
        <v>42</v>
      </c>
      <c r="M645" s="1">
        <v>0.69647567129629628</v>
      </c>
      <c r="N645" t="s">
        <v>9</v>
      </c>
      <c r="O645" t="s">
        <v>12</v>
      </c>
      <c r="P645">
        <f t="shared" ref="P644:P667" si="115">VALUE(LEFT(O645,LEN(O645)-1))</f>
        <v>-123</v>
      </c>
      <c r="Q645">
        <v>0.8</v>
      </c>
    </row>
    <row r="646" spans="2:17" x14ac:dyDescent="0.25">
      <c r="B646">
        <f>436+2*(Table1[[#This Row],[Column1]])</f>
        <v>458</v>
      </c>
      <c r="C646">
        <f>MINUTE(Table1[[#This Row],[Time]])</f>
        <v>11</v>
      </c>
      <c r="D646" s="1">
        <v>0.46664177083333336</v>
      </c>
      <c r="E646" t="s">
        <v>9</v>
      </c>
      <c r="F646">
        <v>-123</v>
      </c>
      <c r="G646">
        <v>1</v>
      </c>
      <c r="K646">
        <f>400+2*(Table2[[#This Row],[Column1]]-13)</f>
        <v>458</v>
      </c>
      <c r="L646">
        <f>MINUTE(Table2[[#This Row],[Time]])</f>
        <v>42</v>
      </c>
      <c r="M646" s="1">
        <v>0.69650806712962965</v>
      </c>
      <c r="N646" t="s">
        <v>9</v>
      </c>
      <c r="O646" t="s">
        <v>12</v>
      </c>
      <c r="P646">
        <f t="shared" si="115"/>
        <v>-123</v>
      </c>
      <c r="Q646">
        <v>1</v>
      </c>
    </row>
    <row r="647" spans="2:17" x14ac:dyDescent="0.25">
      <c r="B647">
        <f>436+2*(Table1[[#This Row],[Column1]])</f>
        <v>460</v>
      </c>
      <c r="C647">
        <f>MINUTE(Table1[[#This Row],[Time]])</f>
        <v>12</v>
      </c>
      <c r="D647" s="1">
        <v>0.46667416666666667</v>
      </c>
      <c r="E647" t="s">
        <v>9</v>
      </c>
      <c r="F647">
        <v>-122</v>
      </c>
      <c r="G647">
        <v>0.5</v>
      </c>
      <c r="K647">
        <f>400+2*(Table2[[#This Row],[Column1]]-13)</f>
        <v>460</v>
      </c>
      <c r="L647">
        <f>MINUTE(Table2[[#This Row],[Time]])</f>
        <v>43</v>
      </c>
      <c r="M647" s="1">
        <v>0.69654045138888887</v>
      </c>
      <c r="N647" t="s">
        <v>9</v>
      </c>
      <c r="O647" t="s">
        <v>12</v>
      </c>
      <c r="P647">
        <f t="shared" si="115"/>
        <v>-123</v>
      </c>
      <c r="Q647">
        <v>1</v>
      </c>
    </row>
    <row r="648" spans="2:17" x14ac:dyDescent="0.25">
      <c r="B648">
        <f>436+2*(Table1[[#This Row],[Column1]])</f>
        <v>460</v>
      </c>
      <c r="C648">
        <f>MINUTE(Table1[[#This Row],[Time]])</f>
        <v>12</v>
      </c>
      <c r="D648" s="1">
        <v>0.46670656249999998</v>
      </c>
      <c r="E648" t="s">
        <v>13</v>
      </c>
      <c r="F648">
        <f t="shared" ref="F648:F649" si="116">F647-0.5</f>
        <v>-122.5</v>
      </c>
      <c r="G648">
        <f t="shared" ref="G648:G649" si="117">G647-0.5</f>
        <v>0</v>
      </c>
      <c r="K648">
        <f>400+2*(Table2[[#This Row],[Column1]]-13)</f>
        <v>460</v>
      </c>
      <c r="L648">
        <f>MINUTE(Table2[[#This Row],[Time]])</f>
        <v>43</v>
      </c>
      <c r="M648" s="1">
        <v>0.69657284722222224</v>
      </c>
      <c r="N648" t="s">
        <v>13</v>
      </c>
      <c r="O648" t="str">
        <f>O647</f>
        <v>-123.0,</v>
      </c>
      <c r="P648">
        <f>P647-0.5</f>
        <v>-123.5</v>
      </c>
      <c r="Q648">
        <f>Q647-0.5</f>
        <v>0.5</v>
      </c>
    </row>
    <row r="649" spans="2:17" x14ac:dyDescent="0.25">
      <c r="B649">
        <f>436+2*(Table1[[#This Row],[Column1]])</f>
        <v>460</v>
      </c>
      <c r="C649">
        <f>MINUTE(Table1[[#This Row],[Time]])</f>
        <v>12</v>
      </c>
      <c r="D649" s="1">
        <v>0.46673895833333334</v>
      </c>
      <c r="E649" t="s">
        <v>27</v>
      </c>
      <c r="F649">
        <f t="shared" si="116"/>
        <v>-123</v>
      </c>
      <c r="G649">
        <f t="shared" si="117"/>
        <v>-0.5</v>
      </c>
      <c r="K649">
        <f>400+2*(Table2[[#This Row],[Column1]]-13)</f>
        <v>460</v>
      </c>
      <c r="L649">
        <f>MINUTE(Table2[[#This Row],[Time]])</f>
        <v>43</v>
      </c>
      <c r="M649" s="1">
        <v>0.6966052430555556</v>
      </c>
      <c r="N649" t="s">
        <v>9</v>
      </c>
      <c r="O649" t="s">
        <v>12</v>
      </c>
      <c r="P649">
        <f t="shared" si="115"/>
        <v>-123</v>
      </c>
      <c r="Q649">
        <v>-0.5</v>
      </c>
    </row>
    <row r="650" spans="2:17" x14ac:dyDescent="0.25">
      <c r="B650">
        <f>436+2*(Table1[[#This Row],[Column1]])</f>
        <v>460</v>
      </c>
      <c r="C650">
        <f>MINUTE(Table1[[#This Row],[Time]])</f>
        <v>12</v>
      </c>
      <c r="D650" s="1">
        <v>0.46677135416666665</v>
      </c>
      <c r="E650" t="s">
        <v>9</v>
      </c>
      <c r="F650">
        <v>-124</v>
      </c>
      <c r="G650">
        <v>-1</v>
      </c>
      <c r="K650">
        <f>400+2*(Table2[[#This Row],[Column1]]-13)</f>
        <v>460</v>
      </c>
      <c r="L650">
        <f>MINUTE(Table2[[#This Row],[Time]])</f>
        <v>43</v>
      </c>
      <c r="M650" s="1">
        <v>0.69663763888888885</v>
      </c>
      <c r="N650" t="s">
        <v>27</v>
      </c>
      <c r="O650" t="str">
        <f t="shared" ref="O650:O651" si="118">O649</f>
        <v>-123.0,</v>
      </c>
      <c r="P650">
        <f t="shared" ref="P650:P651" si="119">P649-0.5</f>
        <v>-123.5</v>
      </c>
      <c r="Q650">
        <f t="shared" ref="Q650:Q651" si="120">Q649-0.5</f>
        <v>-1</v>
      </c>
    </row>
    <row r="651" spans="2:17" x14ac:dyDescent="0.25">
      <c r="B651">
        <f>436+2*(Table1[[#This Row],[Column1]])</f>
        <v>460</v>
      </c>
      <c r="C651">
        <f>MINUTE(Table1[[#This Row],[Time]])</f>
        <v>12</v>
      </c>
      <c r="D651" s="1">
        <v>0.46680374999999996</v>
      </c>
      <c r="E651" t="s">
        <v>9</v>
      </c>
      <c r="F651">
        <v>-124</v>
      </c>
      <c r="G651">
        <v>-1.8</v>
      </c>
      <c r="K651">
        <f>400+2*(Table2[[#This Row],[Column1]]-13)</f>
        <v>460</v>
      </c>
      <c r="L651">
        <f>MINUTE(Table2[[#This Row],[Time]])</f>
        <v>43</v>
      </c>
      <c r="M651" s="1">
        <v>0.69667003472222222</v>
      </c>
      <c r="N651" t="s">
        <v>27</v>
      </c>
      <c r="O651" t="str">
        <f t="shared" si="118"/>
        <v>-123.0,</v>
      </c>
      <c r="P651">
        <f t="shared" si="119"/>
        <v>-124</v>
      </c>
      <c r="Q651">
        <f t="shared" si="120"/>
        <v>-1.5</v>
      </c>
    </row>
    <row r="652" spans="2:17" x14ac:dyDescent="0.25">
      <c r="B652">
        <f>436+2*(Table1[[#This Row],[Column1]])</f>
        <v>460</v>
      </c>
      <c r="C652">
        <f>MINUTE(Table1[[#This Row],[Time]])</f>
        <v>12</v>
      </c>
      <c r="D652" s="1">
        <v>0.46683614583333327</v>
      </c>
      <c r="E652" t="s">
        <v>13</v>
      </c>
      <c r="F652">
        <f t="shared" ref="F652:F653" si="121">F651-0.5</f>
        <v>-124.5</v>
      </c>
      <c r="G652">
        <f t="shared" ref="G652:G653" si="122">G651-0.5</f>
        <v>-2.2999999999999998</v>
      </c>
      <c r="K652">
        <f>400+2*(Table2[[#This Row],[Column1]]-13)</f>
        <v>460</v>
      </c>
      <c r="L652">
        <f>MINUTE(Table2[[#This Row],[Time]])</f>
        <v>43</v>
      </c>
      <c r="M652" s="1">
        <v>0.69670244212962962</v>
      </c>
      <c r="N652" t="s">
        <v>9</v>
      </c>
      <c r="O652" t="s">
        <v>19</v>
      </c>
      <c r="P652">
        <f t="shared" si="115"/>
        <v>-124</v>
      </c>
      <c r="Q652">
        <v>-0.8</v>
      </c>
    </row>
    <row r="653" spans="2:17" x14ac:dyDescent="0.25">
      <c r="B653">
        <f>436+2*(Table1[[#This Row],[Column1]])</f>
        <v>460</v>
      </c>
      <c r="C653">
        <f>MINUTE(Table1[[#This Row],[Time]])</f>
        <v>12</v>
      </c>
      <c r="D653" s="1">
        <v>0.4668685300925926</v>
      </c>
      <c r="E653" t="s">
        <v>27</v>
      </c>
      <c r="F653">
        <f t="shared" si="121"/>
        <v>-125</v>
      </c>
      <c r="G653">
        <f t="shared" si="122"/>
        <v>-2.8</v>
      </c>
      <c r="K653">
        <f>400+2*(Table2[[#This Row],[Column1]]-13)</f>
        <v>460</v>
      </c>
      <c r="L653">
        <f>MINUTE(Table2[[#This Row],[Time]])</f>
        <v>43</v>
      </c>
      <c r="M653" s="1">
        <v>0.69673483796296298</v>
      </c>
      <c r="N653" t="s">
        <v>9</v>
      </c>
      <c r="O653" t="s">
        <v>19</v>
      </c>
      <c r="P653">
        <f t="shared" si="115"/>
        <v>-124</v>
      </c>
      <c r="Q653">
        <v>-0.3</v>
      </c>
    </row>
    <row r="654" spans="2:17" x14ac:dyDescent="0.25">
      <c r="B654">
        <f>436+2*(Table1[[#This Row],[Column1]])</f>
        <v>460</v>
      </c>
      <c r="C654">
        <f>MINUTE(Table1[[#This Row],[Time]])</f>
        <v>12</v>
      </c>
      <c r="D654" s="1">
        <v>0.4669009375</v>
      </c>
      <c r="E654" t="s">
        <v>9</v>
      </c>
      <c r="F654">
        <v>-124</v>
      </c>
      <c r="G654">
        <v>0</v>
      </c>
      <c r="K654">
        <f>400+2*(Table2[[#This Row],[Column1]]-13)</f>
        <v>460</v>
      </c>
      <c r="L654">
        <f>MINUTE(Table2[[#This Row],[Time]])</f>
        <v>43</v>
      </c>
      <c r="M654" s="1">
        <v>0.69676723379629624</v>
      </c>
      <c r="N654" t="s">
        <v>9</v>
      </c>
      <c r="O654" t="s">
        <v>19</v>
      </c>
      <c r="P654">
        <f t="shared" si="115"/>
        <v>-124</v>
      </c>
      <c r="Q654">
        <v>-0.3</v>
      </c>
    </row>
    <row r="655" spans="2:17" x14ac:dyDescent="0.25">
      <c r="B655">
        <f>436+2*(Table1[[#This Row],[Column1]])</f>
        <v>460</v>
      </c>
      <c r="C655">
        <f>MINUTE(Table1[[#This Row],[Time]])</f>
        <v>12</v>
      </c>
      <c r="D655" s="1">
        <v>0.46693333333333337</v>
      </c>
      <c r="E655" t="s">
        <v>27</v>
      </c>
      <c r="F655">
        <f t="shared" ref="F655:F656" si="123">F654-0.5</f>
        <v>-124.5</v>
      </c>
      <c r="G655">
        <f t="shared" ref="G655:G656" si="124">G654-0.5</f>
        <v>-0.5</v>
      </c>
      <c r="K655">
        <f>400+2*(Table2[[#This Row],[Column1]]-13)</f>
        <v>460</v>
      </c>
      <c r="L655">
        <f>MINUTE(Table2[[#This Row],[Time]])</f>
        <v>43</v>
      </c>
      <c r="M655" s="1">
        <v>0.6967996296296296</v>
      </c>
      <c r="N655" t="s">
        <v>9</v>
      </c>
      <c r="O655" t="s">
        <v>19</v>
      </c>
      <c r="P655">
        <f t="shared" si="115"/>
        <v>-124</v>
      </c>
      <c r="Q655">
        <v>0</v>
      </c>
    </row>
    <row r="656" spans="2:17" x14ac:dyDescent="0.25">
      <c r="B656">
        <f>436+2*(Table1[[#This Row],[Column1]])</f>
        <v>460</v>
      </c>
      <c r="C656">
        <f>MINUTE(Table1[[#This Row],[Time]])</f>
        <v>12</v>
      </c>
      <c r="D656" s="1">
        <v>0.46696572916666668</v>
      </c>
      <c r="E656" t="s">
        <v>27</v>
      </c>
      <c r="F656">
        <f t="shared" si="123"/>
        <v>-125</v>
      </c>
      <c r="G656">
        <f t="shared" si="124"/>
        <v>-1</v>
      </c>
      <c r="K656">
        <f>400+2*(Table2[[#This Row],[Column1]]-13)</f>
        <v>460</v>
      </c>
      <c r="L656">
        <f>MINUTE(Table2[[#This Row],[Time]])</f>
        <v>43</v>
      </c>
      <c r="M656" s="1">
        <v>0.69683201388888893</v>
      </c>
      <c r="N656" t="s">
        <v>9</v>
      </c>
      <c r="O656" t="s">
        <v>19</v>
      </c>
      <c r="P656">
        <f t="shared" si="115"/>
        <v>-124</v>
      </c>
      <c r="Q656">
        <v>-0.5</v>
      </c>
    </row>
    <row r="657" spans="3:16" x14ac:dyDescent="0.25">
      <c r="C657">
        <f>MINUTE(Table1[[#This Row],[Time]])</f>
        <v>0</v>
      </c>
      <c r="D657" s="1"/>
      <c r="M657" s="1"/>
      <c r="P657" t="e">
        <f t="shared" si="115"/>
        <v>#VALUE!</v>
      </c>
    </row>
    <row r="658" spans="3:16" x14ac:dyDescent="0.25">
      <c r="C658">
        <f>MINUTE(Table1[[#This Row],[Time]])</f>
        <v>0</v>
      </c>
      <c r="D658" s="1"/>
      <c r="M658" s="1"/>
      <c r="P658" t="e">
        <f t="shared" si="115"/>
        <v>#VALUE!</v>
      </c>
    </row>
    <row r="659" spans="3:16" x14ac:dyDescent="0.25">
      <c r="C659">
        <f>MINUTE(Table1[[#This Row],[Time]])</f>
        <v>0</v>
      </c>
      <c r="D659" s="1"/>
      <c r="M659" s="1"/>
      <c r="P659" t="e">
        <f t="shared" si="115"/>
        <v>#VALUE!</v>
      </c>
    </row>
    <row r="660" spans="3:16" x14ac:dyDescent="0.25">
      <c r="C660">
        <f>MINUTE(Table1[[#This Row],[Time]])</f>
        <v>0</v>
      </c>
      <c r="D660" s="1"/>
      <c r="M660" s="1"/>
      <c r="P660" t="e">
        <f t="shared" si="115"/>
        <v>#VALUE!</v>
      </c>
    </row>
    <row r="661" spans="3:16" x14ac:dyDescent="0.25">
      <c r="C661">
        <f>MINUTE(Table1[[#This Row],[Time]])</f>
        <v>0</v>
      </c>
      <c r="D661" s="1"/>
      <c r="M661" s="1"/>
      <c r="P661" t="e">
        <f t="shared" si="115"/>
        <v>#VALUE!</v>
      </c>
    </row>
    <row r="662" spans="3:16" x14ac:dyDescent="0.25">
      <c r="C662">
        <f>MINUTE(Table1[[#This Row],[Time]])</f>
        <v>0</v>
      </c>
      <c r="D662" s="1"/>
      <c r="M662" s="1"/>
      <c r="P662" t="e">
        <f t="shared" si="115"/>
        <v>#VALUE!</v>
      </c>
    </row>
    <row r="663" spans="3:16" x14ac:dyDescent="0.25">
      <c r="C663">
        <f>MINUTE(Table1[[#This Row],[Time]])</f>
        <v>0</v>
      </c>
      <c r="D663" s="1"/>
      <c r="M663" s="1"/>
      <c r="P663" t="e">
        <f t="shared" si="115"/>
        <v>#VALUE!</v>
      </c>
    </row>
    <row r="664" spans="3:16" x14ac:dyDescent="0.25">
      <c r="C664">
        <f>MINUTE(Table1[[#This Row],[Time]])</f>
        <v>0</v>
      </c>
      <c r="D664" s="1"/>
      <c r="M664" s="1"/>
      <c r="P664" t="e">
        <f t="shared" si="115"/>
        <v>#VALUE!</v>
      </c>
    </row>
    <row r="665" spans="3:16" x14ac:dyDescent="0.25">
      <c r="C665">
        <f>MINUTE(Table1[[#This Row],[Time]])</f>
        <v>0</v>
      </c>
      <c r="D665" s="1"/>
      <c r="M665" s="1"/>
      <c r="P665" t="e">
        <f t="shared" si="115"/>
        <v>#VALUE!</v>
      </c>
    </row>
    <row r="666" spans="3:16" x14ac:dyDescent="0.25">
      <c r="C666">
        <f>MINUTE(Table1[[#This Row],[Time]])</f>
        <v>0</v>
      </c>
      <c r="D666" s="1"/>
      <c r="M666" s="1"/>
      <c r="P666" t="e">
        <f t="shared" si="115"/>
        <v>#VALUE!</v>
      </c>
    </row>
    <row r="667" spans="3:16" x14ac:dyDescent="0.25">
      <c r="C667">
        <f>MINUTE(Table1[[#This Row],[Time]])</f>
        <v>0</v>
      </c>
      <c r="D667" s="1"/>
      <c r="M667" s="1"/>
      <c r="P667" t="e">
        <f t="shared" si="115"/>
        <v>#VALUE!</v>
      </c>
    </row>
  </sheetData>
  <mergeCells count="2">
    <mergeCell ref="V2:Y2"/>
    <mergeCell ref="Z2:AC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9E58-81E9-432D-8A49-77010D774D63}">
  <dimension ref="B1:AD667"/>
  <sheetViews>
    <sheetView topLeftCell="W12" workbookViewId="0">
      <selection activeCell="AW36" sqref="AW36"/>
    </sheetView>
  </sheetViews>
  <sheetFormatPr defaultRowHeight="15" x14ac:dyDescent="0.25"/>
  <cols>
    <col min="2" max="2" width="13" customWidth="1"/>
    <col min="3" max="3" width="22.85546875" bestFit="1" customWidth="1"/>
    <col min="5" max="5" width="17.140625" bestFit="1" customWidth="1"/>
    <col min="8" max="8" width="17.140625" bestFit="1" customWidth="1"/>
    <col min="12" max="12" width="13" customWidth="1"/>
    <col min="13" max="13" width="22.85546875" bestFit="1" customWidth="1"/>
    <col min="15" max="15" width="17.140625" bestFit="1" customWidth="1"/>
    <col min="18" max="18" width="17.140625" bestFit="1" customWidth="1"/>
    <col min="23" max="23" width="10.85546875" bestFit="1" customWidth="1"/>
    <col min="27" max="27" width="10.85546875" bestFit="1" customWidth="1"/>
  </cols>
  <sheetData>
    <row r="1" spans="2:30" ht="15.75" thickBot="1" x14ac:dyDescent="0.3"/>
    <row r="2" spans="2:30" ht="15.75" thickBot="1" x14ac:dyDescent="0.3">
      <c r="B2" t="s">
        <v>0</v>
      </c>
      <c r="E2" s="16" t="s">
        <v>34</v>
      </c>
      <c r="L2" t="s">
        <v>8</v>
      </c>
      <c r="O2" s="16" t="s">
        <v>36</v>
      </c>
      <c r="V2" s="12" t="s">
        <v>21</v>
      </c>
      <c r="W2" s="18" t="s">
        <v>23</v>
      </c>
      <c r="X2" s="19"/>
      <c r="Y2" s="19"/>
      <c r="Z2" s="20"/>
      <c r="AA2" s="18" t="s">
        <v>22</v>
      </c>
      <c r="AB2" s="19"/>
      <c r="AC2" s="19"/>
      <c r="AD2" s="20"/>
    </row>
    <row r="3" spans="2:30" ht="15.75" thickBot="1" x14ac:dyDescent="0.3">
      <c r="B3" t="s">
        <v>7</v>
      </c>
      <c r="C3" t="s">
        <v>35</v>
      </c>
      <c r="D3" t="s">
        <v>2</v>
      </c>
      <c r="E3" t="s">
        <v>32</v>
      </c>
      <c r="F3" t="s">
        <v>3</v>
      </c>
      <c r="G3" t="s">
        <v>4</v>
      </c>
      <c r="H3" t="s">
        <v>33</v>
      </c>
      <c r="I3" t="s">
        <v>5</v>
      </c>
      <c r="L3" t="s">
        <v>7</v>
      </c>
      <c r="M3" t="s">
        <v>35</v>
      </c>
      <c r="N3" t="s">
        <v>2</v>
      </c>
      <c r="O3" t="s">
        <v>32</v>
      </c>
      <c r="P3" t="s">
        <v>3</v>
      </c>
      <c r="Q3" t="s">
        <v>4</v>
      </c>
      <c r="R3" t="s">
        <v>33</v>
      </c>
      <c r="S3" t="s">
        <v>5</v>
      </c>
      <c r="V3" s="12" t="s">
        <v>1</v>
      </c>
      <c r="W3" s="13" t="s">
        <v>25</v>
      </c>
      <c r="X3" s="14" t="s">
        <v>26</v>
      </c>
      <c r="Y3" s="14" t="s">
        <v>4</v>
      </c>
      <c r="Z3" s="15" t="s">
        <v>5</v>
      </c>
      <c r="AA3" s="13" t="s">
        <v>25</v>
      </c>
      <c r="AB3" s="14" t="s">
        <v>26</v>
      </c>
      <c r="AC3" s="14" t="s">
        <v>4</v>
      </c>
      <c r="AD3" s="15" t="s">
        <v>5</v>
      </c>
    </row>
    <row r="4" spans="2:30" x14ac:dyDescent="0.25">
      <c r="D4" s="1"/>
      <c r="E4" s="1"/>
      <c r="N4" s="1"/>
      <c r="O4" s="1"/>
      <c r="R4">
        <f>Table25[[#This Row],[RSSI]]</f>
        <v>0</v>
      </c>
      <c r="V4" s="10">
        <v>480</v>
      </c>
      <c r="W4" s="4">
        <f>COUNTIFS(Table14[Range(nm)], $V4, Table14[Type], "ACK")/COUNTIFS(Table14[Range(nm)], $V4)</f>
        <v>1</v>
      </c>
      <c r="X4" s="5">
        <f>COUNTIFS(Table14[Range(nm)], $V4, Table14[Type], "SUT Rx Error")/COUNTIFS(Table14[Range(nm)], $V4)</f>
        <v>0</v>
      </c>
      <c r="Y4">
        <f>AVERAGEIF(Table14[Range(nm)], V4, Table14[Corrected RSSI])</f>
        <v>-123.94285714285714</v>
      </c>
      <c r="Z4" s="3">
        <f>AVERAGEIF(Table14[Range(nm)], V4, Table14[SNR])</f>
        <v>-2.7571428571428576</v>
      </c>
      <c r="AA4" s="4">
        <f>COUNTIFS(Table25[Range(nm)], V4, Table25[Type], "ACK")/COUNTIFS(Table25[Range(nm)], V4)</f>
        <v>1</v>
      </c>
      <c r="AB4" s="5">
        <f>COUNTIFS(Table25[Range(nm)], $V4, Table25[Type], "SUT Rx Error")/COUNTIFS(Table25[Range(nm)], $V4)</f>
        <v>0</v>
      </c>
      <c r="AC4">
        <f>AVERAGEIF(Table25[Range(nm)], V4, Table25[Corrected RSSI])</f>
        <v>-124</v>
      </c>
      <c r="AD4" s="3">
        <f>AVERAGEIF(Table25[Range(nm)], V4, Table25[SNR])</f>
        <v>-2.8114285714285723</v>
      </c>
    </row>
    <row r="5" spans="2:30" x14ac:dyDescent="0.25">
      <c r="D5" s="1"/>
      <c r="E5" s="1"/>
      <c r="N5" s="1"/>
      <c r="O5" s="1"/>
      <c r="R5">
        <f>Table25[[#This Row],[RSSI]]</f>
        <v>0</v>
      </c>
      <c r="V5" s="10">
        <f>V4+2</f>
        <v>482</v>
      </c>
      <c r="W5" s="4">
        <f>COUNTIFS(Table14[Range(nm)], V5, Table14[Type], "ACK")/COUNTIFS(Table14[Range(nm)], V5)</f>
        <v>0.97142857142857142</v>
      </c>
      <c r="X5" s="5">
        <f>COUNTIFS(Table14[Range(nm)], $V5, Table14[Type], "SUT Rx Error")/COUNTIFS(Table14[Range(nm)], $V5)</f>
        <v>0</v>
      </c>
      <c r="Y5">
        <f>AVERAGEIF(Table14[Range(nm)], V5, Table14[Corrected RSSI])</f>
        <v>-123.98571428571428</v>
      </c>
      <c r="Z5" s="3">
        <f>AVERAGEIF(Table14[Range(nm)], V5, Table14[SNR])</f>
        <v>-2.8171428571428581</v>
      </c>
      <c r="AA5" s="4">
        <f>COUNTIFS(Table25[Range(nm)], V5, Table25[Type], "ACK")/COUNTIFS(Table25[Range(nm)], V5)</f>
        <v>0.91428571428571426</v>
      </c>
      <c r="AB5" s="5">
        <f>COUNTIFS(Table25[Range(nm)], $V5, Table25[Type], "SUT Rx Error")/COUNTIFS(Table25[Range(nm)], $V5)</f>
        <v>0</v>
      </c>
      <c r="AC5">
        <f>AVERAGEIF(Table25[Range(nm)], V5, Table25[Corrected RSSI])</f>
        <v>-123.82857142857142</v>
      </c>
      <c r="AD5" s="3">
        <f>AVERAGEIF(Table25[Range(nm)], V5, Table25[SNR])</f>
        <v>-2.7625000000000015</v>
      </c>
    </row>
    <row r="6" spans="2:30" x14ac:dyDescent="0.25">
      <c r="D6" s="1"/>
      <c r="E6" s="1"/>
      <c r="N6" s="1"/>
      <c r="O6" s="1"/>
      <c r="R6">
        <f>Table25[[#This Row],[RSSI]]</f>
        <v>0</v>
      </c>
      <c r="V6" s="10">
        <f t="shared" ref="V6:V34" si="0">V5+2</f>
        <v>484</v>
      </c>
      <c r="W6" s="4">
        <f>COUNTIFS(Table14[Range(nm)], V6, Table14[Type], "ACK")/COUNTIFS(Table14[Range(nm)], V6)</f>
        <v>0.97142857142857142</v>
      </c>
      <c r="X6" s="5">
        <f>COUNTIFS(Table14[Range(nm)], $V6, Table14[Type], "SUT Rx Error")/COUNTIFS(Table14[Range(nm)], $V6)</f>
        <v>0</v>
      </c>
      <c r="Y6">
        <f>AVERAGEIF(Table14[Range(nm)], V6, Table14[Corrected RSSI])</f>
        <v>-123.84285714285714</v>
      </c>
      <c r="Z6" s="3">
        <f>AVERAGEIF(Table14[Range(nm)], V6, Table14[SNR])</f>
        <v>-2.9028571428571439</v>
      </c>
      <c r="AA6" s="4">
        <f>COUNTIFS(Table25[Range(nm)], V6, Table25[Type], "ACK")/COUNTIFS(Table25[Range(nm)], V6)</f>
        <v>0.97142857142857142</v>
      </c>
      <c r="AB6" s="5">
        <f>COUNTIFS(Table25[Range(nm)], $V6, Table25[Type], "SUT Rx Error")/COUNTIFS(Table25[Range(nm)], $V6)</f>
        <v>0</v>
      </c>
      <c r="AC6">
        <f>AVERAGEIF(Table25[Range(nm)], V6, Table25[Corrected RSSI])</f>
        <v>-123.8</v>
      </c>
      <c r="AD6" s="3">
        <f>AVERAGEIF(Table25[Range(nm)], V6, Table25[SNR])</f>
        <v>-2.8088235294117649</v>
      </c>
    </row>
    <row r="7" spans="2:30" x14ac:dyDescent="0.25">
      <c r="D7" s="1"/>
      <c r="E7" s="1"/>
      <c r="N7" s="1"/>
      <c r="O7" s="1"/>
      <c r="R7">
        <f>Table25[[#This Row],[RSSI]]</f>
        <v>0</v>
      </c>
      <c r="V7" s="10">
        <f t="shared" si="0"/>
        <v>486</v>
      </c>
      <c r="W7" s="4">
        <f>COUNTIFS(Table14[Range(nm)], V7, Table14[Type], "ACK")/COUNTIFS(Table14[Range(nm)], V7)</f>
        <v>0.97142857142857142</v>
      </c>
      <c r="X7" s="5">
        <f>COUNTIFS(Table14[Range(nm)], $V7, Table14[Type], "SUT Rx Error")/COUNTIFS(Table14[Range(nm)], $V7)</f>
        <v>0</v>
      </c>
      <c r="Y7">
        <f>AVERAGEIF(Table14[Range(nm)], V7, Table14[Corrected RSSI])</f>
        <v>-123.72857142857143</v>
      </c>
      <c r="Z7" s="3">
        <f>AVERAGEIF(Table14[Range(nm)], V7, Table14[SNR])</f>
        <v>-2.9028571428571435</v>
      </c>
      <c r="AA7" s="4">
        <f>COUNTIFS(Table25[Range(nm)], V7, Table25[Type], "ACK")/COUNTIFS(Table25[Range(nm)], V7)</f>
        <v>0.97142857142857142</v>
      </c>
      <c r="AB7" s="5">
        <f>COUNTIFS(Table25[Range(nm)], $V7, Table25[Type], "SUT Rx Error")/COUNTIFS(Table25[Range(nm)], $V7)</f>
        <v>0</v>
      </c>
      <c r="AC7">
        <f>AVERAGEIF(Table25[Range(nm)], V7, Table25[Corrected RSSI])</f>
        <v>-123.97142857142858</v>
      </c>
      <c r="AD7" s="3">
        <f>AVERAGEIF(Table25[Range(nm)], V7, Table25[SNR])</f>
        <v>-2.8147058823529418</v>
      </c>
    </row>
    <row r="8" spans="2:30" x14ac:dyDescent="0.25">
      <c r="D8" s="1"/>
      <c r="E8" s="1"/>
      <c r="N8" s="1"/>
      <c r="O8" s="1"/>
      <c r="R8">
        <f>Table25[[#This Row],[RSSI]]</f>
        <v>0</v>
      </c>
      <c r="V8" s="10">
        <f t="shared" si="0"/>
        <v>488</v>
      </c>
      <c r="W8" s="4">
        <f>COUNTIFS(Table14[Range(nm)], V8, Table14[Type], "ACK")/COUNTIFS(Table14[Range(nm)], V8)</f>
        <v>0.97142857142857142</v>
      </c>
      <c r="X8" s="5">
        <f>COUNTIFS(Table14[Range(nm)], $V8, Table14[Type], "SUT Rx Error")/COUNTIFS(Table14[Range(nm)], $V8)</f>
        <v>0</v>
      </c>
      <c r="Y8">
        <f>AVERAGEIF(Table14[Range(nm)], V8, Table14[Corrected RSSI])</f>
        <v>-123.87142857142857</v>
      </c>
      <c r="Z8" s="3">
        <f>AVERAGEIF(Table14[Range(nm)], V8, Table14[SNR])</f>
        <v>-2.9000000000000008</v>
      </c>
      <c r="AA8" s="4">
        <f>COUNTIFS(Table25[Range(nm)], V8, Table25[Type], "ACK")/COUNTIFS(Table25[Range(nm)], V8)</f>
        <v>0.97142857142857142</v>
      </c>
      <c r="AB8" s="5">
        <f>COUNTIFS(Table25[Range(nm)], $V8, Table25[Type], "SUT Rx Error")/COUNTIFS(Table25[Range(nm)], $V8)</f>
        <v>0</v>
      </c>
      <c r="AC8">
        <f>AVERAGEIF(Table25[Range(nm)], V8, Table25[Corrected RSSI])</f>
        <v>-123.8</v>
      </c>
      <c r="AD8" s="3">
        <f>AVERAGEIF(Table25[Range(nm)], V8, Table25[SNR])</f>
        <v>-2.7294117647058833</v>
      </c>
    </row>
    <row r="9" spans="2:30" x14ac:dyDescent="0.25">
      <c r="D9" s="1"/>
      <c r="E9" s="1"/>
      <c r="N9" s="1"/>
      <c r="O9" s="1"/>
      <c r="R9">
        <f>Table25[[#This Row],[RSSI]]</f>
        <v>0</v>
      </c>
      <c r="V9" s="10">
        <f t="shared" si="0"/>
        <v>490</v>
      </c>
      <c r="W9" s="4">
        <f>COUNTIFS(Table14[Range(nm)], V9, Table14[Type], "ACK")/COUNTIFS(Table14[Range(nm)], V9)</f>
        <v>0.97142857142857142</v>
      </c>
      <c r="X9" s="5">
        <f>COUNTIFS(Table14[Range(nm)], $V9, Table14[Type], "SUT Rx Error")/COUNTIFS(Table14[Range(nm)], $V9)</f>
        <v>0</v>
      </c>
      <c r="Y9">
        <f>AVERAGEIF(Table14[Range(nm)], V9, Table14[Corrected RSSI])</f>
        <v>-123.95714285714286</v>
      </c>
      <c r="Z9" s="3">
        <f>AVERAGEIF(Table14[Range(nm)], V9, Table14[SNR])</f>
        <v>-2.9314285714285724</v>
      </c>
      <c r="AA9" s="4">
        <f>COUNTIFS(Table25[Range(nm)], V9, Table25[Type], "ACK")/COUNTIFS(Table25[Range(nm)], V9)</f>
        <v>0.97142857142857142</v>
      </c>
      <c r="AB9" s="5">
        <f>COUNTIFS(Table25[Range(nm)], $V9, Table25[Type], "SUT Rx Error")/COUNTIFS(Table25[Range(nm)], $V9)</f>
        <v>0</v>
      </c>
      <c r="AC9">
        <f>AVERAGEIF(Table25[Range(nm)], V9, Table25[Corrected RSSI])</f>
        <v>-123.85714285714286</v>
      </c>
      <c r="AD9" s="3">
        <f>AVERAGEIF(Table25[Range(nm)], V9, Table25[SNR])</f>
        <v>-2.8264705882352947</v>
      </c>
    </row>
    <row r="10" spans="2:30" x14ac:dyDescent="0.25">
      <c r="D10" s="1"/>
      <c r="E10" s="1"/>
      <c r="N10" s="1"/>
      <c r="O10" s="1"/>
      <c r="R10">
        <f>Table25[[#This Row],[RSSI]]</f>
        <v>0</v>
      </c>
      <c r="V10" s="10">
        <f t="shared" si="0"/>
        <v>492</v>
      </c>
      <c r="W10" s="4">
        <f>COUNTIFS(Table14[Range(nm)], V10, Table14[Type], "ACK")/COUNTIFS(Table14[Range(nm)], V10)</f>
        <v>0.97142857142857142</v>
      </c>
      <c r="X10" s="5">
        <f>COUNTIFS(Table14[Range(nm)], $V10, Table14[Type], "SUT Rx Error")/COUNTIFS(Table14[Range(nm)], $V10)</f>
        <v>0</v>
      </c>
      <c r="Y10">
        <f>AVERAGEIF(Table14[Range(nm)], V10, Table14[Corrected RSSI])</f>
        <v>-123.92857142857143</v>
      </c>
      <c r="Z10" s="3">
        <f>AVERAGEIF(Table14[Range(nm)], V10, Table14[SNR])</f>
        <v>-2.951428571428572</v>
      </c>
      <c r="AA10" s="4">
        <f>COUNTIFS(Table25[Range(nm)], V10, Table25[Type], "ACK")/COUNTIFS(Table25[Range(nm)], V10)</f>
        <v>0.97142857142857142</v>
      </c>
      <c r="AB10" s="5">
        <f>COUNTIFS(Table25[Range(nm)], $V10, Table25[Type], "SUT Rx Error")/COUNTIFS(Table25[Range(nm)], $V10)</f>
        <v>0</v>
      </c>
      <c r="AC10">
        <f>AVERAGEIF(Table25[Range(nm)], V10, Table25[Corrected RSSI])</f>
        <v>-123.57142857142857</v>
      </c>
      <c r="AD10" s="3">
        <f>AVERAGEIF(Table25[Range(nm)], V10, Table25[SNR])</f>
        <v>-2.7970588235294125</v>
      </c>
    </row>
    <row r="11" spans="2:30" x14ac:dyDescent="0.25">
      <c r="D11" s="1"/>
      <c r="E11" s="1"/>
      <c r="N11" s="1"/>
      <c r="O11" s="1"/>
      <c r="R11">
        <f>Table25[[#This Row],[RSSI]]</f>
        <v>0</v>
      </c>
      <c r="V11" s="10">
        <f t="shared" si="0"/>
        <v>494</v>
      </c>
      <c r="W11" s="4">
        <f>COUNTIFS(Table14[Range(nm)], V11, Table14[Type], "ACK")/COUNTIFS(Table14[Range(nm)], V11)</f>
        <v>0.97142857142857142</v>
      </c>
      <c r="X11" s="5">
        <f>COUNTIFS(Table14[Range(nm)], $V11, Table14[Type], "SUT Rx Error")/COUNTIFS(Table14[Range(nm)], $V11)</f>
        <v>0</v>
      </c>
      <c r="Y11">
        <f>AVERAGEIF(Table14[Range(nm)], V11, Table14[Corrected RSSI])</f>
        <v>-124.1</v>
      </c>
      <c r="Z11" s="3">
        <f>AVERAGEIF(Table14[Range(nm)], V11, Table14[SNR])</f>
        <v>-2.9685714285714297</v>
      </c>
      <c r="AA11" s="4">
        <f>COUNTIFS(Table25[Range(nm)], V11, Table25[Type], "ACK")/COUNTIFS(Table25[Range(nm)], V11)</f>
        <v>0.97142857142857142</v>
      </c>
      <c r="AB11" s="5">
        <f>COUNTIFS(Table25[Range(nm)], $V11, Table25[Type], "SUT Rx Error")/COUNTIFS(Table25[Range(nm)], $V11)</f>
        <v>0</v>
      </c>
      <c r="AC11">
        <f>AVERAGEIF(Table25[Range(nm)], V11, Table25[Corrected RSSI])</f>
        <v>-124</v>
      </c>
      <c r="AD11" s="3">
        <f>AVERAGEIF(Table25[Range(nm)], V11, Table25[SNR])</f>
        <v>-2.8411764705882363</v>
      </c>
    </row>
    <row r="12" spans="2:30" x14ac:dyDescent="0.25">
      <c r="D12" s="1"/>
      <c r="E12" s="1"/>
      <c r="N12" s="1"/>
      <c r="O12" s="1"/>
      <c r="R12">
        <f>Table25[[#This Row],[RSSI]]</f>
        <v>0</v>
      </c>
      <c r="V12" s="10">
        <f t="shared" si="0"/>
        <v>496</v>
      </c>
      <c r="W12" s="4">
        <f>COUNTIFS(Table14[Range(nm)], V12, Table14[Type], "ACK")/COUNTIFS(Table14[Range(nm)], V12)</f>
        <v>0.94285714285714284</v>
      </c>
      <c r="X12" s="5">
        <f>COUNTIFS(Table14[Range(nm)], $V12, Table14[Type], "SUT Rx Error")/COUNTIFS(Table14[Range(nm)], $V12)</f>
        <v>0</v>
      </c>
      <c r="Y12">
        <f>AVERAGEIF(Table14[Range(nm)], V12, Table14[Corrected RSSI])</f>
        <v>-124.17142857142858</v>
      </c>
      <c r="Z12" s="3">
        <f>AVERAGEIF(Table14[Range(nm)], V12, Table14[SNR])</f>
        <v>-3.0142857142857151</v>
      </c>
      <c r="AA12" s="4">
        <f>COUNTIFS(Table25[Range(nm)], V12, Table25[Type], "ACK")/COUNTIFS(Table25[Range(nm)], V12)</f>
        <v>0.97142857142857142</v>
      </c>
      <c r="AB12" s="5">
        <f>COUNTIFS(Table25[Range(nm)], $V12, Table25[Type], "SUT Rx Error")/COUNTIFS(Table25[Range(nm)], $V12)</f>
        <v>0</v>
      </c>
      <c r="AC12">
        <f>AVERAGEIF(Table25[Range(nm)], V12, Table25[Corrected RSSI])</f>
        <v>-123.88571428571429</v>
      </c>
      <c r="AD12" s="3">
        <f>AVERAGEIF(Table25[Range(nm)], V12, Table25[SNR])</f>
        <v>-2.829411764705883</v>
      </c>
    </row>
    <row r="13" spans="2:30" x14ac:dyDescent="0.25">
      <c r="D13" s="1"/>
      <c r="E13" s="1"/>
      <c r="N13" s="1"/>
      <c r="O13" s="1"/>
      <c r="R13">
        <f>Table25[[#This Row],[RSSI]]</f>
        <v>0</v>
      </c>
      <c r="V13" s="10">
        <f t="shared" si="0"/>
        <v>498</v>
      </c>
      <c r="W13" s="4">
        <f>COUNTIFS(Table14[Range(nm)], V13, Table14[Type], "ACK")/COUNTIFS(Table14[Range(nm)], V13)</f>
        <v>0.97142857142857142</v>
      </c>
      <c r="X13" s="5">
        <f>COUNTIFS(Table14[Range(nm)], $V13, Table14[Type], "SUT Rx Error")/COUNTIFS(Table14[Range(nm)], $V13)</f>
        <v>0</v>
      </c>
      <c r="Y13">
        <f>AVERAGEIF(Table14[Range(nm)], V13, Table14[Corrected RSSI])</f>
        <v>-124.15714285714286</v>
      </c>
      <c r="Z13" s="3">
        <f>AVERAGEIF(Table14[Range(nm)], V13, Table14[SNR])</f>
        <v>-3.0000000000000013</v>
      </c>
      <c r="AA13" s="4">
        <f>COUNTIFS(Table25[Range(nm)], V13, Table25[Type], "ACK")/COUNTIFS(Table25[Range(nm)], V13)</f>
        <v>0.97142857142857142</v>
      </c>
      <c r="AB13" s="5">
        <f>COUNTIFS(Table25[Range(nm)], $V13, Table25[Type], "SUT Rx Error")/COUNTIFS(Table25[Range(nm)], $V13)</f>
        <v>0</v>
      </c>
      <c r="AC13">
        <f>AVERAGEIF(Table25[Range(nm)], V13, Table25[Corrected RSSI])</f>
        <v>-123.85714285714286</v>
      </c>
      <c r="AD13" s="3">
        <f>AVERAGEIF(Table25[Range(nm)], V13, Table25[SNR])</f>
        <v>-2.7470588235294122</v>
      </c>
    </row>
    <row r="14" spans="2:30" x14ac:dyDescent="0.25">
      <c r="D14" s="1"/>
      <c r="E14" s="1"/>
      <c r="N14" s="1"/>
      <c r="O14" s="1"/>
      <c r="R14">
        <f>Table25[[#This Row],[RSSI]]</f>
        <v>0</v>
      </c>
      <c r="V14" s="10">
        <f t="shared" si="0"/>
        <v>500</v>
      </c>
      <c r="W14" s="4">
        <f>COUNTIFS(Table14[Range(nm)], V14, Table14[Type], "ACK")/COUNTIFS(Table14[Range(nm)], V14)</f>
        <v>0.97142857142857142</v>
      </c>
      <c r="X14" s="5">
        <f>COUNTIFS(Table14[Range(nm)], $V14, Table14[Type], "SUT Rx Error")/COUNTIFS(Table14[Range(nm)], $V14)</f>
        <v>0</v>
      </c>
      <c r="Y14">
        <f>AVERAGEIF(Table14[Range(nm)], V14, Table14[Corrected RSSI])</f>
        <v>-125.55714285714286</v>
      </c>
      <c r="Z14" s="3">
        <f>AVERAGEIF(Table14[Range(nm)], V14, Table14[SNR])</f>
        <v>-4.597142857142857</v>
      </c>
      <c r="AA14" s="4">
        <f>COUNTIFS(Table25[Range(nm)], V14, Table25[Type], "ACK")/COUNTIFS(Table25[Range(nm)], V14)</f>
        <v>0.97142857142857142</v>
      </c>
      <c r="AB14" s="5">
        <f>COUNTIFS(Table25[Range(nm)], $V14, Table25[Type], "SUT Rx Error")/COUNTIFS(Table25[Range(nm)], $V14)</f>
        <v>0</v>
      </c>
      <c r="AC14">
        <f>AVERAGEIF(Table25[Range(nm)], V14, Table25[Corrected RSSI])</f>
        <v>-125.42857142857143</v>
      </c>
      <c r="AD14" s="3">
        <f>AVERAGEIF(Table25[Range(nm)], V14, Table25[SNR])</f>
        <v>-4.4058823529411759</v>
      </c>
    </row>
    <row r="15" spans="2:30" x14ac:dyDescent="0.25">
      <c r="D15" s="1"/>
      <c r="E15" s="1"/>
      <c r="N15" s="1"/>
      <c r="O15" s="1"/>
      <c r="R15">
        <f>Table25[[#This Row],[RSSI]]</f>
        <v>0</v>
      </c>
      <c r="V15" s="10">
        <f t="shared" si="0"/>
        <v>502</v>
      </c>
      <c r="W15" s="4">
        <f>COUNTIFS(Table14[Range(nm)], V15, Table14[Type], "ACK")/COUNTIFS(Table14[Range(nm)], V15)</f>
        <v>0.97142857142857142</v>
      </c>
      <c r="X15" s="5">
        <f>COUNTIFS(Table14[Range(nm)], $V15, Table14[Type], "SUT Rx Error")/COUNTIFS(Table14[Range(nm)], $V15)</f>
        <v>2.8571428571428571E-2</v>
      </c>
      <c r="Y15">
        <f>AVERAGEIF(Table14[Range(nm)], V15, Table14[Corrected RSSI])</f>
        <v>-127.41428571428571</v>
      </c>
      <c r="Z15" s="3">
        <f>AVERAGEIF(Table14[Range(nm)], V15, Table14[SNR])</f>
        <v>-7.2457142857142847</v>
      </c>
      <c r="AA15" s="4">
        <f>COUNTIFS(Table25[Range(nm)], V15, Table25[Type], "ACK")/COUNTIFS(Table25[Range(nm)], V15)</f>
        <v>0.8571428571428571</v>
      </c>
      <c r="AB15" s="5">
        <f>COUNTIFS(Table25[Range(nm)], $V15, Table25[Type], "SUT Rx Error")/COUNTIFS(Table25[Range(nm)], $V15)</f>
        <v>0</v>
      </c>
      <c r="AC15">
        <f>AVERAGEIF(Table25[Range(nm)], V15, Table25[Corrected RSSI])</f>
        <v>-127.4</v>
      </c>
      <c r="AD15" s="3">
        <f>AVERAGEIF(Table25[Range(nm)], V15, Table25[SNR])</f>
        <v>-6.8566666666666665</v>
      </c>
    </row>
    <row r="16" spans="2:30" x14ac:dyDescent="0.25">
      <c r="D16" s="1"/>
      <c r="E16" s="1"/>
      <c r="N16" s="1"/>
      <c r="O16" s="1"/>
      <c r="R16">
        <f>Table25[[#This Row],[RSSI]]</f>
        <v>0</v>
      </c>
      <c r="V16" s="10">
        <f t="shared" si="0"/>
        <v>504</v>
      </c>
      <c r="W16" s="4">
        <f>COUNTIFS(Table14[Range(nm)], V16, Table14[Type], "ACK")/COUNTIFS(Table14[Range(nm)], V16)</f>
        <v>0</v>
      </c>
      <c r="X16" s="5">
        <f>COUNTIFS(Table14[Range(nm)], $V16, Table14[Type], "SUT Rx Error")/COUNTIFS(Table14[Range(nm)], $V16)</f>
        <v>7.6923076923076927E-2</v>
      </c>
      <c r="Y16">
        <f>AVERAGEIF(Table14[Range(nm)], V16, Table14[Corrected RSSI])</f>
        <v>-131</v>
      </c>
      <c r="Z16" s="3">
        <f>AVERAGEIF(Table14[Range(nm)], V16, Table14[SNR])</f>
        <v>-11.8</v>
      </c>
      <c r="AA16" s="4">
        <f>COUNTIFS(Table25[Range(nm)], V16, Table25[Type], "ACK")/COUNTIFS(Table25[Range(nm)], V16)</f>
        <v>3.7037037037037035E-2</v>
      </c>
      <c r="AB16" s="5">
        <f>COUNTIFS(Table25[Range(nm)], $V16, Table25[Type], "SUT Rx Error")/COUNTIFS(Table25[Range(nm)], $V16)</f>
        <v>3.7037037037037035E-2</v>
      </c>
      <c r="AC16">
        <f>AVERAGEIF(Table25[Range(nm)], V16, Table25[Corrected RSSI])</f>
        <v>-127.5</v>
      </c>
      <c r="AD16" s="3">
        <f>AVERAGEIF(Table25[Range(nm)], V16, Table25[SNR])</f>
        <v>-9</v>
      </c>
    </row>
    <row r="17" spans="2:30" x14ac:dyDescent="0.25">
      <c r="D17" s="1"/>
      <c r="E17" s="1"/>
      <c r="N17" s="1"/>
      <c r="O17" s="1"/>
      <c r="R17">
        <f>Table25[[#This Row],[RSSI]]</f>
        <v>0</v>
      </c>
      <c r="V17" s="10">
        <f t="shared" si="0"/>
        <v>506</v>
      </c>
      <c r="W17" s="4" t="e">
        <f>COUNTIFS(Table14[Range(nm)], V17, Table14[Type], "ACK")/COUNTIFS(Table14[Range(nm)], V17)</f>
        <v>#DIV/0!</v>
      </c>
      <c r="X17" s="5" t="e">
        <f>COUNTIFS(Table14[Range(nm)], $V17, Table14[Type], "SUT Rx Error")/COUNTIFS(Table14[Range(nm)], $V17)</f>
        <v>#DIV/0!</v>
      </c>
      <c r="Y17" t="e">
        <f>AVERAGEIF(Table14[Range(nm)], V17, Table14[Corrected RSSI])</f>
        <v>#DIV/0!</v>
      </c>
      <c r="Z17" s="3" t="e">
        <f>AVERAGEIF(Table14[Range(nm)], V17, Table14[SNR])</f>
        <v>#DIV/0!</v>
      </c>
      <c r="AA17" s="4" t="e">
        <f>COUNTIFS(Table25[Range(nm)], V17, Table25[Type], "ACK")/COUNTIFS(Table25[Range(nm)], V17)</f>
        <v>#DIV/0!</v>
      </c>
      <c r="AB17" s="5" t="e">
        <f>COUNTIFS(Table25[Range(nm)], $V17, Table25[Type], "SUT Rx Error")/COUNTIFS(Table25[Range(nm)], $V17)</f>
        <v>#DIV/0!</v>
      </c>
      <c r="AC17" t="e">
        <f>AVERAGEIF(Table25[Range(nm)], V17, Table25[Corrected RSSI])</f>
        <v>#DIV/0!</v>
      </c>
      <c r="AD17" s="3" t="e">
        <f>AVERAGEIF(Table25[Range(nm)], V17, Table25[SNR])</f>
        <v>#DIV/0!</v>
      </c>
    </row>
    <row r="18" spans="2:30" x14ac:dyDescent="0.25">
      <c r="D18" s="1"/>
      <c r="E18" s="1"/>
      <c r="N18" s="1"/>
      <c r="O18" s="1"/>
      <c r="R18">
        <f>Table25[[#This Row],[RSSI]]</f>
        <v>0</v>
      </c>
      <c r="V18" s="10">
        <f t="shared" si="0"/>
        <v>508</v>
      </c>
      <c r="W18" s="4" t="e">
        <f>COUNTIFS(Table14[Range(nm)], V18, Table14[Type], "ACK")/COUNTIFS(Table14[Range(nm)], V18)</f>
        <v>#DIV/0!</v>
      </c>
      <c r="X18" s="5" t="e">
        <f>COUNTIFS(Table14[Range(nm)], $V18, Table14[Type], "SUT Rx Error")/COUNTIFS(Table14[Range(nm)], $V18)</f>
        <v>#DIV/0!</v>
      </c>
      <c r="Y18" t="e">
        <f>AVERAGEIF(Table14[Range(nm)], V18, Table14[Corrected RSSI])</f>
        <v>#DIV/0!</v>
      </c>
      <c r="Z18" s="3" t="e">
        <f>AVERAGEIF(Table14[Range(nm)], V18, Table14[SNR])</f>
        <v>#DIV/0!</v>
      </c>
      <c r="AA18" s="4" t="e">
        <f>COUNTIFS(Table25[Range(nm)], V18, Table25[Type], "ACK")/COUNTIFS(Table25[Range(nm)], V18)</f>
        <v>#DIV/0!</v>
      </c>
      <c r="AB18" s="5" t="e">
        <f>COUNTIFS(Table25[Range(nm)], $V18, Table25[Type], "SUT Rx Error")/COUNTIFS(Table25[Range(nm)], $V18)</f>
        <v>#DIV/0!</v>
      </c>
      <c r="AC18" t="e">
        <f>AVERAGEIF(Table25[Range(nm)], V18, Table25[Corrected RSSI])</f>
        <v>#DIV/0!</v>
      </c>
      <c r="AD18" s="3" t="e">
        <f>AVERAGEIF(Table25[Range(nm)], V18, Table25[SNR])</f>
        <v>#DIV/0!</v>
      </c>
    </row>
    <row r="19" spans="2:30" x14ac:dyDescent="0.25">
      <c r="D19" s="1"/>
      <c r="E19" s="1"/>
      <c r="N19" s="1"/>
      <c r="O19" s="1"/>
      <c r="R19">
        <f>Table25[[#This Row],[RSSI]]</f>
        <v>0</v>
      </c>
      <c r="V19" s="10">
        <f t="shared" si="0"/>
        <v>510</v>
      </c>
      <c r="W19" s="4" t="e">
        <f>COUNTIFS(Table14[Range(nm)], V19, Table14[Type], "ACK")/COUNTIFS(Table14[Range(nm)], V19)</f>
        <v>#DIV/0!</v>
      </c>
      <c r="X19" s="5" t="e">
        <f>COUNTIFS(Table14[Range(nm)], $V19, Table14[Type], "SUT Rx Error")/COUNTIFS(Table14[Range(nm)], $V19)</f>
        <v>#DIV/0!</v>
      </c>
      <c r="Y19" t="e">
        <f>AVERAGEIF(Table14[Range(nm)], V19, Table14[Corrected RSSI])</f>
        <v>#DIV/0!</v>
      </c>
      <c r="Z19" s="3" t="e">
        <f>AVERAGEIF(Table14[Range(nm)], V19, Table14[SNR])</f>
        <v>#DIV/0!</v>
      </c>
      <c r="AA19" s="4" t="e">
        <f>COUNTIFS(Table25[Range(nm)], V19, Table25[Type], "ACK")/COUNTIFS(Table25[Range(nm)], V19)</f>
        <v>#DIV/0!</v>
      </c>
      <c r="AB19" s="5" t="e">
        <f>COUNTIFS(Table25[Range(nm)], $V19, Table25[Type], "SUT Rx Error")/COUNTIFS(Table25[Range(nm)], $V19)</f>
        <v>#DIV/0!</v>
      </c>
      <c r="AC19" t="e">
        <f>AVERAGEIF(Table25[Range(nm)], V19, Table25[Corrected RSSI])</f>
        <v>#DIV/0!</v>
      </c>
      <c r="AD19" s="3" t="e">
        <f>AVERAGEIF(Table25[Range(nm)], V19, Table25[SNR])</f>
        <v>#DIV/0!</v>
      </c>
    </row>
    <row r="20" spans="2:30" x14ac:dyDescent="0.25">
      <c r="D20" s="1"/>
      <c r="E20" s="1"/>
      <c r="N20" s="1"/>
      <c r="O20" s="1"/>
      <c r="R20">
        <f>Table25[[#This Row],[RSSI]]</f>
        <v>0</v>
      </c>
      <c r="V20" s="10">
        <f t="shared" si="0"/>
        <v>512</v>
      </c>
      <c r="W20" s="4" t="e">
        <f>COUNTIFS(Table14[Range(nm)], V20, Table14[Type], "ACK")/COUNTIFS(Table14[Range(nm)], V20)</f>
        <v>#DIV/0!</v>
      </c>
      <c r="X20" s="5" t="e">
        <f>COUNTIFS(Table14[Range(nm)], $V20, Table14[Type], "SUT Rx Error")/COUNTIFS(Table14[Range(nm)], $V20)</f>
        <v>#DIV/0!</v>
      </c>
      <c r="Y20" t="e">
        <f>AVERAGEIF(Table14[Range(nm)], V20, Table14[Corrected RSSI])</f>
        <v>#DIV/0!</v>
      </c>
      <c r="Z20" s="3" t="e">
        <f>AVERAGEIF(Table14[Range(nm)], V20, Table14[SNR])</f>
        <v>#DIV/0!</v>
      </c>
      <c r="AA20" s="4" t="e">
        <f>COUNTIFS(Table25[Range(nm)], V20, Table25[Type], "ACK")/COUNTIFS(Table25[Range(nm)], V20)</f>
        <v>#DIV/0!</v>
      </c>
      <c r="AB20" s="5" t="e">
        <f>COUNTIFS(Table25[Range(nm)], $V20, Table25[Type], "SUT Rx Error")/COUNTIFS(Table25[Range(nm)], $V20)</f>
        <v>#DIV/0!</v>
      </c>
      <c r="AC20" t="e">
        <f>AVERAGEIF(Table25[Range(nm)], V20, Table25[Corrected RSSI])</f>
        <v>#DIV/0!</v>
      </c>
      <c r="AD20" s="3" t="e">
        <f>AVERAGEIF(Table25[Range(nm)], V20, Table25[SNR])</f>
        <v>#DIV/0!</v>
      </c>
    </row>
    <row r="21" spans="2:30" x14ac:dyDescent="0.25">
      <c r="D21" s="1"/>
      <c r="E21" s="1"/>
      <c r="N21" s="1"/>
      <c r="O21" s="1"/>
      <c r="R21">
        <f>Table25[[#This Row],[RSSI]]</f>
        <v>0</v>
      </c>
      <c r="V21" s="10">
        <f t="shared" si="0"/>
        <v>514</v>
      </c>
      <c r="W21" s="4" t="e">
        <f>COUNTIFS(Table14[Range(nm)], V21, Table14[Type], "ACK")/COUNTIFS(Table14[Range(nm)], V21)</f>
        <v>#DIV/0!</v>
      </c>
      <c r="X21" s="5" t="e">
        <f>COUNTIFS(Table14[Range(nm)], $V21, Table14[Type], "SUT Rx Error")/COUNTIFS(Table14[Range(nm)], $V21)</f>
        <v>#DIV/0!</v>
      </c>
      <c r="Y21" t="e">
        <f>AVERAGEIF(Table14[Range(nm)], V21, Table14[Corrected RSSI])</f>
        <v>#DIV/0!</v>
      </c>
      <c r="Z21" s="3" t="e">
        <f>AVERAGEIF(Table14[Range(nm)], V21, Table14[SNR])</f>
        <v>#DIV/0!</v>
      </c>
      <c r="AA21" s="4" t="e">
        <f>COUNTIFS(Table25[Range(nm)], V21, Table25[Type], "ACK")/COUNTIFS(Table25[Range(nm)], V21)</f>
        <v>#DIV/0!</v>
      </c>
      <c r="AB21" s="5" t="e">
        <f>COUNTIFS(Table25[Range(nm)], $V21, Table25[Type], "SUT Rx Error")/COUNTIFS(Table25[Range(nm)], $V21)</f>
        <v>#DIV/0!</v>
      </c>
      <c r="AC21" t="e">
        <f>AVERAGEIF(Table25[Range(nm)], V21, Table25[Corrected RSSI])</f>
        <v>#DIV/0!</v>
      </c>
      <c r="AD21" s="3" t="e">
        <f>AVERAGEIF(Table25[Range(nm)], V21, Table25[SNR])</f>
        <v>#DIV/0!</v>
      </c>
    </row>
    <row r="22" spans="2:30" x14ac:dyDescent="0.25">
      <c r="B22">
        <f>480+2*(Table14[[#This Row],[min value (corrected)]]-49)</f>
        <v>480</v>
      </c>
      <c r="C22">
        <f>MINUTE(Table14[[#This Row],[Corrected time]])</f>
        <v>49</v>
      </c>
      <c r="D22" s="1">
        <v>0.4924557638888889</v>
      </c>
      <c r="E22" s="1">
        <f>Table14[[#This Row],[Time]]-TIME(0,0,8)</f>
        <v>0.49236317129629631</v>
      </c>
      <c r="F22" t="s">
        <v>9</v>
      </c>
      <c r="G22" t="s">
        <v>19</v>
      </c>
      <c r="H22">
        <f t="shared" ref="H22:H67" si="1">VALUE(LEFT(G22,LEN(G22)-1))</f>
        <v>-124</v>
      </c>
      <c r="I22">
        <v>-3</v>
      </c>
      <c r="N22" s="1"/>
      <c r="O22" s="1"/>
      <c r="R22">
        <f>Table25[[#This Row],[RSSI]]</f>
        <v>0</v>
      </c>
      <c r="V22" s="10">
        <f t="shared" si="0"/>
        <v>516</v>
      </c>
      <c r="W22" s="4" t="e">
        <f>COUNTIFS(Table14[Range(nm)], V22, Table14[Type], "ACK")/COUNTIFS(Table14[Range(nm)], V22)</f>
        <v>#DIV/0!</v>
      </c>
      <c r="X22" s="5" t="e">
        <f>COUNTIFS(Table14[Range(nm)], $V22, Table14[Type], "SUT Rx Error")/COUNTIFS(Table14[Range(nm)], $V22)</f>
        <v>#DIV/0!</v>
      </c>
      <c r="Y22" t="e">
        <f>AVERAGEIF(Table14[Range(nm)], V22, Table14[Corrected RSSI])</f>
        <v>#DIV/0!</v>
      </c>
      <c r="Z22" s="3" t="e">
        <f>AVERAGEIF(Table14[Range(nm)], V22, Table14[SNR])</f>
        <v>#DIV/0!</v>
      </c>
      <c r="AA22" s="4" t="e">
        <f>COUNTIFS(Table25[Range(nm)], V22, Table25[Type], "ACK")/COUNTIFS(Table25[Range(nm)], V22)</f>
        <v>#DIV/0!</v>
      </c>
      <c r="AB22" s="5" t="e">
        <f>COUNTIFS(Table25[Range(nm)], $V22, Table25[Type], "SUT Rx Error")/COUNTIFS(Table25[Range(nm)], $V22)</f>
        <v>#DIV/0!</v>
      </c>
      <c r="AC22" t="e">
        <f>AVERAGEIF(Table25[Range(nm)], V22, Table25[Corrected RSSI])</f>
        <v>#DIV/0!</v>
      </c>
      <c r="AD22" s="3" t="e">
        <f>AVERAGEIF(Table25[Range(nm)], V22, Table25[SNR])</f>
        <v>#DIV/0!</v>
      </c>
    </row>
    <row r="23" spans="2:30" x14ac:dyDescent="0.25">
      <c r="B23">
        <f>480+2*(Table14[[#This Row],[min value (corrected)]]-49)</f>
        <v>480</v>
      </c>
      <c r="C23">
        <f>MINUTE(Table14[[#This Row],[Corrected time]])</f>
        <v>49</v>
      </c>
      <c r="D23" s="1">
        <v>0.49247561342592588</v>
      </c>
      <c r="E23" s="1">
        <f>Table14[[#This Row],[Time]]-TIME(0,0,8)</f>
        <v>0.4923830208333333</v>
      </c>
      <c r="F23" t="s">
        <v>9</v>
      </c>
      <c r="G23" t="s">
        <v>19</v>
      </c>
      <c r="H23">
        <f t="shared" si="1"/>
        <v>-124</v>
      </c>
      <c r="I23">
        <v>-3</v>
      </c>
      <c r="N23" s="1"/>
      <c r="O23" s="1"/>
      <c r="R23">
        <f>Table25[[#This Row],[RSSI]]</f>
        <v>0</v>
      </c>
      <c r="V23" s="10">
        <f t="shared" si="0"/>
        <v>518</v>
      </c>
      <c r="W23" s="4" t="e">
        <f>COUNTIFS(Table14[Range(nm)], V23, Table14[Type], "ACK")/COUNTIFS(Table14[Range(nm)], V23)</f>
        <v>#DIV/0!</v>
      </c>
      <c r="X23" s="5" t="e">
        <f>COUNTIFS(Table14[Range(nm)], $V23, Table14[Type], "SUT Rx Error")/COUNTIFS(Table14[Range(nm)], $V23)</f>
        <v>#DIV/0!</v>
      </c>
      <c r="Y23" t="e">
        <f>AVERAGEIF(Table14[Range(nm)], V23, Table14[Corrected RSSI])</f>
        <v>#DIV/0!</v>
      </c>
      <c r="Z23" s="3" t="e">
        <f>AVERAGEIF(Table14[Range(nm)], V23, Table14[SNR])</f>
        <v>#DIV/0!</v>
      </c>
      <c r="AA23" s="4" t="e">
        <f>COUNTIFS(Table25[Range(nm)], V23, Table25[Type], "ACK")/COUNTIFS(Table25[Range(nm)], V23)</f>
        <v>#DIV/0!</v>
      </c>
      <c r="AB23" s="5" t="e">
        <f>COUNTIFS(Table25[Range(nm)], $V23, Table25[Type], "SUT Rx Error")/COUNTIFS(Table25[Range(nm)], $V23)</f>
        <v>#DIV/0!</v>
      </c>
      <c r="AC23" t="e">
        <f>AVERAGEIF(Table25[Range(nm)], V23, Table25[Corrected RSSI])</f>
        <v>#DIV/0!</v>
      </c>
      <c r="AD23" s="3" t="e">
        <f>AVERAGEIF(Table25[Range(nm)], V23, Table25[SNR])</f>
        <v>#DIV/0!</v>
      </c>
    </row>
    <row r="24" spans="2:30" x14ac:dyDescent="0.25">
      <c r="B24">
        <f>480+2*(Table14[[#This Row],[min value (corrected)]]-49)</f>
        <v>480</v>
      </c>
      <c r="C24">
        <f>MINUTE(Table14[[#This Row],[Corrected time]])</f>
        <v>49</v>
      </c>
      <c r="D24" s="1">
        <v>0.49249545138888895</v>
      </c>
      <c r="E24" s="1">
        <f>Table14[[#This Row],[Time]]-TIME(0,0,8)</f>
        <v>0.49240285879629636</v>
      </c>
      <c r="F24" t="s">
        <v>9</v>
      </c>
      <c r="G24" t="s">
        <v>19</v>
      </c>
      <c r="H24">
        <f t="shared" si="1"/>
        <v>-124</v>
      </c>
      <c r="I24">
        <v>-2.7</v>
      </c>
      <c r="N24" s="1"/>
      <c r="O24" s="1"/>
      <c r="R24">
        <f>Table25[[#This Row],[RSSI]]</f>
        <v>0</v>
      </c>
      <c r="V24" s="10">
        <f t="shared" si="0"/>
        <v>520</v>
      </c>
      <c r="W24" s="4" t="e">
        <f>COUNTIFS(Table14[Range(nm)], V24, Table14[Type], "ACK")/COUNTIFS(Table14[Range(nm)], V24)</f>
        <v>#DIV/0!</v>
      </c>
      <c r="X24" s="5" t="e">
        <f>COUNTIFS(Table14[Range(nm)], $V24, Table14[Type], "SUT Rx Error")/COUNTIFS(Table14[Range(nm)], $V24)</f>
        <v>#DIV/0!</v>
      </c>
      <c r="Y24" t="e">
        <f>AVERAGEIF(Table14[Range(nm)], V24, Table14[Corrected RSSI])</f>
        <v>#DIV/0!</v>
      </c>
      <c r="Z24" s="3" t="e">
        <f>AVERAGEIF(Table14[Range(nm)], V24, Table14[SNR])</f>
        <v>#DIV/0!</v>
      </c>
      <c r="AA24" s="4" t="e">
        <f>COUNTIFS(Table25[Range(nm)], V24, Table25[Type], "ACK")/COUNTIFS(Table25[Range(nm)], V24)</f>
        <v>#DIV/0!</v>
      </c>
      <c r="AB24" s="5" t="e">
        <f>COUNTIFS(Table25[Range(nm)], $V24, Table25[Type], "SUT Rx Error")/COUNTIFS(Table25[Range(nm)], $V24)</f>
        <v>#DIV/0!</v>
      </c>
      <c r="AC24" t="e">
        <f>AVERAGEIF(Table25[Range(nm)], V24, Table25[Corrected RSSI])</f>
        <v>#DIV/0!</v>
      </c>
      <c r="AD24" s="3" t="e">
        <f>AVERAGEIF(Table25[Range(nm)], V24, Table25[SNR])</f>
        <v>#DIV/0!</v>
      </c>
    </row>
    <row r="25" spans="2:30" x14ac:dyDescent="0.25">
      <c r="B25">
        <f>480+2*(Table14[[#This Row],[min value (corrected)]]-49)</f>
        <v>480</v>
      </c>
      <c r="C25">
        <f>MINUTE(Table14[[#This Row],[Corrected time]])</f>
        <v>49</v>
      </c>
      <c r="D25" s="1">
        <v>0.49251527777777776</v>
      </c>
      <c r="E25" s="1">
        <f>Table14[[#This Row],[Time]]-TIME(0,0,8)</f>
        <v>0.49242268518518517</v>
      </c>
      <c r="F25" t="s">
        <v>9</v>
      </c>
      <c r="G25" t="s">
        <v>19</v>
      </c>
      <c r="H25">
        <f t="shared" si="1"/>
        <v>-124</v>
      </c>
      <c r="I25">
        <v>-2.7</v>
      </c>
      <c r="L25">
        <f>480+2*(Table25[[#This Row],[min value (corrected)]]-49)</f>
        <v>480</v>
      </c>
      <c r="M25">
        <f>MINUTE(Table25[[#This Row],[Corrected time]])</f>
        <v>49</v>
      </c>
      <c r="N25" s="1">
        <v>0.65908041666666672</v>
      </c>
      <c r="O25" s="1">
        <f>Table25[[#This Row],[Time]]-TIME(0,0,4)</f>
        <v>0.65903412037037046</v>
      </c>
      <c r="P25" t="s">
        <v>9</v>
      </c>
      <c r="Q25">
        <v>-124</v>
      </c>
      <c r="R25">
        <f>Table25[[#This Row],[RSSI]]</f>
        <v>-124</v>
      </c>
      <c r="S25">
        <v>-3.5</v>
      </c>
      <c r="V25" s="10">
        <f t="shared" si="0"/>
        <v>522</v>
      </c>
      <c r="W25" s="4" t="e">
        <f>COUNTIFS(Table14[Range(nm)], V25, Table14[Type], "ACK")/COUNTIFS(Table14[Range(nm)], V25)</f>
        <v>#DIV/0!</v>
      </c>
      <c r="X25" s="5" t="e">
        <f>COUNTIFS(Table14[Range(nm)], $V25, Table14[Type], "SUT Rx Error")/COUNTIFS(Table14[Range(nm)], $V25)</f>
        <v>#DIV/0!</v>
      </c>
      <c r="Y25" t="e">
        <f>AVERAGEIF(Table14[Range(nm)], V25, Table14[Corrected RSSI])</f>
        <v>#DIV/0!</v>
      </c>
      <c r="Z25" s="3" t="e">
        <f>AVERAGEIF(Table14[Range(nm)], V25, Table14[SNR])</f>
        <v>#DIV/0!</v>
      </c>
      <c r="AA25" s="4" t="e">
        <f>COUNTIFS(Table25[Range(nm)], V25, Table25[Type], "ACK")/COUNTIFS(Table25[Range(nm)], V25)</f>
        <v>#DIV/0!</v>
      </c>
      <c r="AB25" s="5" t="e">
        <f>COUNTIFS(Table25[Range(nm)], $V25, Table25[Type], "SUT Rx Error")/COUNTIFS(Table25[Range(nm)], $V25)</f>
        <v>#DIV/0!</v>
      </c>
      <c r="AC25" t="e">
        <f>AVERAGEIF(Table25[Range(nm)], V25, Table25[Corrected RSSI])</f>
        <v>#DIV/0!</v>
      </c>
      <c r="AD25" s="3" t="e">
        <f>AVERAGEIF(Table25[Range(nm)], V25, Table25[SNR])</f>
        <v>#DIV/0!</v>
      </c>
    </row>
    <row r="26" spans="2:30" x14ac:dyDescent="0.25">
      <c r="B26">
        <f>480+2*(Table14[[#This Row],[min value (corrected)]]-49)</f>
        <v>480</v>
      </c>
      <c r="C26">
        <f>MINUTE(Table14[[#This Row],[Corrected time]])</f>
        <v>49</v>
      </c>
      <c r="D26" s="1">
        <v>0.49253511574074071</v>
      </c>
      <c r="E26" s="1">
        <f>Table14[[#This Row],[Time]]-TIME(0,0,8)</f>
        <v>0.49244252314814813</v>
      </c>
      <c r="F26" t="s">
        <v>9</v>
      </c>
      <c r="G26" t="s">
        <v>19</v>
      </c>
      <c r="H26">
        <f t="shared" si="1"/>
        <v>-124</v>
      </c>
      <c r="I26">
        <v>-3</v>
      </c>
      <c r="L26">
        <f>480+2*(Table25[[#This Row],[min value (corrected)]]-49)</f>
        <v>480</v>
      </c>
      <c r="M26">
        <f>MINUTE(Table25[[#This Row],[Corrected time]])</f>
        <v>49</v>
      </c>
      <c r="N26" s="1">
        <v>0.65910024305555559</v>
      </c>
      <c r="O26" s="1">
        <f>Table25[[#This Row],[Time]]-TIME(0,0,4)</f>
        <v>0.65905394675925932</v>
      </c>
      <c r="P26" t="s">
        <v>9</v>
      </c>
      <c r="Q26">
        <v>-124</v>
      </c>
      <c r="R26">
        <f>Table25[[#This Row],[RSSI]]</f>
        <v>-124</v>
      </c>
      <c r="S26">
        <v>-3.2</v>
      </c>
      <c r="V26" s="10">
        <f t="shared" si="0"/>
        <v>524</v>
      </c>
      <c r="W26" s="4" t="e">
        <f>COUNTIFS(Table14[Range(nm)], V26, Table14[Type], "ACK")/COUNTIFS(Table14[Range(nm)], V26)</f>
        <v>#DIV/0!</v>
      </c>
      <c r="X26" s="5" t="e">
        <f>COUNTIFS(Table14[Range(nm)], $V26, Table14[Type], "SUT Rx Error")/COUNTIFS(Table14[Range(nm)], $V26)</f>
        <v>#DIV/0!</v>
      </c>
      <c r="Y26" t="e">
        <f>AVERAGEIF(Table14[Range(nm)], V26, Table14[Corrected RSSI])</f>
        <v>#DIV/0!</v>
      </c>
      <c r="Z26" s="3" t="e">
        <f>AVERAGEIF(Table14[Range(nm)], V26, Table14[SNR])</f>
        <v>#DIV/0!</v>
      </c>
      <c r="AA26" s="4" t="e">
        <f>COUNTIFS(Table25[Range(nm)], V26, Table25[Type], "ACK")/COUNTIFS(Table25[Range(nm)], V26)</f>
        <v>#DIV/0!</v>
      </c>
      <c r="AB26" s="5" t="e">
        <f>COUNTIFS(Table25[Range(nm)], $V26, Table25[Type], "SUT Rx Error")/COUNTIFS(Table25[Range(nm)], $V26)</f>
        <v>#DIV/0!</v>
      </c>
      <c r="AC26" t="e">
        <f>AVERAGEIF(Table25[Range(nm)], V26, Table25[Corrected RSSI])</f>
        <v>#DIV/0!</v>
      </c>
      <c r="AD26" s="3" t="e">
        <f>AVERAGEIF(Table25[Range(nm)], V26, Table25[SNR])</f>
        <v>#DIV/0!</v>
      </c>
    </row>
    <row r="27" spans="2:30" x14ac:dyDescent="0.25">
      <c r="B27">
        <f>480+2*(Table14[[#This Row],[min value (corrected)]]-49)</f>
        <v>480</v>
      </c>
      <c r="C27">
        <f>MINUTE(Table14[[#This Row],[Corrected time]])</f>
        <v>49</v>
      </c>
      <c r="D27" s="1">
        <v>0.49255496527777781</v>
      </c>
      <c r="E27" s="1">
        <f>Table14[[#This Row],[Time]]-TIME(0,0,8)</f>
        <v>0.49246237268518522</v>
      </c>
      <c r="F27" t="s">
        <v>9</v>
      </c>
      <c r="G27" t="s">
        <v>19</v>
      </c>
      <c r="H27">
        <f t="shared" si="1"/>
        <v>-124</v>
      </c>
      <c r="I27">
        <v>-2.7</v>
      </c>
      <c r="L27">
        <f>480+2*(Table25[[#This Row],[min value (corrected)]]-49)</f>
        <v>480</v>
      </c>
      <c r="M27">
        <f>MINUTE(Table25[[#This Row],[Corrected time]])</f>
        <v>49</v>
      </c>
      <c r="N27" s="1">
        <v>0.65912009259259263</v>
      </c>
      <c r="O27" s="1">
        <f>Table25[[#This Row],[Time]]-TIME(0,0,4)</f>
        <v>0.65907379629629637</v>
      </c>
      <c r="P27" t="s">
        <v>9</v>
      </c>
      <c r="Q27">
        <v>-124</v>
      </c>
      <c r="R27">
        <f>Table25[[#This Row],[RSSI]]</f>
        <v>-124</v>
      </c>
      <c r="S27">
        <v>-2.7</v>
      </c>
      <c r="V27" s="10">
        <f t="shared" si="0"/>
        <v>526</v>
      </c>
      <c r="W27" s="4" t="e">
        <f>COUNTIFS(Table14[Range(nm)], V27, Table14[Type], "ACK")/COUNTIFS(Table14[Range(nm)], V27)</f>
        <v>#DIV/0!</v>
      </c>
      <c r="X27" s="5" t="e">
        <f>COUNTIFS(Table14[Range(nm)], $V27, Table14[Type], "SUT Rx Error")/COUNTIFS(Table14[Range(nm)], $V27)</f>
        <v>#DIV/0!</v>
      </c>
      <c r="Y27" t="e">
        <f>AVERAGEIF(Table14[Range(nm)], V27, Table14[Corrected RSSI])</f>
        <v>#DIV/0!</v>
      </c>
      <c r="Z27" s="3" t="e">
        <f>AVERAGEIF(Table14[Range(nm)], V27, Table14[SNR])</f>
        <v>#DIV/0!</v>
      </c>
      <c r="AA27" s="4" t="e">
        <f>COUNTIFS(Table25[Range(nm)], V27, Table25[Type], "ACK")/COUNTIFS(Table25[Range(nm)], V27)</f>
        <v>#DIV/0!</v>
      </c>
      <c r="AB27" s="5" t="e">
        <f>COUNTIFS(Table25[Range(nm)], $V27, Table25[Type], "SUT Rx Error")/COUNTIFS(Table25[Range(nm)], $V27)</f>
        <v>#DIV/0!</v>
      </c>
      <c r="AC27" t="e">
        <f>AVERAGEIF(Table25[Range(nm)], V27, Table25[Corrected RSSI])</f>
        <v>#DIV/0!</v>
      </c>
      <c r="AD27" s="3" t="e">
        <f>AVERAGEIF(Table25[Range(nm)], V27, Table25[SNR])</f>
        <v>#DIV/0!</v>
      </c>
    </row>
    <row r="28" spans="2:30" x14ac:dyDescent="0.25">
      <c r="B28">
        <f>480+2*(Table14[[#This Row],[min value (corrected)]]-49)</f>
        <v>480</v>
      </c>
      <c r="C28">
        <f>MINUTE(Table14[[#This Row],[Corrected time]])</f>
        <v>49</v>
      </c>
      <c r="D28" s="1">
        <v>0.49257480324074077</v>
      </c>
      <c r="E28" s="1">
        <f>Table14[[#This Row],[Time]]-TIME(0,0,8)</f>
        <v>0.49248221064814818</v>
      </c>
      <c r="F28" t="s">
        <v>9</v>
      </c>
      <c r="G28" t="s">
        <v>19</v>
      </c>
      <c r="H28">
        <f t="shared" si="1"/>
        <v>-124</v>
      </c>
      <c r="I28">
        <v>-2.7</v>
      </c>
      <c r="L28">
        <f>480+2*(Table25[[#This Row],[min value (corrected)]]-49)</f>
        <v>480</v>
      </c>
      <c r="M28">
        <f>MINUTE(Table25[[#This Row],[Corrected time]])</f>
        <v>49</v>
      </c>
      <c r="N28" s="1">
        <v>0.65913994212962956</v>
      </c>
      <c r="O28" s="1">
        <f>Table25[[#This Row],[Time]]-TIME(0,0,4)</f>
        <v>0.6590936458333333</v>
      </c>
      <c r="P28" t="s">
        <v>9</v>
      </c>
      <c r="Q28">
        <v>-125</v>
      </c>
      <c r="R28">
        <f>Table25[[#This Row],[RSSI]]</f>
        <v>-125</v>
      </c>
      <c r="S28">
        <v>-3.2</v>
      </c>
      <c r="V28" s="10">
        <f t="shared" si="0"/>
        <v>528</v>
      </c>
      <c r="W28" s="4" t="e">
        <f>COUNTIFS(Table14[Range(nm)], V28, Table14[Type], "ACK")/COUNTIFS(Table14[Range(nm)], V28)</f>
        <v>#DIV/0!</v>
      </c>
      <c r="X28" s="5" t="e">
        <f>COUNTIFS(Table14[Range(nm)], $V28, Table14[Type], "SUT Rx Error")/COUNTIFS(Table14[Range(nm)], $V28)</f>
        <v>#DIV/0!</v>
      </c>
      <c r="Y28" t="e">
        <f>AVERAGEIF(Table14[Range(nm)], V28, Table14[Corrected RSSI])</f>
        <v>#DIV/0!</v>
      </c>
      <c r="Z28" s="3" t="e">
        <f>AVERAGEIF(Table14[Range(nm)], V28, Table14[SNR])</f>
        <v>#DIV/0!</v>
      </c>
      <c r="AA28" s="4" t="e">
        <f>COUNTIFS(Table25[Range(nm)], V28, Table25[Type], "ACK")/COUNTIFS(Table25[Range(nm)], V28)</f>
        <v>#DIV/0!</v>
      </c>
      <c r="AB28" s="5" t="e">
        <f>COUNTIFS(Table25[Range(nm)], $V28, Table25[Type], "SUT Rx Error")/COUNTIFS(Table25[Range(nm)], $V28)</f>
        <v>#DIV/0!</v>
      </c>
      <c r="AC28" t="e">
        <f>AVERAGEIF(Table25[Range(nm)], V28, Table25[Corrected RSSI])</f>
        <v>#DIV/0!</v>
      </c>
      <c r="AD28" s="3" t="e">
        <f>AVERAGEIF(Table25[Range(nm)], V28, Table25[SNR])</f>
        <v>#DIV/0!</v>
      </c>
    </row>
    <row r="29" spans="2:30" x14ac:dyDescent="0.25">
      <c r="B29">
        <f>480+2*(Table14[[#This Row],[min value (corrected)]]-49)</f>
        <v>480</v>
      </c>
      <c r="C29">
        <f>MINUTE(Table14[[#This Row],[Corrected time]])</f>
        <v>49</v>
      </c>
      <c r="D29" s="1">
        <v>0.49259464120370372</v>
      </c>
      <c r="E29" s="1">
        <f>Table14[[#This Row],[Time]]-TIME(0,0,8)</f>
        <v>0.49250204861111113</v>
      </c>
      <c r="F29" t="s">
        <v>9</v>
      </c>
      <c r="G29" t="s">
        <v>19</v>
      </c>
      <c r="H29">
        <f t="shared" si="1"/>
        <v>-124</v>
      </c>
      <c r="I29">
        <v>-3</v>
      </c>
      <c r="L29">
        <f>480+2*(Table25[[#This Row],[min value (corrected)]]-49)</f>
        <v>480</v>
      </c>
      <c r="M29">
        <f>MINUTE(Table25[[#This Row],[Corrected time]])</f>
        <v>49</v>
      </c>
      <c r="N29" s="1">
        <v>0.65915978009259257</v>
      </c>
      <c r="O29" s="1">
        <f>Table25[[#This Row],[Time]]-TIME(0,0,4)</f>
        <v>0.65911348379629631</v>
      </c>
      <c r="P29" t="s">
        <v>9</v>
      </c>
      <c r="Q29">
        <v>-124</v>
      </c>
      <c r="R29">
        <f>Table25[[#This Row],[RSSI]]</f>
        <v>-124</v>
      </c>
      <c r="S29">
        <v>-3.2</v>
      </c>
      <c r="V29" s="10">
        <f t="shared" si="0"/>
        <v>530</v>
      </c>
      <c r="W29" s="4" t="e">
        <f>COUNTIFS(Table14[Range(nm)], V29, Table14[Type], "ACK")/COUNTIFS(Table14[Range(nm)], V29)</f>
        <v>#DIV/0!</v>
      </c>
      <c r="X29" s="5" t="e">
        <f>COUNTIFS(Table14[Range(nm)], $V29, Table14[Type], "SUT Rx Error")/COUNTIFS(Table14[Range(nm)], $V29)</f>
        <v>#DIV/0!</v>
      </c>
      <c r="Y29" t="e">
        <f>AVERAGEIF(Table14[Range(nm)], V29, Table14[Corrected RSSI])</f>
        <v>#DIV/0!</v>
      </c>
      <c r="Z29" s="3" t="e">
        <f>AVERAGEIF(Table14[Range(nm)], V29, Table14[SNR])</f>
        <v>#DIV/0!</v>
      </c>
      <c r="AA29" s="4" t="e">
        <f>COUNTIFS(Table25[Range(nm)], V29, Table25[Type], "ACK")/COUNTIFS(Table25[Range(nm)], V29)</f>
        <v>#DIV/0!</v>
      </c>
      <c r="AB29" s="5" t="e">
        <f>COUNTIFS(Table25[Range(nm)], $V29, Table25[Type], "SUT Rx Error")/COUNTIFS(Table25[Range(nm)], $V29)</f>
        <v>#DIV/0!</v>
      </c>
      <c r="AC29" t="e">
        <f>AVERAGEIF(Table25[Range(nm)], V29, Table25[Corrected RSSI])</f>
        <v>#DIV/0!</v>
      </c>
      <c r="AD29" s="3" t="e">
        <f>AVERAGEIF(Table25[Range(nm)], V29, Table25[SNR])</f>
        <v>#DIV/0!</v>
      </c>
    </row>
    <row r="30" spans="2:30" x14ac:dyDescent="0.25">
      <c r="B30">
        <f>480+2*(Table14[[#This Row],[min value (corrected)]]-49)</f>
        <v>480</v>
      </c>
      <c r="C30">
        <f>MINUTE(Table14[[#This Row],[Corrected time]])</f>
        <v>49</v>
      </c>
      <c r="D30" s="1">
        <v>0.49261447916666673</v>
      </c>
      <c r="E30" s="1">
        <f>Table14[[#This Row],[Time]]-TIME(0,0,8)</f>
        <v>0.49252188657407414</v>
      </c>
      <c r="F30" t="s">
        <v>9</v>
      </c>
      <c r="G30" t="s">
        <v>19</v>
      </c>
      <c r="H30">
        <f t="shared" si="1"/>
        <v>-124</v>
      </c>
      <c r="I30">
        <v>-2.5</v>
      </c>
      <c r="L30">
        <f>480+2*(Table25[[#This Row],[min value (corrected)]]-49)</f>
        <v>480</v>
      </c>
      <c r="M30">
        <f>MINUTE(Table25[[#This Row],[Corrected time]])</f>
        <v>49</v>
      </c>
      <c r="N30" s="1">
        <v>0.65917961805555558</v>
      </c>
      <c r="O30" s="1">
        <f>Table25[[#This Row],[Time]]-TIME(0,0,4)</f>
        <v>0.65913332175925932</v>
      </c>
      <c r="P30" t="s">
        <v>9</v>
      </c>
      <c r="Q30">
        <v>-124</v>
      </c>
      <c r="R30">
        <f>Table25[[#This Row],[RSSI]]</f>
        <v>-124</v>
      </c>
      <c r="S30">
        <v>-2.5</v>
      </c>
      <c r="V30" s="10">
        <f t="shared" si="0"/>
        <v>532</v>
      </c>
      <c r="W30" s="4" t="e">
        <f>COUNTIFS(Table14[Range(nm)], V30, Table14[Type], "ACK")/COUNTIFS(Table14[Range(nm)], V30)</f>
        <v>#DIV/0!</v>
      </c>
      <c r="X30" s="5" t="e">
        <f>COUNTIFS(Table14[Range(nm)], $V30, Table14[Type], "SUT Rx Error")/COUNTIFS(Table14[Range(nm)], $V30)</f>
        <v>#DIV/0!</v>
      </c>
      <c r="Y30" t="e">
        <f>AVERAGEIF(Table14[Range(nm)], V30, Table14[Corrected RSSI])</f>
        <v>#DIV/0!</v>
      </c>
      <c r="Z30" s="3" t="e">
        <f>AVERAGEIF(Table14[Range(nm)], V30, Table14[SNR])</f>
        <v>#DIV/0!</v>
      </c>
      <c r="AA30" s="4" t="e">
        <f>COUNTIFS(Table25[Range(nm)], V30, Table25[Type], "ACK")/COUNTIFS(Table25[Range(nm)], V30)</f>
        <v>#DIV/0!</v>
      </c>
      <c r="AB30" s="5" t="e">
        <f>COUNTIFS(Table25[Range(nm)], $V30, Table25[Type], "SUT Rx Error")/COUNTIFS(Table25[Range(nm)], $V30)</f>
        <v>#DIV/0!</v>
      </c>
      <c r="AC30" t="e">
        <f>AVERAGEIF(Table25[Range(nm)], V30, Table25[Corrected RSSI])</f>
        <v>#DIV/0!</v>
      </c>
      <c r="AD30" s="3" t="e">
        <f>AVERAGEIF(Table25[Range(nm)], V30, Table25[SNR])</f>
        <v>#DIV/0!</v>
      </c>
    </row>
    <row r="31" spans="2:30" x14ac:dyDescent="0.25">
      <c r="B31">
        <f>480+2*(Table14[[#This Row],[min value (corrected)]]-49)</f>
        <v>480</v>
      </c>
      <c r="C31">
        <f>MINUTE(Table14[[#This Row],[Corrected time]])</f>
        <v>49</v>
      </c>
      <c r="D31" s="1">
        <v>0.49263431712962968</v>
      </c>
      <c r="E31" s="1">
        <f>Table14[[#This Row],[Time]]-TIME(0,0,8)</f>
        <v>0.4925417245370371</v>
      </c>
      <c r="F31" t="s">
        <v>9</v>
      </c>
      <c r="G31" t="s">
        <v>19</v>
      </c>
      <c r="H31">
        <f t="shared" si="1"/>
        <v>-124</v>
      </c>
      <c r="I31">
        <v>-2.5</v>
      </c>
      <c r="L31">
        <f>480+2*(Table25[[#This Row],[min value (corrected)]]-49)</f>
        <v>480</v>
      </c>
      <c r="M31">
        <f>MINUTE(Table25[[#This Row],[Corrected time]])</f>
        <v>49</v>
      </c>
      <c r="N31" s="1">
        <v>0.65919945601851848</v>
      </c>
      <c r="O31" s="1">
        <f>Table25[[#This Row],[Time]]-TIME(0,0,4)</f>
        <v>0.65915315972222221</v>
      </c>
      <c r="P31" t="s">
        <v>9</v>
      </c>
      <c r="Q31">
        <v>-124</v>
      </c>
      <c r="R31">
        <f>Table25[[#This Row],[RSSI]]</f>
        <v>-124</v>
      </c>
      <c r="S31">
        <v>-3</v>
      </c>
      <c r="V31" s="10">
        <f t="shared" si="0"/>
        <v>534</v>
      </c>
      <c r="W31" s="4" t="e">
        <f>COUNTIFS(Table14[Range(nm)], V31, Table14[Type], "ACK")/COUNTIFS(Table14[Range(nm)], V31)</f>
        <v>#DIV/0!</v>
      </c>
      <c r="X31" s="5" t="e">
        <f>COUNTIFS(Table14[Range(nm)], $V31, Table14[Type], "SUT Rx Error")/COUNTIFS(Table14[Range(nm)], $V31)</f>
        <v>#DIV/0!</v>
      </c>
      <c r="Y31" t="e">
        <f>AVERAGEIF(Table14[Range(nm)], V31, Table14[Corrected RSSI])</f>
        <v>#DIV/0!</v>
      </c>
      <c r="Z31" s="3" t="e">
        <f>AVERAGEIF(Table14[Range(nm)], V31, Table14[SNR])</f>
        <v>#DIV/0!</v>
      </c>
      <c r="AA31" s="4" t="e">
        <f>COUNTIFS(Table25[Range(nm)], V31, Table25[Type], "ACK")/COUNTIFS(Table25[Range(nm)], V31)</f>
        <v>#DIV/0!</v>
      </c>
      <c r="AB31" s="5" t="e">
        <f>COUNTIFS(Table25[Range(nm)], $V31, Table25[Type], "SUT Rx Error")/COUNTIFS(Table25[Range(nm)], $V31)</f>
        <v>#DIV/0!</v>
      </c>
      <c r="AC31" t="e">
        <f>AVERAGEIF(Table25[Range(nm)], V31, Table25[Corrected RSSI])</f>
        <v>#DIV/0!</v>
      </c>
      <c r="AD31" s="3" t="e">
        <f>AVERAGEIF(Table25[Range(nm)], V31, Table25[SNR])</f>
        <v>#DIV/0!</v>
      </c>
    </row>
    <row r="32" spans="2:30" x14ac:dyDescent="0.25">
      <c r="B32">
        <f>480+2*(Table14[[#This Row],[min value (corrected)]]-49)</f>
        <v>480</v>
      </c>
      <c r="C32">
        <f>MINUTE(Table14[[#This Row],[Corrected time]])</f>
        <v>49</v>
      </c>
      <c r="D32" s="1">
        <v>0.49265415509259264</v>
      </c>
      <c r="E32" s="1">
        <f>Table14[[#This Row],[Time]]-TIME(0,0,8)</f>
        <v>0.49256156250000005</v>
      </c>
      <c r="F32" t="s">
        <v>9</v>
      </c>
      <c r="G32" t="s">
        <v>19</v>
      </c>
      <c r="H32">
        <f t="shared" si="1"/>
        <v>-124</v>
      </c>
      <c r="I32">
        <v>-2.7</v>
      </c>
      <c r="L32">
        <f>480+2*(Table25[[#This Row],[min value (corrected)]]-49)</f>
        <v>480</v>
      </c>
      <c r="M32">
        <f>MINUTE(Table25[[#This Row],[Corrected time]])</f>
        <v>49</v>
      </c>
      <c r="N32" s="1">
        <v>0.65921929398148149</v>
      </c>
      <c r="O32" s="1">
        <f>Table25[[#This Row],[Time]]-TIME(0,0,4)</f>
        <v>0.65917299768518522</v>
      </c>
      <c r="P32" t="s">
        <v>9</v>
      </c>
      <c r="Q32">
        <v>-124</v>
      </c>
      <c r="R32">
        <f>Table25[[#This Row],[RSSI]]</f>
        <v>-124</v>
      </c>
      <c r="S32">
        <v>-2.7</v>
      </c>
      <c r="V32" s="10">
        <f t="shared" si="0"/>
        <v>536</v>
      </c>
      <c r="W32" s="4" t="e">
        <f>COUNTIFS(Table14[Range(nm)], V32, Table14[Type], "ACK")/COUNTIFS(Table14[Range(nm)], V32)</f>
        <v>#DIV/0!</v>
      </c>
      <c r="X32" s="5" t="e">
        <f>COUNTIFS(Table14[Range(nm)], $V32, Table14[Type], "SUT Rx Error")/COUNTIFS(Table14[Range(nm)], $V32)</f>
        <v>#DIV/0!</v>
      </c>
      <c r="Y32" t="e">
        <f>AVERAGEIF(Table14[Range(nm)], V32, Table14[Corrected RSSI])</f>
        <v>#DIV/0!</v>
      </c>
      <c r="Z32" s="3" t="e">
        <f>AVERAGEIF(Table14[Range(nm)], V32, Table14[SNR])</f>
        <v>#DIV/0!</v>
      </c>
      <c r="AA32" s="4" t="e">
        <f>COUNTIFS(Table25[Range(nm)], V32, Table25[Type], "ACK")/COUNTIFS(Table25[Range(nm)], V32)</f>
        <v>#DIV/0!</v>
      </c>
      <c r="AB32" s="5" t="e">
        <f>COUNTIFS(Table25[Range(nm)], $V32, Table25[Type], "SUT Rx Error")/COUNTIFS(Table25[Range(nm)], $V32)</f>
        <v>#DIV/0!</v>
      </c>
      <c r="AC32" t="e">
        <f>AVERAGEIF(Table25[Range(nm)], V32, Table25[Corrected RSSI])</f>
        <v>#DIV/0!</v>
      </c>
      <c r="AD32" s="3" t="e">
        <f>AVERAGEIF(Table25[Range(nm)], V32, Table25[SNR])</f>
        <v>#DIV/0!</v>
      </c>
    </row>
    <row r="33" spans="2:30" x14ac:dyDescent="0.25">
      <c r="B33">
        <f>480+2*(Table14[[#This Row],[min value (corrected)]]-49)</f>
        <v>480</v>
      </c>
      <c r="C33">
        <f>MINUTE(Table14[[#This Row],[Corrected time]])</f>
        <v>49</v>
      </c>
      <c r="D33" s="1">
        <v>0.49267398148148145</v>
      </c>
      <c r="E33" s="1">
        <f>Table14[[#This Row],[Time]]-TIME(0,0,8)</f>
        <v>0.49258138888888886</v>
      </c>
      <c r="F33" t="s">
        <v>9</v>
      </c>
      <c r="G33" t="s">
        <v>19</v>
      </c>
      <c r="H33">
        <f t="shared" si="1"/>
        <v>-124</v>
      </c>
      <c r="I33">
        <v>-2.7</v>
      </c>
      <c r="L33">
        <f>480+2*(Table25[[#This Row],[min value (corrected)]]-49)</f>
        <v>480</v>
      </c>
      <c r="M33">
        <f>MINUTE(Table25[[#This Row],[Corrected time]])</f>
        <v>49</v>
      </c>
      <c r="N33" s="1">
        <v>0.65923913194444439</v>
      </c>
      <c r="O33" s="1">
        <f>Table25[[#This Row],[Time]]-TIME(0,0,4)</f>
        <v>0.65919283564814812</v>
      </c>
      <c r="P33" t="s">
        <v>9</v>
      </c>
      <c r="Q33">
        <v>-124</v>
      </c>
      <c r="R33">
        <f>Table25[[#This Row],[RSSI]]</f>
        <v>-124</v>
      </c>
      <c r="S33">
        <v>-3</v>
      </c>
      <c r="V33" s="10">
        <f t="shared" si="0"/>
        <v>538</v>
      </c>
      <c r="W33" s="4" t="e">
        <f>COUNTIFS(Table14[Range(nm)], V33, Table14[Type], "ACK")/COUNTIFS(Table14[Range(nm)], V33)</f>
        <v>#DIV/0!</v>
      </c>
      <c r="X33" s="5" t="e">
        <f>COUNTIFS(Table14[Range(nm)], $V33, Table14[Type], "SUT Rx Error")/COUNTIFS(Table14[Range(nm)], $V33)</f>
        <v>#DIV/0!</v>
      </c>
      <c r="Y33" t="e">
        <f>AVERAGEIF(Table14[Range(nm)], V33, Table14[Corrected RSSI])</f>
        <v>#DIV/0!</v>
      </c>
      <c r="Z33" s="3" t="e">
        <f>AVERAGEIF(Table14[Range(nm)], V33, Table14[SNR])</f>
        <v>#DIV/0!</v>
      </c>
      <c r="AA33" s="4" t="e">
        <f>COUNTIFS(Table25[Range(nm)], V33, Table25[Type], "ACK")/COUNTIFS(Table25[Range(nm)], V33)</f>
        <v>#DIV/0!</v>
      </c>
      <c r="AB33" s="5" t="e">
        <f>COUNTIFS(Table25[Range(nm)], $V33, Table25[Type], "SUT Rx Error")/COUNTIFS(Table25[Range(nm)], $V33)</f>
        <v>#DIV/0!</v>
      </c>
      <c r="AC33" t="e">
        <f>AVERAGEIF(Table25[Range(nm)], V33, Table25[Corrected RSSI])</f>
        <v>#DIV/0!</v>
      </c>
      <c r="AD33" s="3" t="e">
        <f>AVERAGEIF(Table25[Range(nm)], V33, Table25[SNR])</f>
        <v>#DIV/0!</v>
      </c>
    </row>
    <row r="34" spans="2:30" ht="15.75" thickBot="1" x14ac:dyDescent="0.3">
      <c r="B34">
        <f>480+2*(Table14[[#This Row],[min value (corrected)]]-49)</f>
        <v>480</v>
      </c>
      <c r="C34">
        <f>MINUTE(Table14[[#This Row],[Corrected time]])</f>
        <v>49</v>
      </c>
      <c r="D34" s="1">
        <v>0.49269381944444446</v>
      </c>
      <c r="E34" s="1">
        <f>Table14[[#This Row],[Time]]-TIME(0,0,8)</f>
        <v>0.49260122685185187</v>
      </c>
      <c r="F34" t="s">
        <v>9</v>
      </c>
      <c r="G34" t="s">
        <v>19</v>
      </c>
      <c r="H34">
        <f t="shared" si="1"/>
        <v>-124</v>
      </c>
      <c r="I34">
        <v>-3</v>
      </c>
      <c r="L34">
        <f>480+2*(Table25[[#This Row],[min value (corrected)]]-49)</f>
        <v>480</v>
      </c>
      <c r="M34">
        <f>MINUTE(Table25[[#This Row],[Corrected time]])</f>
        <v>49</v>
      </c>
      <c r="N34" s="1">
        <v>0.6592589699074074</v>
      </c>
      <c r="O34" s="1">
        <f>Table25[[#This Row],[Time]]-TIME(0,0,4)</f>
        <v>0.65921267361111113</v>
      </c>
      <c r="P34" t="s">
        <v>9</v>
      </c>
      <c r="Q34">
        <v>-124</v>
      </c>
      <c r="R34">
        <f>Table25[[#This Row],[RSSI]]</f>
        <v>-124</v>
      </c>
      <c r="S34">
        <v>-2.5</v>
      </c>
      <c r="V34" s="10">
        <f t="shared" si="0"/>
        <v>540</v>
      </c>
      <c r="W34" s="6" t="e">
        <f>COUNTIFS(Table14[Range(nm)], V34, Table14[Type], "ACK")/COUNTIFS(Table14[Range(nm)], V34)</f>
        <v>#DIV/0!</v>
      </c>
      <c r="X34" s="7" t="e">
        <f>COUNTIFS(Table14[Range(nm)], $V34, Table14[Type], "SUT Rx Error")/COUNTIFS(Table14[Range(nm)], $V34)</f>
        <v>#DIV/0!</v>
      </c>
      <c r="Y34" t="e">
        <f>AVERAGEIF(Table14[Range(nm)], V34, Table14[Corrected RSSI])</f>
        <v>#DIV/0!</v>
      </c>
      <c r="Z34" s="9" t="e">
        <f>AVERAGEIF(Table14[Range(nm)], V34, Table14[SNR])</f>
        <v>#DIV/0!</v>
      </c>
      <c r="AA34" s="6" t="e">
        <f>COUNTIFS(Table25[Range(nm)], V34, Table25[Type], "ACK")/COUNTIFS(Table25[Range(nm)], V34)</f>
        <v>#DIV/0!</v>
      </c>
      <c r="AB34" s="7" t="e">
        <f>COUNTIFS(Table25[Range(nm)], $V34, Table25[Type], "SUT Rx Error")/COUNTIFS(Table25[Range(nm)], $V34)</f>
        <v>#DIV/0!</v>
      </c>
      <c r="AC34" t="e">
        <f>AVERAGEIF(Table25[Range(nm)], V34, Table25[Corrected RSSI])</f>
        <v>#DIV/0!</v>
      </c>
      <c r="AD34" s="3" t="e">
        <f>AVERAGEIF(Table25[Range(nm)], V34, Table25[SNR])</f>
        <v>#DIV/0!</v>
      </c>
    </row>
    <row r="35" spans="2:30" x14ac:dyDescent="0.25">
      <c r="B35">
        <f>480+2*(Table14[[#This Row],[min value (corrected)]]-49)</f>
        <v>480</v>
      </c>
      <c r="C35">
        <f>MINUTE(Table14[[#This Row],[Corrected time]])</f>
        <v>49</v>
      </c>
      <c r="D35" s="1">
        <v>0.4927136689814815</v>
      </c>
      <c r="E35" s="1">
        <f>Table14[[#This Row],[Time]]-TIME(0,0,8)</f>
        <v>0.49262107638888891</v>
      </c>
      <c r="F35" t="s">
        <v>9</v>
      </c>
      <c r="G35" t="s">
        <v>19</v>
      </c>
      <c r="H35">
        <f t="shared" si="1"/>
        <v>-124</v>
      </c>
      <c r="I35">
        <v>-3</v>
      </c>
      <c r="L35">
        <f>480+2*(Table25[[#This Row],[min value (corrected)]]-49)</f>
        <v>480</v>
      </c>
      <c r="M35">
        <f>MINUTE(Table25[[#This Row],[Corrected time]])</f>
        <v>49</v>
      </c>
      <c r="N35" s="1">
        <v>0.65927879629629627</v>
      </c>
      <c r="O35" s="1">
        <f>Table25[[#This Row],[Time]]-TIME(0,0,4)</f>
        <v>0.6592325</v>
      </c>
      <c r="P35" t="s">
        <v>9</v>
      </c>
      <c r="Q35">
        <v>-124</v>
      </c>
      <c r="R35">
        <f>Table25[[#This Row],[RSSI]]</f>
        <v>-124</v>
      </c>
      <c r="S35">
        <v>-2.7</v>
      </c>
    </row>
    <row r="36" spans="2:30" x14ac:dyDescent="0.25">
      <c r="B36">
        <f>480+2*(Table14[[#This Row],[min value (corrected)]]-49)</f>
        <v>480</v>
      </c>
      <c r="C36">
        <f>MINUTE(Table14[[#This Row],[Corrected time]])</f>
        <v>49</v>
      </c>
      <c r="D36" s="1">
        <v>0.49273350694444445</v>
      </c>
      <c r="E36" s="1">
        <f>Table14[[#This Row],[Time]]-TIME(0,0,8)</f>
        <v>0.49264091435185187</v>
      </c>
      <c r="F36" t="s">
        <v>9</v>
      </c>
      <c r="G36" t="s">
        <v>19</v>
      </c>
      <c r="H36">
        <f t="shared" si="1"/>
        <v>-124</v>
      </c>
      <c r="I36">
        <v>-3</v>
      </c>
      <c r="L36">
        <f>480+2*(Table25[[#This Row],[min value (corrected)]]-49)</f>
        <v>480</v>
      </c>
      <c r="M36">
        <f>MINUTE(Table25[[#This Row],[Corrected time]])</f>
        <v>49</v>
      </c>
      <c r="N36" s="1">
        <v>0.65929863425925928</v>
      </c>
      <c r="O36" s="1">
        <f>Table25[[#This Row],[Time]]-TIME(0,0,4)</f>
        <v>0.65925233796296301</v>
      </c>
      <c r="P36" t="s">
        <v>9</v>
      </c>
      <c r="Q36">
        <v>-124</v>
      </c>
      <c r="R36">
        <f>Table25[[#This Row],[RSSI]]</f>
        <v>-124</v>
      </c>
      <c r="S36">
        <v>-3.2</v>
      </c>
    </row>
    <row r="37" spans="2:30" x14ac:dyDescent="0.25">
      <c r="B37">
        <f>480+2*(Table14[[#This Row],[min value (corrected)]]-49)</f>
        <v>480</v>
      </c>
      <c r="C37">
        <f>MINUTE(Table14[[#This Row],[Corrected time]])</f>
        <v>49</v>
      </c>
      <c r="D37" s="1">
        <v>0.49275334490740746</v>
      </c>
      <c r="E37" s="1">
        <f>Table14[[#This Row],[Time]]-TIME(0,0,8)</f>
        <v>0.49266075231481488</v>
      </c>
      <c r="F37" t="s">
        <v>9</v>
      </c>
      <c r="G37" t="s">
        <v>19</v>
      </c>
      <c r="H37">
        <f t="shared" si="1"/>
        <v>-124</v>
      </c>
      <c r="I37">
        <v>-3</v>
      </c>
      <c r="L37">
        <f>480+2*(Table25[[#This Row],[min value (corrected)]]-49)</f>
        <v>480</v>
      </c>
      <c r="M37">
        <f>MINUTE(Table25[[#This Row],[Corrected time]])</f>
        <v>49</v>
      </c>
      <c r="N37" s="1">
        <v>0.65931848379629632</v>
      </c>
      <c r="O37" s="1">
        <f>Table25[[#This Row],[Time]]-TIME(0,0,4)</f>
        <v>0.65927218750000005</v>
      </c>
      <c r="P37" t="s">
        <v>9</v>
      </c>
      <c r="Q37">
        <v>-124</v>
      </c>
      <c r="R37">
        <f>Table25[[#This Row],[RSSI]]</f>
        <v>-124</v>
      </c>
      <c r="S37">
        <v>-3.2</v>
      </c>
    </row>
    <row r="38" spans="2:30" x14ac:dyDescent="0.25">
      <c r="B38">
        <f>480+2*(Table14[[#This Row],[min value (corrected)]]-49)</f>
        <v>480</v>
      </c>
      <c r="C38">
        <f>MINUTE(Table14[[#This Row],[Corrected time]])</f>
        <v>49</v>
      </c>
      <c r="D38" s="1">
        <v>0.49277318287037042</v>
      </c>
      <c r="E38" s="1">
        <f>Table14[[#This Row],[Time]]-TIME(0,0,8)</f>
        <v>0.49268059027777783</v>
      </c>
      <c r="F38" t="s">
        <v>9</v>
      </c>
      <c r="G38" t="s">
        <v>19</v>
      </c>
      <c r="H38">
        <f t="shared" si="1"/>
        <v>-124</v>
      </c>
      <c r="I38">
        <v>-2.7</v>
      </c>
      <c r="L38">
        <f>480+2*(Table25[[#This Row],[min value (corrected)]]-49)</f>
        <v>480</v>
      </c>
      <c r="M38">
        <f>MINUTE(Table25[[#This Row],[Corrected time]])</f>
        <v>49</v>
      </c>
      <c r="N38" s="1">
        <v>0.65933832175925922</v>
      </c>
      <c r="O38" s="1">
        <f>Table25[[#This Row],[Time]]-TIME(0,0,4)</f>
        <v>0.65929202546296295</v>
      </c>
      <c r="P38" t="s">
        <v>9</v>
      </c>
      <c r="Q38">
        <v>-124</v>
      </c>
      <c r="R38">
        <f>Table25[[#This Row],[RSSI]]</f>
        <v>-124</v>
      </c>
      <c r="S38">
        <v>-2.5</v>
      </c>
    </row>
    <row r="39" spans="2:30" x14ac:dyDescent="0.25">
      <c r="B39">
        <f>480+2*(Table14[[#This Row],[min value (corrected)]]-49)</f>
        <v>480</v>
      </c>
      <c r="C39">
        <f>MINUTE(Table14[[#This Row],[Corrected time]])</f>
        <v>49</v>
      </c>
      <c r="D39" s="1">
        <v>0.49279300925925923</v>
      </c>
      <c r="E39" s="1">
        <f>Table14[[#This Row],[Time]]-TIME(0,0,8)</f>
        <v>0.49270041666666664</v>
      </c>
      <c r="F39" t="s">
        <v>9</v>
      </c>
      <c r="G39" t="s">
        <v>19</v>
      </c>
      <c r="H39">
        <f t="shared" si="1"/>
        <v>-124</v>
      </c>
      <c r="I39">
        <v>-2.7</v>
      </c>
      <c r="L39">
        <f>480+2*(Table25[[#This Row],[min value (corrected)]]-49)</f>
        <v>480</v>
      </c>
      <c r="M39">
        <f>MINUTE(Table25[[#This Row],[Corrected time]])</f>
        <v>49</v>
      </c>
      <c r="N39" s="1">
        <v>0.65935814814814819</v>
      </c>
      <c r="O39" s="1">
        <f>Table25[[#This Row],[Time]]-TIME(0,0,4)</f>
        <v>0.65931185185185193</v>
      </c>
      <c r="P39" t="s">
        <v>9</v>
      </c>
      <c r="Q39">
        <v>-124</v>
      </c>
      <c r="R39">
        <f>Table25[[#This Row],[RSSI]]</f>
        <v>-124</v>
      </c>
      <c r="S39">
        <v>-3</v>
      </c>
    </row>
    <row r="40" spans="2:30" x14ac:dyDescent="0.25">
      <c r="B40">
        <f>480+2*(Table14[[#This Row],[min value (corrected)]]-49)</f>
        <v>480</v>
      </c>
      <c r="C40">
        <f>MINUTE(Table14[[#This Row],[Corrected time]])</f>
        <v>49</v>
      </c>
      <c r="D40" s="1">
        <v>0.49281284722222218</v>
      </c>
      <c r="E40" s="1">
        <f>Table14[[#This Row],[Time]]-TIME(0,0,8)</f>
        <v>0.49272025462962959</v>
      </c>
      <c r="F40" t="s">
        <v>9</v>
      </c>
      <c r="G40" t="s">
        <v>19</v>
      </c>
      <c r="H40">
        <f t="shared" si="1"/>
        <v>-124</v>
      </c>
      <c r="I40">
        <v>-2.7</v>
      </c>
      <c r="L40">
        <f>480+2*(Table25[[#This Row],[min value (corrected)]]-49)</f>
        <v>480</v>
      </c>
      <c r="M40">
        <f>MINUTE(Table25[[#This Row],[Corrected time]])</f>
        <v>49</v>
      </c>
      <c r="N40" s="1">
        <v>0.65937798611111109</v>
      </c>
      <c r="O40" s="1">
        <f>Table25[[#This Row],[Time]]-TIME(0,0,4)</f>
        <v>0.65933168981481483</v>
      </c>
      <c r="P40" t="s">
        <v>9</v>
      </c>
      <c r="Q40">
        <v>-124</v>
      </c>
      <c r="R40">
        <f>Table25[[#This Row],[RSSI]]</f>
        <v>-124</v>
      </c>
      <c r="S40">
        <v>-2.7</v>
      </c>
    </row>
    <row r="41" spans="2:30" x14ac:dyDescent="0.25">
      <c r="B41">
        <f>480+2*(Table14[[#This Row],[min value (corrected)]]-49)</f>
        <v>480</v>
      </c>
      <c r="C41">
        <f>MINUTE(Table14[[#This Row],[Corrected time]])</f>
        <v>49</v>
      </c>
      <c r="D41" s="1">
        <v>0.49283269675925928</v>
      </c>
      <c r="E41" s="1">
        <f>Table14[[#This Row],[Time]]-TIME(0,0,8)</f>
        <v>0.49274010416666669</v>
      </c>
      <c r="F41" t="s">
        <v>9</v>
      </c>
      <c r="G41" t="s">
        <v>12</v>
      </c>
      <c r="H41">
        <f t="shared" si="1"/>
        <v>-123</v>
      </c>
      <c r="I41">
        <v>-2.5</v>
      </c>
      <c r="L41">
        <f>480+2*(Table25[[#This Row],[min value (corrected)]]-49)</f>
        <v>480</v>
      </c>
      <c r="M41">
        <f>MINUTE(Table25[[#This Row],[Corrected time]])</f>
        <v>49</v>
      </c>
      <c r="N41" s="1">
        <v>0.65939783564814813</v>
      </c>
      <c r="O41" s="1">
        <f>Table25[[#This Row],[Time]]-TIME(0,0,4)</f>
        <v>0.65935153935185187</v>
      </c>
      <c r="P41" t="s">
        <v>9</v>
      </c>
      <c r="Q41">
        <v>-124</v>
      </c>
      <c r="R41">
        <f>Table25[[#This Row],[RSSI]]</f>
        <v>-124</v>
      </c>
      <c r="S41">
        <v>-2.5</v>
      </c>
    </row>
    <row r="42" spans="2:30" x14ac:dyDescent="0.25">
      <c r="B42">
        <f>480+2*(Table14[[#This Row],[min value (corrected)]]-49)</f>
        <v>480</v>
      </c>
      <c r="C42">
        <f>MINUTE(Table14[[#This Row],[Corrected time]])</f>
        <v>49</v>
      </c>
      <c r="D42" s="1">
        <v>0.49285253472222224</v>
      </c>
      <c r="E42" s="1">
        <f>Table14[[#This Row],[Time]]-TIME(0,0,8)</f>
        <v>0.49275994212962965</v>
      </c>
      <c r="F42" t="s">
        <v>9</v>
      </c>
      <c r="G42" t="s">
        <v>12</v>
      </c>
      <c r="H42">
        <f t="shared" si="1"/>
        <v>-123</v>
      </c>
      <c r="I42">
        <v>-2.5</v>
      </c>
      <c r="L42">
        <f>480+2*(Table25[[#This Row],[min value (corrected)]]-49)</f>
        <v>480</v>
      </c>
      <c r="M42">
        <f>MINUTE(Table25[[#This Row],[Corrected time]])</f>
        <v>49</v>
      </c>
      <c r="N42" s="1">
        <v>0.65941767361111114</v>
      </c>
      <c r="O42" s="1">
        <f>Table25[[#This Row],[Time]]-TIME(0,0,4)</f>
        <v>0.65937137731481488</v>
      </c>
      <c r="P42" t="s">
        <v>9</v>
      </c>
      <c r="Q42">
        <v>-124</v>
      </c>
      <c r="R42">
        <f>Table25[[#This Row],[RSSI]]</f>
        <v>-124</v>
      </c>
      <c r="S42">
        <v>-2.5</v>
      </c>
    </row>
    <row r="43" spans="2:30" x14ac:dyDescent="0.25">
      <c r="B43">
        <f>480+2*(Table14[[#This Row],[min value (corrected)]]-49)</f>
        <v>480</v>
      </c>
      <c r="C43">
        <f>MINUTE(Table14[[#This Row],[Corrected time]])</f>
        <v>49</v>
      </c>
      <c r="D43" s="1">
        <v>0.49287237268518519</v>
      </c>
      <c r="E43" s="1">
        <f>Table14[[#This Row],[Time]]-TIME(0,0,8)</f>
        <v>0.4927797800925926</v>
      </c>
      <c r="F43" t="s">
        <v>9</v>
      </c>
      <c r="G43" t="s">
        <v>19</v>
      </c>
      <c r="H43">
        <f t="shared" si="1"/>
        <v>-124</v>
      </c>
      <c r="I43">
        <v>-3.2</v>
      </c>
      <c r="L43">
        <f>480+2*(Table25[[#This Row],[min value (corrected)]]-49)</f>
        <v>480</v>
      </c>
      <c r="M43">
        <f>MINUTE(Table25[[#This Row],[Corrected time]])</f>
        <v>49</v>
      </c>
      <c r="N43" s="1">
        <v>0.65943751157407404</v>
      </c>
      <c r="O43" s="1">
        <f>Table25[[#This Row],[Time]]-TIME(0,0,4)</f>
        <v>0.65939121527777778</v>
      </c>
      <c r="P43" t="s">
        <v>9</v>
      </c>
      <c r="Q43">
        <v>-124</v>
      </c>
      <c r="R43">
        <f>Table25[[#This Row],[RSSI]]</f>
        <v>-124</v>
      </c>
      <c r="S43">
        <v>-3</v>
      </c>
    </row>
    <row r="44" spans="2:30" x14ac:dyDescent="0.25">
      <c r="B44">
        <f>480+2*(Table14[[#This Row],[min value (corrected)]]-49)</f>
        <v>480</v>
      </c>
      <c r="C44">
        <f>MINUTE(Table14[[#This Row],[Corrected time]])</f>
        <v>49</v>
      </c>
      <c r="D44" s="1">
        <v>0.49289219907407406</v>
      </c>
      <c r="E44" s="1">
        <f>Table14[[#This Row],[Time]]-TIME(0,0,8)</f>
        <v>0.49279960648148147</v>
      </c>
      <c r="F44" t="s">
        <v>9</v>
      </c>
      <c r="G44" t="s">
        <v>19</v>
      </c>
      <c r="H44">
        <f t="shared" si="1"/>
        <v>-124</v>
      </c>
      <c r="I44">
        <v>-2.7</v>
      </c>
      <c r="L44">
        <f>480+2*(Table25[[#This Row],[min value (corrected)]]-49)</f>
        <v>480</v>
      </c>
      <c r="M44">
        <f>MINUTE(Table25[[#This Row],[Corrected time]])</f>
        <v>49</v>
      </c>
      <c r="N44" s="1">
        <v>0.65945733796296302</v>
      </c>
      <c r="O44" s="1">
        <f>Table25[[#This Row],[Time]]-TIME(0,0,4)</f>
        <v>0.65941104166666675</v>
      </c>
      <c r="P44" t="s">
        <v>9</v>
      </c>
      <c r="Q44">
        <v>-124</v>
      </c>
      <c r="R44">
        <f>Table25[[#This Row],[RSSI]]</f>
        <v>-124</v>
      </c>
      <c r="S44">
        <v>-2.7</v>
      </c>
    </row>
    <row r="45" spans="2:30" x14ac:dyDescent="0.25">
      <c r="B45">
        <f>480+2*(Table14[[#This Row],[min value (corrected)]]-49)</f>
        <v>480</v>
      </c>
      <c r="C45">
        <f>MINUTE(Table14[[#This Row],[Corrected time]])</f>
        <v>49</v>
      </c>
      <c r="D45" s="1">
        <v>0.49291204861111115</v>
      </c>
      <c r="E45" s="1">
        <f>Table14[[#This Row],[Time]]-TIME(0,0,8)</f>
        <v>0.49281945601851856</v>
      </c>
      <c r="F45" t="s">
        <v>9</v>
      </c>
      <c r="G45" t="s">
        <v>19</v>
      </c>
      <c r="H45">
        <f t="shared" si="1"/>
        <v>-124</v>
      </c>
      <c r="I45">
        <v>-3</v>
      </c>
      <c r="L45">
        <f>480+2*(Table25[[#This Row],[min value (corrected)]]-49)</f>
        <v>480</v>
      </c>
      <c r="M45">
        <f>MINUTE(Table25[[#This Row],[Corrected time]])</f>
        <v>49</v>
      </c>
      <c r="N45" s="1">
        <v>0.65947718749999995</v>
      </c>
      <c r="O45" s="1">
        <f>Table25[[#This Row],[Time]]-TIME(0,0,4)</f>
        <v>0.65943089120370368</v>
      </c>
      <c r="P45" t="s">
        <v>9</v>
      </c>
      <c r="Q45">
        <v>-124</v>
      </c>
      <c r="R45">
        <f>Table25[[#This Row],[RSSI]]</f>
        <v>-124</v>
      </c>
      <c r="S45">
        <v>-2.7</v>
      </c>
    </row>
    <row r="46" spans="2:30" x14ac:dyDescent="0.25">
      <c r="B46">
        <f>480+2*(Table14[[#This Row],[min value (corrected)]]-49)</f>
        <v>480</v>
      </c>
      <c r="C46">
        <f>MINUTE(Table14[[#This Row],[Corrected time]])</f>
        <v>49</v>
      </c>
      <c r="D46" s="1">
        <v>0.49293188657407411</v>
      </c>
      <c r="E46" s="1">
        <f>Table14[[#This Row],[Time]]-TIME(0,0,8)</f>
        <v>0.49283929398148152</v>
      </c>
      <c r="F46" t="s">
        <v>9</v>
      </c>
      <c r="G46" t="s">
        <v>19</v>
      </c>
      <c r="H46">
        <f t="shared" si="1"/>
        <v>-124</v>
      </c>
      <c r="I46">
        <v>-2.7</v>
      </c>
      <c r="L46">
        <f>480+2*(Table25[[#This Row],[min value (corrected)]]-49)</f>
        <v>480</v>
      </c>
      <c r="M46">
        <f>MINUTE(Table25[[#This Row],[Corrected time]])</f>
        <v>49</v>
      </c>
      <c r="N46" s="1">
        <v>0.65949701388888893</v>
      </c>
      <c r="O46" s="1">
        <f>Table25[[#This Row],[Time]]-TIME(0,0,4)</f>
        <v>0.65945071759259266</v>
      </c>
      <c r="P46" t="s">
        <v>9</v>
      </c>
      <c r="Q46">
        <v>-124</v>
      </c>
      <c r="R46">
        <f>Table25[[#This Row],[RSSI]]</f>
        <v>-124</v>
      </c>
      <c r="S46">
        <v>-2.7</v>
      </c>
    </row>
    <row r="47" spans="2:30" x14ac:dyDescent="0.25">
      <c r="B47">
        <f>480+2*(Table14[[#This Row],[min value (corrected)]]-49)</f>
        <v>480</v>
      </c>
      <c r="C47">
        <f>MINUTE(Table14[[#This Row],[Corrected time]])</f>
        <v>49</v>
      </c>
      <c r="D47" s="1">
        <v>0.49295172453703706</v>
      </c>
      <c r="E47" s="1">
        <f>Table14[[#This Row],[Time]]-TIME(0,0,8)</f>
        <v>0.49285913194444447</v>
      </c>
      <c r="F47" t="s">
        <v>9</v>
      </c>
      <c r="G47" t="s">
        <v>19</v>
      </c>
      <c r="H47">
        <f t="shared" si="1"/>
        <v>-124</v>
      </c>
      <c r="I47">
        <v>-2.7</v>
      </c>
      <c r="L47">
        <f>480+2*(Table25[[#This Row],[min value (corrected)]]-49)</f>
        <v>480</v>
      </c>
      <c r="M47">
        <f>MINUTE(Table25[[#This Row],[Corrected time]])</f>
        <v>49</v>
      </c>
      <c r="N47" s="1">
        <v>0.65951686342592586</v>
      </c>
      <c r="O47" s="1">
        <f>Table25[[#This Row],[Time]]-TIME(0,0,4)</f>
        <v>0.65947056712962959</v>
      </c>
      <c r="P47" t="s">
        <v>9</v>
      </c>
      <c r="Q47">
        <v>-124</v>
      </c>
      <c r="R47">
        <f>Table25[[#This Row],[RSSI]]</f>
        <v>-124</v>
      </c>
      <c r="S47">
        <v>-2.5</v>
      </c>
    </row>
    <row r="48" spans="2:30" x14ac:dyDescent="0.25">
      <c r="B48">
        <f>480+2*(Table14[[#This Row],[min value (corrected)]]-49)</f>
        <v>480</v>
      </c>
      <c r="C48">
        <f>MINUTE(Table14[[#This Row],[Corrected time]])</f>
        <v>49</v>
      </c>
      <c r="D48" s="1">
        <v>0.49297155092592593</v>
      </c>
      <c r="E48" s="1">
        <f>Table14[[#This Row],[Time]]-TIME(0,0,8)</f>
        <v>0.49287895833333334</v>
      </c>
      <c r="F48" t="s">
        <v>9</v>
      </c>
      <c r="G48" t="s">
        <v>19</v>
      </c>
      <c r="H48">
        <f t="shared" si="1"/>
        <v>-124</v>
      </c>
      <c r="I48">
        <v>-2.5</v>
      </c>
      <c r="L48">
        <f>480+2*(Table25[[#This Row],[min value (corrected)]]-49)</f>
        <v>480</v>
      </c>
      <c r="M48">
        <f>MINUTE(Table25[[#This Row],[Corrected time]])</f>
        <v>49</v>
      </c>
      <c r="N48" s="1">
        <v>0.65953670138888887</v>
      </c>
      <c r="O48" s="1">
        <f>Table25[[#This Row],[Time]]-TIME(0,0,4)</f>
        <v>0.6594904050925926</v>
      </c>
      <c r="P48" t="s">
        <v>9</v>
      </c>
      <c r="Q48">
        <v>-124</v>
      </c>
      <c r="R48">
        <f>Table25[[#This Row],[RSSI]]</f>
        <v>-124</v>
      </c>
      <c r="S48">
        <v>-2.5</v>
      </c>
    </row>
    <row r="49" spans="2:19" x14ac:dyDescent="0.25">
      <c r="B49">
        <f>480+2*(Table14[[#This Row],[min value (corrected)]]-49)</f>
        <v>480</v>
      </c>
      <c r="C49">
        <f>MINUTE(Table14[[#This Row],[Corrected time]])</f>
        <v>49</v>
      </c>
      <c r="D49" s="1">
        <v>0.49299140046296297</v>
      </c>
      <c r="E49" s="1">
        <f>Table14[[#This Row],[Time]]-TIME(0,0,8)</f>
        <v>0.49289880787037038</v>
      </c>
      <c r="F49" t="s">
        <v>9</v>
      </c>
      <c r="G49" t="s">
        <v>19</v>
      </c>
      <c r="H49">
        <f t="shared" si="1"/>
        <v>-124</v>
      </c>
      <c r="I49">
        <v>-2.5</v>
      </c>
      <c r="L49">
        <f>480+2*(Table25[[#This Row],[min value (corrected)]]-49)</f>
        <v>480</v>
      </c>
      <c r="M49">
        <f>MINUTE(Table25[[#This Row],[Corrected time]])</f>
        <v>49</v>
      </c>
      <c r="N49" s="1">
        <v>0.65955653935185188</v>
      </c>
      <c r="O49" s="1">
        <f>Table25[[#This Row],[Time]]-TIME(0,0,4)</f>
        <v>0.65951024305555561</v>
      </c>
      <c r="P49" t="s">
        <v>9</v>
      </c>
      <c r="Q49">
        <v>-124</v>
      </c>
      <c r="R49">
        <f>Table25[[#This Row],[RSSI]]</f>
        <v>-124</v>
      </c>
      <c r="S49">
        <v>-2.7</v>
      </c>
    </row>
    <row r="50" spans="2:19" x14ac:dyDescent="0.25">
      <c r="B50">
        <f>480+2*(Table14[[#This Row],[min value (corrected)]]-49)</f>
        <v>480</v>
      </c>
      <c r="C50">
        <f>MINUTE(Table14[[#This Row],[Corrected time]])</f>
        <v>49</v>
      </c>
      <c r="D50" s="1">
        <v>0.49301122685185184</v>
      </c>
      <c r="E50" s="1">
        <f>Table14[[#This Row],[Time]]-TIME(0,0,8)</f>
        <v>0.49291863425925925</v>
      </c>
      <c r="F50" t="s">
        <v>9</v>
      </c>
      <c r="G50" t="s">
        <v>12</v>
      </c>
      <c r="H50">
        <f t="shared" si="1"/>
        <v>-123</v>
      </c>
      <c r="I50">
        <v>-2.2000000000000002</v>
      </c>
      <c r="L50">
        <f>480+2*(Table25[[#This Row],[min value (corrected)]]-49)</f>
        <v>480</v>
      </c>
      <c r="M50">
        <f>MINUTE(Table25[[#This Row],[Corrected time]])</f>
        <v>49</v>
      </c>
      <c r="N50" s="1">
        <v>0.65957636574074074</v>
      </c>
      <c r="O50" s="1">
        <f>Table25[[#This Row],[Time]]-TIME(0,0,4)</f>
        <v>0.65953006944444448</v>
      </c>
      <c r="P50" t="s">
        <v>9</v>
      </c>
      <c r="Q50">
        <v>-124</v>
      </c>
      <c r="R50">
        <f>Table25[[#This Row],[RSSI]]</f>
        <v>-124</v>
      </c>
      <c r="S50">
        <v>-2.7</v>
      </c>
    </row>
    <row r="51" spans="2:19" x14ac:dyDescent="0.25">
      <c r="B51">
        <f>480+2*(Table14[[#This Row],[min value (corrected)]]-49)</f>
        <v>480</v>
      </c>
      <c r="C51">
        <f>MINUTE(Table14[[#This Row],[Corrected time]])</f>
        <v>49</v>
      </c>
      <c r="D51" s="1">
        <v>0.49303107638888893</v>
      </c>
      <c r="E51" s="1">
        <f>Table14[[#This Row],[Time]]-TIME(0,0,8)</f>
        <v>0.49293848379629635</v>
      </c>
      <c r="F51" t="s">
        <v>9</v>
      </c>
      <c r="G51" t="s">
        <v>19</v>
      </c>
      <c r="H51">
        <f t="shared" si="1"/>
        <v>-124</v>
      </c>
      <c r="I51">
        <v>-2.7</v>
      </c>
      <c r="L51">
        <f>480+2*(Table25[[#This Row],[min value (corrected)]]-49)</f>
        <v>480</v>
      </c>
      <c r="M51">
        <f>MINUTE(Table25[[#This Row],[Corrected time]])</f>
        <v>49</v>
      </c>
      <c r="N51" s="1">
        <v>0.65959621527777779</v>
      </c>
      <c r="O51" s="1">
        <f>Table25[[#This Row],[Time]]-TIME(0,0,4)</f>
        <v>0.65954991898148152</v>
      </c>
      <c r="P51" t="s">
        <v>9</v>
      </c>
      <c r="Q51">
        <v>-124</v>
      </c>
      <c r="R51">
        <f>Table25[[#This Row],[RSSI]]</f>
        <v>-124</v>
      </c>
      <c r="S51">
        <v>-2.7</v>
      </c>
    </row>
    <row r="52" spans="2:19" x14ac:dyDescent="0.25">
      <c r="B52">
        <f>480+2*(Table14[[#This Row],[min value (corrected)]]-49)</f>
        <v>480</v>
      </c>
      <c r="C52">
        <f>MINUTE(Table14[[#This Row],[Corrected time]])</f>
        <v>49</v>
      </c>
      <c r="D52" s="1">
        <v>0.49305089120370371</v>
      </c>
      <c r="E52" s="1">
        <f>Table14[[#This Row],[Time]]-TIME(0,0,8)</f>
        <v>0.49295829861111112</v>
      </c>
      <c r="F52" t="s">
        <v>9</v>
      </c>
      <c r="G52" t="s">
        <v>19</v>
      </c>
      <c r="H52">
        <f t="shared" si="1"/>
        <v>-124</v>
      </c>
      <c r="I52">
        <v>-2.5</v>
      </c>
      <c r="L52">
        <f>480+2*(Table25[[#This Row],[min value (corrected)]]-49)</f>
        <v>480</v>
      </c>
      <c r="M52">
        <f>MINUTE(Table25[[#This Row],[Corrected time]])</f>
        <v>49</v>
      </c>
      <c r="N52" s="1">
        <v>0.65961604166666665</v>
      </c>
      <c r="O52" s="1">
        <f>Table25[[#This Row],[Time]]-TIME(0,0,4)</f>
        <v>0.65956974537037039</v>
      </c>
      <c r="P52" t="s">
        <v>9</v>
      </c>
      <c r="Q52">
        <v>-124</v>
      </c>
      <c r="R52">
        <f>Table25[[#This Row],[RSSI]]</f>
        <v>-124</v>
      </c>
      <c r="S52">
        <v>-3</v>
      </c>
    </row>
    <row r="53" spans="2:19" x14ac:dyDescent="0.25">
      <c r="B53">
        <f>480+2*(Table14[[#This Row],[min value (corrected)]]-49)</f>
        <v>480</v>
      </c>
      <c r="C53">
        <f>MINUTE(Table14[[#This Row],[Corrected time]])</f>
        <v>49</v>
      </c>
      <c r="D53" s="1">
        <v>0.49307072916666667</v>
      </c>
      <c r="E53" s="1">
        <f>Table14[[#This Row],[Time]]-TIME(0,0,8)</f>
        <v>0.49297813657407408</v>
      </c>
      <c r="F53" t="s">
        <v>9</v>
      </c>
      <c r="G53" t="s">
        <v>19</v>
      </c>
      <c r="H53">
        <f t="shared" si="1"/>
        <v>-124</v>
      </c>
      <c r="I53">
        <v>-2.5</v>
      </c>
      <c r="L53">
        <f>480+2*(Table25[[#This Row],[min value (corrected)]]-49)</f>
        <v>480</v>
      </c>
      <c r="M53">
        <f>MINUTE(Table25[[#This Row],[Corrected time]])</f>
        <v>49</v>
      </c>
      <c r="N53" s="1">
        <v>0.65963587962962966</v>
      </c>
      <c r="O53" s="1">
        <f>Table25[[#This Row],[Time]]-TIME(0,0,4)</f>
        <v>0.6595895833333334</v>
      </c>
      <c r="P53" t="s">
        <v>9</v>
      </c>
      <c r="Q53">
        <v>-124</v>
      </c>
      <c r="R53">
        <f>Table25[[#This Row],[RSSI]]</f>
        <v>-124</v>
      </c>
      <c r="S53">
        <v>-3</v>
      </c>
    </row>
    <row r="54" spans="2:19" x14ac:dyDescent="0.25">
      <c r="B54">
        <f>480+2*(Table14[[#This Row],[min value (corrected)]]-49)</f>
        <v>480</v>
      </c>
      <c r="C54">
        <f>MINUTE(Table14[[#This Row],[Corrected time]])</f>
        <v>49</v>
      </c>
      <c r="D54" s="1">
        <v>0.4930905902777778</v>
      </c>
      <c r="E54" s="1">
        <f>Table14[[#This Row],[Time]]-TIME(0,0,8)</f>
        <v>0.49299799768518521</v>
      </c>
      <c r="F54" t="s">
        <v>9</v>
      </c>
      <c r="G54" t="s">
        <v>19</v>
      </c>
      <c r="H54">
        <f t="shared" si="1"/>
        <v>-124</v>
      </c>
      <c r="I54">
        <v>-2.5</v>
      </c>
      <c r="L54">
        <f>480+2*(Table25[[#This Row],[min value (corrected)]]-49)</f>
        <v>480</v>
      </c>
      <c r="M54">
        <f>MINUTE(Table25[[#This Row],[Corrected time]])</f>
        <v>49</v>
      </c>
      <c r="N54" s="1">
        <v>0.65965572916666659</v>
      </c>
      <c r="O54" s="1">
        <f>Table25[[#This Row],[Time]]-TIME(0,0,4)</f>
        <v>0.65960943287037033</v>
      </c>
      <c r="P54" t="s">
        <v>9</v>
      </c>
      <c r="Q54">
        <v>-124</v>
      </c>
      <c r="R54">
        <f>Table25[[#This Row],[RSSI]]</f>
        <v>-124</v>
      </c>
      <c r="S54">
        <v>-3</v>
      </c>
    </row>
    <row r="55" spans="2:19" x14ac:dyDescent="0.25">
      <c r="B55">
        <f>480+2*(Table14[[#This Row],[min value (corrected)]]-49)</f>
        <v>480</v>
      </c>
      <c r="C55">
        <f>MINUTE(Table14[[#This Row],[Corrected time]])</f>
        <v>49</v>
      </c>
      <c r="D55" s="1">
        <v>0.49311041666666666</v>
      </c>
      <c r="E55" s="1">
        <f>Table14[[#This Row],[Time]]-TIME(0,0,8)</f>
        <v>0.49301782407407407</v>
      </c>
      <c r="F55" t="s">
        <v>9</v>
      </c>
      <c r="G55" t="s">
        <v>19</v>
      </c>
      <c r="H55">
        <f t="shared" si="1"/>
        <v>-124</v>
      </c>
      <c r="I55">
        <v>-3</v>
      </c>
      <c r="L55">
        <f>480+2*(Table25[[#This Row],[min value (corrected)]]-49)</f>
        <v>480</v>
      </c>
      <c r="M55">
        <f>MINUTE(Table25[[#This Row],[Corrected time]])</f>
        <v>49</v>
      </c>
      <c r="N55" s="1">
        <v>0.6596755671296296</v>
      </c>
      <c r="O55" s="1">
        <f>Table25[[#This Row],[Time]]-TIME(0,0,4)</f>
        <v>0.65962927083333334</v>
      </c>
      <c r="P55" t="s">
        <v>9</v>
      </c>
      <c r="Q55">
        <v>-123</v>
      </c>
      <c r="R55">
        <f>Table25[[#This Row],[RSSI]]</f>
        <v>-123</v>
      </c>
      <c r="S55">
        <v>-2.7</v>
      </c>
    </row>
    <row r="56" spans="2:19" x14ac:dyDescent="0.25">
      <c r="B56">
        <f>480+2*(Table14[[#This Row],[min value (corrected)]]-49)</f>
        <v>480</v>
      </c>
      <c r="C56">
        <f>MINUTE(Table14[[#This Row],[Corrected time]])</f>
        <v>49</v>
      </c>
      <c r="D56" s="1">
        <v>0.4931302662037037</v>
      </c>
      <c r="E56" s="1">
        <f>Table14[[#This Row],[Time]]-TIME(0,0,8)</f>
        <v>0.49303767361111112</v>
      </c>
      <c r="F56" t="s">
        <v>9</v>
      </c>
      <c r="G56" t="s">
        <v>28</v>
      </c>
      <c r="H56">
        <f t="shared" si="1"/>
        <v>-125</v>
      </c>
      <c r="I56">
        <v>-3.5</v>
      </c>
      <c r="L56">
        <f>480+2*(Table25[[#This Row],[min value (corrected)]]-49)</f>
        <v>480</v>
      </c>
      <c r="M56">
        <f>MINUTE(Table25[[#This Row],[Corrected time]])</f>
        <v>49</v>
      </c>
      <c r="N56" s="1">
        <v>0.65969540509259261</v>
      </c>
      <c r="O56" s="1">
        <f>Table25[[#This Row],[Time]]-TIME(0,0,4)</f>
        <v>0.65964910879629635</v>
      </c>
      <c r="P56" t="s">
        <v>9</v>
      </c>
      <c r="Q56">
        <v>-124</v>
      </c>
      <c r="R56">
        <f>Table25[[#This Row],[RSSI]]</f>
        <v>-124</v>
      </c>
      <c r="S56">
        <v>-2.2000000000000002</v>
      </c>
    </row>
    <row r="57" spans="2:19" x14ac:dyDescent="0.25">
      <c r="B57">
        <f>480+2*(Table14[[#This Row],[min value (corrected)]]-49)</f>
        <v>482</v>
      </c>
      <c r="C57">
        <f>MINUTE(Table14[[#This Row],[Corrected time]])</f>
        <v>50</v>
      </c>
      <c r="D57" s="1">
        <v>0.49315009259259257</v>
      </c>
      <c r="E57" s="1">
        <f>Table14[[#This Row],[Time]]-TIME(0,0,8)</f>
        <v>0.49305749999999998</v>
      </c>
      <c r="F57" t="s">
        <v>9</v>
      </c>
      <c r="G57" t="s">
        <v>19</v>
      </c>
      <c r="H57">
        <f t="shared" si="1"/>
        <v>-124</v>
      </c>
      <c r="I57">
        <v>-3.5</v>
      </c>
      <c r="L57">
        <f>480+2*(Table25[[#This Row],[min value (corrected)]]-49)</f>
        <v>480</v>
      </c>
      <c r="M57">
        <f>MINUTE(Table25[[#This Row],[Corrected time]])</f>
        <v>49</v>
      </c>
      <c r="N57" s="1">
        <v>0.65971524305555551</v>
      </c>
      <c r="O57" s="1">
        <f>Table25[[#This Row],[Time]]-TIME(0,0,4)</f>
        <v>0.65966894675925924</v>
      </c>
      <c r="P57" t="s">
        <v>9</v>
      </c>
      <c r="Q57">
        <v>-124</v>
      </c>
      <c r="R57">
        <f>Table25[[#This Row],[RSSI]]</f>
        <v>-124</v>
      </c>
      <c r="S57">
        <v>-2.5</v>
      </c>
    </row>
    <row r="58" spans="2:19" x14ac:dyDescent="0.25">
      <c r="B58">
        <f>480+2*(Table14[[#This Row],[min value (corrected)]]-49)</f>
        <v>482</v>
      </c>
      <c r="C58">
        <f>MINUTE(Table14[[#This Row],[Corrected time]])</f>
        <v>50</v>
      </c>
      <c r="D58" s="1">
        <v>0.49316993055555552</v>
      </c>
      <c r="E58" s="1">
        <f>Table14[[#This Row],[Time]]-TIME(0,0,8)</f>
        <v>0.49307733796296294</v>
      </c>
      <c r="F58" t="s">
        <v>9</v>
      </c>
      <c r="G58" t="s">
        <v>28</v>
      </c>
      <c r="H58">
        <f t="shared" si="1"/>
        <v>-125</v>
      </c>
      <c r="I58">
        <v>-3.2</v>
      </c>
      <c r="L58">
        <f>480+2*(Table25[[#This Row],[min value (corrected)]]-49)</f>
        <v>480</v>
      </c>
      <c r="M58">
        <f>MINUTE(Table25[[#This Row],[Corrected time]])</f>
        <v>49</v>
      </c>
      <c r="N58" s="1">
        <v>0.65973506944444449</v>
      </c>
      <c r="O58" s="1">
        <f>Table25[[#This Row],[Time]]-TIME(0,0,4)</f>
        <v>0.65968877314814822</v>
      </c>
      <c r="P58" t="s">
        <v>9</v>
      </c>
      <c r="Q58">
        <v>-124</v>
      </c>
      <c r="R58">
        <f>Table25[[#This Row],[RSSI]]</f>
        <v>-124</v>
      </c>
      <c r="S58">
        <v>-2.5</v>
      </c>
    </row>
    <row r="59" spans="2:19" x14ac:dyDescent="0.25">
      <c r="B59">
        <f>480+2*(Table14[[#This Row],[min value (corrected)]]-49)</f>
        <v>482</v>
      </c>
      <c r="C59">
        <f>MINUTE(Table14[[#This Row],[Corrected time]])</f>
        <v>50</v>
      </c>
      <c r="D59" s="1">
        <v>0.49318978009259262</v>
      </c>
      <c r="E59" s="1">
        <f>Table14[[#This Row],[Time]]-TIME(0,0,8)</f>
        <v>0.49309718750000003</v>
      </c>
      <c r="F59" t="s">
        <v>9</v>
      </c>
      <c r="G59" t="s">
        <v>19</v>
      </c>
      <c r="H59">
        <f t="shared" si="1"/>
        <v>-124</v>
      </c>
      <c r="I59">
        <v>-3.5</v>
      </c>
      <c r="L59">
        <f>480+2*(Table25[[#This Row],[min value (corrected)]]-49)</f>
        <v>480</v>
      </c>
      <c r="M59">
        <f>MINUTE(Table25[[#This Row],[Corrected time]])</f>
        <v>49</v>
      </c>
      <c r="N59" s="1">
        <v>0.65975490740740739</v>
      </c>
      <c r="O59" s="1">
        <f>Table25[[#This Row],[Time]]-TIME(0,0,4)</f>
        <v>0.65970861111111112</v>
      </c>
      <c r="P59" t="s">
        <v>9</v>
      </c>
      <c r="Q59">
        <v>-124</v>
      </c>
      <c r="R59">
        <f>Table25[[#This Row],[RSSI]]</f>
        <v>-124</v>
      </c>
      <c r="S59">
        <v>-3.5</v>
      </c>
    </row>
    <row r="60" spans="2:19" x14ac:dyDescent="0.25">
      <c r="B60">
        <f>480+2*(Table14[[#This Row],[min value (corrected)]]-49)</f>
        <v>482</v>
      </c>
      <c r="C60">
        <f>MINUTE(Table14[[#This Row],[Corrected time]])</f>
        <v>50</v>
      </c>
      <c r="D60" s="1">
        <v>0.49320961805555558</v>
      </c>
      <c r="E60" s="1">
        <f>Table14[[#This Row],[Time]]-TIME(0,0,8)</f>
        <v>0.49311702546296299</v>
      </c>
      <c r="F60" t="s">
        <v>9</v>
      </c>
      <c r="G60" t="s">
        <v>19</v>
      </c>
      <c r="H60">
        <f t="shared" si="1"/>
        <v>-124</v>
      </c>
      <c r="I60">
        <v>-3</v>
      </c>
      <c r="L60">
        <f>480+2*(Table25[[#This Row],[min value (corrected)]]-49)</f>
        <v>482</v>
      </c>
      <c r="M60">
        <f>MINUTE(Table25[[#This Row],[Corrected time]])</f>
        <v>50</v>
      </c>
      <c r="N60" s="1">
        <v>0.65977475694444443</v>
      </c>
      <c r="O60" s="1">
        <f>Table25[[#This Row],[Time]]-TIME(0,0,4)</f>
        <v>0.65972846064814816</v>
      </c>
      <c r="P60" t="s">
        <v>9</v>
      </c>
      <c r="Q60">
        <v>-124</v>
      </c>
      <c r="R60">
        <f>Table25[[#This Row],[RSSI]]</f>
        <v>-124</v>
      </c>
      <c r="S60">
        <v>-3.2</v>
      </c>
    </row>
    <row r="61" spans="2:19" x14ac:dyDescent="0.25">
      <c r="B61">
        <f>480+2*(Table14[[#This Row],[min value (corrected)]]-49)</f>
        <v>482</v>
      </c>
      <c r="C61">
        <f>MINUTE(Table14[[#This Row],[Corrected time]])</f>
        <v>50</v>
      </c>
      <c r="D61" s="1">
        <v>0.49322945601851853</v>
      </c>
      <c r="E61" s="1">
        <f>Table14[[#This Row],[Time]]-TIME(0,0,8)</f>
        <v>0.49313686342592594</v>
      </c>
      <c r="F61" t="s">
        <v>9</v>
      </c>
      <c r="G61" t="s">
        <v>19</v>
      </c>
      <c r="H61">
        <f t="shared" si="1"/>
        <v>-124</v>
      </c>
      <c r="I61">
        <v>-3</v>
      </c>
      <c r="L61">
        <f>480+2*(Table25[[#This Row],[min value (corrected)]]-49)</f>
        <v>482</v>
      </c>
      <c r="M61">
        <f>MINUTE(Table25[[#This Row],[Corrected time]])</f>
        <v>50</v>
      </c>
      <c r="N61" s="1">
        <v>0.6597945833333333</v>
      </c>
      <c r="O61" s="1">
        <f>Table25[[#This Row],[Time]]-TIME(0,0,4)</f>
        <v>0.65974828703703703</v>
      </c>
      <c r="P61" t="s">
        <v>13</v>
      </c>
      <c r="Q61">
        <f>Q60</f>
        <v>-124</v>
      </c>
      <c r="R61">
        <f>Table25[[#This Row],[RSSI]]</f>
        <v>-124</v>
      </c>
    </row>
    <row r="62" spans="2:19" x14ac:dyDescent="0.25">
      <c r="B62">
        <f>480+2*(Table14[[#This Row],[min value (corrected)]]-49)</f>
        <v>482</v>
      </c>
      <c r="C62">
        <f>MINUTE(Table14[[#This Row],[Corrected time]])</f>
        <v>50</v>
      </c>
      <c r="D62" s="1">
        <v>0.49324927083333336</v>
      </c>
      <c r="E62" s="1">
        <f>Table14[[#This Row],[Time]]-TIME(0,0,8)</f>
        <v>0.49315667824074078</v>
      </c>
      <c r="F62" t="s">
        <v>13</v>
      </c>
      <c r="G62" t="str">
        <f>G61</f>
        <v>-124.0,</v>
      </c>
      <c r="H62">
        <f>H61-0.5</f>
        <v>-124.5</v>
      </c>
      <c r="I62">
        <f>I61-0.5</f>
        <v>-3.5</v>
      </c>
      <c r="L62">
        <f>480+2*(Table25[[#This Row],[min value (corrected)]]-49)</f>
        <v>482</v>
      </c>
      <c r="M62">
        <f>MINUTE(Table25[[#This Row],[Corrected time]])</f>
        <v>50</v>
      </c>
      <c r="N62" s="1">
        <v>0.65981442129629631</v>
      </c>
      <c r="O62" s="1">
        <f>Table25[[#This Row],[Time]]-TIME(0,0,4)</f>
        <v>0.65976812500000004</v>
      </c>
      <c r="P62" t="s">
        <v>9</v>
      </c>
      <c r="Q62">
        <v>-125</v>
      </c>
      <c r="R62">
        <f>Table25[[#This Row],[RSSI]]</f>
        <v>-125</v>
      </c>
      <c r="S62">
        <v>-4</v>
      </c>
    </row>
    <row r="63" spans="2:19" x14ac:dyDescent="0.25">
      <c r="B63">
        <f>480+2*(Table14[[#This Row],[min value (corrected)]]-49)</f>
        <v>482</v>
      </c>
      <c r="C63">
        <f>MINUTE(Table14[[#This Row],[Corrected time]])</f>
        <v>50</v>
      </c>
      <c r="D63" s="1">
        <v>0.49326913194444444</v>
      </c>
      <c r="E63" s="1">
        <f>Table14[[#This Row],[Time]]-TIME(0,0,8)</f>
        <v>0.49317653935185185</v>
      </c>
      <c r="F63" t="s">
        <v>9</v>
      </c>
      <c r="G63" t="s">
        <v>19</v>
      </c>
      <c r="H63">
        <f t="shared" si="1"/>
        <v>-124</v>
      </c>
      <c r="I63">
        <v>-2.7</v>
      </c>
      <c r="L63">
        <f>480+2*(Table25[[#This Row],[min value (corrected)]]-49)</f>
        <v>482</v>
      </c>
      <c r="M63">
        <f>MINUTE(Table25[[#This Row],[Corrected time]])</f>
        <v>50</v>
      </c>
      <c r="N63" s="1">
        <v>0.65983425925925931</v>
      </c>
      <c r="O63" s="1">
        <f>Table25[[#This Row],[Time]]-TIME(0,0,4)</f>
        <v>0.65978796296296305</v>
      </c>
      <c r="P63" t="s">
        <v>9</v>
      </c>
      <c r="Q63">
        <v>-124</v>
      </c>
      <c r="R63">
        <f>Table25[[#This Row],[RSSI]]</f>
        <v>-124</v>
      </c>
      <c r="S63">
        <v>-3.2</v>
      </c>
    </row>
    <row r="64" spans="2:19" x14ac:dyDescent="0.25">
      <c r="B64">
        <f>480+2*(Table14[[#This Row],[min value (corrected)]]-49)</f>
        <v>482</v>
      </c>
      <c r="C64">
        <f>MINUTE(Table14[[#This Row],[Corrected time]])</f>
        <v>50</v>
      </c>
      <c r="D64" s="1">
        <v>0.49328896990740745</v>
      </c>
      <c r="E64" s="1">
        <f>Table14[[#This Row],[Time]]-TIME(0,0,8)</f>
        <v>0.49319637731481486</v>
      </c>
      <c r="F64" t="s">
        <v>9</v>
      </c>
      <c r="G64" t="s">
        <v>19</v>
      </c>
      <c r="H64">
        <f t="shared" si="1"/>
        <v>-124</v>
      </c>
      <c r="I64">
        <v>-2.5</v>
      </c>
      <c r="L64">
        <f>480+2*(Table25[[#This Row],[min value (corrected)]]-49)</f>
        <v>482</v>
      </c>
      <c r="M64">
        <f>MINUTE(Table25[[#This Row],[Corrected time]])</f>
        <v>50</v>
      </c>
      <c r="N64" s="1">
        <v>0.65985409722222221</v>
      </c>
      <c r="O64" s="1">
        <f>Table25[[#This Row],[Time]]-TIME(0,0,4)</f>
        <v>0.65980780092592595</v>
      </c>
      <c r="P64" t="s">
        <v>9</v>
      </c>
      <c r="Q64">
        <v>-124</v>
      </c>
      <c r="R64">
        <f>Table25[[#This Row],[RSSI]]</f>
        <v>-124</v>
      </c>
      <c r="S64">
        <v>-3</v>
      </c>
    </row>
    <row r="65" spans="2:19" x14ac:dyDescent="0.25">
      <c r="B65">
        <f>480+2*(Table14[[#This Row],[min value (corrected)]]-49)</f>
        <v>482</v>
      </c>
      <c r="C65">
        <f>MINUTE(Table14[[#This Row],[Corrected time]])</f>
        <v>50</v>
      </c>
      <c r="D65" s="1">
        <v>0.49330879629629626</v>
      </c>
      <c r="E65" s="1">
        <f>Table14[[#This Row],[Time]]-TIME(0,0,8)</f>
        <v>0.49321620370370367</v>
      </c>
      <c r="F65" t="s">
        <v>9</v>
      </c>
      <c r="G65" t="s">
        <v>19</v>
      </c>
      <c r="H65">
        <f t="shared" si="1"/>
        <v>-124</v>
      </c>
      <c r="I65">
        <v>-2.7</v>
      </c>
      <c r="L65">
        <f>480+2*(Table25[[#This Row],[min value (corrected)]]-49)</f>
        <v>482</v>
      </c>
      <c r="M65">
        <f>MINUTE(Table25[[#This Row],[Corrected time]])</f>
        <v>50</v>
      </c>
      <c r="N65" s="1">
        <v>0.65987393518518522</v>
      </c>
      <c r="O65" s="1">
        <f>Table25[[#This Row],[Time]]-TIME(0,0,4)</f>
        <v>0.65982763888888896</v>
      </c>
      <c r="P65" t="s">
        <v>13</v>
      </c>
      <c r="Q65">
        <f>Q64</f>
        <v>-124</v>
      </c>
      <c r="R65">
        <f>Table25[[#This Row],[RSSI]]</f>
        <v>-124</v>
      </c>
    </row>
    <row r="66" spans="2:19" x14ac:dyDescent="0.25">
      <c r="B66">
        <f>480+2*(Table14[[#This Row],[min value (corrected)]]-49)</f>
        <v>482</v>
      </c>
      <c r="C66">
        <f>MINUTE(Table14[[#This Row],[Corrected time]])</f>
        <v>50</v>
      </c>
      <c r="D66" s="1">
        <v>0.49332863425925921</v>
      </c>
      <c r="E66" s="1">
        <f>Table14[[#This Row],[Time]]-TIME(0,0,8)</f>
        <v>0.49323604166666662</v>
      </c>
      <c r="F66" t="s">
        <v>9</v>
      </c>
      <c r="G66" t="s">
        <v>19</v>
      </c>
      <c r="H66">
        <f t="shared" si="1"/>
        <v>-124</v>
      </c>
      <c r="I66">
        <v>-3</v>
      </c>
      <c r="L66">
        <f>480+2*(Table25[[#This Row],[min value (corrected)]]-49)</f>
        <v>482</v>
      </c>
      <c r="M66">
        <f>MINUTE(Table25[[#This Row],[Corrected time]])</f>
        <v>50</v>
      </c>
      <c r="N66" s="1">
        <v>0.65989376157407409</v>
      </c>
      <c r="O66" s="1">
        <f>Table25[[#This Row],[Time]]-TIME(0,0,4)</f>
        <v>0.65984746527777782</v>
      </c>
      <c r="P66" t="s">
        <v>9</v>
      </c>
      <c r="Q66">
        <v>-124</v>
      </c>
      <c r="R66">
        <f>Table25[[#This Row],[RSSI]]</f>
        <v>-124</v>
      </c>
      <c r="S66">
        <v>-2.7</v>
      </c>
    </row>
    <row r="67" spans="2:19" x14ac:dyDescent="0.25">
      <c r="B67">
        <f>480+2*(Table14[[#This Row],[min value (corrected)]]-49)</f>
        <v>482</v>
      </c>
      <c r="C67">
        <f>MINUTE(Table14[[#This Row],[Corrected time]])</f>
        <v>50</v>
      </c>
      <c r="D67" s="1">
        <v>0.49334847222222217</v>
      </c>
      <c r="E67" s="1">
        <f>Table14[[#This Row],[Time]]-TIME(0,0,8)</f>
        <v>0.49325587962962958</v>
      </c>
      <c r="F67" t="s">
        <v>9</v>
      </c>
      <c r="G67" t="s">
        <v>12</v>
      </c>
      <c r="H67">
        <f t="shared" si="1"/>
        <v>-123</v>
      </c>
      <c r="I67">
        <v>-2.7</v>
      </c>
      <c r="L67">
        <f>480+2*(Table25[[#This Row],[min value (corrected)]]-49)</f>
        <v>482</v>
      </c>
      <c r="M67">
        <f>MINUTE(Table25[[#This Row],[Corrected time]])</f>
        <v>50</v>
      </c>
      <c r="N67" s="1">
        <v>0.65991361111111113</v>
      </c>
      <c r="O67" s="1">
        <f>Table25[[#This Row],[Time]]-TIME(0,0,4)</f>
        <v>0.65986731481481486</v>
      </c>
      <c r="P67" t="s">
        <v>9</v>
      </c>
      <c r="Q67">
        <v>-124</v>
      </c>
      <c r="R67">
        <f>Table25[[#This Row],[RSSI]]</f>
        <v>-124</v>
      </c>
      <c r="S67">
        <v>-3.2</v>
      </c>
    </row>
    <row r="68" spans="2:19" x14ac:dyDescent="0.25">
      <c r="B68">
        <f>480+2*(Table14[[#This Row],[min value (corrected)]]-49)</f>
        <v>482</v>
      </c>
      <c r="C68">
        <f>MINUTE(Table14[[#This Row],[Corrected time]])</f>
        <v>50</v>
      </c>
      <c r="D68" s="1">
        <v>0.49336832175925927</v>
      </c>
      <c r="E68" s="1">
        <f>Table14[[#This Row],[Time]]-TIME(0,0,8)</f>
        <v>0.49327572916666668</v>
      </c>
      <c r="F68" t="s">
        <v>9</v>
      </c>
      <c r="G68" t="s">
        <v>19</v>
      </c>
      <c r="H68">
        <f t="shared" ref="H68:H131" si="2">VALUE(LEFT(G68,LEN(G68)-1))</f>
        <v>-124</v>
      </c>
      <c r="I68">
        <v>-2.7</v>
      </c>
      <c r="L68">
        <f>480+2*(Table25[[#This Row],[min value (corrected)]]-49)</f>
        <v>482</v>
      </c>
      <c r="M68">
        <f>MINUTE(Table25[[#This Row],[Corrected time]])</f>
        <v>50</v>
      </c>
      <c r="N68" s="1">
        <v>0.65993344907407403</v>
      </c>
      <c r="O68" s="1">
        <f>Table25[[#This Row],[Time]]-TIME(0,0,4)</f>
        <v>0.65988715277777776</v>
      </c>
      <c r="P68" t="s">
        <v>9</v>
      </c>
      <c r="Q68">
        <v>-124</v>
      </c>
      <c r="R68">
        <f>Table25[[#This Row],[RSSI]]</f>
        <v>-124</v>
      </c>
      <c r="S68">
        <v>-2.5</v>
      </c>
    </row>
    <row r="69" spans="2:19" x14ac:dyDescent="0.25">
      <c r="B69">
        <f>480+2*(Table14[[#This Row],[min value (corrected)]]-49)</f>
        <v>482</v>
      </c>
      <c r="C69">
        <f>MINUTE(Table14[[#This Row],[Corrected time]])</f>
        <v>50</v>
      </c>
      <c r="D69" s="1">
        <v>0.49338815972222222</v>
      </c>
      <c r="E69" s="1">
        <f>Table14[[#This Row],[Time]]-TIME(0,0,8)</f>
        <v>0.49329556712962963</v>
      </c>
      <c r="F69" t="s">
        <v>9</v>
      </c>
      <c r="G69" t="s">
        <v>19</v>
      </c>
      <c r="H69">
        <f t="shared" si="2"/>
        <v>-124</v>
      </c>
      <c r="I69">
        <v>-2.7</v>
      </c>
      <c r="L69">
        <f>480+2*(Table25[[#This Row],[min value (corrected)]]-49)</f>
        <v>482</v>
      </c>
      <c r="M69">
        <f>MINUTE(Table25[[#This Row],[Corrected time]])</f>
        <v>50</v>
      </c>
      <c r="N69" s="1">
        <v>0.65995328703703704</v>
      </c>
      <c r="O69" s="1">
        <f>Table25[[#This Row],[Time]]-TIME(0,0,4)</f>
        <v>0.65990699074074077</v>
      </c>
      <c r="P69" t="s">
        <v>9</v>
      </c>
      <c r="Q69">
        <v>-124</v>
      </c>
      <c r="R69">
        <f>Table25[[#This Row],[RSSI]]</f>
        <v>-124</v>
      </c>
      <c r="S69">
        <v>-3</v>
      </c>
    </row>
    <row r="70" spans="2:19" x14ac:dyDescent="0.25">
      <c r="B70">
        <f>480+2*(Table14[[#This Row],[min value (corrected)]]-49)</f>
        <v>482</v>
      </c>
      <c r="C70">
        <f>MINUTE(Table14[[#This Row],[Corrected time]])</f>
        <v>50</v>
      </c>
      <c r="D70" s="1">
        <v>0.49340798611111109</v>
      </c>
      <c r="E70" s="1">
        <f>Table14[[#This Row],[Time]]-TIME(0,0,8)</f>
        <v>0.4933153935185185</v>
      </c>
      <c r="F70" t="s">
        <v>9</v>
      </c>
      <c r="G70" t="s">
        <v>19</v>
      </c>
      <c r="H70">
        <f t="shared" si="2"/>
        <v>-124</v>
      </c>
      <c r="I70">
        <v>-2.7</v>
      </c>
      <c r="L70">
        <f>480+2*(Table25[[#This Row],[min value (corrected)]]-49)</f>
        <v>482</v>
      </c>
      <c r="M70">
        <f>MINUTE(Table25[[#This Row],[Corrected time]])</f>
        <v>50</v>
      </c>
      <c r="N70" s="1">
        <v>0.65997312500000005</v>
      </c>
      <c r="O70" s="1">
        <f>Table25[[#This Row],[Time]]-TIME(0,0,4)</f>
        <v>0.65992682870370378</v>
      </c>
      <c r="P70" t="s">
        <v>9</v>
      </c>
      <c r="Q70">
        <v>-124</v>
      </c>
      <c r="R70">
        <f>Table25[[#This Row],[RSSI]]</f>
        <v>-124</v>
      </c>
      <c r="S70">
        <v>-2.7</v>
      </c>
    </row>
    <row r="71" spans="2:19" x14ac:dyDescent="0.25">
      <c r="B71">
        <f>480+2*(Table14[[#This Row],[min value (corrected)]]-49)</f>
        <v>482</v>
      </c>
      <c r="C71">
        <f>MINUTE(Table14[[#This Row],[Corrected time]])</f>
        <v>50</v>
      </c>
      <c r="D71" s="1">
        <v>0.49342782407407404</v>
      </c>
      <c r="E71" s="1">
        <f>Table14[[#This Row],[Time]]-TIME(0,0,8)</f>
        <v>0.49333523148148145</v>
      </c>
      <c r="F71" t="s">
        <v>9</v>
      </c>
      <c r="G71" t="s">
        <v>19</v>
      </c>
      <c r="H71">
        <f t="shared" si="2"/>
        <v>-124</v>
      </c>
      <c r="I71">
        <v>-2.2000000000000002</v>
      </c>
      <c r="L71">
        <f>480+2*(Table25[[#This Row],[min value (corrected)]]-49)</f>
        <v>482</v>
      </c>
      <c r="M71">
        <f>MINUTE(Table25[[#This Row],[Corrected time]])</f>
        <v>50</v>
      </c>
      <c r="N71" s="1">
        <v>0.65999296296296295</v>
      </c>
      <c r="O71" s="1">
        <f>Table25[[#This Row],[Time]]-TIME(0,0,4)</f>
        <v>0.65994666666666668</v>
      </c>
      <c r="P71" t="s">
        <v>9</v>
      </c>
      <c r="Q71">
        <v>-124</v>
      </c>
      <c r="R71">
        <f>Table25[[#This Row],[RSSI]]</f>
        <v>-124</v>
      </c>
      <c r="S71">
        <v>-2.7</v>
      </c>
    </row>
    <row r="72" spans="2:19" x14ac:dyDescent="0.25">
      <c r="B72">
        <f>480+2*(Table14[[#This Row],[min value (corrected)]]-49)</f>
        <v>482</v>
      </c>
      <c r="C72">
        <f>MINUTE(Table14[[#This Row],[Corrected time]])</f>
        <v>50</v>
      </c>
      <c r="D72" s="1">
        <v>0.49344767361111114</v>
      </c>
      <c r="E72" s="1">
        <f>Table14[[#This Row],[Time]]-TIME(0,0,8)</f>
        <v>0.49335508101851855</v>
      </c>
      <c r="F72" t="s">
        <v>9</v>
      </c>
      <c r="G72" t="s">
        <v>19</v>
      </c>
      <c r="H72">
        <f t="shared" si="2"/>
        <v>-124</v>
      </c>
      <c r="I72">
        <v>-2.7</v>
      </c>
      <c r="L72">
        <f>480+2*(Table25[[#This Row],[min value (corrected)]]-49)</f>
        <v>482</v>
      </c>
      <c r="M72">
        <f>MINUTE(Table25[[#This Row],[Corrected time]])</f>
        <v>50</v>
      </c>
      <c r="N72" s="1">
        <v>0.66001280092592596</v>
      </c>
      <c r="O72" s="1">
        <f>Table25[[#This Row],[Time]]-TIME(0,0,4)</f>
        <v>0.65996650462962969</v>
      </c>
      <c r="P72" t="s">
        <v>9</v>
      </c>
      <c r="Q72">
        <v>-123</v>
      </c>
      <c r="R72">
        <f>Table25[[#This Row],[RSSI]]</f>
        <v>-123</v>
      </c>
      <c r="S72">
        <v>-2.2000000000000002</v>
      </c>
    </row>
    <row r="73" spans="2:19" x14ac:dyDescent="0.25">
      <c r="B73">
        <f>480+2*(Table14[[#This Row],[min value (corrected)]]-49)</f>
        <v>482</v>
      </c>
      <c r="C73">
        <f>MINUTE(Table14[[#This Row],[Corrected time]])</f>
        <v>50</v>
      </c>
      <c r="D73" s="1">
        <v>0.49346751157407409</v>
      </c>
      <c r="E73" s="1">
        <f>Table14[[#This Row],[Time]]-TIME(0,0,8)</f>
        <v>0.4933749189814815</v>
      </c>
      <c r="F73" t="s">
        <v>9</v>
      </c>
      <c r="G73" t="s">
        <v>19</v>
      </c>
      <c r="H73">
        <f t="shared" si="2"/>
        <v>-124</v>
      </c>
      <c r="I73">
        <v>-2.7</v>
      </c>
      <c r="L73">
        <f>480+2*(Table25[[#This Row],[min value (corrected)]]-49)</f>
        <v>482</v>
      </c>
      <c r="M73">
        <f>MINUTE(Table25[[#This Row],[Corrected time]])</f>
        <v>50</v>
      </c>
      <c r="N73" s="1">
        <v>0.66003263888888886</v>
      </c>
      <c r="O73" s="1">
        <f>Table25[[#This Row],[Time]]-TIME(0,0,4)</f>
        <v>0.65998634259259259</v>
      </c>
      <c r="P73" t="s">
        <v>9</v>
      </c>
      <c r="Q73">
        <v>-124</v>
      </c>
      <c r="R73">
        <f>Table25[[#This Row],[RSSI]]</f>
        <v>-124</v>
      </c>
      <c r="S73">
        <v>-2.5</v>
      </c>
    </row>
    <row r="74" spans="2:19" x14ac:dyDescent="0.25">
      <c r="B74">
        <f>480+2*(Table14[[#This Row],[min value (corrected)]]-49)</f>
        <v>482</v>
      </c>
      <c r="C74">
        <f>MINUTE(Table14[[#This Row],[Corrected time]])</f>
        <v>50</v>
      </c>
      <c r="D74" s="1">
        <v>0.49348734953703705</v>
      </c>
      <c r="E74" s="1">
        <f>Table14[[#This Row],[Time]]-TIME(0,0,8)</f>
        <v>0.49339475694444446</v>
      </c>
      <c r="F74" t="s">
        <v>9</v>
      </c>
      <c r="G74" t="s">
        <v>19</v>
      </c>
      <c r="H74">
        <f t="shared" si="2"/>
        <v>-124</v>
      </c>
      <c r="I74">
        <v>-2.7</v>
      </c>
      <c r="L74">
        <f>480+2*(Table25[[#This Row],[min value (corrected)]]-49)</f>
        <v>482</v>
      </c>
      <c r="M74">
        <f>MINUTE(Table25[[#This Row],[Corrected time]])</f>
        <v>50</v>
      </c>
      <c r="N74" s="1">
        <v>0.66005247685185187</v>
      </c>
      <c r="O74" s="1">
        <f>Table25[[#This Row],[Time]]-TIME(0,0,4)</f>
        <v>0.6600061805555556</v>
      </c>
      <c r="P74" t="s">
        <v>9</v>
      </c>
      <c r="Q74">
        <v>-124</v>
      </c>
      <c r="R74">
        <f>Table25[[#This Row],[RSSI]]</f>
        <v>-124</v>
      </c>
      <c r="S74">
        <v>-2.7</v>
      </c>
    </row>
    <row r="75" spans="2:19" x14ac:dyDescent="0.25">
      <c r="B75">
        <f>480+2*(Table14[[#This Row],[min value (corrected)]]-49)</f>
        <v>482</v>
      </c>
      <c r="C75">
        <f>MINUTE(Table14[[#This Row],[Corrected time]])</f>
        <v>50</v>
      </c>
      <c r="D75" s="1">
        <v>0.4935071875</v>
      </c>
      <c r="E75" s="1">
        <f>Table14[[#This Row],[Time]]-TIME(0,0,8)</f>
        <v>0.49341459490740741</v>
      </c>
      <c r="F75" t="s">
        <v>9</v>
      </c>
      <c r="G75" t="s">
        <v>19</v>
      </c>
      <c r="H75">
        <f t="shared" si="2"/>
        <v>-124</v>
      </c>
      <c r="I75">
        <v>-2.5</v>
      </c>
      <c r="L75">
        <f>480+2*(Table25[[#This Row],[min value (corrected)]]-49)</f>
        <v>482</v>
      </c>
      <c r="M75">
        <f>MINUTE(Table25[[#This Row],[Corrected time]])</f>
        <v>50</v>
      </c>
      <c r="N75" s="1">
        <v>0.66007231481481476</v>
      </c>
      <c r="O75" s="1">
        <f>Table25[[#This Row],[Time]]-TIME(0,0,4)</f>
        <v>0.6600260185185185</v>
      </c>
      <c r="P75" t="s">
        <v>9</v>
      </c>
      <c r="Q75">
        <v>-124</v>
      </c>
      <c r="R75">
        <f>Table25[[#This Row],[RSSI]]</f>
        <v>-124</v>
      </c>
      <c r="S75">
        <v>-2.7</v>
      </c>
    </row>
    <row r="76" spans="2:19" x14ac:dyDescent="0.25">
      <c r="B76">
        <f>480+2*(Table14[[#This Row],[min value (corrected)]]-49)</f>
        <v>482</v>
      </c>
      <c r="C76">
        <f>MINUTE(Table14[[#This Row],[Corrected time]])</f>
        <v>50</v>
      </c>
      <c r="D76" s="1">
        <v>0.49352702546296295</v>
      </c>
      <c r="E76" s="1">
        <f>Table14[[#This Row],[Time]]-TIME(0,0,8)</f>
        <v>0.49343443287037037</v>
      </c>
      <c r="F76" t="s">
        <v>9</v>
      </c>
      <c r="G76" t="s">
        <v>19</v>
      </c>
      <c r="H76">
        <f t="shared" si="2"/>
        <v>-124</v>
      </c>
      <c r="I76">
        <v>-2.7</v>
      </c>
      <c r="L76">
        <f>480+2*(Table25[[#This Row],[min value (corrected)]]-49)</f>
        <v>482</v>
      </c>
      <c r="M76">
        <f>MINUTE(Table25[[#This Row],[Corrected time]])</f>
        <v>50</v>
      </c>
      <c r="N76" s="1">
        <v>0.66009215277777777</v>
      </c>
      <c r="O76" s="1">
        <f>Table25[[#This Row],[Time]]-TIME(0,0,4)</f>
        <v>0.66004585648148151</v>
      </c>
      <c r="P76" t="s">
        <v>9</v>
      </c>
      <c r="Q76">
        <v>-124</v>
      </c>
      <c r="R76">
        <f>Table25[[#This Row],[RSSI]]</f>
        <v>-124</v>
      </c>
      <c r="S76">
        <v>-2.7</v>
      </c>
    </row>
    <row r="77" spans="2:19" x14ac:dyDescent="0.25">
      <c r="B77">
        <f>480+2*(Table14[[#This Row],[min value (corrected)]]-49)</f>
        <v>482</v>
      </c>
      <c r="C77">
        <f>MINUTE(Table14[[#This Row],[Corrected time]])</f>
        <v>50</v>
      </c>
      <c r="D77" s="1">
        <v>0.49354686342592591</v>
      </c>
      <c r="E77" s="1">
        <f>Table14[[#This Row],[Time]]-TIME(0,0,8)</f>
        <v>0.49345427083333332</v>
      </c>
      <c r="F77" t="s">
        <v>9</v>
      </c>
      <c r="G77" t="s">
        <v>19</v>
      </c>
      <c r="H77">
        <f t="shared" si="2"/>
        <v>-124</v>
      </c>
      <c r="I77">
        <v>-2.7</v>
      </c>
      <c r="L77">
        <f>480+2*(Table25[[#This Row],[min value (corrected)]]-49)</f>
        <v>482</v>
      </c>
      <c r="M77">
        <f>MINUTE(Table25[[#This Row],[Corrected time]])</f>
        <v>50</v>
      </c>
      <c r="N77" s="1">
        <v>0.66011199074074078</v>
      </c>
      <c r="O77" s="1">
        <f>Table25[[#This Row],[Time]]-TIME(0,0,4)</f>
        <v>0.66006569444444452</v>
      </c>
      <c r="P77" t="s">
        <v>9</v>
      </c>
      <c r="Q77">
        <v>-124</v>
      </c>
      <c r="R77">
        <f>Table25[[#This Row],[RSSI]]</f>
        <v>-124</v>
      </c>
      <c r="S77">
        <v>-2.5</v>
      </c>
    </row>
    <row r="78" spans="2:19" x14ac:dyDescent="0.25">
      <c r="B78">
        <f>480+2*(Table14[[#This Row],[min value (corrected)]]-49)</f>
        <v>482</v>
      </c>
      <c r="C78">
        <f>MINUTE(Table14[[#This Row],[Corrected time]])</f>
        <v>50</v>
      </c>
      <c r="D78" s="1">
        <v>0.49356668981481477</v>
      </c>
      <c r="E78" s="1">
        <f>Table14[[#This Row],[Time]]-TIME(0,0,8)</f>
        <v>0.49347409722222219</v>
      </c>
      <c r="F78" t="s">
        <v>9</v>
      </c>
      <c r="G78" t="s">
        <v>19</v>
      </c>
      <c r="H78">
        <f t="shared" si="2"/>
        <v>-124</v>
      </c>
      <c r="I78">
        <v>-2.5</v>
      </c>
      <c r="L78">
        <f>480+2*(Table25[[#This Row],[min value (corrected)]]-49)</f>
        <v>482</v>
      </c>
      <c r="M78">
        <f>MINUTE(Table25[[#This Row],[Corrected time]])</f>
        <v>50</v>
      </c>
      <c r="N78" s="1">
        <v>0.66013182870370368</v>
      </c>
      <c r="O78" s="1">
        <f>Table25[[#This Row],[Time]]-TIME(0,0,4)</f>
        <v>0.66008553240740742</v>
      </c>
      <c r="P78" t="s">
        <v>9</v>
      </c>
      <c r="Q78">
        <v>-124</v>
      </c>
      <c r="R78">
        <f>Table25[[#This Row],[RSSI]]</f>
        <v>-124</v>
      </c>
      <c r="S78">
        <v>-3</v>
      </c>
    </row>
    <row r="79" spans="2:19" x14ac:dyDescent="0.25">
      <c r="B79">
        <f>480+2*(Table14[[#This Row],[min value (corrected)]]-49)</f>
        <v>482</v>
      </c>
      <c r="C79">
        <f>MINUTE(Table14[[#This Row],[Corrected time]])</f>
        <v>50</v>
      </c>
      <c r="D79" s="1">
        <v>0.49358652777777773</v>
      </c>
      <c r="E79" s="1">
        <f>Table14[[#This Row],[Time]]-TIME(0,0,8)</f>
        <v>0.49349393518518514</v>
      </c>
      <c r="F79" t="s">
        <v>9</v>
      </c>
      <c r="G79" t="s">
        <v>19</v>
      </c>
      <c r="H79">
        <f t="shared" si="2"/>
        <v>-124</v>
      </c>
      <c r="I79">
        <v>-3</v>
      </c>
      <c r="L79">
        <f>480+2*(Table25[[#This Row],[min value (corrected)]]-49)</f>
        <v>482</v>
      </c>
      <c r="M79">
        <f>MINUTE(Table25[[#This Row],[Corrected time]])</f>
        <v>50</v>
      </c>
      <c r="N79" s="1">
        <v>0.66015165509259266</v>
      </c>
      <c r="O79" s="1">
        <f>Table25[[#This Row],[Time]]-TIME(0,0,4)</f>
        <v>0.66010535879629639</v>
      </c>
      <c r="P79" t="s">
        <v>9</v>
      </c>
      <c r="Q79">
        <v>-124</v>
      </c>
      <c r="R79">
        <f>Table25[[#This Row],[RSSI]]</f>
        <v>-124</v>
      </c>
      <c r="S79">
        <v>-2.7</v>
      </c>
    </row>
    <row r="80" spans="2:19" x14ac:dyDescent="0.25">
      <c r="B80">
        <f>480+2*(Table14[[#This Row],[min value (corrected)]]-49)</f>
        <v>482</v>
      </c>
      <c r="C80">
        <f>MINUTE(Table14[[#This Row],[Corrected time]])</f>
        <v>50</v>
      </c>
      <c r="D80" s="1">
        <v>0.49360637731481483</v>
      </c>
      <c r="E80" s="1">
        <f>Table14[[#This Row],[Time]]-TIME(0,0,8)</f>
        <v>0.49351378472222224</v>
      </c>
      <c r="F80" t="s">
        <v>9</v>
      </c>
      <c r="G80" t="s">
        <v>19</v>
      </c>
      <c r="H80">
        <f t="shared" si="2"/>
        <v>-124</v>
      </c>
      <c r="I80">
        <v>-2.7</v>
      </c>
      <c r="L80">
        <f>480+2*(Table25[[#This Row],[min value (corrected)]]-49)</f>
        <v>482</v>
      </c>
      <c r="M80">
        <f>MINUTE(Table25[[#This Row],[Corrected time]])</f>
        <v>50</v>
      </c>
      <c r="N80" s="1">
        <v>0.66017150462962959</v>
      </c>
      <c r="O80" s="1">
        <f>Table25[[#This Row],[Time]]-TIME(0,0,4)</f>
        <v>0.66012520833333332</v>
      </c>
      <c r="P80" t="s">
        <v>9</v>
      </c>
      <c r="Q80">
        <v>-124</v>
      </c>
      <c r="R80">
        <f>Table25[[#This Row],[RSSI]]</f>
        <v>-124</v>
      </c>
      <c r="S80">
        <v>-2.7</v>
      </c>
    </row>
    <row r="81" spans="2:19" x14ac:dyDescent="0.25">
      <c r="B81">
        <f>480+2*(Table14[[#This Row],[min value (corrected)]]-49)</f>
        <v>482</v>
      </c>
      <c r="C81">
        <f>MINUTE(Table14[[#This Row],[Corrected time]])</f>
        <v>50</v>
      </c>
      <c r="D81" s="1">
        <v>0.4936261921296296</v>
      </c>
      <c r="E81" s="1">
        <f>Table14[[#This Row],[Time]]-TIME(0,0,8)</f>
        <v>0.49353359953703702</v>
      </c>
      <c r="F81" t="s">
        <v>9</v>
      </c>
      <c r="G81" t="s">
        <v>19</v>
      </c>
      <c r="H81">
        <f t="shared" si="2"/>
        <v>-124</v>
      </c>
      <c r="I81">
        <v>-2.5</v>
      </c>
      <c r="L81">
        <f>480+2*(Table25[[#This Row],[min value (corrected)]]-49)</f>
        <v>482</v>
      </c>
      <c r="M81">
        <f>MINUTE(Table25[[#This Row],[Corrected time]])</f>
        <v>50</v>
      </c>
      <c r="N81" s="1">
        <v>0.6601913425925926</v>
      </c>
      <c r="O81" s="1">
        <f>Table25[[#This Row],[Time]]-TIME(0,0,4)</f>
        <v>0.66014504629629633</v>
      </c>
      <c r="P81" t="s">
        <v>9</v>
      </c>
      <c r="Q81">
        <v>-124</v>
      </c>
      <c r="R81">
        <f>Table25[[#This Row],[RSSI]]</f>
        <v>-124</v>
      </c>
      <c r="S81">
        <v>-2.7</v>
      </c>
    </row>
    <row r="82" spans="2:19" x14ac:dyDescent="0.25">
      <c r="B82">
        <f>480+2*(Table14[[#This Row],[min value (corrected)]]-49)</f>
        <v>482</v>
      </c>
      <c r="C82">
        <f>MINUTE(Table14[[#This Row],[Corrected time]])</f>
        <v>50</v>
      </c>
      <c r="D82" s="1">
        <v>0.49364605324074073</v>
      </c>
      <c r="E82" s="1">
        <f>Table14[[#This Row],[Time]]-TIME(0,0,8)</f>
        <v>0.49355346064814815</v>
      </c>
      <c r="F82" t="s">
        <v>9</v>
      </c>
      <c r="G82" t="s">
        <v>19</v>
      </c>
      <c r="H82">
        <f t="shared" si="2"/>
        <v>-124</v>
      </c>
      <c r="I82">
        <v>-2.5</v>
      </c>
      <c r="L82">
        <f>480+2*(Table25[[#This Row],[min value (corrected)]]-49)</f>
        <v>482</v>
      </c>
      <c r="M82">
        <f>MINUTE(Table25[[#This Row],[Corrected time]])</f>
        <v>50</v>
      </c>
      <c r="N82" s="1">
        <v>0.6602111805555555</v>
      </c>
      <c r="O82" s="1">
        <f>Table25[[#This Row],[Time]]-TIME(0,0,4)</f>
        <v>0.66016488425925923</v>
      </c>
      <c r="P82" t="s">
        <v>9</v>
      </c>
      <c r="Q82">
        <v>-124</v>
      </c>
      <c r="R82">
        <f>Table25[[#This Row],[RSSI]]</f>
        <v>-124</v>
      </c>
      <c r="S82">
        <v>-2.7</v>
      </c>
    </row>
    <row r="83" spans="2:19" x14ac:dyDescent="0.25">
      <c r="B83">
        <f>480+2*(Table14[[#This Row],[min value (corrected)]]-49)</f>
        <v>482</v>
      </c>
      <c r="C83">
        <f>MINUTE(Table14[[#This Row],[Corrected time]])</f>
        <v>50</v>
      </c>
      <c r="D83" s="1">
        <v>0.49366589120370369</v>
      </c>
      <c r="E83" s="1">
        <f>Table14[[#This Row],[Time]]-TIME(0,0,8)</f>
        <v>0.4935732986111111</v>
      </c>
      <c r="F83" t="s">
        <v>9</v>
      </c>
      <c r="G83" t="s">
        <v>12</v>
      </c>
      <c r="H83">
        <f t="shared" si="2"/>
        <v>-123</v>
      </c>
      <c r="I83">
        <v>-2.7</v>
      </c>
      <c r="L83">
        <f>480+2*(Table25[[#This Row],[min value (corrected)]]-49)</f>
        <v>482</v>
      </c>
      <c r="M83">
        <f>MINUTE(Table25[[#This Row],[Corrected time]])</f>
        <v>50</v>
      </c>
      <c r="N83" s="1">
        <v>0.66023101851851851</v>
      </c>
      <c r="O83" s="1">
        <f>Table25[[#This Row],[Time]]-TIME(0,0,4)</f>
        <v>0.66018472222222224</v>
      </c>
      <c r="P83" t="s">
        <v>9</v>
      </c>
      <c r="Q83">
        <v>-124</v>
      </c>
      <c r="R83">
        <f>Table25[[#This Row],[RSSI]]</f>
        <v>-124</v>
      </c>
      <c r="S83">
        <v>-2.7</v>
      </c>
    </row>
    <row r="84" spans="2:19" x14ac:dyDescent="0.25">
      <c r="B84">
        <f>480+2*(Table14[[#This Row],[min value (corrected)]]-49)</f>
        <v>482</v>
      </c>
      <c r="C84">
        <f>MINUTE(Table14[[#This Row],[Corrected time]])</f>
        <v>50</v>
      </c>
      <c r="D84" s="1">
        <v>0.49368572916666664</v>
      </c>
      <c r="E84" s="1">
        <f>Table14[[#This Row],[Time]]-TIME(0,0,8)</f>
        <v>0.49359313657407405</v>
      </c>
      <c r="F84" t="s">
        <v>9</v>
      </c>
      <c r="G84" t="s">
        <v>19</v>
      </c>
      <c r="H84">
        <f t="shared" si="2"/>
        <v>-124</v>
      </c>
      <c r="I84">
        <v>-3</v>
      </c>
      <c r="L84">
        <f>480+2*(Table25[[#This Row],[min value (corrected)]]-49)</f>
        <v>482</v>
      </c>
      <c r="M84">
        <f>MINUTE(Table25[[#This Row],[Corrected time]])</f>
        <v>50</v>
      </c>
      <c r="N84" s="1">
        <v>0.66025085648148152</v>
      </c>
      <c r="O84" s="1">
        <f>Table25[[#This Row],[Time]]-TIME(0,0,4)</f>
        <v>0.66020456018518525</v>
      </c>
      <c r="P84" t="s">
        <v>9</v>
      </c>
      <c r="Q84">
        <v>-123</v>
      </c>
      <c r="R84">
        <f>Table25[[#This Row],[RSSI]]</f>
        <v>-123</v>
      </c>
      <c r="S84">
        <v>-2.5</v>
      </c>
    </row>
    <row r="85" spans="2:19" x14ac:dyDescent="0.25">
      <c r="B85">
        <f>480+2*(Table14[[#This Row],[min value (corrected)]]-49)</f>
        <v>482</v>
      </c>
      <c r="C85">
        <f>MINUTE(Table14[[#This Row],[Corrected time]])</f>
        <v>50</v>
      </c>
      <c r="D85" s="1">
        <v>0.49370555555555562</v>
      </c>
      <c r="E85" s="1">
        <f>Table14[[#This Row],[Time]]-TIME(0,0,8)</f>
        <v>0.49361296296296303</v>
      </c>
      <c r="F85" t="s">
        <v>9</v>
      </c>
      <c r="G85" t="s">
        <v>12</v>
      </c>
      <c r="H85">
        <f t="shared" si="2"/>
        <v>-123</v>
      </c>
      <c r="I85">
        <v>-2.5</v>
      </c>
      <c r="L85">
        <f>480+2*(Table25[[#This Row],[min value (corrected)]]-49)</f>
        <v>482</v>
      </c>
      <c r="M85">
        <f>MINUTE(Table25[[#This Row],[Corrected time]])</f>
        <v>50</v>
      </c>
      <c r="N85" s="1">
        <v>0.66027069444444442</v>
      </c>
      <c r="O85" s="1">
        <f>Table25[[#This Row],[Time]]-TIME(0,0,4)</f>
        <v>0.66022439814814815</v>
      </c>
      <c r="P85" t="s">
        <v>9</v>
      </c>
      <c r="Q85">
        <v>-124</v>
      </c>
      <c r="R85">
        <f>Table25[[#This Row],[RSSI]]</f>
        <v>-124</v>
      </c>
      <c r="S85">
        <v>-2.7</v>
      </c>
    </row>
    <row r="86" spans="2:19" x14ac:dyDescent="0.25">
      <c r="B86">
        <f>480+2*(Table14[[#This Row],[min value (corrected)]]-49)</f>
        <v>482</v>
      </c>
      <c r="C86">
        <f>MINUTE(Table14[[#This Row],[Corrected time]])</f>
        <v>50</v>
      </c>
      <c r="D86" s="1">
        <v>0.49372540509259261</v>
      </c>
      <c r="E86" s="1">
        <f>Table14[[#This Row],[Time]]-TIME(0,0,8)</f>
        <v>0.49363281250000002</v>
      </c>
      <c r="F86" t="s">
        <v>9</v>
      </c>
      <c r="G86" t="s">
        <v>19</v>
      </c>
      <c r="H86">
        <f t="shared" si="2"/>
        <v>-124</v>
      </c>
      <c r="I86">
        <v>-2.5</v>
      </c>
      <c r="L86">
        <f>480+2*(Table25[[#This Row],[min value (corrected)]]-49)</f>
        <v>482</v>
      </c>
      <c r="M86">
        <f>MINUTE(Table25[[#This Row],[Corrected time]])</f>
        <v>50</v>
      </c>
      <c r="N86" s="1">
        <v>0.66029053240740743</v>
      </c>
      <c r="O86" s="1">
        <f>Table25[[#This Row],[Time]]-TIME(0,0,4)</f>
        <v>0.66024423611111116</v>
      </c>
      <c r="P86" t="s">
        <v>9</v>
      </c>
      <c r="Q86">
        <v>-124</v>
      </c>
      <c r="R86">
        <f>Table25[[#This Row],[RSSI]]</f>
        <v>-124</v>
      </c>
      <c r="S86">
        <v>-2.5</v>
      </c>
    </row>
    <row r="87" spans="2:19" x14ac:dyDescent="0.25">
      <c r="B87">
        <f>480+2*(Table14[[#This Row],[min value (corrected)]]-49)</f>
        <v>482</v>
      </c>
      <c r="C87">
        <f>MINUTE(Table14[[#This Row],[Corrected time]])</f>
        <v>50</v>
      </c>
      <c r="D87" s="1">
        <v>0.49374524305555556</v>
      </c>
      <c r="E87" s="1">
        <f>Table14[[#This Row],[Time]]-TIME(0,0,8)</f>
        <v>0.49365265046296297</v>
      </c>
      <c r="F87" t="s">
        <v>9</v>
      </c>
      <c r="G87" t="s">
        <v>19</v>
      </c>
      <c r="H87">
        <f t="shared" si="2"/>
        <v>-124</v>
      </c>
      <c r="I87">
        <v>-2.7</v>
      </c>
      <c r="L87">
        <f>480+2*(Table25[[#This Row],[min value (corrected)]]-49)</f>
        <v>482</v>
      </c>
      <c r="M87">
        <f>MINUTE(Table25[[#This Row],[Corrected time]])</f>
        <v>50</v>
      </c>
      <c r="N87" s="1">
        <v>0.66031037037037033</v>
      </c>
      <c r="O87" s="1">
        <f>Table25[[#This Row],[Time]]-TIME(0,0,4)</f>
        <v>0.66026407407407406</v>
      </c>
      <c r="P87" t="s">
        <v>9</v>
      </c>
      <c r="Q87">
        <v>-120</v>
      </c>
      <c r="R87">
        <f>Table25[[#This Row],[RSSI]]</f>
        <v>-120</v>
      </c>
      <c r="S87">
        <v>-3</v>
      </c>
    </row>
    <row r="88" spans="2:19" x14ac:dyDescent="0.25">
      <c r="B88">
        <f>480+2*(Table14[[#This Row],[min value (corrected)]]-49)</f>
        <v>482</v>
      </c>
      <c r="C88">
        <f>MINUTE(Table14[[#This Row],[Corrected time]])</f>
        <v>50</v>
      </c>
      <c r="D88" s="1">
        <v>0.49376508101851851</v>
      </c>
      <c r="E88" s="1">
        <f>Table14[[#This Row],[Time]]-TIME(0,0,8)</f>
        <v>0.49367248842592593</v>
      </c>
      <c r="F88" t="s">
        <v>9</v>
      </c>
      <c r="G88" t="s">
        <v>19</v>
      </c>
      <c r="H88">
        <f t="shared" si="2"/>
        <v>-124</v>
      </c>
      <c r="I88">
        <v>-2.7</v>
      </c>
      <c r="L88">
        <f>480+2*(Table25[[#This Row],[min value (corrected)]]-49)</f>
        <v>482</v>
      </c>
      <c r="M88">
        <f>MINUTE(Table25[[#This Row],[Corrected time]])</f>
        <v>50</v>
      </c>
      <c r="N88" s="1">
        <v>0.66033020833333333</v>
      </c>
      <c r="O88" s="1">
        <f>Table25[[#This Row],[Time]]-TIME(0,0,4)</f>
        <v>0.66028391203703707</v>
      </c>
      <c r="P88" t="s">
        <v>9</v>
      </c>
      <c r="Q88">
        <v>-123</v>
      </c>
      <c r="R88">
        <f>Table25[[#This Row],[RSSI]]</f>
        <v>-123</v>
      </c>
      <c r="S88">
        <v>-2.2000000000000002</v>
      </c>
    </row>
    <row r="89" spans="2:19" x14ac:dyDescent="0.25">
      <c r="B89">
        <f>480+2*(Table14[[#This Row],[min value (corrected)]]-49)</f>
        <v>482</v>
      </c>
      <c r="C89">
        <f>MINUTE(Table14[[#This Row],[Corrected time]])</f>
        <v>50</v>
      </c>
      <c r="D89" s="1">
        <v>0.49378489583333335</v>
      </c>
      <c r="E89" s="1">
        <f>Table14[[#This Row],[Time]]-TIME(0,0,8)</f>
        <v>0.49369230324074076</v>
      </c>
      <c r="F89" t="s">
        <v>9</v>
      </c>
      <c r="G89" t="s">
        <v>19</v>
      </c>
      <c r="H89">
        <f t="shared" si="2"/>
        <v>-124</v>
      </c>
      <c r="I89">
        <v>-2.7</v>
      </c>
      <c r="L89">
        <f>480+2*(Table25[[#This Row],[min value (corrected)]]-49)</f>
        <v>482</v>
      </c>
      <c r="M89">
        <f>MINUTE(Table25[[#This Row],[Corrected time]])</f>
        <v>50</v>
      </c>
      <c r="N89" s="1">
        <v>0.66035004629629623</v>
      </c>
      <c r="O89" s="1">
        <f>Table25[[#This Row],[Time]]-TIME(0,0,4)</f>
        <v>0.66030374999999997</v>
      </c>
      <c r="P89" t="s">
        <v>9</v>
      </c>
      <c r="Q89">
        <v>-124</v>
      </c>
      <c r="R89">
        <f>Table25[[#This Row],[RSSI]]</f>
        <v>-124</v>
      </c>
      <c r="S89">
        <v>-2.7</v>
      </c>
    </row>
    <row r="90" spans="2:19" x14ac:dyDescent="0.25">
      <c r="B90">
        <f>480+2*(Table14[[#This Row],[min value (corrected)]]-49)</f>
        <v>482</v>
      </c>
      <c r="C90">
        <f>MINUTE(Table14[[#This Row],[Corrected time]])</f>
        <v>50</v>
      </c>
      <c r="D90" s="1">
        <v>0.49380475694444442</v>
      </c>
      <c r="E90" s="1">
        <f>Table14[[#This Row],[Time]]-TIME(0,0,8)</f>
        <v>0.49371216435185183</v>
      </c>
      <c r="F90" t="s">
        <v>9</v>
      </c>
      <c r="G90" t="s">
        <v>19</v>
      </c>
      <c r="H90">
        <f t="shared" si="2"/>
        <v>-124</v>
      </c>
      <c r="I90">
        <v>-3</v>
      </c>
      <c r="L90">
        <f>480+2*(Table25[[#This Row],[min value (corrected)]]-49)</f>
        <v>482</v>
      </c>
      <c r="M90">
        <f>MINUTE(Table25[[#This Row],[Corrected time]])</f>
        <v>50</v>
      </c>
      <c r="N90" s="1">
        <v>0.66036988425925924</v>
      </c>
      <c r="O90" s="1">
        <f>Table25[[#This Row],[Time]]-TIME(0,0,4)</f>
        <v>0.66032358796296298</v>
      </c>
      <c r="P90" t="s">
        <v>9</v>
      </c>
      <c r="Q90">
        <v>-124</v>
      </c>
      <c r="R90">
        <f>Table25[[#This Row],[RSSI]]</f>
        <v>-124</v>
      </c>
      <c r="S90">
        <v>-2.7</v>
      </c>
    </row>
    <row r="91" spans="2:19" x14ac:dyDescent="0.25">
      <c r="B91">
        <f>480+2*(Table14[[#This Row],[min value (corrected)]]-49)</f>
        <v>482</v>
      </c>
      <c r="C91">
        <f>MINUTE(Table14[[#This Row],[Corrected time]])</f>
        <v>50</v>
      </c>
      <c r="D91" s="1">
        <v>0.49382458333333334</v>
      </c>
      <c r="E91" s="1">
        <f>Table14[[#This Row],[Time]]-TIME(0,0,8)</f>
        <v>0.49373199074074076</v>
      </c>
      <c r="F91" t="s">
        <v>9</v>
      </c>
      <c r="G91" t="s">
        <v>28</v>
      </c>
      <c r="H91">
        <f t="shared" si="2"/>
        <v>-125</v>
      </c>
      <c r="I91">
        <v>-4</v>
      </c>
      <c r="L91">
        <f>480+2*(Table25[[#This Row],[min value (corrected)]]-49)</f>
        <v>482</v>
      </c>
      <c r="M91">
        <f>MINUTE(Table25[[#This Row],[Corrected time]])</f>
        <v>50</v>
      </c>
      <c r="N91" s="1">
        <v>0.66038972222222225</v>
      </c>
      <c r="O91" s="1">
        <f>Table25[[#This Row],[Time]]-TIME(0,0,4)</f>
        <v>0.66034342592592599</v>
      </c>
      <c r="P91" t="s">
        <v>9</v>
      </c>
      <c r="Q91">
        <v>-124</v>
      </c>
      <c r="R91">
        <f>Table25[[#This Row],[RSSI]]</f>
        <v>-124</v>
      </c>
      <c r="S91">
        <v>-2.7</v>
      </c>
    </row>
    <row r="92" spans="2:19" x14ac:dyDescent="0.25">
      <c r="B92">
        <f>480+2*(Table14[[#This Row],[min value (corrected)]]-49)</f>
        <v>484</v>
      </c>
      <c r="C92">
        <f>MINUTE(Table14[[#This Row],[Corrected time]])</f>
        <v>51</v>
      </c>
      <c r="D92" s="1">
        <v>0.49384443287037039</v>
      </c>
      <c r="E92" s="1">
        <f>Table14[[#This Row],[Time]]-TIME(0,0,8)</f>
        <v>0.4937518402777778</v>
      </c>
      <c r="F92" t="s">
        <v>9</v>
      </c>
      <c r="G92" t="s">
        <v>19</v>
      </c>
      <c r="H92">
        <f t="shared" si="2"/>
        <v>-124</v>
      </c>
      <c r="I92">
        <v>-3.5</v>
      </c>
      <c r="L92">
        <f>480+2*(Table25[[#This Row],[min value (corrected)]]-49)</f>
        <v>482</v>
      </c>
      <c r="M92">
        <f>MINUTE(Table25[[#This Row],[Corrected time]])</f>
        <v>50</v>
      </c>
      <c r="N92" s="1">
        <v>0.66040956018518515</v>
      </c>
      <c r="O92" s="1">
        <f>Table25[[#This Row],[Time]]-TIME(0,0,4)</f>
        <v>0.66036326388888889</v>
      </c>
      <c r="P92" t="s">
        <v>9</v>
      </c>
      <c r="Q92">
        <v>-124</v>
      </c>
      <c r="R92">
        <f>Table25[[#This Row],[RSSI]]</f>
        <v>-124</v>
      </c>
      <c r="S92">
        <v>-2.7</v>
      </c>
    </row>
    <row r="93" spans="2:19" x14ac:dyDescent="0.25">
      <c r="B93">
        <f>480+2*(Table14[[#This Row],[min value (corrected)]]-49)</f>
        <v>484</v>
      </c>
      <c r="C93">
        <f>MINUTE(Table14[[#This Row],[Corrected time]])</f>
        <v>51</v>
      </c>
      <c r="D93" s="1">
        <v>0.49386427083333334</v>
      </c>
      <c r="E93" s="1">
        <f>Table14[[#This Row],[Time]]-TIME(0,0,8)</f>
        <v>0.49377167824074075</v>
      </c>
      <c r="F93" t="s">
        <v>9</v>
      </c>
      <c r="G93" t="s">
        <v>16</v>
      </c>
      <c r="H93">
        <f t="shared" si="2"/>
        <v>-119</v>
      </c>
      <c r="I93">
        <v>-3.2</v>
      </c>
      <c r="L93">
        <f>480+2*(Table25[[#This Row],[min value (corrected)]]-49)</f>
        <v>482</v>
      </c>
      <c r="M93">
        <f>MINUTE(Table25[[#This Row],[Corrected time]])</f>
        <v>50</v>
      </c>
      <c r="N93" s="1">
        <v>0.66042939814814816</v>
      </c>
      <c r="O93" s="1">
        <f>Table25[[#This Row],[Time]]-TIME(0,0,4)</f>
        <v>0.66038310185185189</v>
      </c>
      <c r="P93" t="s">
        <v>9</v>
      </c>
      <c r="Q93">
        <v>-124</v>
      </c>
      <c r="R93">
        <f>Table25[[#This Row],[RSSI]]</f>
        <v>-124</v>
      </c>
      <c r="S93">
        <v>-2.7</v>
      </c>
    </row>
    <row r="94" spans="2:19" x14ac:dyDescent="0.25">
      <c r="B94">
        <f>480+2*(Table14[[#This Row],[min value (corrected)]]-49)</f>
        <v>484</v>
      </c>
      <c r="C94">
        <f>MINUTE(Table14[[#This Row],[Corrected time]])</f>
        <v>51</v>
      </c>
      <c r="D94" s="1">
        <v>0.49388409722222226</v>
      </c>
      <c r="E94" s="1">
        <f>Table14[[#This Row],[Time]]-TIME(0,0,8)</f>
        <v>0.49379150462962967</v>
      </c>
      <c r="F94" t="s">
        <v>9</v>
      </c>
      <c r="G94" t="s">
        <v>19</v>
      </c>
      <c r="H94">
        <f t="shared" si="2"/>
        <v>-124</v>
      </c>
      <c r="I94">
        <v>-3.2</v>
      </c>
      <c r="L94">
        <f>480+2*(Table25[[#This Row],[min value (corrected)]]-49)</f>
        <v>482</v>
      </c>
      <c r="M94">
        <f>MINUTE(Table25[[#This Row],[Corrected time]])</f>
        <v>50</v>
      </c>
      <c r="N94" s="1">
        <v>0.66044923611111106</v>
      </c>
      <c r="O94" s="1">
        <f>Table25[[#This Row],[Time]]-TIME(0,0,4)</f>
        <v>0.66040293981481479</v>
      </c>
      <c r="P94" t="s">
        <v>13</v>
      </c>
      <c r="Q94">
        <f>Q93</f>
        <v>-124</v>
      </c>
      <c r="R94">
        <f>Table25[[#This Row],[RSSI]]</f>
        <v>-124</v>
      </c>
    </row>
    <row r="95" spans="2:19" x14ac:dyDescent="0.25">
      <c r="B95">
        <f>480+2*(Table14[[#This Row],[min value (corrected)]]-49)</f>
        <v>484</v>
      </c>
      <c r="C95">
        <f>MINUTE(Table14[[#This Row],[Corrected time]])</f>
        <v>51</v>
      </c>
      <c r="D95" s="1">
        <v>0.49390394675925925</v>
      </c>
      <c r="E95" s="1">
        <f>Table14[[#This Row],[Time]]-TIME(0,0,8)</f>
        <v>0.49381135416666666</v>
      </c>
      <c r="F95" t="s">
        <v>9</v>
      </c>
      <c r="G95" t="s">
        <v>28</v>
      </c>
      <c r="H95">
        <f t="shared" si="2"/>
        <v>-125</v>
      </c>
      <c r="I95">
        <v>-3.5</v>
      </c>
      <c r="L95">
        <f>480+2*(Table25[[#This Row],[min value (corrected)]]-49)</f>
        <v>484</v>
      </c>
      <c r="M95">
        <f>MINUTE(Table25[[#This Row],[Corrected time]])</f>
        <v>51</v>
      </c>
      <c r="N95" s="1">
        <v>0.66046906250000004</v>
      </c>
      <c r="O95" s="1">
        <f>Table25[[#This Row],[Time]]-TIME(0,0,4)</f>
        <v>0.66042276620370377</v>
      </c>
      <c r="P95" t="s">
        <v>9</v>
      </c>
      <c r="Q95">
        <v>-125</v>
      </c>
      <c r="R95">
        <f>Table25[[#This Row],[RSSI]]</f>
        <v>-125</v>
      </c>
      <c r="S95">
        <v>-3.7</v>
      </c>
    </row>
    <row r="96" spans="2:19" x14ac:dyDescent="0.25">
      <c r="B96">
        <f>480+2*(Table14[[#This Row],[min value (corrected)]]-49)</f>
        <v>484</v>
      </c>
      <c r="C96">
        <f>MINUTE(Table14[[#This Row],[Corrected time]])</f>
        <v>51</v>
      </c>
      <c r="D96" s="1">
        <v>0.4939237847222222</v>
      </c>
      <c r="E96" s="1">
        <f>Table14[[#This Row],[Time]]-TIME(0,0,8)</f>
        <v>0.49383119212962961</v>
      </c>
      <c r="F96" t="s">
        <v>9</v>
      </c>
      <c r="G96" t="s">
        <v>28</v>
      </c>
      <c r="H96">
        <f t="shared" si="2"/>
        <v>-125</v>
      </c>
      <c r="I96">
        <v>-3.7</v>
      </c>
      <c r="L96">
        <f>480+2*(Table25[[#This Row],[min value (corrected)]]-49)</f>
        <v>484</v>
      </c>
      <c r="M96">
        <f>MINUTE(Table25[[#This Row],[Corrected time]])</f>
        <v>51</v>
      </c>
      <c r="N96" s="1">
        <v>0.66048891203703697</v>
      </c>
      <c r="O96" s="1">
        <f>Table25[[#This Row],[Time]]-TIME(0,0,4)</f>
        <v>0.6604426157407407</v>
      </c>
      <c r="P96" t="s">
        <v>9</v>
      </c>
      <c r="Q96">
        <v>-124</v>
      </c>
      <c r="R96">
        <f>Table25[[#This Row],[RSSI]]</f>
        <v>-124</v>
      </c>
      <c r="S96">
        <v>-3.5</v>
      </c>
    </row>
    <row r="97" spans="2:19" x14ac:dyDescent="0.25">
      <c r="B97">
        <f>480+2*(Table14[[#This Row],[min value (corrected)]]-49)</f>
        <v>484</v>
      </c>
      <c r="C97">
        <f>MINUTE(Table14[[#This Row],[Corrected time]])</f>
        <v>51</v>
      </c>
      <c r="D97" s="1">
        <v>0.49394361111111112</v>
      </c>
      <c r="E97" s="1">
        <f>Table14[[#This Row],[Time]]-TIME(0,0,8)</f>
        <v>0.49385101851851854</v>
      </c>
      <c r="F97" t="s">
        <v>13</v>
      </c>
      <c r="G97" t="str">
        <f>G96</f>
        <v>-125.0,</v>
      </c>
      <c r="H97">
        <f>H96-0.5</f>
        <v>-125.5</v>
      </c>
      <c r="I97">
        <f>I96-0.5</f>
        <v>-4.2</v>
      </c>
      <c r="L97">
        <f>480+2*(Table25[[#This Row],[min value (corrected)]]-49)</f>
        <v>484</v>
      </c>
      <c r="M97">
        <f>MINUTE(Table25[[#This Row],[Corrected time]])</f>
        <v>51</v>
      </c>
      <c r="N97" s="1">
        <v>0.66050874999999998</v>
      </c>
      <c r="O97" s="1">
        <f>Table25[[#This Row],[Time]]-TIME(0,0,4)</f>
        <v>0.66046245370370371</v>
      </c>
      <c r="P97" t="s">
        <v>9</v>
      </c>
      <c r="Q97">
        <v>-124</v>
      </c>
      <c r="R97">
        <f>Table25[[#This Row],[RSSI]]</f>
        <v>-124</v>
      </c>
      <c r="S97">
        <v>-3</v>
      </c>
    </row>
    <row r="98" spans="2:19" x14ac:dyDescent="0.25">
      <c r="B98">
        <f>480+2*(Table14[[#This Row],[min value (corrected)]]-49)</f>
        <v>484</v>
      </c>
      <c r="C98">
        <f>MINUTE(Table14[[#This Row],[Corrected time]])</f>
        <v>51</v>
      </c>
      <c r="D98" s="1">
        <v>0.49396346064814817</v>
      </c>
      <c r="E98" s="1">
        <f>Table14[[#This Row],[Time]]-TIME(0,0,8)</f>
        <v>0.49387086805555558</v>
      </c>
      <c r="F98" t="s">
        <v>9</v>
      </c>
      <c r="G98" t="s">
        <v>19</v>
      </c>
      <c r="H98">
        <f t="shared" si="2"/>
        <v>-124</v>
      </c>
      <c r="I98">
        <v>-3.2</v>
      </c>
      <c r="L98">
        <f>480+2*(Table25[[#This Row],[min value (corrected)]]-49)</f>
        <v>484</v>
      </c>
      <c r="M98">
        <f>MINUTE(Table25[[#This Row],[Corrected time]])</f>
        <v>51</v>
      </c>
      <c r="N98" s="1">
        <v>0.66052858796296299</v>
      </c>
      <c r="O98" s="1">
        <f>Table25[[#This Row],[Time]]-TIME(0,0,4)</f>
        <v>0.66048229166666672</v>
      </c>
      <c r="P98" t="s">
        <v>9</v>
      </c>
      <c r="Q98">
        <v>-124</v>
      </c>
      <c r="R98">
        <f>Table25[[#This Row],[RSSI]]</f>
        <v>-124</v>
      </c>
      <c r="S98">
        <v>-3.7</v>
      </c>
    </row>
    <row r="99" spans="2:19" x14ac:dyDescent="0.25">
      <c r="B99">
        <f>480+2*(Table14[[#This Row],[min value (corrected)]]-49)</f>
        <v>484</v>
      </c>
      <c r="C99">
        <f>MINUTE(Table14[[#This Row],[Corrected time]])</f>
        <v>51</v>
      </c>
      <c r="D99" s="1">
        <v>0.49398328703703709</v>
      </c>
      <c r="E99" s="1">
        <f>Table14[[#This Row],[Time]]-TIME(0,0,8)</f>
        <v>0.4938906944444445</v>
      </c>
      <c r="F99" t="s">
        <v>9</v>
      </c>
      <c r="G99" t="s">
        <v>19</v>
      </c>
      <c r="H99">
        <f t="shared" si="2"/>
        <v>-124</v>
      </c>
      <c r="I99">
        <v>-2.7</v>
      </c>
      <c r="L99">
        <f>480+2*(Table25[[#This Row],[min value (corrected)]]-49)</f>
        <v>484</v>
      </c>
      <c r="M99">
        <f>MINUTE(Table25[[#This Row],[Corrected time]])</f>
        <v>51</v>
      </c>
      <c r="N99" s="1">
        <v>0.66054841435185185</v>
      </c>
      <c r="O99" s="1">
        <f>Table25[[#This Row],[Time]]-TIME(0,0,4)</f>
        <v>0.66050211805555559</v>
      </c>
      <c r="P99" t="s">
        <v>9</v>
      </c>
      <c r="Q99">
        <v>-124</v>
      </c>
      <c r="R99">
        <f>Table25[[#This Row],[RSSI]]</f>
        <v>-124</v>
      </c>
      <c r="S99">
        <v>-3</v>
      </c>
    </row>
    <row r="100" spans="2:19" x14ac:dyDescent="0.25">
      <c r="B100">
        <f>480+2*(Table14[[#This Row],[min value (corrected)]]-49)</f>
        <v>484</v>
      </c>
      <c r="C100">
        <f>MINUTE(Table14[[#This Row],[Corrected time]])</f>
        <v>51</v>
      </c>
      <c r="D100" s="1">
        <v>0.49400313657407408</v>
      </c>
      <c r="E100" s="1">
        <f>Table14[[#This Row],[Time]]-TIME(0,0,8)</f>
        <v>0.49391054398148149</v>
      </c>
      <c r="F100" t="s">
        <v>9</v>
      </c>
      <c r="G100" t="s">
        <v>19</v>
      </c>
      <c r="H100">
        <f t="shared" si="2"/>
        <v>-124</v>
      </c>
      <c r="I100">
        <v>-3</v>
      </c>
      <c r="L100">
        <f>480+2*(Table25[[#This Row],[min value (corrected)]]-49)</f>
        <v>484</v>
      </c>
      <c r="M100">
        <f>MINUTE(Table25[[#This Row],[Corrected time]])</f>
        <v>51</v>
      </c>
      <c r="N100" s="1">
        <v>0.6605682638888889</v>
      </c>
      <c r="O100" s="1">
        <f>Table25[[#This Row],[Time]]-TIME(0,0,4)</f>
        <v>0.66052196759259263</v>
      </c>
      <c r="P100" t="s">
        <v>13</v>
      </c>
      <c r="Q100">
        <f>Q99</f>
        <v>-124</v>
      </c>
      <c r="R100">
        <f>Table25[[#This Row],[RSSI]]</f>
        <v>-124</v>
      </c>
    </row>
    <row r="101" spans="2:19" x14ac:dyDescent="0.25">
      <c r="B101">
        <f>480+2*(Table14[[#This Row],[min value (corrected)]]-49)</f>
        <v>484</v>
      </c>
      <c r="C101">
        <f>MINUTE(Table14[[#This Row],[Corrected time]])</f>
        <v>51</v>
      </c>
      <c r="D101" s="1">
        <v>0.49402297453703703</v>
      </c>
      <c r="E101" s="1">
        <f>Table14[[#This Row],[Time]]-TIME(0,0,8)</f>
        <v>0.49393038194444444</v>
      </c>
      <c r="F101" t="s">
        <v>9</v>
      </c>
      <c r="G101" t="s">
        <v>12</v>
      </c>
      <c r="H101">
        <f t="shared" si="2"/>
        <v>-123</v>
      </c>
      <c r="I101">
        <v>-2.5</v>
      </c>
      <c r="L101">
        <f>480+2*(Table25[[#This Row],[min value (corrected)]]-49)</f>
        <v>484</v>
      </c>
      <c r="M101">
        <f>MINUTE(Table25[[#This Row],[Corrected time]])</f>
        <v>51</v>
      </c>
      <c r="N101" s="1">
        <v>0.66058810185185179</v>
      </c>
      <c r="O101" s="1">
        <f>Table25[[#This Row],[Time]]-TIME(0,0,4)</f>
        <v>0.66054180555555553</v>
      </c>
      <c r="P101" t="s">
        <v>9</v>
      </c>
      <c r="Q101">
        <v>-124</v>
      </c>
      <c r="R101">
        <f>Table25[[#This Row],[RSSI]]</f>
        <v>-124</v>
      </c>
      <c r="S101">
        <v>-2.5</v>
      </c>
    </row>
    <row r="102" spans="2:19" x14ac:dyDescent="0.25">
      <c r="B102">
        <f>480+2*(Table14[[#This Row],[min value (corrected)]]-49)</f>
        <v>484</v>
      </c>
      <c r="C102">
        <f>MINUTE(Table14[[#This Row],[Corrected time]])</f>
        <v>51</v>
      </c>
      <c r="D102" s="1">
        <v>0.49404280092592595</v>
      </c>
      <c r="E102" s="1">
        <f>Table14[[#This Row],[Time]]-TIME(0,0,8)</f>
        <v>0.49395020833333336</v>
      </c>
      <c r="F102" t="s">
        <v>9</v>
      </c>
      <c r="G102" t="s">
        <v>19</v>
      </c>
      <c r="H102">
        <f t="shared" si="2"/>
        <v>-124</v>
      </c>
      <c r="I102">
        <v>-2.5</v>
      </c>
      <c r="L102">
        <f>480+2*(Table25[[#This Row],[min value (corrected)]]-49)</f>
        <v>484</v>
      </c>
      <c r="M102">
        <f>MINUTE(Table25[[#This Row],[Corrected time]])</f>
        <v>51</v>
      </c>
      <c r="N102" s="1">
        <v>0.6606079398148148</v>
      </c>
      <c r="O102" s="1">
        <f>Table25[[#This Row],[Time]]-TIME(0,0,4)</f>
        <v>0.66056164351851854</v>
      </c>
      <c r="P102" t="s">
        <v>9</v>
      </c>
      <c r="Q102">
        <v>-124</v>
      </c>
      <c r="R102">
        <f>Table25[[#This Row],[RSSI]]</f>
        <v>-124</v>
      </c>
      <c r="S102">
        <v>-3</v>
      </c>
    </row>
    <row r="103" spans="2:19" x14ac:dyDescent="0.25">
      <c r="B103">
        <f>480+2*(Table14[[#This Row],[min value (corrected)]]-49)</f>
        <v>484</v>
      </c>
      <c r="C103">
        <f>MINUTE(Table14[[#This Row],[Corrected time]])</f>
        <v>51</v>
      </c>
      <c r="D103" s="1">
        <v>0.49406263888888891</v>
      </c>
      <c r="E103" s="1">
        <f>Table14[[#This Row],[Time]]-TIME(0,0,8)</f>
        <v>0.49397004629629632</v>
      </c>
      <c r="F103" t="s">
        <v>9</v>
      </c>
      <c r="G103" t="s">
        <v>19</v>
      </c>
      <c r="H103">
        <f t="shared" si="2"/>
        <v>-124</v>
      </c>
      <c r="I103">
        <v>-3</v>
      </c>
      <c r="L103">
        <f>480+2*(Table25[[#This Row],[min value (corrected)]]-49)</f>
        <v>484</v>
      </c>
      <c r="M103">
        <f>MINUTE(Table25[[#This Row],[Corrected time]])</f>
        <v>51</v>
      </c>
      <c r="N103" s="1">
        <v>0.6606277777777777</v>
      </c>
      <c r="O103" s="1">
        <f>Table25[[#This Row],[Time]]-TIME(0,0,4)</f>
        <v>0.66058148148148144</v>
      </c>
      <c r="P103" t="s">
        <v>9</v>
      </c>
      <c r="Q103">
        <v>-124</v>
      </c>
      <c r="R103">
        <f>Table25[[#This Row],[RSSI]]</f>
        <v>-124</v>
      </c>
      <c r="S103">
        <v>-2.5</v>
      </c>
    </row>
    <row r="104" spans="2:19" x14ac:dyDescent="0.25">
      <c r="B104">
        <f>480+2*(Table14[[#This Row],[min value (corrected)]]-49)</f>
        <v>484</v>
      </c>
      <c r="C104">
        <f>MINUTE(Table14[[#This Row],[Corrected time]])</f>
        <v>51</v>
      </c>
      <c r="D104" s="1">
        <v>0.49408247685185186</v>
      </c>
      <c r="E104" s="1">
        <f>Table14[[#This Row],[Time]]-TIME(0,0,8)</f>
        <v>0.49398988425925927</v>
      </c>
      <c r="F104" t="s">
        <v>9</v>
      </c>
      <c r="G104" t="s">
        <v>19</v>
      </c>
      <c r="H104">
        <f t="shared" si="2"/>
        <v>-124</v>
      </c>
      <c r="I104">
        <v>-3</v>
      </c>
      <c r="L104">
        <f>480+2*(Table25[[#This Row],[min value (corrected)]]-49)</f>
        <v>484</v>
      </c>
      <c r="M104">
        <f>MINUTE(Table25[[#This Row],[Corrected time]])</f>
        <v>51</v>
      </c>
      <c r="N104" s="1">
        <v>0.66064761574074071</v>
      </c>
      <c r="O104" s="1">
        <f>Table25[[#This Row],[Time]]-TIME(0,0,4)</f>
        <v>0.66060131944444445</v>
      </c>
      <c r="P104" t="s">
        <v>9</v>
      </c>
      <c r="Q104">
        <v>-124</v>
      </c>
      <c r="R104">
        <f>Table25[[#This Row],[RSSI]]</f>
        <v>-124</v>
      </c>
      <c r="S104">
        <v>-2.5</v>
      </c>
    </row>
    <row r="105" spans="2:19" x14ac:dyDescent="0.25">
      <c r="B105">
        <f>480+2*(Table14[[#This Row],[min value (corrected)]]-49)</f>
        <v>484</v>
      </c>
      <c r="C105">
        <f>MINUTE(Table14[[#This Row],[Corrected time]])</f>
        <v>51</v>
      </c>
      <c r="D105" s="1">
        <v>0.49410230324074073</v>
      </c>
      <c r="E105" s="1">
        <f>Table14[[#This Row],[Time]]-TIME(0,0,8)</f>
        <v>0.49400971064814814</v>
      </c>
      <c r="F105" t="s">
        <v>9</v>
      </c>
      <c r="G105" t="s">
        <v>19</v>
      </c>
      <c r="H105">
        <f t="shared" si="2"/>
        <v>-124</v>
      </c>
      <c r="I105">
        <v>-2.7</v>
      </c>
      <c r="L105">
        <f>480+2*(Table25[[#This Row],[min value (corrected)]]-49)</f>
        <v>484</v>
      </c>
      <c r="M105">
        <f>MINUTE(Table25[[#This Row],[Corrected time]])</f>
        <v>51</v>
      </c>
      <c r="N105" s="1">
        <v>0.66066745370370372</v>
      </c>
      <c r="O105" s="1">
        <f>Table25[[#This Row],[Time]]-TIME(0,0,4)</f>
        <v>0.66062115740740746</v>
      </c>
      <c r="P105" t="s">
        <v>9</v>
      </c>
      <c r="Q105">
        <v>-124</v>
      </c>
      <c r="R105">
        <f>Table25[[#This Row],[RSSI]]</f>
        <v>-124</v>
      </c>
      <c r="S105">
        <v>-2.5</v>
      </c>
    </row>
    <row r="106" spans="2:19" x14ac:dyDescent="0.25">
      <c r="B106">
        <f>480+2*(Table14[[#This Row],[min value (corrected)]]-49)</f>
        <v>484</v>
      </c>
      <c r="C106">
        <f>MINUTE(Table14[[#This Row],[Corrected time]])</f>
        <v>51</v>
      </c>
      <c r="D106" s="1">
        <v>0.49412215277777782</v>
      </c>
      <c r="E106" s="1">
        <f>Table14[[#This Row],[Time]]-TIME(0,0,8)</f>
        <v>0.49402956018518523</v>
      </c>
      <c r="F106" t="s">
        <v>9</v>
      </c>
      <c r="G106" t="s">
        <v>19</v>
      </c>
      <c r="H106">
        <f t="shared" si="2"/>
        <v>-124</v>
      </c>
      <c r="I106">
        <v>-2.7</v>
      </c>
      <c r="L106">
        <f>480+2*(Table25[[#This Row],[min value (corrected)]]-49)</f>
        <v>484</v>
      </c>
      <c r="M106">
        <f>MINUTE(Table25[[#This Row],[Corrected time]])</f>
        <v>51</v>
      </c>
      <c r="N106" s="1">
        <v>0.66068729166666662</v>
      </c>
      <c r="O106" s="1">
        <f>Table25[[#This Row],[Time]]-TIME(0,0,4)</f>
        <v>0.66064099537037035</v>
      </c>
      <c r="P106" t="s">
        <v>9</v>
      </c>
      <c r="Q106">
        <v>-124</v>
      </c>
      <c r="R106">
        <f>Table25[[#This Row],[RSSI]]</f>
        <v>-124</v>
      </c>
      <c r="S106">
        <v>-2.7</v>
      </c>
    </row>
    <row r="107" spans="2:19" x14ac:dyDescent="0.25">
      <c r="B107">
        <f>480+2*(Table14[[#This Row],[min value (corrected)]]-49)</f>
        <v>484</v>
      </c>
      <c r="C107">
        <f>MINUTE(Table14[[#This Row],[Corrected time]])</f>
        <v>51</v>
      </c>
      <c r="D107" s="1">
        <v>0.49414199074074078</v>
      </c>
      <c r="E107" s="1">
        <f>Table14[[#This Row],[Time]]-TIME(0,0,8)</f>
        <v>0.49404939814814819</v>
      </c>
      <c r="F107" t="s">
        <v>9</v>
      </c>
      <c r="G107" t="s">
        <v>19</v>
      </c>
      <c r="H107">
        <f t="shared" si="2"/>
        <v>-124</v>
      </c>
      <c r="I107">
        <v>-2.7</v>
      </c>
      <c r="L107">
        <f>480+2*(Table25[[#This Row],[min value (corrected)]]-49)</f>
        <v>484</v>
      </c>
      <c r="M107">
        <f>MINUTE(Table25[[#This Row],[Corrected time]])</f>
        <v>51</v>
      </c>
      <c r="N107" s="1">
        <v>0.66070712962962963</v>
      </c>
      <c r="O107" s="1">
        <f>Table25[[#This Row],[Time]]-TIME(0,0,4)</f>
        <v>0.66066083333333336</v>
      </c>
      <c r="P107" t="s">
        <v>9</v>
      </c>
      <c r="Q107">
        <v>-124</v>
      </c>
      <c r="R107">
        <f>Table25[[#This Row],[RSSI]]</f>
        <v>-124</v>
      </c>
      <c r="S107">
        <v>-2.5</v>
      </c>
    </row>
    <row r="108" spans="2:19" x14ac:dyDescent="0.25">
      <c r="B108">
        <f>480+2*(Table14[[#This Row],[min value (corrected)]]-49)</f>
        <v>484</v>
      </c>
      <c r="C108">
        <f>MINUTE(Table14[[#This Row],[Corrected time]])</f>
        <v>51</v>
      </c>
      <c r="D108" s="1">
        <v>0.49416181712962959</v>
      </c>
      <c r="E108" s="1">
        <f>Table14[[#This Row],[Time]]-TIME(0,0,8)</f>
        <v>0.494069224537037</v>
      </c>
      <c r="F108" t="s">
        <v>9</v>
      </c>
      <c r="G108" t="s">
        <v>19</v>
      </c>
      <c r="H108">
        <f t="shared" si="2"/>
        <v>-124</v>
      </c>
      <c r="I108">
        <v>-2.7</v>
      </c>
      <c r="L108">
        <f>480+2*(Table25[[#This Row],[min value (corrected)]]-49)</f>
        <v>484</v>
      </c>
      <c r="M108">
        <f>MINUTE(Table25[[#This Row],[Corrected time]])</f>
        <v>51</v>
      </c>
      <c r="N108" s="1">
        <v>0.6607269560185185</v>
      </c>
      <c r="O108" s="1">
        <f>Table25[[#This Row],[Time]]-TIME(0,0,4)</f>
        <v>0.66068065972222223</v>
      </c>
      <c r="P108" t="s">
        <v>9</v>
      </c>
      <c r="Q108">
        <v>-124</v>
      </c>
      <c r="R108">
        <f>Table25[[#This Row],[RSSI]]</f>
        <v>-124</v>
      </c>
      <c r="S108">
        <v>-3</v>
      </c>
    </row>
    <row r="109" spans="2:19" x14ac:dyDescent="0.25">
      <c r="B109">
        <f>480+2*(Table14[[#This Row],[min value (corrected)]]-49)</f>
        <v>484</v>
      </c>
      <c r="C109">
        <f>MINUTE(Table14[[#This Row],[Corrected time]])</f>
        <v>51</v>
      </c>
      <c r="D109" s="1">
        <v>0.49418166666666669</v>
      </c>
      <c r="E109" s="1">
        <f>Table14[[#This Row],[Time]]-TIME(0,0,8)</f>
        <v>0.4940890740740741</v>
      </c>
      <c r="F109" t="s">
        <v>9</v>
      </c>
      <c r="G109" t="s">
        <v>19</v>
      </c>
      <c r="H109">
        <f t="shared" si="2"/>
        <v>-124</v>
      </c>
      <c r="I109">
        <v>-3</v>
      </c>
      <c r="L109">
        <f>480+2*(Table25[[#This Row],[min value (corrected)]]-49)</f>
        <v>484</v>
      </c>
      <c r="M109">
        <f>MINUTE(Table25[[#This Row],[Corrected time]])</f>
        <v>51</v>
      </c>
      <c r="N109" s="1">
        <v>0.66074680555555554</v>
      </c>
      <c r="O109" s="1">
        <f>Table25[[#This Row],[Time]]-TIME(0,0,4)</f>
        <v>0.66070050925925927</v>
      </c>
      <c r="P109" t="s">
        <v>9</v>
      </c>
      <c r="Q109">
        <v>-124</v>
      </c>
      <c r="R109">
        <f>Table25[[#This Row],[RSSI]]</f>
        <v>-124</v>
      </c>
      <c r="S109">
        <v>-2.5</v>
      </c>
    </row>
    <row r="110" spans="2:19" x14ac:dyDescent="0.25">
      <c r="B110">
        <f>480+2*(Table14[[#This Row],[min value (corrected)]]-49)</f>
        <v>484</v>
      </c>
      <c r="C110">
        <f>MINUTE(Table14[[#This Row],[Corrected time]])</f>
        <v>51</v>
      </c>
      <c r="D110" s="1">
        <v>0.49420150462962964</v>
      </c>
      <c r="E110" s="1">
        <f>Table14[[#This Row],[Time]]-TIME(0,0,8)</f>
        <v>0.49410891203703705</v>
      </c>
      <c r="F110" t="s">
        <v>9</v>
      </c>
      <c r="G110" t="s">
        <v>19</v>
      </c>
      <c r="H110">
        <f t="shared" si="2"/>
        <v>-124</v>
      </c>
      <c r="I110">
        <v>-2.7</v>
      </c>
      <c r="L110">
        <f>480+2*(Table25[[#This Row],[min value (corrected)]]-49)</f>
        <v>484</v>
      </c>
      <c r="M110">
        <f>MINUTE(Table25[[#This Row],[Corrected time]])</f>
        <v>51</v>
      </c>
      <c r="N110" s="1">
        <v>0.66076664351851844</v>
      </c>
      <c r="O110" s="1">
        <f>Table25[[#This Row],[Time]]-TIME(0,0,4)</f>
        <v>0.66072034722222217</v>
      </c>
      <c r="P110" t="s">
        <v>9</v>
      </c>
      <c r="Q110">
        <v>-123</v>
      </c>
      <c r="R110">
        <f>Table25[[#This Row],[RSSI]]</f>
        <v>-123</v>
      </c>
      <c r="S110">
        <v>-2.5</v>
      </c>
    </row>
    <row r="111" spans="2:19" x14ac:dyDescent="0.25">
      <c r="B111">
        <f>480+2*(Table14[[#This Row],[min value (corrected)]]-49)</f>
        <v>484</v>
      </c>
      <c r="C111">
        <f>MINUTE(Table14[[#This Row],[Corrected time]])</f>
        <v>51</v>
      </c>
      <c r="D111" s="1">
        <v>0.49422135416666663</v>
      </c>
      <c r="E111" s="1">
        <f>Table14[[#This Row],[Time]]-TIME(0,0,8)</f>
        <v>0.49412876157407404</v>
      </c>
      <c r="F111" t="s">
        <v>9</v>
      </c>
      <c r="G111" t="s">
        <v>19</v>
      </c>
      <c r="H111">
        <f t="shared" si="2"/>
        <v>-124</v>
      </c>
      <c r="I111">
        <v>-2.7</v>
      </c>
      <c r="L111">
        <f>480+2*(Table25[[#This Row],[min value (corrected)]]-49)</f>
        <v>484</v>
      </c>
      <c r="M111">
        <f>MINUTE(Table25[[#This Row],[Corrected time]])</f>
        <v>51</v>
      </c>
      <c r="N111" s="1">
        <v>0.66078648148148145</v>
      </c>
      <c r="O111" s="1">
        <f>Table25[[#This Row],[Time]]-TIME(0,0,4)</f>
        <v>0.66074018518518518</v>
      </c>
      <c r="P111" t="s">
        <v>9</v>
      </c>
      <c r="Q111">
        <v>-124</v>
      </c>
      <c r="R111">
        <f>Table25[[#This Row],[RSSI]]</f>
        <v>-124</v>
      </c>
      <c r="S111">
        <v>-3</v>
      </c>
    </row>
    <row r="112" spans="2:19" x14ac:dyDescent="0.25">
      <c r="B112">
        <f>480+2*(Table14[[#This Row],[min value (corrected)]]-49)</f>
        <v>484</v>
      </c>
      <c r="C112">
        <f>MINUTE(Table14[[#This Row],[Corrected time]])</f>
        <v>51</v>
      </c>
      <c r="D112" s="1">
        <v>0.4942411805555556</v>
      </c>
      <c r="E112" s="1">
        <f>Table14[[#This Row],[Time]]-TIME(0,0,8)</f>
        <v>0.49414858796296302</v>
      </c>
      <c r="F112" t="s">
        <v>9</v>
      </c>
      <c r="G112" t="s">
        <v>19</v>
      </c>
      <c r="H112">
        <f t="shared" si="2"/>
        <v>-124</v>
      </c>
      <c r="I112">
        <v>-3</v>
      </c>
      <c r="L112">
        <f>480+2*(Table25[[#This Row],[min value (corrected)]]-49)</f>
        <v>484</v>
      </c>
      <c r="M112">
        <f>MINUTE(Table25[[#This Row],[Corrected time]])</f>
        <v>51</v>
      </c>
      <c r="N112" s="1">
        <v>0.66080631944444446</v>
      </c>
      <c r="O112" s="1">
        <f>Table25[[#This Row],[Time]]-TIME(0,0,4)</f>
        <v>0.66076002314814819</v>
      </c>
      <c r="P112" t="s">
        <v>9</v>
      </c>
      <c r="Q112">
        <v>-124</v>
      </c>
      <c r="R112">
        <f>Table25[[#This Row],[RSSI]]</f>
        <v>-124</v>
      </c>
      <c r="S112">
        <v>-3.2</v>
      </c>
    </row>
    <row r="113" spans="2:19" x14ac:dyDescent="0.25">
      <c r="B113">
        <f>480+2*(Table14[[#This Row],[min value (corrected)]]-49)</f>
        <v>484</v>
      </c>
      <c r="C113">
        <f>MINUTE(Table14[[#This Row],[Corrected time]])</f>
        <v>51</v>
      </c>
      <c r="D113" s="1">
        <v>0.49426101851851856</v>
      </c>
      <c r="E113" s="1">
        <f>Table14[[#This Row],[Time]]-TIME(0,0,8)</f>
        <v>0.49416842592592597</v>
      </c>
      <c r="F113" t="s">
        <v>9</v>
      </c>
      <c r="G113" t="s">
        <v>19</v>
      </c>
      <c r="H113">
        <f t="shared" si="2"/>
        <v>-124</v>
      </c>
      <c r="I113">
        <v>-2.7</v>
      </c>
      <c r="L113">
        <f>480+2*(Table25[[#This Row],[min value (corrected)]]-49)</f>
        <v>484</v>
      </c>
      <c r="M113">
        <f>MINUTE(Table25[[#This Row],[Corrected time]])</f>
        <v>51</v>
      </c>
      <c r="N113" s="1">
        <v>0.66082615740740736</v>
      </c>
      <c r="O113" s="1">
        <f>Table25[[#This Row],[Time]]-TIME(0,0,4)</f>
        <v>0.66077986111111109</v>
      </c>
      <c r="P113" t="s">
        <v>9</v>
      </c>
      <c r="Q113">
        <v>-124</v>
      </c>
      <c r="R113">
        <f>Table25[[#This Row],[RSSI]]</f>
        <v>-124</v>
      </c>
      <c r="S113">
        <v>-3</v>
      </c>
    </row>
    <row r="114" spans="2:19" x14ac:dyDescent="0.25">
      <c r="B114">
        <f>480+2*(Table14[[#This Row],[min value (corrected)]]-49)</f>
        <v>484</v>
      </c>
      <c r="C114">
        <f>MINUTE(Table14[[#This Row],[Corrected time]])</f>
        <v>51</v>
      </c>
      <c r="D114" s="1">
        <v>0.49428085648148151</v>
      </c>
      <c r="E114" s="1">
        <f>Table14[[#This Row],[Time]]-TIME(0,0,8)</f>
        <v>0.49418826388888892</v>
      </c>
      <c r="F114" t="s">
        <v>9</v>
      </c>
      <c r="G114" t="s">
        <v>19</v>
      </c>
      <c r="H114">
        <f t="shared" si="2"/>
        <v>-124</v>
      </c>
      <c r="I114">
        <v>-3</v>
      </c>
      <c r="L114">
        <f>480+2*(Table25[[#This Row],[min value (corrected)]]-49)</f>
        <v>484</v>
      </c>
      <c r="M114">
        <f>MINUTE(Table25[[#This Row],[Corrected time]])</f>
        <v>51</v>
      </c>
      <c r="N114" s="1">
        <v>0.66084599537037036</v>
      </c>
      <c r="O114" s="1">
        <f>Table25[[#This Row],[Time]]-TIME(0,0,4)</f>
        <v>0.6607996990740741</v>
      </c>
      <c r="P114" t="s">
        <v>9</v>
      </c>
      <c r="Q114">
        <v>-124</v>
      </c>
      <c r="R114">
        <f>Table25[[#This Row],[RSSI]]</f>
        <v>-124</v>
      </c>
      <c r="S114">
        <v>-2.7</v>
      </c>
    </row>
    <row r="115" spans="2:19" x14ac:dyDescent="0.25">
      <c r="B115">
        <f>480+2*(Table14[[#This Row],[min value (corrected)]]-49)</f>
        <v>484</v>
      </c>
      <c r="C115">
        <f>MINUTE(Table14[[#This Row],[Corrected time]])</f>
        <v>51</v>
      </c>
      <c r="D115" s="1">
        <v>0.49430068287037032</v>
      </c>
      <c r="E115" s="1">
        <f>Table14[[#This Row],[Time]]-TIME(0,0,8)</f>
        <v>0.49420809027777773</v>
      </c>
      <c r="F115" t="s">
        <v>9</v>
      </c>
      <c r="G115" t="s">
        <v>19</v>
      </c>
      <c r="H115">
        <f t="shared" si="2"/>
        <v>-124</v>
      </c>
      <c r="I115">
        <v>-2.2000000000000002</v>
      </c>
      <c r="L115">
        <f>480+2*(Table25[[#This Row],[min value (corrected)]]-49)</f>
        <v>484</v>
      </c>
      <c r="M115">
        <f>MINUTE(Table25[[#This Row],[Corrected time]])</f>
        <v>51</v>
      </c>
      <c r="N115" s="1">
        <v>0.66086583333333326</v>
      </c>
      <c r="O115" s="1">
        <f>Table25[[#This Row],[Time]]-TIME(0,0,4)</f>
        <v>0.660819537037037</v>
      </c>
      <c r="P115" t="s">
        <v>9</v>
      </c>
      <c r="Q115">
        <v>-124</v>
      </c>
      <c r="R115">
        <f>Table25[[#This Row],[RSSI]]</f>
        <v>-124</v>
      </c>
      <c r="S115">
        <v>-2.7</v>
      </c>
    </row>
    <row r="116" spans="2:19" x14ac:dyDescent="0.25">
      <c r="B116">
        <f>480+2*(Table14[[#This Row],[min value (corrected)]]-49)</f>
        <v>484</v>
      </c>
      <c r="C116">
        <f>MINUTE(Table14[[#This Row],[Corrected time]])</f>
        <v>51</v>
      </c>
      <c r="D116" s="1">
        <v>0.49432053240740742</v>
      </c>
      <c r="E116" s="1">
        <f>Table14[[#This Row],[Time]]-TIME(0,0,8)</f>
        <v>0.49422793981481483</v>
      </c>
      <c r="F116" t="s">
        <v>9</v>
      </c>
      <c r="G116" t="s">
        <v>19</v>
      </c>
      <c r="H116">
        <f t="shared" si="2"/>
        <v>-124</v>
      </c>
      <c r="I116">
        <v>-3</v>
      </c>
      <c r="L116">
        <f>480+2*(Table25[[#This Row],[min value (corrected)]]-49)</f>
        <v>484</v>
      </c>
      <c r="M116">
        <f>MINUTE(Table25[[#This Row],[Corrected time]])</f>
        <v>51</v>
      </c>
      <c r="N116" s="1">
        <v>0.66088567129629627</v>
      </c>
      <c r="O116" s="1">
        <f>Table25[[#This Row],[Time]]-TIME(0,0,4)</f>
        <v>0.66083937500000001</v>
      </c>
      <c r="P116" t="s">
        <v>9</v>
      </c>
      <c r="Q116">
        <v>-124</v>
      </c>
      <c r="R116">
        <f>Table25[[#This Row],[RSSI]]</f>
        <v>-124</v>
      </c>
      <c r="S116">
        <v>-3</v>
      </c>
    </row>
    <row r="117" spans="2:19" x14ac:dyDescent="0.25">
      <c r="B117">
        <f>480+2*(Table14[[#This Row],[min value (corrected)]]-49)</f>
        <v>484</v>
      </c>
      <c r="C117">
        <f>MINUTE(Table14[[#This Row],[Corrected time]])</f>
        <v>51</v>
      </c>
      <c r="D117" s="1">
        <v>0.49434037037037037</v>
      </c>
      <c r="E117" s="1">
        <f>Table14[[#This Row],[Time]]-TIME(0,0,8)</f>
        <v>0.49424777777777779</v>
      </c>
      <c r="F117" t="s">
        <v>9</v>
      </c>
      <c r="G117" t="s">
        <v>19</v>
      </c>
      <c r="H117">
        <f t="shared" si="2"/>
        <v>-124</v>
      </c>
      <c r="I117">
        <v>-2.5</v>
      </c>
      <c r="L117">
        <f>480+2*(Table25[[#This Row],[min value (corrected)]]-49)</f>
        <v>484</v>
      </c>
      <c r="M117">
        <f>MINUTE(Table25[[#This Row],[Corrected time]])</f>
        <v>51</v>
      </c>
      <c r="N117" s="1">
        <v>0.66090550925925917</v>
      </c>
      <c r="O117" s="1">
        <f>Table25[[#This Row],[Time]]-TIME(0,0,4)</f>
        <v>0.66085921296296291</v>
      </c>
      <c r="P117" t="s">
        <v>9</v>
      </c>
      <c r="Q117">
        <v>-124</v>
      </c>
      <c r="R117">
        <f>Table25[[#This Row],[RSSI]]</f>
        <v>-124</v>
      </c>
      <c r="S117">
        <v>-2.5</v>
      </c>
    </row>
    <row r="118" spans="2:19" x14ac:dyDescent="0.25">
      <c r="B118">
        <f>480+2*(Table14[[#This Row],[min value (corrected)]]-49)</f>
        <v>484</v>
      </c>
      <c r="C118">
        <f>MINUTE(Table14[[#This Row],[Corrected time]])</f>
        <v>51</v>
      </c>
      <c r="D118" s="1">
        <v>0.49436020833333333</v>
      </c>
      <c r="E118" s="1">
        <f>Table14[[#This Row],[Time]]-TIME(0,0,8)</f>
        <v>0.49426761574074074</v>
      </c>
      <c r="F118" t="s">
        <v>9</v>
      </c>
      <c r="G118" t="s">
        <v>19</v>
      </c>
      <c r="H118">
        <f t="shared" si="2"/>
        <v>-124</v>
      </c>
      <c r="I118">
        <v>-2.5</v>
      </c>
      <c r="L118">
        <f>480+2*(Table25[[#This Row],[min value (corrected)]]-49)</f>
        <v>484</v>
      </c>
      <c r="M118">
        <f>MINUTE(Table25[[#This Row],[Corrected time]])</f>
        <v>51</v>
      </c>
      <c r="N118" s="1">
        <v>0.66092534722222218</v>
      </c>
      <c r="O118" s="1">
        <f>Table25[[#This Row],[Time]]-TIME(0,0,4)</f>
        <v>0.66087905092592591</v>
      </c>
      <c r="P118" t="s">
        <v>9</v>
      </c>
      <c r="Q118">
        <v>-123</v>
      </c>
      <c r="R118">
        <f>Table25[[#This Row],[RSSI]]</f>
        <v>-123</v>
      </c>
      <c r="S118">
        <v>-2.2000000000000002</v>
      </c>
    </row>
    <row r="119" spans="2:19" x14ac:dyDescent="0.25">
      <c r="B119">
        <f>480+2*(Table14[[#This Row],[min value (corrected)]]-49)</f>
        <v>484</v>
      </c>
      <c r="C119">
        <f>MINUTE(Table14[[#This Row],[Corrected time]])</f>
        <v>51</v>
      </c>
      <c r="D119" s="1">
        <v>0.49438004629629634</v>
      </c>
      <c r="E119" s="1">
        <f>Table14[[#This Row],[Time]]-TIME(0,0,8)</f>
        <v>0.49428745370370375</v>
      </c>
      <c r="F119" t="s">
        <v>9</v>
      </c>
      <c r="G119" t="s">
        <v>19</v>
      </c>
      <c r="H119">
        <f t="shared" si="2"/>
        <v>-124</v>
      </c>
      <c r="I119">
        <v>-2.7</v>
      </c>
      <c r="L119">
        <f>480+2*(Table25[[#This Row],[min value (corrected)]]-49)</f>
        <v>484</v>
      </c>
      <c r="M119">
        <f>MINUTE(Table25[[#This Row],[Corrected time]])</f>
        <v>51</v>
      </c>
      <c r="N119" s="1">
        <v>0.66094517361111116</v>
      </c>
      <c r="O119" s="1">
        <f>Table25[[#This Row],[Time]]-TIME(0,0,4)</f>
        <v>0.66089887731481489</v>
      </c>
      <c r="P119" t="s">
        <v>9</v>
      </c>
      <c r="Q119">
        <v>-124</v>
      </c>
      <c r="R119">
        <f>Table25[[#This Row],[RSSI]]</f>
        <v>-124</v>
      </c>
      <c r="S119">
        <v>-2.2000000000000002</v>
      </c>
    </row>
    <row r="120" spans="2:19" x14ac:dyDescent="0.25">
      <c r="B120">
        <f>480+2*(Table14[[#This Row],[min value (corrected)]]-49)</f>
        <v>484</v>
      </c>
      <c r="C120">
        <f>MINUTE(Table14[[#This Row],[Corrected time]])</f>
        <v>51</v>
      </c>
      <c r="D120" s="1">
        <v>0.49439988425925929</v>
      </c>
      <c r="E120" s="1">
        <f>Table14[[#This Row],[Time]]-TIME(0,0,8)</f>
        <v>0.4943072916666667</v>
      </c>
      <c r="F120" t="s">
        <v>9</v>
      </c>
      <c r="G120" t="s">
        <v>12</v>
      </c>
      <c r="H120">
        <f t="shared" si="2"/>
        <v>-123</v>
      </c>
      <c r="I120">
        <v>-2.5</v>
      </c>
      <c r="L120">
        <f>480+2*(Table25[[#This Row],[min value (corrected)]]-49)</f>
        <v>484</v>
      </c>
      <c r="M120">
        <f>MINUTE(Table25[[#This Row],[Corrected time]])</f>
        <v>51</v>
      </c>
      <c r="N120" s="1">
        <v>0.66096502314814809</v>
      </c>
      <c r="O120" s="1">
        <f>Table25[[#This Row],[Time]]-TIME(0,0,4)</f>
        <v>0.66091872685185182</v>
      </c>
      <c r="P120" t="s">
        <v>9</v>
      </c>
      <c r="Q120">
        <v>-124</v>
      </c>
      <c r="R120">
        <f>Table25[[#This Row],[RSSI]]</f>
        <v>-124</v>
      </c>
      <c r="S120">
        <v>-2.5</v>
      </c>
    </row>
    <row r="121" spans="2:19" x14ac:dyDescent="0.25">
      <c r="B121">
        <f>480+2*(Table14[[#This Row],[min value (corrected)]]-49)</f>
        <v>484</v>
      </c>
      <c r="C121">
        <f>MINUTE(Table14[[#This Row],[Corrected time]])</f>
        <v>51</v>
      </c>
      <c r="D121" s="1">
        <v>0.49441972222222225</v>
      </c>
      <c r="E121" s="1">
        <f>Table14[[#This Row],[Time]]-TIME(0,0,8)</f>
        <v>0.49432712962962966</v>
      </c>
      <c r="F121" t="s">
        <v>9</v>
      </c>
      <c r="G121" t="s">
        <v>19</v>
      </c>
      <c r="H121">
        <f t="shared" si="2"/>
        <v>-124</v>
      </c>
      <c r="I121">
        <v>-2.7</v>
      </c>
      <c r="L121">
        <f>480+2*(Table25[[#This Row],[min value (corrected)]]-49)</f>
        <v>484</v>
      </c>
      <c r="M121">
        <f>MINUTE(Table25[[#This Row],[Corrected time]])</f>
        <v>51</v>
      </c>
      <c r="N121" s="1">
        <v>0.6609848611111111</v>
      </c>
      <c r="O121" s="1">
        <f>Table25[[#This Row],[Time]]-TIME(0,0,4)</f>
        <v>0.66093856481481483</v>
      </c>
      <c r="P121" t="s">
        <v>9</v>
      </c>
      <c r="Q121">
        <v>-123</v>
      </c>
      <c r="R121">
        <f>Table25[[#This Row],[RSSI]]</f>
        <v>-123</v>
      </c>
      <c r="S121">
        <v>-2.5</v>
      </c>
    </row>
    <row r="122" spans="2:19" x14ac:dyDescent="0.25">
      <c r="B122">
        <f>480+2*(Table14[[#This Row],[min value (corrected)]]-49)</f>
        <v>484</v>
      </c>
      <c r="C122">
        <f>MINUTE(Table14[[#This Row],[Corrected time]])</f>
        <v>51</v>
      </c>
      <c r="D122" s="1">
        <v>0.4944395601851852</v>
      </c>
      <c r="E122" s="1">
        <f>Table14[[#This Row],[Time]]-TIME(0,0,8)</f>
        <v>0.49434696759259261</v>
      </c>
      <c r="F122" t="s">
        <v>9</v>
      </c>
      <c r="G122" t="s">
        <v>19</v>
      </c>
      <c r="H122">
        <f t="shared" si="2"/>
        <v>-124</v>
      </c>
      <c r="I122">
        <v>-2.7</v>
      </c>
      <c r="L122">
        <f>480+2*(Table25[[#This Row],[min value (corrected)]]-49)</f>
        <v>484</v>
      </c>
      <c r="M122">
        <f>MINUTE(Table25[[#This Row],[Corrected time]])</f>
        <v>51</v>
      </c>
      <c r="N122" s="1">
        <v>0.661004699074074</v>
      </c>
      <c r="O122" s="1">
        <f>Table25[[#This Row],[Time]]-TIME(0,0,4)</f>
        <v>0.66095840277777773</v>
      </c>
      <c r="P122" t="s">
        <v>9</v>
      </c>
      <c r="Q122">
        <v>-124</v>
      </c>
      <c r="R122">
        <f>Table25[[#This Row],[RSSI]]</f>
        <v>-124</v>
      </c>
      <c r="S122">
        <v>-2.5</v>
      </c>
    </row>
    <row r="123" spans="2:19" x14ac:dyDescent="0.25">
      <c r="B123">
        <f>480+2*(Table14[[#This Row],[min value (corrected)]]-49)</f>
        <v>484</v>
      </c>
      <c r="C123">
        <f>MINUTE(Table14[[#This Row],[Corrected time]])</f>
        <v>51</v>
      </c>
      <c r="D123" s="1">
        <v>0.49445939814814815</v>
      </c>
      <c r="E123" s="1">
        <f>Table14[[#This Row],[Time]]-TIME(0,0,8)</f>
        <v>0.49436680555555557</v>
      </c>
      <c r="F123" t="s">
        <v>9</v>
      </c>
      <c r="G123" t="s">
        <v>19</v>
      </c>
      <c r="H123">
        <f t="shared" si="2"/>
        <v>-124</v>
      </c>
      <c r="I123">
        <v>-3</v>
      </c>
      <c r="L123">
        <f>480+2*(Table25[[#This Row],[min value (corrected)]]-49)</f>
        <v>484</v>
      </c>
      <c r="M123">
        <f>MINUTE(Table25[[#This Row],[Corrected time]])</f>
        <v>51</v>
      </c>
      <c r="N123" s="1">
        <v>0.66102453703703701</v>
      </c>
      <c r="O123" s="1">
        <f>Table25[[#This Row],[Time]]-TIME(0,0,4)</f>
        <v>0.66097824074074074</v>
      </c>
      <c r="P123" t="s">
        <v>9</v>
      </c>
      <c r="Q123">
        <v>-119</v>
      </c>
      <c r="R123">
        <f>Table25[[#This Row],[RSSI]]</f>
        <v>-119</v>
      </c>
      <c r="S123">
        <v>-2.7</v>
      </c>
    </row>
    <row r="124" spans="2:19" x14ac:dyDescent="0.25">
      <c r="B124">
        <f>480+2*(Table14[[#This Row],[min value (corrected)]]-49)</f>
        <v>484</v>
      </c>
      <c r="C124">
        <f>MINUTE(Table14[[#This Row],[Corrected time]])</f>
        <v>51</v>
      </c>
      <c r="D124" s="1">
        <v>0.49447923611111111</v>
      </c>
      <c r="E124" s="1">
        <f>Table14[[#This Row],[Time]]-TIME(0,0,8)</f>
        <v>0.49438664351851852</v>
      </c>
      <c r="F124" t="s">
        <v>9</v>
      </c>
      <c r="G124" t="s">
        <v>11</v>
      </c>
      <c r="H124">
        <f t="shared" si="2"/>
        <v>-122</v>
      </c>
      <c r="I124">
        <v>-2.7</v>
      </c>
      <c r="L124">
        <f>480+2*(Table25[[#This Row],[min value (corrected)]]-49)</f>
        <v>484</v>
      </c>
      <c r="M124">
        <f>MINUTE(Table25[[#This Row],[Corrected time]])</f>
        <v>51</v>
      </c>
      <c r="N124" s="1">
        <v>0.66104437500000002</v>
      </c>
      <c r="O124" s="1">
        <f>Table25[[#This Row],[Time]]-TIME(0,0,4)</f>
        <v>0.66099807870370375</v>
      </c>
      <c r="P124" t="s">
        <v>9</v>
      </c>
      <c r="Q124">
        <v>-123</v>
      </c>
      <c r="R124">
        <f>Table25[[#This Row],[RSSI]]</f>
        <v>-123</v>
      </c>
      <c r="S124">
        <v>-2.5</v>
      </c>
    </row>
    <row r="125" spans="2:19" x14ac:dyDescent="0.25">
      <c r="B125">
        <f>480+2*(Table14[[#This Row],[min value (corrected)]]-49)</f>
        <v>484</v>
      </c>
      <c r="C125">
        <f>MINUTE(Table14[[#This Row],[Corrected time]])</f>
        <v>51</v>
      </c>
      <c r="D125" s="1">
        <v>0.4944990856481481</v>
      </c>
      <c r="E125" s="1">
        <f>Table14[[#This Row],[Time]]-TIME(0,0,8)</f>
        <v>0.49440649305555551</v>
      </c>
      <c r="F125" t="s">
        <v>9</v>
      </c>
      <c r="G125" t="s">
        <v>19</v>
      </c>
      <c r="H125">
        <f t="shared" si="2"/>
        <v>-124</v>
      </c>
      <c r="I125">
        <v>-3</v>
      </c>
      <c r="L125">
        <f>480+2*(Table25[[#This Row],[min value (corrected)]]-49)</f>
        <v>484</v>
      </c>
      <c r="M125">
        <f>MINUTE(Table25[[#This Row],[Corrected time]])</f>
        <v>51</v>
      </c>
      <c r="N125" s="1">
        <v>0.66106421296296292</v>
      </c>
      <c r="O125" s="1">
        <f>Table25[[#This Row],[Time]]-TIME(0,0,4)</f>
        <v>0.66101791666666665</v>
      </c>
      <c r="P125" t="s">
        <v>9</v>
      </c>
      <c r="Q125">
        <v>-124</v>
      </c>
      <c r="R125">
        <f>Table25[[#This Row],[RSSI]]</f>
        <v>-124</v>
      </c>
      <c r="S125">
        <v>-2.5</v>
      </c>
    </row>
    <row r="126" spans="2:19" x14ac:dyDescent="0.25">
      <c r="B126">
        <f>480+2*(Table14[[#This Row],[min value (corrected)]]-49)</f>
        <v>484</v>
      </c>
      <c r="C126">
        <f>MINUTE(Table14[[#This Row],[Corrected time]])</f>
        <v>51</v>
      </c>
      <c r="D126" s="1">
        <v>0.49451891203703707</v>
      </c>
      <c r="E126" s="1">
        <f>Table14[[#This Row],[Time]]-TIME(0,0,8)</f>
        <v>0.49442631944444448</v>
      </c>
      <c r="F126" t="s">
        <v>9</v>
      </c>
      <c r="G126" t="s">
        <v>19</v>
      </c>
      <c r="H126">
        <f t="shared" si="2"/>
        <v>-124</v>
      </c>
      <c r="I126">
        <v>-3</v>
      </c>
      <c r="L126">
        <f>480+2*(Table25[[#This Row],[min value (corrected)]]-49)</f>
        <v>484</v>
      </c>
      <c r="M126">
        <f>MINUTE(Table25[[#This Row],[Corrected time]])</f>
        <v>51</v>
      </c>
      <c r="N126" s="1">
        <v>0.66108405092592593</v>
      </c>
      <c r="O126" s="1">
        <f>Table25[[#This Row],[Time]]-TIME(0,0,4)</f>
        <v>0.66103775462962966</v>
      </c>
      <c r="P126" t="s">
        <v>9</v>
      </c>
      <c r="Q126">
        <v>-124</v>
      </c>
      <c r="R126">
        <f>Table25[[#This Row],[RSSI]]</f>
        <v>-124</v>
      </c>
      <c r="S126">
        <v>-3</v>
      </c>
    </row>
    <row r="127" spans="2:19" x14ac:dyDescent="0.25">
      <c r="B127">
        <f>480+2*(Table14[[#This Row],[min value (corrected)]]-49)</f>
        <v>486</v>
      </c>
      <c r="C127">
        <f>MINUTE(Table14[[#This Row],[Corrected time]])</f>
        <v>52</v>
      </c>
      <c r="D127" s="1">
        <v>0.49453875000000003</v>
      </c>
      <c r="E127" s="1">
        <f>Table14[[#This Row],[Time]]-TIME(0,0,8)</f>
        <v>0.49444615740740744</v>
      </c>
      <c r="F127" t="s">
        <v>9</v>
      </c>
      <c r="G127" t="s">
        <v>15</v>
      </c>
      <c r="H127">
        <f t="shared" si="2"/>
        <v>-120</v>
      </c>
      <c r="I127">
        <v>-3.2</v>
      </c>
      <c r="L127">
        <f>480+2*(Table25[[#This Row],[min value (corrected)]]-49)</f>
        <v>484</v>
      </c>
      <c r="M127">
        <f>MINUTE(Table25[[#This Row],[Corrected time]])</f>
        <v>51</v>
      </c>
      <c r="N127" s="1">
        <v>0.66110388888888882</v>
      </c>
      <c r="O127" s="1">
        <f>Table25[[#This Row],[Time]]-TIME(0,0,4)</f>
        <v>0.66105759259259256</v>
      </c>
      <c r="P127" t="s">
        <v>9</v>
      </c>
      <c r="Q127">
        <v>-124</v>
      </c>
      <c r="R127">
        <f>Table25[[#This Row],[RSSI]]</f>
        <v>-124</v>
      </c>
      <c r="S127">
        <v>-2.7</v>
      </c>
    </row>
    <row r="128" spans="2:19" x14ac:dyDescent="0.25">
      <c r="B128">
        <f>480+2*(Table14[[#This Row],[min value (corrected)]]-49)</f>
        <v>486</v>
      </c>
      <c r="C128">
        <f>MINUTE(Table14[[#This Row],[Corrected time]])</f>
        <v>52</v>
      </c>
      <c r="D128" s="1">
        <v>0.49455858796296298</v>
      </c>
      <c r="E128" s="1">
        <f>Table14[[#This Row],[Time]]-TIME(0,0,8)</f>
        <v>0.49446599537037039</v>
      </c>
      <c r="F128" t="s">
        <v>9</v>
      </c>
      <c r="G128" t="s">
        <v>15</v>
      </c>
      <c r="H128">
        <f t="shared" si="2"/>
        <v>-120</v>
      </c>
      <c r="I128">
        <v>-3.5</v>
      </c>
      <c r="L128">
        <f>480+2*(Table25[[#This Row],[min value (corrected)]]-49)</f>
        <v>484</v>
      </c>
      <c r="M128">
        <f>MINUTE(Table25[[#This Row],[Corrected time]])</f>
        <v>51</v>
      </c>
      <c r="N128" s="1">
        <v>0.66112372685185183</v>
      </c>
      <c r="O128" s="1">
        <f>Table25[[#This Row],[Time]]-TIME(0,0,4)</f>
        <v>0.66107743055555557</v>
      </c>
      <c r="P128" t="s">
        <v>9</v>
      </c>
      <c r="Q128">
        <v>-124</v>
      </c>
      <c r="R128">
        <f>Table25[[#This Row],[RSSI]]</f>
        <v>-124</v>
      </c>
      <c r="S128">
        <v>-2.5</v>
      </c>
    </row>
    <row r="129" spans="2:19" x14ac:dyDescent="0.25">
      <c r="B129">
        <f>480+2*(Table14[[#This Row],[min value (corrected)]]-49)</f>
        <v>486</v>
      </c>
      <c r="C129">
        <f>MINUTE(Table14[[#This Row],[Corrected time]])</f>
        <v>52</v>
      </c>
      <c r="D129" s="1">
        <v>0.49457841435185179</v>
      </c>
      <c r="E129" s="1">
        <f>Table14[[#This Row],[Time]]-TIME(0,0,8)</f>
        <v>0.4944858217592592</v>
      </c>
      <c r="F129" t="s">
        <v>9</v>
      </c>
      <c r="G129" t="s">
        <v>19</v>
      </c>
      <c r="H129">
        <f t="shared" si="2"/>
        <v>-124</v>
      </c>
      <c r="I129">
        <v>-3.5</v>
      </c>
      <c r="L129">
        <f>480+2*(Table25[[#This Row],[min value (corrected)]]-49)</f>
        <v>484</v>
      </c>
      <c r="M129">
        <f>MINUTE(Table25[[#This Row],[Corrected time]])</f>
        <v>51</v>
      </c>
      <c r="N129" s="1">
        <v>0.66114356481481473</v>
      </c>
      <c r="O129" s="1">
        <f>Table25[[#This Row],[Time]]-TIME(0,0,4)</f>
        <v>0.66109726851851847</v>
      </c>
      <c r="P129" t="s">
        <v>9</v>
      </c>
      <c r="Q129">
        <v>-125</v>
      </c>
      <c r="R129">
        <f>Table25[[#This Row],[RSSI]]</f>
        <v>-125</v>
      </c>
      <c r="S129">
        <v>-4.5</v>
      </c>
    </row>
    <row r="130" spans="2:19" x14ac:dyDescent="0.25">
      <c r="B130">
        <f>480+2*(Table14[[#This Row],[min value (corrected)]]-49)</f>
        <v>486</v>
      </c>
      <c r="C130">
        <f>MINUTE(Table14[[#This Row],[Corrected time]])</f>
        <v>52</v>
      </c>
      <c r="D130" s="1">
        <v>0.49459826388888889</v>
      </c>
      <c r="E130" s="1">
        <f>Table14[[#This Row],[Time]]-TIME(0,0,8)</f>
        <v>0.4945056712962963</v>
      </c>
      <c r="F130" t="s">
        <v>9</v>
      </c>
      <c r="G130" t="s">
        <v>19</v>
      </c>
      <c r="H130">
        <f t="shared" si="2"/>
        <v>-124</v>
      </c>
      <c r="I130">
        <v>-3.7</v>
      </c>
      <c r="L130">
        <f>480+2*(Table25[[#This Row],[min value (corrected)]]-49)</f>
        <v>486</v>
      </c>
      <c r="M130">
        <f>MINUTE(Table25[[#This Row],[Corrected time]])</f>
        <v>52</v>
      </c>
      <c r="N130" s="1">
        <v>0.66116340277777774</v>
      </c>
      <c r="O130" s="1">
        <f>Table25[[#This Row],[Time]]-TIME(0,0,4)</f>
        <v>0.66111710648148148</v>
      </c>
      <c r="P130" t="s">
        <v>9</v>
      </c>
      <c r="Q130">
        <v>-124</v>
      </c>
      <c r="R130">
        <f>Table25[[#This Row],[RSSI]]</f>
        <v>-124</v>
      </c>
      <c r="S130">
        <v>-3</v>
      </c>
    </row>
    <row r="131" spans="2:19" x14ac:dyDescent="0.25">
      <c r="B131">
        <f>480+2*(Table14[[#This Row],[min value (corrected)]]-49)</f>
        <v>486</v>
      </c>
      <c r="C131">
        <f>MINUTE(Table14[[#This Row],[Corrected time]])</f>
        <v>52</v>
      </c>
      <c r="D131" s="1">
        <v>0.49461810185185184</v>
      </c>
      <c r="E131" s="1">
        <f>Table14[[#This Row],[Time]]-TIME(0,0,8)</f>
        <v>0.49452550925925925</v>
      </c>
      <c r="F131" t="s">
        <v>9</v>
      </c>
      <c r="G131" t="s">
        <v>19</v>
      </c>
      <c r="H131">
        <f t="shared" si="2"/>
        <v>-124</v>
      </c>
      <c r="I131">
        <v>-3.2</v>
      </c>
      <c r="L131">
        <f>480+2*(Table25[[#This Row],[min value (corrected)]]-49)</f>
        <v>486</v>
      </c>
      <c r="M131">
        <f>MINUTE(Table25[[#This Row],[Corrected time]])</f>
        <v>52</v>
      </c>
      <c r="N131" s="1">
        <v>0.66118324074074075</v>
      </c>
      <c r="O131" s="1">
        <f>Table25[[#This Row],[Time]]-TIME(0,0,4)</f>
        <v>0.66113694444444449</v>
      </c>
      <c r="P131" t="s">
        <v>9</v>
      </c>
      <c r="Q131">
        <v>-124</v>
      </c>
      <c r="R131">
        <f>Table25[[#This Row],[RSSI]]</f>
        <v>-124</v>
      </c>
      <c r="S131">
        <v>-3.5</v>
      </c>
    </row>
    <row r="132" spans="2:19" x14ac:dyDescent="0.25">
      <c r="B132">
        <f>480+2*(Table14[[#This Row],[min value (corrected)]]-49)</f>
        <v>486</v>
      </c>
      <c r="C132">
        <f>MINUTE(Table14[[#This Row],[Corrected time]])</f>
        <v>52</v>
      </c>
      <c r="D132" s="1">
        <v>0.4946379398148148</v>
      </c>
      <c r="E132" s="1">
        <f>Table14[[#This Row],[Time]]-TIME(0,0,8)</f>
        <v>0.49454534722222221</v>
      </c>
      <c r="F132" t="s">
        <v>13</v>
      </c>
      <c r="G132" t="str">
        <f>G131</f>
        <v>-124.0,</v>
      </c>
      <c r="H132">
        <f>H131-0.5</f>
        <v>-124.5</v>
      </c>
      <c r="I132">
        <f>I131-0.5</f>
        <v>-3.7</v>
      </c>
      <c r="L132">
        <f>480+2*(Table25[[#This Row],[min value (corrected)]]-49)</f>
        <v>486</v>
      </c>
      <c r="M132">
        <f>MINUTE(Table25[[#This Row],[Corrected time]])</f>
        <v>52</v>
      </c>
      <c r="N132" s="1">
        <v>0.66120306712962962</v>
      </c>
      <c r="O132" s="1">
        <f>Table25[[#This Row],[Time]]-TIME(0,0,4)</f>
        <v>0.66115677083333335</v>
      </c>
      <c r="P132" t="s">
        <v>9</v>
      </c>
      <c r="Q132">
        <v>-122</v>
      </c>
      <c r="R132">
        <f>Table25[[#This Row],[RSSI]]</f>
        <v>-122</v>
      </c>
      <c r="S132">
        <v>-3.2</v>
      </c>
    </row>
    <row r="133" spans="2:19" x14ac:dyDescent="0.25">
      <c r="B133">
        <f>480+2*(Table14[[#This Row],[min value (corrected)]]-49)</f>
        <v>486</v>
      </c>
      <c r="C133">
        <f>MINUTE(Table14[[#This Row],[Corrected time]])</f>
        <v>52</v>
      </c>
      <c r="D133" s="1">
        <v>0.49465777777777781</v>
      </c>
      <c r="E133" s="1">
        <f>Table14[[#This Row],[Time]]-TIME(0,0,8)</f>
        <v>0.49456518518518522</v>
      </c>
      <c r="F133" t="s">
        <v>9</v>
      </c>
      <c r="G133" t="s">
        <v>19</v>
      </c>
      <c r="H133">
        <f t="shared" ref="H132:H195" si="3">VALUE(LEFT(G133,LEN(G133)-1))</f>
        <v>-124</v>
      </c>
      <c r="I133">
        <v>-2.7</v>
      </c>
      <c r="L133">
        <f>480+2*(Table25[[#This Row],[min value (corrected)]]-49)</f>
        <v>486</v>
      </c>
      <c r="M133">
        <f>MINUTE(Table25[[#This Row],[Corrected time]])</f>
        <v>52</v>
      </c>
      <c r="N133" s="1">
        <v>0.66122291666666666</v>
      </c>
      <c r="O133" s="1">
        <f>Table25[[#This Row],[Time]]-TIME(0,0,4)</f>
        <v>0.66117662037037039</v>
      </c>
      <c r="P133" t="s">
        <v>9</v>
      </c>
      <c r="Q133">
        <v>-124</v>
      </c>
      <c r="R133">
        <f>Table25[[#This Row],[RSSI]]</f>
        <v>-124</v>
      </c>
      <c r="S133">
        <v>-3</v>
      </c>
    </row>
    <row r="134" spans="2:19" x14ac:dyDescent="0.25">
      <c r="B134">
        <f>480+2*(Table14[[#This Row],[min value (corrected)]]-49)</f>
        <v>486</v>
      </c>
      <c r="C134">
        <f>MINUTE(Table14[[#This Row],[Corrected time]])</f>
        <v>52</v>
      </c>
      <c r="D134" s="1">
        <v>0.49467761574074076</v>
      </c>
      <c r="E134" s="1">
        <f>Table14[[#This Row],[Time]]-TIME(0,0,8)</f>
        <v>0.49458502314814817</v>
      </c>
      <c r="F134" t="s">
        <v>9</v>
      </c>
      <c r="G134" t="s">
        <v>19</v>
      </c>
      <c r="H134">
        <f t="shared" si="3"/>
        <v>-124</v>
      </c>
      <c r="I134">
        <v>-3.2</v>
      </c>
      <c r="L134">
        <f>480+2*(Table25[[#This Row],[min value (corrected)]]-49)</f>
        <v>486</v>
      </c>
      <c r="M134">
        <f>MINUTE(Table25[[#This Row],[Corrected time]])</f>
        <v>52</v>
      </c>
      <c r="N134" s="1">
        <v>0.66124275462962967</v>
      </c>
      <c r="O134" s="1">
        <f>Table25[[#This Row],[Time]]-TIME(0,0,4)</f>
        <v>0.6611964583333334</v>
      </c>
      <c r="P134" t="s">
        <v>9</v>
      </c>
      <c r="Q134">
        <v>-124</v>
      </c>
      <c r="R134">
        <f>Table25[[#This Row],[RSSI]]</f>
        <v>-124</v>
      </c>
      <c r="S134">
        <v>-3.5</v>
      </c>
    </row>
    <row r="135" spans="2:19" x14ac:dyDescent="0.25">
      <c r="B135">
        <f>480+2*(Table14[[#This Row],[min value (corrected)]]-49)</f>
        <v>486</v>
      </c>
      <c r="C135">
        <f>MINUTE(Table14[[#This Row],[Corrected time]])</f>
        <v>52</v>
      </c>
      <c r="D135" s="1">
        <v>0.49469745370370372</v>
      </c>
      <c r="E135" s="1">
        <f>Table14[[#This Row],[Time]]-TIME(0,0,8)</f>
        <v>0.49460486111111113</v>
      </c>
      <c r="F135" t="s">
        <v>9</v>
      </c>
      <c r="G135" t="s">
        <v>19</v>
      </c>
      <c r="H135">
        <f t="shared" si="3"/>
        <v>-124</v>
      </c>
      <c r="I135">
        <v>-3</v>
      </c>
      <c r="L135">
        <f>480+2*(Table25[[#This Row],[min value (corrected)]]-49)</f>
        <v>486</v>
      </c>
      <c r="M135">
        <f>MINUTE(Table25[[#This Row],[Corrected time]])</f>
        <v>52</v>
      </c>
      <c r="N135" s="1">
        <v>0.66126259259259268</v>
      </c>
      <c r="O135" s="1">
        <f>Table25[[#This Row],[Time]]-TIME(0,0,4)</f>
        <v>0.66121629629629641</v>
      </c>
      <c r="P135" t="s">
        <v>13</v>
      </c>
      <c r="Q135">
        <f>Q134</f>
        <v>-124</v>
      </c>
      <c r="R135">
        <f>Table25[[#This Row],[RSSI]]</f>
        <v>-124</v>
      </c>
    </row>
    <row r="136" spans="2:19" x14ac:dyDescent="0.25">
      <c r="B136">
        <f>480+2*(Table14[[#This Row],[min value (corrected)]]-49)</f>
        <v>486</v>
      </c>
      <c r="C136">
        <f>MINUTE(Table14[[#This Row],[Corrected time]])</f>
        <v>52</v>
      </c>
      <c r="D136" s="1">
        <v>0.49471729166666667</v>
      </c>
      <c r="E136" s="1">
        <f>Table14[[#This Row],[Time]]-TIME(0,0,8)</f>
        <v>0.49462469907407408</v>
      </c>
      <c r="F136" t="s">
        <v>9</v>
      </c>
      <c r="G136" t="s">
        <v>19</v>
      </c>
      <c r="H136">
        <f t="shared" si="3"/>
        <v>-124</v>
      </c>
      <c r="I136">
        <v>-3.2</v>
      </c>
      <c r="L136">
        <f>480+2*(Table25[[#This Row],[min value (corrected)]]-49)</f>
        <v>486</v>
      </c>
      <c r="M136">
        <f>MINUTE(Table25[[#This Row],[Corrected time]])</f>
        <v>52</v>
      </c>
      <c r="N136" s="1">
        <v>0.66128243055555558</v>
      </c>
      <c r="O136" s="1">
        <f>Table25[[#This Row],[Time]]-TIME(0,0,4)</f>
        <v>0.66123613425925931</v>
      </c>
      <c r="P136" t="s">
        <v>9</v>
      </c>
      <c r="Q136">
        <v>-124</v>
      </c>
      <c r="R136">
        <f>Table25[[#This Row],[RSSI]]</f>
        <v>-124</v>
      </c>
      <c r="S136">
        <v>-3.2</v>
      </c>
    </row>
    <row r="137" spans="2:19" x14ac:dyDescent="0.25">
      <c r="B137">
        <f>480+2*(Table14[[#This Row],[min value (corrected)]]-49)</f>
        <v>486</v>
      </c>
      <c r="C137">
        <f>MINUTE(Table14[[#This Row],[Corrected time]])</f>
        <v>52</v>
      </c>
      <c r="D137" s="1">
        <v>0.49473712962962962</v>
      </c>
      <c r="E137" s="1">
        <f>Table14[[#This Row],[Time]]-TIME(0,0,8)</f>
        <v>0.49464453703703704</v>
      </c>
      <c r="F137" t="s">
        <v>9</v>
      </c>
      <c r="G137" t="s">
        <v>19</v>
      </c>
      <c r="H137">
        <f t="shared" si="3"/>
        <v>-124</v>
      </c>
      <c r="I137">
        <v>-2.7</v>
      </c>
      <c r="L137">
        <f>480+2*(Table25[[#This Row],[min value (corrected)]]-49)</f>
        <v>486</v>
      </c>
      <c r="M137">
        <f>MINUTE(Table25[[#This Row],[Corrected time]])</f>
        <v>52</v>
      </c>
      <c r="N137" s="1">
        <v>0.66130226851851859</v>
      </c>
      <c r="O137" s="1">
        <f>Table25[[#This Row],[Time]]-TIME(0,0,4)</f>
        <v>0.66125597222222232</v>
      </c>
      <c r="P137" t="s">
        <v>9</v>
      </c>
      <c r="Q137">
        <v>-124</v>
      </c>
      <c r="R137">
        <f>Table25[[#This Row],[RSSI]]</f>
        <v>-124</v>
      </c>
      <c r="S137">
        <v>-2.7</v>
      </c>
    </row>
    <row r="138" spans="2:19" x14ac:dyDescent="0.25">
      <c r="B138">
        <f>480+2*(Table14[[#This Row],[min value (corrected)]]-49)</f>
        <v>486</v>
      </c>
      <c r="C138">
        <f>MINUTE(Table14[[#This Row],[Corrected time]])</f>
        <v>52</v>
      </c>
      <c r="D138" s="1">
        <v>0.49475696759259258</v>
      </c>
      <c r="E138" s="1">
        <f>Table14[[#This Row],[Time]]-TIME(0,0,8)</f>
        <v>0.49466437499999999</v>
      </c>
      <c r="F138" t="s">
        <v>9</v>
      </c>
      <c r="G138" t="s">
        <v>19</v>
      </c>
      <c r="H138">
        <f t="shared" si="3"/>
        <v>-124</v>
      </c>
      <c r="I138">
        <v>-3</v>
      </c>
      <c r="L138">
        <f>480+2*(Table25[[#This Row],[min value (corrected)]]-49)</f>
        <v>486</v>
      </c>
      <c r="M138">
        <f>MINUTE(Table25[[#This Row],[Corrected time]])</f>
        <v>52</v>
      </c>
      <c r="N138" s="1">
        <v>0.66132209490740745</v>
      </c>
      <c r="O138" s="1">
        <f>Table25[[#This Row],[Time]]-TIME(0,0,4)</f>
        <v>0.66127579861111119</v>
      </c>
      <c r="P138" t="s">
        <v>9</v>
      </c>
      <c r="Q138">
        <v>-124</v>
      </c>
      <c r="R138">
        <f>Table25[[#This Row],[RSSI]]</f>
        <v>-124</v>
      </c>
      <c r="S138">
        <v>-2.7</v>
      </c>
    </row>
    <row r="139" spans="2:19" x14ac:dyDescent="0.25">
      <c r="B139">
        <f>480+2*(Table14[[#This Row],[min value (corrected)]]-49)</f>
        <v>486</v>
      </c>
      <c r="C139">
        <f>MINUTE(Table14[[#This Row],[Corrected time]])</f>
        <v>52</v>
      </c>
      <c r="D139" s="1">
        <v>0.49477680555555553</v>
      </c>
      <c r="E139" s="1">
        <f>Table14[[#This Row],[Time]]-TIME(0,0,8)</f>
        <v>0.49468421296296294</v>
      </c>
      <c r="F139" t="s">
        <v>9</v>
      </c>
      <c r="G139" t="s">
        <v>19</v>
      </c>
      <c r="H139">
        <f t="shared" si="3"/>
        <v>-124</v>
      </c>
      <c r="I139">
        <v>-2.5</v>
      </c>
      <c r="L139">
        <f>480+2*(Table25[[#This Row],[min value (corrected)]]-49)</f>
        <v>486</v>
      </c>
      <c r="M139">
        <f>MINUTE(Table25[[#This Row],[Corrected time]])</f>
        <v>52</v>
      </c>
      <c r="N139" s="1">
        <v>0.6613419444444445</v>
      </c>
      <c r="O139" s="1">
        <f>Table25[[#This Row],[Time]]-TIME(0,0,4)</f>
        <v>0.66129564814814823</v>
      </c>
      <c r="P139" t="s">
        <v>9</v>
      </c>
      <c r="Q139">
        <v>-124</v>
      </c>
      <c r="R139">
        <f>Table25[[#This Row],[RSSI]]</f>
        <v>-124</v>
      </c>
      <c r="S139">
        <v>-2.5</v>
      </c>
    </row>
    <row r="140" spans="2:19" x14ac:dyDescent="0.25">
      <c r="B140">
        <f>480+2*(Table14[[#This Row],[min value (corrected)]]-49)</f>
        <v>486</v>
      </c>
      <c r="C140">
        <f>MINUTE(Table14[[#This Row],[Corrected time]])</f>
        <v>52</v>
      </c>
      <c r="D140" s="1">
        <v>0.4947966319444444</v>
      </c>
      <c r="E140" s="1">
        <f>Table14[[#This Row],[Time]]-TIME(0,0,8)</f>
        <v>0.49470403935185181</v>
      </c>
      <c r="F140" t="s">
        <v>9</v>
      </c>
      <c r="G140" t="s">
        <v>19</v>
      </c>
      <c r="H140">
        <f t="shared" si="3"/>
        <v>-124</v>
      </c>
      <c r="I140">
        <v>-2.7</v>
      </c>
      <c r="L140">
        <f>480+2*(Table25[[#This Row],[min value (corrected)]]-49)</f>
        <v>486</v>
      </c>
      <c r="M140">
        <f>MINUTE(Table25[[#This Row],[Corrected time]])</f>
        <v>52</v>
      </c>
      <c r="N140" s="1">
        <v>0.66136178240740739</v>
      </c>
      <c r="O140" s="1">
        <f>Table25[[#This Row],[Time]]-TIME(0,0,4)</f>
        <v>0.66131548611111113</v>
      </c>
      <c r="P140" t="s">
        <v>9</v>
      </c>
      <c r="Q140">
        <v>-124</v>
      </c>
      <c r="R140">
        <f>Table25[[#This Row],[RSSI]]</f>
        <v>-124</v>
      </c>
      <c r="S140">
        <v>-2.7</v>
      </c>
    </row>
    <row r="141" spans="2:19" x14ac:dyDescent="0.25">
      <c r="B141">
        <f>480+2*(Table14[[#This Row],[min value (corrected)]]-49)</f>
        <v>486</v>
      </c>
      <c r="C141">
        <f>MINUTE(Table14[[#This Row],[Corrected time]])</f>
        <v>52</v>
      </c>
      <c r="D141" s="1">
        <v>0.4948164814814815</v>
      </c>
      <c r="E141" s="1">
        <f>Table14[[#This Row],[Time]]-TIME(0,0,8)</f>
        <v>0.49472388888888891</v>
      </c>
      <c r="F141" t="s">
        <v>9</v>
      </c>
      <c r="G141" t="s">
        <v>19</v>
      </c>
      <c r="H141">
        <f t="shared" si="3"/>
        <v>-124</v>
      </c>
      <c r="I141">
        <v>-2.2000000000000002</v>
      </c>
      <c r="L141">
        <f>480+2*(Table25[[#This Row],[min value (corrected)]]-49)</f>
        <v>486</v>
      </c>
      <c r="M141">
        <f>MINUTE(Table25[[#This Row],[Corrected time]])</f>
        <v>52</v>
      </c>
      <c r="N141" s="1">
        <v>0.6613816203703704</v>
      </c>
      <c r="O141" s="1">
        <f>Table25[[#This Row],[Time]]-TIME(0,0,4)</f>
        <v>0.66133532407407414</v>
      </c>
      <c r="P141" t="s">
        <v>9</v>
      </c>
      <c r="Q141">
        <v>-124</v>
      </c>
      <c r="R141">
        <f>Table25[[#This Row],[RSSI]]</f>
        <v>-124</v>
      </c>
      <c r="S141">
        <v>-2.7</v>
      </c>
    </row>
    <row r="142" spans="2:19" x14ac:dyDescent="0.25">
      <c r="B142">
        <f>480+2*(Table14[[#This Row],[min value (corrected)]]-49)</f>
        <v>486</v>
      </c>
      <c r="C142">
        <f>MINUTE(Table14[[#This Row],[Corrected time]])</f>
        <v>52</v>
      </c>
      <c r="D142" s="1">
        <v>0.49483631944444445</v>
      </c>
      <c r="E142" s="1">
        <f>Table14[[#This Row],[Time]]-TIME(0,0,8)</f>
        <v>0.49474372685185186</v>
      </c>
      <c r="F142" t="s">
        <v>9</v>
      </c>
      <c r="G142" t="s">
        <v>19</v>
      </c>
      <c r="H142">
        <f t="shared" si="3"/>
        <v>-124</v>
      </c>
      <c r="I142">
        <v>-3</v>
      </c>
      <c r="L142">
        <f>480+2*(Table25[[#This Row],[min value (corrected)]]-49)</f>
        <v>486</v>
      </c>
      <c r="M142">
        <f>MINUTE(Table25[[#This Row],[Corrected time]])</f>
        <v>52</v>
      </c>
      <c r="N142" s="1">
        <v>0.66140145833333341</v>
      </c>
      <c r="O142" s="1">
        <f>Table25[[#This Row],[Time]]-TIME(0,0,4)</f>
        <v>0.66135516203703715</v>
      </c>
      <c r="P142" t="s">
        <v>9</v>
      </c>
      <c r="Q142">
        <v>-124</v>
      </c>
      <c r="R142">
        <f>Table25[[#This Row],[RSSI]]</f>
        <v>-124</v>
      </c>
      <c r="S142">
        <v>-2.7</v>
      </c>
    </row>
    <row r="143" spans="2:19" x14ac:dyDescent="0.25">
      <c r="B143">
        <f>480+2*(Table14[[#This Row],[min value (corrected)]]-49)</f>
        <v>486</v>
      </c>
      <c r="C143">
        <f>MINUTE(Table14[[#This Row],[Corrected time]])</f>
        <v>52</v>
      </c>
      <c r="D143" s="1">
        <v>0.4948561574074074</v>
      </c>
      <c r="E143" s="1">
        <f>Table14[[#This Row],[Time]]-TIME(0,0,8)</f>
        <v>0.49476356481481482</v>
      </c>
      <c r="F143" t="s">
        <v>9</v>
      </c>
      <c r="G143" t="s">
        <v>19</v>
      </c>
      <c r="H143">
        <f t="shared" si="3"/>
        <v>-124</v>
      </c>
      <c r="I143">
        <v>-3</v>
      </c>
      <c r="L143">
        <f>480+2*(Table25[[#This Row],[min value (corrected)]]-49)</f>
        <v>486</v>
      </c>
      <c r="M143">
        <f>MINUTE(Table25[[#This Row],[Corrected time]])</f>
        <v>52</v>
      </c>
      <c r="N143" s="1">
        <v>0.66142129629629631</v>
      </c>
      <c r="O143" s="1">
        <f>Table25[[#This Row],[Time]]-TIME(0,0,4)</f>
        <v>0.66137500000000005</v>
      </c>
      <c r="P143" t="s">
        <v>9</v>
      </c>
      <c r="Q143">
        <v>-124</v>
      </c>
      <c r="R143">
        <f>Table25[[#This Row],[RSSI]]</f>
        <v>-124</v>
      </c>
      <c r="S143">
        <v>-2.5</v>
      </c>
    </row>
    <row r="144" spans="2:19" x14ac:dyDescent="0.25">
      <c r="B144">
        <f>480+2*(Table14[[#This Row],[min value (corrected)]]-49)</f>
        <v>486</v>
      </c>
      <c r="C144">
        <f>MINUTE(Table14[[#This Row],[Corrected time]])</f>
        <v>52</v>
      </c>
      <c r="D144" s="1">
        <v>0.49487599537037036</v>
      </c>
      <c r="E144" s="1">
        <f>Table14[[#This Row],[Time]]-TIME(0,0,8)</f>
        <v>0.49478340277777777</v>
      </c>
      <c r="F144" t="s">
        <v>9</v>
      </c>
      <c r="G144" t="s">
        <v>19</v>
      </c>
      <c r="H144">
        <f t="shared" si="3"/>
        <v>-124</v>
      </c>
      <c r="I144">
        <v>-2.7</v>
      </c>
      <c r="L144">
        <f>480+2*(Table25[[#This Row],[min value (corrected)]]-49)</f>
        <v>486</v>
      </c>
      <c r="M144">
        <f>MINUTE(Table25[[#This Row],[Corrected time]])</f>
        <v>52</v>
      </c>
      <c r="N144" s="1">
        <v>0.66144113425925932</v>
      </c>
      <c r="O144" s="1">
        <f>Table25[[#This Row],[Time]]-TIME(0,0,4)</f>
        <v>0.66139483796296306</v>
      </c>
      <c r="P144" t="s">
        <v>9</v>
      </c>
      <c r="Q144">
        <v>-124</v>
      </c>
      <c r="R144">
        <f>Table25[[#This Row],[RSSI]]</f>
        <v>-124</v>
      </c>
      <c r="S144">
        <v>-2.5</v>
      </c>
    </row>
    <row r="145" spans="2:19" x14ac:dyDescent="0.25">
      <c r="B145">
        <f>480+2*(Table14[[#This Row],[min value (corrected)]]-49)</f>
        <v>486</v>
      </c>
      <c r="C145">
        <f>MINUTE(Table14[[#This Row],[Corrected time]])</f>
        <v>52</v>
      </c>
      <c r="D145" s="1">
        <v>0.49489582175925928</v>
      </c>
      <c r="E145" s="1">
        <f>Table14[[#This Row],[Time]]-TIME(0,0,8)</f>
        <v>0.49480322916666669</v>
      </c>
      <c r="F145" t="s">
        <v>9</v>
      </c>
      <c r="G145" t="s">
        <v>19</v>
      </c>
      <c r="H145">
        <f t="shared" si="3"/>
        <v>-124</v>
      </c>
      <c r="I145">
        <v>-3</v>
      </c>
      <c r="L145">
        <f>480+2*(Table25[[#This Row],[min value (corrected)]]-49)</f>
        <v>486</v>
      </c>
      <c r="M145">
        <f>MINUTE(Table25[[#This Row],[Corrected time]])</f>
        <v>52</v>
      </c>
      <c r="N145" s="1">
        <v>0.66146096064814819</v>
      </c>
      <c r="O145" s="1">
        <f>Table25[[#This Row],[Time]]-TIME(0,0,4)</f>
        <v>0.66141466435185192</v>
      </c>
      <c r="P145" t="s">
        <v>9</v>
      </c>
      <c r="Q145">
        <v>-123</v>
      </c>
      <c r="R145">
        <f>Table25[[#This Row],[RSSI]]</f>
        <v>-123</v>
      </c>
      <c r="S145">
        <v>-2.5</v>
      </c>
    </row>
    <row r="146" spans="2:19" x14ac:dyDescent="0.25">
      <c r="B146">
        <f>480+2*(Table14[[#This Row],[min value (corrected)]]-49)</f>
        <v>486</v>
      </c>
      <c r="C146">
        <f>MINUTE(Table14[[#This Row],[Corrected time]])</f>
        <v>52</v>
      </c>
      <c r="D146" s="1">
        <v>0.49491567129629632</v>
      </c>
      <c r="E146" s="1">
        <f>Table14[[#This Row],[Time]]-TIME(0,0,8)</f>
        <v>0.49482307870370373</v>
      </c>
      <c r="F146" t="s">
        <v>9</v>
      </c>
      <c r="G146" t="s">
        <v>19</v>
      </c>
      <c r="H146">
        <f t="shared" si="3"/>
        <v>-124</v>
      </c>
      <c r="I146">
        <v>-2.7</v>
      </c>
      <c r="L146">
        <f>480+2*(Table25[[#This Row],[min value (corrected)]]-49)</f>
        <v>486</v>
      </c>
      <c r="M146">
        <f>MINUTE(Table25[[#This Row],[Corrected time]])</f>
        <v>52</v>
      </c>
      <c r="N146" s="1">
        <v>0.66148081018518523</v>
      </c>
      <c r="O146" s="1">
        <f>Table25[[#This Row],[Time]]-TIME(0,0,4)</f>
        <v>0.66143451388888896</v>
      </c>
      <c r="P146" t="s">
        <v>9</v>
      </c>
      <c r="Q146">
        <v>-124</v>
      </c>
      <c r="R146">
        <f>Table25[[#This Row],[RSSI]]</f>
        <v>-124</v>
      </c>
      <c r="S146">
        <v>-2.7</v>
      </c>
    </row>
    <row r="147" spans="2:19" x14ac:dyDescent="0.25">
      <c r="B147">
        <f>480+2*(Table14[[#This Row],[min value (corrected)]]-49)</f>
        <v>486</v>
      </c>
      <c r="C147">
        <f>MINUTE(Table14[[#This Row],[Corrected time]])</f>
        <v>52</v>
      </c>
      <c r="D147" s="1">
        <v>0.49493550925925928</v>
      </c>
      <c r="E147" s="1">
        <f>Table14[[#This Row],[Time]]-TIME(0,0,8)</f>
        <v>0.49484291666666669</v>
      </c>
      <c r="F147" t="s">
        <v>9</v>
      </c>
      <c r="G147" t="s">
        <v>11</v>
      </c>
      <c r="H147">
        <f t="shared" si="3"/>
        <v>-122</v>
      </c>
      <c r="I147">
        <v>-2.5</v>
      </c>
      <c r="L147">
        <f>480+2*(Table25[[#This Row],[min value (corrected)]]-49)</f>
        <v>486</v>
      </c>
      <c r="M147">
        <f>MINUTE(Table25[[#This Row],[Corrected time]])</f>
        <v>52</v>
      </c>
      <c r="N147" s="1">
        <v>0.66150064814814813</v>
      </c>
      <c r="O147" s="1">
        <f>Table25[[#This Row],[Time]]-TIME(0,0,4)</f>
        <v>0.66145435185185186</v>
      </c>
      <c r="P147" t="s">
        <v>9</v>
      </c>
      <c r="Q147">
        <v>-124</v>
      </c>
      <c r="R147">
        <f>Table25[[#This Row],[RSSI]]</f>
        <v>-124</v>
      </c>
      <c r="S147">
        <v>-2.5</v>
      </c>
    </row>
    <row r="148" spans="2:19" x14ac:dyDescent="0.25">
      <c r="B148">
        <f>480+2*(Table14[[#This Row],[min value (corrected)]]-49)</f>
        <v>486</v>
      </c>
      <c r="C148">
        <f>MINUTE(Table14[[#This Row],[Corrected time]])</f>
        <v>52</v>
      </c>
      <c r="D148" s="1">
        <v>0.49495534722222223</v>
      </c>
      <c r="E148" s="1">
        <f>Table14[[#This Row],[Time]]-TIME(0,0,8)</f>
        <v>0.49486275462962964</v>
      </c>
      <c r="F148" t="s">
        <v>9</v>
      </c>
      <c r="G148" t="s">
        <v>19</v>
      </c>
      <c r="H148">
        <f t="shared" si="3"/>
        <v>-124</v>
      </c>
      <c r="I148">
        <v>-2.5</v>
      </c>
      <c r="L148">
        <f>480+2*(Table25[[#This Row],[min value (corrected)]]-49)</f>
        <v>486</v>
      </c>
      <c r="M148">
        <f>MINUTE(Table25[[#This Row],[Corrected time]])</f>
        <v>52</v>
      </c>
      <c r="N148" s="1">
        <v>0.66152048611111114</v>
      </c>
      <c r="O148" s="1">
        <f>Table25[[#This Row],[Time]]-TIME(0,0,4)</f>
        <v>0.66147418981481487</v>
      </c>
      <c r="P148" t="s">
        <v>9</v>
      </c>
      <c r="Q148">
        <v>-124</v>
      </c>
      <c r="R148">
        <f>Table25[[#This Row],[RSSI]]</f>
        <v>-124</v>
      </c>
      <c r="S148">
        <v>-2.5</v>
      </c>
    </row>
    <row r="149" spans="2:19" x14ac:dyDescent="0.25">
      <c r="B149">
        <f>480+2*(Table14[[#This Row],[min value (corrected)]]-49)</f>
        <v>486</v>
      </c>
      <c r="C149">
        <f>MINUTE(Table14[[#This Row],[Corrected time]])</f>
        <v>52</v>
      </c>
      <c r="D149" s="1">
        <v>0.49497518518518518</v>
      </c>
      <c r="E149" s="1">
        <f>Table14[[#This Row],[Time]]-TIME(0,0,8)</f>
        <v>0.4948825925925926</v>
      </c>
      <c r="F149" t="s">
        <v>9</v>
      </c>
      <c r="G149" t="s">
        <v>19</v>
      </c>
      <c r="H149">
        <f t="shared" si="3"/>
        <v>-124</v>
      </c>
      <c r="I149">
        <v>-3</v>
      </c>
      <c r="L149">
        <f>480+2*(Table25[[#This Row],[min value (corrected)]]-49)</f>
        <v>486</v>
      </c>
      <c r="M149">
        <f>MINUTE(Table25[[#This Row],[Corrected time]])</f>
        <v>52</v>
      </c>
      <c r="N149" s="1">
        <v>0.66154032407407415</v>
      </c>
      <c r="O149" s="1">
        <f>Table25[[#This Row],[Time]]-TIME(0,0,4)</f>
        <v>0.66149402777777788</v>
      </c>
      <c r="P149" t="s">
        <v>9</v>
      </c>
      <c r="Q149">
        <v>-124</v>
      </c>
      <c r="R149">
        <f>Table25[[#This Row],[RSSI]]</f>
        <v>-124</v>
      </c>
      <c r="S149">
        <v>-2.7</v>
      </c>
    </row>
    <row r="150" spans="2:19" x14ac:dyDescent="0.25">
      <c r="B150">
        <f>480+2*(Table14[[#This Row],[min value (corrected)]]-49)</f>
        <v>486</v>
      </c>
      <c r="C150">
        <f>MINUTE(Table14[[#This Row],[Corrected time]])</f>
        <v>52</v>
      </c>
      <c r="D150" s="1">
        <v>0.49499502314814814</v>
      </c>
      <c r="E150" s="1">
        <f>Table14[[#This Row],[Time]]-TIME(0,0,8)</f>
        <v>0.49490243055555555</v>
      </c>
      <c r="F150" t="s">
        <v>9</v>
      </c>
      <c r="G150" t="s">
        <v>19</v>
      </c>
      <c r="H150">
        <f t="shared" si="3"/>
        <v>-124</v>
      </c>
      <c r="I150">
        <v>-2.7</v>
      </c>
      <c r="L150">
        <f>480+2*(Table25[[#This Row],[min value (corrected)]]-49)</f>
        <v>486</v>
      </c>
      <c r="M150">
        <f>MINUTE(Table25[[#This Row],[Corrected time]])</f>
        <v>52</v>
      </c>
      <c r="N150" s="1">
        <v>0.66156016203703705</v>
      </c>
      <c r="O150" s="1">
        <f>Table25[[#This Row],[Time]]-TIME(0,0,4)</f>
        <v>0.66151386574074078</v>
      </c>
      <c r="P150" t="s">
        <v>9</v>
      </c>
      <c r="Q150">
        <v>-124</v>
      </c>
      <c r="R150">
        <f>Table25[[#This Row],[RSSI]]</f>
        <v>-124</v>
      </c>
      <c r="S150">
        <v>-2.5</v>
      </c>
    </row>
    <row r="151" spans="2:19" x14ac:dyDescent="0.25">
      <c r="B151">
        <f>480+2*(Table14[[#This Row],[min value (corrected)]]-49)</f>
        <v>486</v>
      </c>
      <c r="C151">
        <f>MINUTE(Table14[[#This Row],[Corrected time]])</f>
        <v>52</v>
      </c>
      <c r="D151" s="1">
        <v>0.49501486111111109</v>
      </c>
      <c r="E151" s="1">
        <f>Table14[[#This Row],[Time]]-TIME(0,0,8)</f>
        <v>0.4949222685185185</v>
      </c>
      <c r="F151" t="s">
        <v>9</v>
      </c>
      <c r="G151" t="s">
        <v>19</v>
      </c>
      <c r="H151">
        <f t="shared" si="3"/>
        <v>-124</v>
      </c>
      <c r="I151">
        <v>-3</v>
      </c>
      <c r="L151">
        <f>480+2*(Table25[[#This Row],[min value (corrected)]]-49)</f>
        <v>486</v>
      </c>
      <c r="M151">
        <f>MINUTE(Table25[[#This Row],[Corrected time]])</f>
        <v>52</v>
      </c>
      <c r="N151" s="1">
        <v>0.66158000000000006</v>
      </c>
      <c r="O151" s="1">
        <f>Table25[[#This Row],[Time]]-TIME(0,0,4)</f>
        <v>0.66153370370370379</v>
      </c>
      <c r="P151" t="s">
        <v>9</v>
      </c>
      <c r="Q151">
        <v>-124</v>
      </c>
      <c r="R151">
        <f>Table25[[#This Row],[RSSI]]</f>
        <v>-124</v>
      </c>
      <c r="S151">
        <v>-2.7</v>
      </c>
    </row>
    <row r="152" spans="2:19" x14ac:dyDescent="0.25">
      <c r="B152">
        <f>480+2*(Table14[[#This Row],[min value (corrected)]]-49)</f>
        <v>486</v>
      </c>
      <c r="C152">
        <f>MINUTE(Table14[[#This Row],[Corrected time]])</f>
        <v>52</v>
      </c>
      <c r="D152" s="1">
        <v>0.49503469907407405</v>
      </c>
      <c r="E152" s="1">
        <f>Table14[[#This Row],[Time]]-TIME(0,0,8)</f>
        <v>0.49494210648148146</v>
      </c>
      <c r="F152" t="s">
        <v>9</v>
      </c>
      <c r="G152" t="s">
        <v>19</v>
      </c>
      <c r="H152">
        <f t="shared" si="3"/>
        <v>-124</v>
      </c>
      <c r="I152">
        <v>-2.7</v>
      </c>
      <c r="L152">
        <f>480+2*(Table25[[#This Row],[min value (corrected)]]-49)</f>
        <v>486</v>
      </c>
      <c r="M152">
        <f>MINUTE(Table25[[#This Row],[Corrected time]])</f>
        <v>52</v>
      </c>
      <c r="N152" s="1">
        <v>0.66159983796296296</v>
      </c>
      <c r="O152" s="1">
        <f>Table25[[#This Row],[Time]]-TIME(0,0,4)</f>
        <v>0.66155354166666669</v>
      </c>
      <c r="P152" t="s">
        <v>9</v>
      </c>
      <c r="Q152">
        <v>-124</v>
      </c>
      <c r="R152">
        <f>Table25[[#This Row],[RSSI]]</f>
        <v>-124</v>
      </c>
      <c r="S152">
        <v>-2.7</v>
      </c>
    </row>
    <row r="153" spans="2:19" x14ac:dyDescent="0.25">
      <c r="B153">
        <f>480+2*(Table14[[#This Row],[min value (corrected)]]-49)</f>
        <v>486</v>
      </c>
      <c r="C153">
        <f>MINUTE(Table14[[#This Row],[Corrected time]])</f>
        <v>52</v>
      </c>
      <c r="D153" s="1">
        <v>0.49505452546296302</v>
      </c>
      <c r="E153" s="1">
        <f>Table14[[#This Row],[Time]]-TIME(0,0,8)</f>
        <v>0.49496193287037044</v>
      </c>
      <c r="F153" t="s">
        <v>9</v>
      </c>
      <c r="G153" t="s">
        <v>19</v>
      </c>
      <c r="H153">
        <f t="shared" si="3"/>
        <v>-124</v>
      </c>
      <c r="I153">
        <v>-2.7</v>
      </c>
      <c r="L153">
        <f>480+2*(Table25[[#This Row],[min value (corrected)]]-49)</f>
        <v>486</v>
      </c>
      <c r="M153">
        <f>MINUTE(Table25[[#This Row],[Corrected time]])</f>
        <v>52</v>
      </c>
      <c r="N153" s="1">
        <v>0.66161967592592597</v>
      </c>
      <c r="O153" s="1">
        <f>Table25[[#This Row],[Time]]-TIME(0,0,4)</f>
        <v>0.6615733796296297</v>
      </c>
      <c r="P153" t="s">
        <v>9</v>
      </c>
      <c r="Q153">
        <v>-124</v>
      </c>
      <c r="R153">
        <f>Table25[[#This Row],[RSSI]]</f>
        <v>-124</v>
      </c>
      <c r="S153">
        <v>-2.5</v>
      </c>
    </row>
    <row r="154" spans="2:19" x14ac:dyDescent="0.25">
      <c r="B154">
        <f>480+2*(Table14[[#This Row],[min value (corrected)]]-49)</f>
        <v>486</v>
      </c>
      <c r="C154">
        <f>MINUTE(Table14[[#This Row],[Corrected time]])</f>
        <v>52</v>
      </c>
      <c r="D154" s="1">
        <v>0.49507437500000001</v>
      </c>
      <c r="E154" s="1">
        <f>Table14[[#This Row],[Time]]-TIME(0,0,8)</f>
        <v>0.49498178240740742</v>
      </c>
      <c r="F154" t="s">
        <v>9</v>
      </c>
      <c r="G154" t="s">
        <v>19</v>
      </c>
      <c r="H154">
        <f t="shared" si="3"/>
        <v>-124</v>
      </c>
      <c r="I154">
        <v>-2.5</v>
      </c>
      <c r="L154">
        <f>480+2*(Table25[[#This Row],[min value (corrected)]]-49)</f>
        <v>486</v>
      </c>
      <c r="M154">
        <f>MINUTE(Table25[[#This Row],[Corrected time]])</f>
        <v>52</v>
      </c>
      <c r="N154" s="1">
        <v>0.66163951388888886</v>
      </c>
      <c r="O154" s="1">
        <f>Table25[[#This Row],[Time]]-TIME(0,0,4)</f>
        <v>0.6615932175925926</v>
      </c>
      <c r="P154" t="s">
        <v>9</v>
      </c>
      <c r="Q154">
        <v>-124</v>
      </c>
      <c r="R154">
        <f>Table25[[#This Row],[RSSI]]</f>
        <v>-124</v>
      </c>
      <c r="S154">
        <v>-2.7</v>
      </c>
    </row>
    <row r="155" spans="2:19" x14ac:dyDescent="0.25">
      <c r="B155">
        <f>480+2*(Table14[[#This Row],[min value (corrected)]]-49)</f>
        <v>486</v>
      </c>
      <c r="C155">
        <f>MINUTE(Table14[[#This Row],[Corrected time]])</f>
        <v>52</v>
      </c>
      <c r="D155" s="1">
        <v>0.49509421296296297</v>
      </c>
      <c r="E155" s="1">
        <f>Table14[[#This Row],[Time]]-TIME(0,0,8)</f>
        <v>0.49500162037037038</v>
      </c>
      <c r="F155" t="s">
        <v>9</v>
      </c>
      <c r="G155" t="s">
        <v>19</v>
      </c>
      <c r="H155">
        <f t="shared" si="3"/>
        <v>-124</v>
      </c>
      <c r="I155">
        <v>-2.5</v>
      </c>
      <c r="L155">
        <f>480+2*(Table25[[#This Row],[min value (corrected)]]-49)</f>
        <v>486</v>
      </c>
      <c r="M155">
        <f>MINUTE(Table25[[#This Row],[Corrected time]])</f>
        <v>52</v>
      </c>
      <c r="N155" s="1">
        <v>0.66165935185185187</v>
      </c>
      <c r="O155" s="1">
        <f>Table25[[#This Row],[Time]]-TIME(0,0,4)</f>
        <v>0.66161305555555561</v>
      </c>
      <c r="P155" t="s">
        <v>9</v>
      </c>
      <c r="Q155">
        <v>-124</v>
      </c>
      <c r="R155">
        <f>Table25[[#This Row],[RSSI]]</f>
        <v>-124</v>
      </c>
      <c r="S155">
        <v>-3</v>
      </c>
    </row>
    <row r="156" spans="2:19" x14ac:dyDescent="0.25">
      <c r="B156">
        <f>480+2*(Table14[[#This Row],[min value (corrected)]]-49)</f>
        <v>486</v>
      </c>
      <c r="C156">
        <f>MINUTE(Table14[[#This Row],[Corrected time]])</f>
        <v>52</v>
      </c>
      <c r="D156" s="1">
        <v>0.49511405092592592</v>
      </c>
      <c r="E156" s="1">
        <f>Table14[[#This Row],[Time]]-TIME(0,0,8)</f>
        <v>0.49502145833333333</v>
      </c>
      <c r="F156" t="s">
        <v>9</v>
      </c>
      <c r="G156" t="s">
        <v>19</v>
      </c>
      <c r="H156">
        <f t="shared" si="3"/>
        <v>-124</v>
      </c>
      <c r="I156">
        <v>-2.5</v>
      </c>
      <c r="L156">
        <f>480+2*(Table25[[#This Row],[min value (corrected)]]-49)</f>
        <v>486</v>
      </c>
      <c r="M156">
        <f>MINUTE(Table25[[#This Row],[Corrected time]])</f>
        <v>52</v>
      </c>
      <c r="N156" s="1">
        <v>0.66167917824074074</v>
      </c>
      <c r="O156" s="1">
        <f>Table25[[#This Row],[Time]]-TIME(0,0,4)</f>
        <v>0.66163288194444447</v>
      </c>
      <c r="P156" t="s">
        <v>9</v>
      </c>
      <c r="Q156">
        <v>-125</v>
      </c>
      <c r="R156">
        <f>Table25[[#This Row],[RSSI]]</f>
        <v>-125</v>
      </c>
      <c r="S156">
        <v>-3.5</v>
      </c>
    </row>
    <row r="157" spans="2:19" x14ac:dyDescent="0.25">
      <c r="B157">
        <f>480+2*(Table14[[#This Row],[min value (corrected)]]-49)</f>
        <v>486</v>
      </c>
      <c r="C157">
        <f>MINUTE(Table14[[#This Row],[Corrected time]])</f>
        <v>52</v>
      </c>
      <c r="D157" s="1">
        <v>0.49513388888888887</v>
      </c>
      <c r="E157" s="1">
        <f>Table14[[#This Row],[Time]]-TIME(0,0,8)</f>
        <v>0.49504129629629628</v>
      </c>
      <c r="F157" t="s">
        <v>9</v>
      </c>
      <c r="G157" t="s">
        <v>19</v>
      </c>
      <c r="H157">
        <f t="shared" si="3"/>
        <v>-124</v>
      </c>
      <c r="I157">
        <v>-3</v>
      </c>
      <c r="L157">
        <f>480+2*(Table25[[#This Row],[min value (corrected)]]-49)</f>
        <v>486</v>
      </c>
      <c r="M157">
        <f>MINUTE(Table25[[#This Row],[Corrected time]])</f>
        <v>52</v>
      </c>
      <c r="N157" s="1">
        <v>0.66169902777777778</v>
      </c>
      <c r="O157" s="1">
        <f>Table25[[#This Row],[Time]]-TIME(0,0,4)</f>
        <v>0.66165273148148152</v>
      </c>
      <c r="P157" t="s">
        <v>9</v>
      </c>
      <c r="Q157">
        <v>-124</v>
      </c>
      <c r="R157">
        <f>Table25[[#This Row],[RSSI]]</f>
        <v>-124</v>
      </c>
      <c r="S157">
        <v>-2.7</v>
      </c>
    </row>
    <row r="158" spans="2:19" x14ac:dyDescent="0.25">
      <c r="B158">
        <f>480+2*(Table14[[#This Row],[min value (corrected)]]-49)</f>
        <v>486</v>
      </c>
      <c r="C158">
        <f>MINUTE(Table14[[#This Row],[Corrected time]])</f>
        <v>52</v>
      </c>
      <c r="D158" s="1">
        <v>0.4951537152777778</v>
      </c>
      <c r="E158" s="1">
        <f>Table14[[#This Row],[Time]]-TIME(0,0,8)</f>
        <v>0.49506112268518521</v>
      </c>
      <c r="F158" t="s">
        <v>9</v>
      </c>
      <c r="G158" t="s">
        <v>19</v>
      </c>
      <c r="H158">
        <f t="shared" si="3"/>
        <v>-124</v>
      </c>
      <c r="I158">
        <v>-2.7</v>
      </c>
      <c r="L158">
        <f>480+2*(Table25[[#This Row],[min value (corrected)]]-49)</f>
        <v>486</v>
      </c>
      <c r="M158">
        <f>MINUTE(Table25[[#This Row],[Corrected time]])</f>
        <v>52</v>
      </c>
      <c r="N158" s="1">
        <v>0.66171886574074079</v>
      </c>
      <c r="O158" s="1">
        <f>Table25[[#This Row],[Time]]-TIME(0,0,4)</f>
        <v>0.66167256944444452</v>
      </c>
      <c r="P158" t="s">
        <v>9</v>
      </c>
      <c r="Q158">
        <v>-124</v>
      </c>
      <c r="R158">
        <f>Table25[[#This Row],[RSSI]]</f>
        <v>-124</v>
      </c>
      <c r="S158">
        <v>-2.5</v>
      </c>
    </row>
    <row r="159" spans="2:19" x14ac:dyDescent="0.25">
      <c r="B159">
        <f>480+2*(Table14[[#This Row],[min value (corrected)]]-49)</f>
        <v>486</v>
      </c>
      <c r="C159">
        <f>MINUTE(Table14[[#This Row],[Corrected time]])</f>
        <v>52</v>
      </c>
      <c r="D159" s="1">
        <v>0.49517356481481478</v>
      </c>
      <c r="E159" s="1">
        <f>Table14[[#This Row],[Time]]-TIME(0,0,8)</f>
        <v>0.49508097222222219</v>
      </c>
      <c r="F159" t="s">
        <v>9</v>
      </c>
      <c r="G159" t="s">
        <v>19</v>
      </c>
      <c r="H159">
        <f t="shared" si="3"/>
        <v>-124</v>
      </c>
      <c r="I159">
        <v>-3</v>
      </c>
      <c r="L159">
        <f>480+2*(Table25[[#This Row],[min value (corrected)]]-49)</f>
        <v>486</v>
      </c>
      <c r="M159">
        <f>MINUTE(Table25[[#This Row],[Corrected time]])</f>
        <v>52</v>
      </c>
      <c r="N159" s="1">
        <v>0.66173870370370369</v>
      </c>
      <c r="O159" s="1">
        <f>Table25[[#This Row],[Time]]-TIME(0,0,4)</f>
        <v>0.66169240740740742</v>
      </c>
      <c r="P159" t="s">
        <v>9</v>
      </c>
      <c r="Q159">
        <v>-124</v>
      </c>
      <c r="R159">
        <f>Table25[[#This Row],[RSSI]]</f>
        <v>-124</v>
      </c>
      <c r="S159">
        <v>-3.2</v>
      </c>
    </row>
    <row r="160" spans="2:19" x14ac:dyDescent="0.25">
      <c r="B160">
        <f>480+2*(Table14[[#This Row],[min value (corrected)]]-49)</f>
        <v>486</v>
      </c>
      <c r="C160">
        <f>MINUTE(Table14[[#This Row],[Corrected time]])</f>
        <v>52</v>
      </c>
      <c r="D160" s="1">
        <v>0.49519340277777779</v>
      </c>
      <c r="E160" s="1">
        <f>Table14[[#This Row],[Time]]-TIME(0,0,8)</f>
        <v>0.4951008101851852</v>
      </c>
      <c r="F160" t="s">
        <v>9</v>
      </c>
      <c r="G160" t="s">
        <v>19</v>
      </c>
      <c r="H160">
        <f t="shared" si="3"/>
        <v>-124</v>
      </c>
      <c r="I160">
        <v>-2.7</v>
      </c>
      <c r="L160">
        <f>480+2*(Table25[[#This Row],[min value (corrected)]]-49)</f>
        <v>486</v>
      </c>
      <c r="M160">
        <f>MINUTE(Table25[[#This Row],[Corrected time]])</f>
        <v>52</v>
      </c>
      <c r="N160" s="1">
        <v>0.6617585416666667</v>
      </c>
      <c r="O160" s="1">
        <f>Table25[[#This Row],[Time]]-TIME(0,0,4)</f>
        <v>0.66171224537037043</v>
      </c>
      <c r="P160" t="s">
        <v>9</v>
      </c>
      <c r="Q160">
        <v>-124</v>
      </c>
      <c r="R160">
        <f>Table25[[#This Row],[RSSI]]</f>
        <v>-124</v>
      </c>
      <c r="S160">
        <v>-2.7</v>
      </c>
    </row>
    <row r="161" spans="2:19" x14ac:dyDescent="0.25">
      <c r="B161">
        <f>480+2*(Table14[[#This Row],[min value (corrected)]]-49)</f>
        <v>486</v>
      </c>
      <c r="C161">
        <f>MINUTE(Table14[[#This Row],[Corrected time]])</f>
        <v>52</v>
      </c>
      <c r="D161" s="1">
        <v>0.49521324074074075</v>
      </c>
      <c r="E161" s="1">
        <f>Table14[[#This Row],[Time]]-TIME(0,0,8)</f>
        <v>0.49512064814814816</v>
      </c>
      <c r="F161" t="s">
        <v>9</v>
      </c>
      <c r="G161" t="s">
        <v>19</v>
      </c>
      <c r="H161">
        <f t="shared" si="3"/>
        <v>-124</v>
      </c>
      <c r="I161">
        <v>-3.2</v>
      </c>
      <c r="L161">
        <f>480+2*(Table25[[#This Row],[min value (corrected)]]-49)</f>
        <v>486</v>
      </c>
      <c r="M161">
        <f>MINUTE(Table25[[#This Row],[Corrected time]])</f>
        <v>52</v>
      </c>
      <c r="N161" s="1">
        <v>0.6617783796296296</v>
      </c>
      <c r="O161" s="1">
        <f>Table25[[#This Row],[Time]]-TIME(0,0,4)</f>
        <v>0.66173208333333333</v>
      </c>
      <c r="P161" t="s">
        <v>9</v>
      </c>
      <c r="Q161">
        <v>-124</v>
      </c>
      <c r="R161">
        <f>Table25[[#This Row],[RSSI]]</f>
        <v>-124</v>
      </c>
      <c r="S161">
        <v>-2.5</v>
      </c>
    </row>
    <row r="162" spans="2:19" x14ac:dyDescent="0.25">
      <c r="B162">
        <f>480+2*(Table14[[#This Row],[min value (corrected)]]-49)</f>
        <v>488</v>
      </c>
      <c r="C162">
        <f>MINUTE(Table14[[#This Row],[Corrected time]])</f>
        <v>53</v>
      </c>
      <c r="D162" s="1">
        <v>0.4952330787037037</v>
      </c>
      <c r="E162" s="1">
        <f>Table14[[#This Row],[Time]]-TIME(0,0,8)</f>
        <v>0.49514048611111111</v>
      </c>
      <c r="F162" t="s">
        <v>9</v>
      </c>
      <c r="G162" t="s">
        <v>28</v>
      </c>
      <c r="H162">
        <f t="shared" si="3"/>
        <v>-125</v>
      </c>
      <c r="I162">
        <v>-3.7</v>
      </c>
      <c r="L162">
        <f>480+2*(Table25[[#This Row],[min value (corrected)]]-49)</f>
        <v>486</v>
      </c>
      <c r="M162">
        <f>MINUTE(Table25[[#This Row],[Corrected time]])</f>
        <v>52</v>
      </c>
      <c r="N162" s="1">
        <v>0.66179821759259261</v>
      </c>
      <c r="O162" s="1">
        <f>Table25[[#This Row],[Time]]-TIME(0,0,4)</f>
        <v>0.66175192129629634</v>
      </c>
      <c r="P162" t="s">
        <v>9</v>
      </c>
      <c r="Q162">
        <v>-124</v>
      </c>
      <c r="R162">
        <f>Table25[[#This Row],[RSSI]]</f>
        <v>-124</v>
      </c>
      <c r="S162">
        <v>-3</v>
      </c>
    </row>
    <row r="163" spans="2:19" x14ac:dyDescent="0.25">
      <c r="B163">
        <f>480+2*(Table14[[#This Row],[min value (corrected)]]-49)</f>
        <v>488</v>
      </c>
      <c r="C163">
        <f>MINUTE(Table14[[#This Row],[Corrected time]])</f>
        <v>53</v>
      </c>
      <c r="D163" s="1">
        <v>0.49525291666666665</v>
      </c>
      <c r="E163" s="1">
        <f>Table14[[#This Row],[Time]]-TIME(0,0,8)</f>
        <v>0.49516032407407407</v>
      </c>
      <c r="F163" t="s">
        <v>9</v>
      </c>
      <c r="G163" t="s">
        <v>19</v>
      </c>
      <c r="H163">
        <f t="shared" si="3"/>
        <v>-124</v>
      </c>
      <c r="I163">
        <v>-3.7</v>
      </c>
      <c r="L163">
        <f>480+2*(Table25[[#This Row],[min value (corrected)]]-49)</f>
        <v>486</v>
      </c>
      <c r="M163">
        <f>MINUTE(Table25[[#This Row],[Corrected time]])</f>
        <v>52</v>
      </c>
      <c r="N163" s="1">
        <v>0.66181805555555562</v>
      </c>
      <c r="O163" s="1">
        <f>Table25[[#This Row],[Time]]-TIME(0,0,4)</f>
        <v>0.66177175925925935</v>
      </c>
      <c r="P163" t="s">
        <v>9</v>
      </c>
      <c r="Q163">
        <v>-124</v>
      </c>
      <c r="R163">
        <f>Table25[[#This Row],[RSSI]]</f>
        <v>-124</v>
      </c>
      <c r="S163">
        <v>-2.5</v>
      </c>
    </row>
    <row r="164" spans="2:19" x14ac:dyDescent="0.25">
      <c r="B164">
        <f>480+2*(Table14[[#This Row],[min value (corrected)]]-49)</f>
        <v>488</v>
      </c>
      <c r="C164">
        <f>MINUTE(Table14[[#This Row],[Corrected time]])</f>
        <v>53</v>
      </c>
      <c r="D164" s="1">
        <v>0.49527275462962961</v>
      </c>
      <c r="E164" s="1">
        <f>Table14[[#This Row],[Time]]-TIME(0,0,8)</f>
        <v>0.49518016203703702</v>
      </c>
      <c r="F164" t="s">
        <v>9</v>
      </c>
      <c r="G164" t="s">
        <v>19</v>
      </c>
      <c r="H164">
        <f t="shared" si="3"/>
        <v>-124</v>
      </c>
      <c r="I164">
        <v>-3.7</v>
      </c>
      <c r="L164">
        <f>480+2*(Table25[[#This Row],[min value (corrected)]]-49)</f>
        <v>486</v>
      </c>
      <c r="M164">
        <f>MINUTE(Table25[[#This Row],[Corrected time]])</f>
        <v>52</v>
      </c>
      <c r="N164" s="1">
        <v>0.66183789351851852</v>
      </c>
      <c r="O164" s="1">
        <f>Table25[[#This Row],[Time]]-TIME(0,0,4)</f>
        <v>0.66179159722222225</v>
      </c>
      <c r="P164" t="s">
        <v>9</v>
      </c>
      <c r="Q164">
        <v>-125</v>
      </c>
      <c r="R164">
        <f>Table25[[#This Row],[RSSI]]</f>
        <v>-125</v>
      </c>
      <c r="S164">
        <v>-3.7</v>
      </c>
    </row>
    <row r="165" spans="2:19" x14ac:dyDescent="0.25">
      <c r="B165">
        <f>480+2*(Table14[[#This Row],[min value (corrected)]]-49)</f>
        <v>488</v>
      </c>
      <c r="C165">
        <f>MINUTE(Table14[[#This Row],[Corrected time]])</f>
        <v>53</v>
      </c>
      <c r="D165" s="1">
        <v>0.49529259259259256</v>
      </c>
      <c r="E165" s="1">
        <f>Table14[[#This Row],[Time]]-TIME(0,0,8)</f>
        <v>0.49519999999999997</v>
      </c>
      <c r="F165" t="s">
        <v>9</v>
      </c>
      <c r="G165" t="s">
        <v>11</v>
      </c>
      <c r="H165">
        <f t="shared" si="3"/>
        <v>-122</v>
      </c>
      <c r="I165">
        <v>-3.2</v>
      </c>
      <c r="L165">
        <f>480+2*(Table25[[#This Row],[min value (corrected)]]-49)</f>
        <v>488</v>
      </c>
      <c r="M165">
        <f>MINUTE(Table25[[#This Row],[Corrected time]])</f>
        <v>53</v>
      </c>
      <c r="N165" s="1">
        <v>0.66185773148148153</v>
      </c>
      <c r="O165" s="1">
        <f>Table25[[#This Row],[Time]]-TIME(0,0,4)</f>
        <v>0.66181143518518526</v>
      </c>
      <c r="P165" t="s">
        <v>9</v>
      </c>
      <c r="Q165">
        <v>-124</v>
      </c>
      <c r="R165">
        <f>Table25[[#This Row],[RSSI]]</f>
        <v>-124</v>
      </c>
      <c r="S165">
        <v>-3</v>
      </c>
    </row>
    <row r="166" spans="2:19" x14ac:dyDescent="0.25">
      <c r="B166">
        <f>480+2*(Table14[[#This Row],[min value (corrected)]]-49)</f>
        <v>488</v>
      </c>
      <c r="C166">
        <f>MINUTE(Table14[[#This Row],[Corrected time]])</f>
        <v>53</v>
      </c>
      <c r="D166" s="1">
        <v>0.49531243055555552</v>
      </c>
      <c r="E166" s="1">
        <f>Table14[[#This Row],[Time]]-TIME(0,0,8)</f>
        <v>0.49521983796296293</v>
      </c>
      <c r="F166" t="s">
        <v>9</v>
      </c>
      <c r="G166" t="s">
        <v>19</v>
      </c>
      <c r="H166">
        <f t="shared" si="3"/>
        <v>-124</v>
      </c>
      <c r="I166">
        <v>-3.5</v>
      </c>
      <c r="L166">
        <f>480+2*(Table25[[#This Row],[min value (corrected)]]-49)</f>
        <v>488</v>
      </c>
      <c r="M166">
        <f>MINUTE(Table25[[#This Row],[Corrected time]])</f>
        <v>53</v>
      </c>
      <c r="N166" s="1">
        <v>0.66187756944444442</v>
      </c>
      <c r="O166" s="1">
        <f>Table25[[#This Row],[Time]]-TIME(0,0,4)</f>
        <v>0.66183127314814816</v>
      </c>
      <c r="P166" t="s">
        <v>9</v>
      </c>
      <c r="Q166">
        <v>-124</v>
      </c>
      <c r="R166">
        <f>Table25[[#This Row],[RSSI]]</f>
        <v>-124</v>
      </c>
      <c r="S166">
        <v>-3.2</v>
      </c>
    </row>
    <row r="167" spans="2:19" x14ac:dyDescent="0.25">
      <c r="B167">
        <f>480+2*(Table14[[#This Row],[min value (corrected)]]-49)</f>
        <v>488</v>
      </c>
      <c r="C167">
        <f>MINUTE(Table14[[#This Row],[Corrected time]])</f>
        <v>53</v>
      </c>
      <c r="D167" s="1">
        <v>0.49533226851851853</v>
      </c>
      <c r="E167" s="1">
        <f>Table14[[#This Row],[Time]]-TIME(0,0,8)</f>
        <v>0.49523967592592594</v>
      </c>
      <c r="F167" t="s">
        <v>13</v>
      </c>
      <c r="G167" t="str">
        <f>G166</f>
        <v>-124.0,</v>
      </c>
      <c r="H167">
        <f>H166-0.5</f>
        <v>-124.5</v>
      </c>
      <c r="I167">
        <f>I166-0.5</f>
        <v>-4</v>
      </c>
      <c r="L167">
        <f>480+2*(Table25[[#This Row],[min value (corrected)]]-49)</f>
        <v>488</v>
      </c>
      <c r="M167">
        <f>MINUTE(Table25[[#This Row],[Corrected time]])</f>
        <v>53</v>
      </c>
      <c r="N167" s="1">
        <v>0.66189740740740743</v>
      </c>
      <c r="O167" s="1">
        <f>Table25[[#This Row],[Time]]-TIME(0,0,4)</f>
        <v>0.66185111111111117</v>
      </c>
      <c r="P167" t="s">
        <v>9</v>
      </c>
      <c r="Q167">
        <v>-123</v>
      </c>
      <c r="R167">
        <f>Table25[[#This Row],[RSSI]]</f>
        <v>-123</v>
      </c>
      <c r="S167">
        <v>-3.2</v>
      </c>
    </row>
    <row r="168" spans="2:19" x14ac:dyDescent="0.25">
      <c r="B168">
        <f>480+2*(Table14[[#This Row],[min value (corrected)]]-49)</f>
        <v>488</v>
      </c>
      <c r="C168">
        <f>MINUTE(Table14[[#This Row],[Corrected time]])</f>
        <v>53</v>
      </c>
      <c r="D168" s="1">
        <v>0.49535209490740745</v>
      </c>
      <c r="E168" s="1">
        <f>Table14[[#This Row],[Time]]-TIME(0,0,8)</f>
        <v>0.49525950231481486</v>
      </c>
      <c r="F168" t="s">
        <v>9</v>
      </c>
      <c r="G168" t="s">
        <v>19</v>
      </c>
      <c r="H168">
        <f t="shared" si="3"/>
        <v>-124</v>
      </c>
      <c r="I168">
        <v>-3.2</v>
      </c>
      <c r="L168">
        <f>480+2*(Table25[[#This Row],[min value (corrected)]]-49)</f>
        <v>488</v>
      </c>
      <c r="M168">
        <f>MINUTE(Table25[[#This Row],[Corrected time]])</f>
        <v>53</v>
      </c>
      <c r="N168" s="1">
        <v>0.66191724537037033</v>
      </c>
      <c r="O168" s="1">
        <f>Table25[[#This Row],[Time]]-TIME(0,0,4)</f>
        <v>0.66187094907407407</v>
      </c>
      <c r="P168" t="s">
        <v>9</v>
      </c>
      <c r="Q168">
        <v>-124</v>
      </c>
      <c r="R168">
        <f>Table25[[#This Row],[RSSI]]</f>
        <v>-124</v>
      </c>
      <c r="S168">
        <v>-3</v>
      </c>
    </row>
    <row r="169" spans="2:19" x14ac:dyDescent="0.25">
      <c r="B169">
        <f>480+2*(Table14[[#This Row],[min value (corrected)]]-49)</f>
        <v>488</v>
      </c>
      <c r="C169">
        <f>MINUTE(Table14[[#This Row],[Corrected time]])</f>
        <v>53</v>
      </c>
      <c r="D169" s="1">
        <v>0.49537194444444443</v>
      </c>
      <c r="E169" s="1">
        <f>Table14[[#This Row],[Time]]-TIME(0,0,8)</f>
        <v>0.49527935185185185</v>
      </c>
      <c r="F169" t="s">
        <v>9</v>
      </c>
      <c r="G169" t="s">
        <v>19</v>
      </c>
      <c r="H169">
        <f t="shared" si="3"/>
        <v>-124</v>
      </c>
      <c r="I169">
        <v>-2.7</v>
      </c>
      <c r="L169">
        <f>480+2*(Table25[[#This Row],[min value (corrected)]]-49)</f>
        <v>488</v>
      </c>
      <c r="M169">
        <f>MINUTE(Table25[[#This Row],[Corrected time]])</f>
        <v>53</v>
      </c>
      <c r="N169" s="1">
        <v>0.66193708333333334</v>
      </c>
      <c r="O169" s="1">
        <f>Table25[[#This Row],[Time]]-TIME(0,0,4)</f>
        <v>0.66189078703703708</v>
      </c>
      <c r="P169" t="s">
        <v>9</v>
      </c>
      <c r="Q169">
        <v>-122</v>
      </c>
      <c r="R169">
        <f>Table25[[#This Row],[RSSI]]</f>
        <v>-122</v>
      </c>
      <c r="S169">
        <v>-3.2</v>
      </c>
    </row>
    <row r="170" spans="2:19" x14ac:dyDescent="0.25">
      <c r="B170">
        <f>480+2*(Table14[[#This Row],[min value (corrected)]]-49)</f>
        <v>488</v>
      </c>
      <c r="C170">
        <f>MINUTE(Table14[[#This Row],[Corrected time]])</f>
        <v>53</v>
      </c>
      <c r="D170" s="1">
        <v>0.49539178240740739</v>
      </c>
      <c r="E170" s="1">
        <f>Table14[[#This Row],[Time]]-TIME(0,0,8)</f>
        <v>0.4952991898148148</v>
      </c>
      <c r="F170" t="s">
        <v>9</v>
      </c>
      <c r="G170" t="s">
        <v>12</v>
      </c>
      <c r="H170">
        <f t="shared" si="3"/>
        <v>-123</v>
      </c>
      <c r="I170">
        <v>-2.5</v>
      </c>
      <c r="L170">
        <f>480+2*(Table25[[#This Row],[min value (corrected)]]-49)</f>
        <v>488</v>
      </c>
      <c r="M170">
        <f>MINUTE(Table25[[#This Row],[Corrected time]])</f>
        <v>53</v>
      </c>
      <c r="N170" s="1">
        <v>0.66195692129629635</v>
      </c>
      <c r="O170" s="1">
        <f>Table25[[#This Row],[Time]]-TIME(0,0,4)</f>
        <v>0.66191062500000009</v>
      </c>
      <c r="P170" t="s">
        <v>13</v>
      </c>
      <c r="Q170">
        <f>Q169</f>
        <v>-122</v>
      </c>
      <c r="R170">
        <f>Table25[[#This Row],[RSSI]]</f>
        <v>-122</v>
      </c>
    </row>
    <row r="171" spans="2:19" x14ac:dyDescent="0.25">
      <c r="B171">
        <f>480+2*(Table14[[#This Row],[min value (corrected)]]-49)</f>
        <v>488</v>
      </c>
      <c r="C171">
        <f>MINUTE(Table14[[#This Row],[Corrected time]])</f>
        <v>53</v>
      </c>
      <c r="D171" s="1">
        <v>0.49541160879629631</v>
      </c>
      <c r="E171" s="1">
        <f>Table14[[#This Row],[Time]]-TIME(0,0,8)</f>
        <v>0.49531901620370372</v>
      </c>
      <c r="F171" t="s">
        <v>9</v>
      </c>
      <c r="G171" t="s">
        <v>19</v>
      </c>
      <c r="H171">
        <f t="shared" si="3"/>
        <v>-124</v>
      </c>
      <c r="I171">
        <v>-2.7</v>
      </c>
      <c r="L171">
        <f>480+2*(Table25[[#This Row],[min value (corrected)]]-49)</f>
        <v>488</v>
      </c>
      <c r="M171">
        <f>MINUTE(Table25[[#This Row],[Corrected time]])</f>
        <v>53</v>
      </c>
      <c r="N171" s="1">
        <v>0.66197675925925925</v>
      </c>
      <c r="O171" s="1">
        <f>Table25[[#This Row],[Time]]-TIME(0,0,4)</f>
        <v>0.66193046296296298</v>
      </c>
      <c r="P171" t="s">
        <v>9</v>
      </c>
      <c r="Q171">
        <v>-124</v>
      </c>
      <c r="R171">
        <f>Table25[[#This Row],[RSSI]]</f>
        <v>-124</v>
      </c>
      <c r="S171">
        <v>-2.7</v>
      </c>
    </row>
    <row r="172" spans="2:19" x14ac:dyDescent="0.25">
      <c r="B172">
        <f>480+2*(Table14[[#This Row],[min value (corrected)]]-49)</f>
        <v>488</v>
      </c>
      <c r="C172">
        <f>MINUTE(Table14[[#This Row],[Corrected time]])</f>
        <v>53</v>
      </c>
      <c r="D172" s="1">
        <v>0.49543144675925926</v>
      </c>
      <c r="E172" s="1">
        <f>Table14[[#This Row],[Time]]-TIME(0,0,8)</f>
        <v>0.49533885416666668</v>
      </c>
      <c r="F172" t="s">
        <v>9</v>
      </c>
      <c r="G172" t="s">
        <v>19</v>
      </c>
      <c r="H172">
        <f t="shared" si="3"/>
        <v>-124</v>
      </c>
      <c r="I172">
        <v>-2.5</v>
      </c>
      <c r="L172">
        <f>480+2*(Table25[[#This Row],[min value (corrected)]]-49)</f>
        <v>488</v>
      </c>
      <c r="M172">
        <f>MINUTE(Table25[[#This Row],[Corrected time]])</f>
        <v>53</v>
      </c>
      <c r="N172" s="1">
        <v>0.66199658564814812</v>
      </c>
      <c r="O172" s="1">
        <f>Table25[[#This Row],[Time]]-TIME(0,0,4)</f>
        <v>0.66195028935185185</v>
      </c>
      <c r="P172" t="s">
        <v>9</v>
      </c>
      <c r="Q172">
        <v>-124</v>
      </c>
      <c r="R172">
        <f>Table25[[#This Row],[RSSI]]</f>
        <v>-124</v>
      </c>
      <c r="S172">
        <v>-2.5</v>
      </c>
    </row>
    <row r="173" spans="2:19" x14ac:dyDescent="0.25">
      <c r="B173">
        <f>480+2*(Table14[[#This Row],[min value (corrected)]]-49)</f>
        <v>488</v>
      </c>
      <c r="C173">
        <f>MINUTE(Table14[[#This Row],[Corrected time]])</f>
        <v>53</v>
      </c>
      <c r="D173" s="1">
        <v>0.49545129629629625</v>
      </c>
      <c r="E173" s="1">
        <f>Table14[[#This Row],[Time]]-TIME(0,0,8)</f>
        <v>0.49535870370370366</v>
      </c>
      <c r="F173" t="s">
        <v>9</v>
      </c>
      <c r="G173" t="s">
        <v>19</v>
      </c>
      <c r="H173">
        <f t="shared" si="3"/>
        <v>-124</v>
      </c>
      <c r="I173">
        <v>-2.5</v>
      </c>
      <c r="L173">
        <f>480+2*(Table25[[#This Row],[min value (corrected)]]-49)</f>
        <v>488</v>
      </c>
      <c r="M173">
        <f>MINUTE(Table25[[#This Row],[Corrected time]])</f>
        <v>53</v>
      </c>
      <c r="N173" s="1">
        <v>0.66201643518518516</v>
      </c>
      <c r="O173" s="1">
        <f>Table25[[#This Row],[Time]]-TIME(0,0,4)</f>
        <v>0.66197013888888889</v>
      </c>
      <c r="P173" t="s">
        <v>9</v>
      </c>
      <c r="Q173">
        <v>-124</v>
      </c>
      <c r="R173">
        <f>Table25[[#This Row],[RSSI]]</f>
        <v>-124</v>
      </c>
      <c r="S173">
        <v>-3</v>
      </c>
    </row>
    <row r="174" spans="2:19" x14ac:dyDescent="0.25">
      <c r="B174">
        <f>480+2*(Table14[[#This Row],[min value (corrected)]]-49)</f>
        <v>488</v>
      </c>
      <c r="C174">
        <f>MINUTE(Table14[[#This Row],[Corrected time]])</f>
        <v>53</v>
      </c>
      <c r="D174" s="1">
        <v>0.49547113425925926</v>
      </c>
      <c r="E174" s="1">
        <f>Table14[[#This Row],[Time]]-TIME(0,0,8)</f>
        <v>0.49537854166666667</v>
      </c>
      <c r="F174" t="s">
        <v>9</v>
      </c>
      <c r="G174" t="s">
        <v>19</v>
      </c>
      <c r="H174">
        <f t="shared" si="3"/>
        <v>-124</v>
      </c>
      <c r="I174">
        <v>-2.7</v>
      </c>
      <c r="L174">
        <f>480+2*(Table25[[#This Row],[min value (corrected)]]-49)</f>
        <v>488</v>
      </c>
      <c r="M174">
        <f>MINUTE(Table25[[#This Row],[Corrected time]])</f>
        <v>53</v>
      </c>
      <c r="N174" s="1">
        <v>0.66203627314814817</v>
      </c>
      <c r="O174" s="1">
        <f>Table25[[#This Row],[Time]]-TIME(0,0,4)</f>
        <v>0.6619899768518519</v>
      </c>
      <c r="P174" t="s">
        <v>9</v>
      </c>
      <c r="Q174">
        <v>-124</v>
      </c>
      <c r="R174">
        <f>Table25[[#This Row],[RSSI]]</f>
        <v>-124</v>
      </c>
      <c r="S174">
        <v>-3</v>
      </c>
    </row>
    <row r="175" spans="2:19" x14ac:dyDescent="0.25">
      <c r="B175">
        <f>480+2*(Table14[[#This Row],[min value (corrected)]]-49)</f>
        <v>488</v>
      </c>
      <c r="C175">
        <f>MINUTE(Table14[[#This Row],[Corrected time]])</f>
        <v>53</v>
      </c>
      <c r="D175" s="1">
        <v>0.49549096064814818</v>
      </c>
      <c r="E175" s="1">
        <f>Table14[[#This Row],[Time]]-TIME(0,0,8)</f>
        <v>0.49539836805555559</v>
      </c>
      <c r="F175" t="s">
        <v>9</v>
      </c>
      <c r="G175" t="s">
        <v>19</v>
      </c>
      <c r="H175">
        <f t="shared" si="3"/>
        <v>-124</v>
      </c>
      <c r="I175">
        <v>-3</v>
      </c>
      <c r="L175">
        <f>480+2*(Table25[[#This Row],[min value (corrected)]]-49)</f>
        <v>488</v>
      </c>
      <c r="M175">
        <f>MINUTE(Table25[[#This Row],[Corrected time]])</f>
        <v>53</v>
      </c>
      <c r="N175" s="1">
        <v>0.66205611111111118</v>
      </c>
      <c r="O175" s="1">
        <f>Table25[[#This Row],[Time]]-TIME(0,0,4)</f>
        <v>0.66200981481481491</v>
      </c>
      <c r="P175" t="s">
        <v>9</v>
      </c>
      <c r="Q175">
        <v>-124</v>
      </c>
      <c r="R175">
        <f>Table25[[#This Row],[RSSI]]</f>
        <v>-124</v>
      </c>
      <c r="S175">
        <v>-2.5</v>
      </c>
    </row>
    <row r="176" spans="2:19" x14ac:dyDescent="0.25">
      <c r="B176">
        <f>480+2*(Table14[[#This Row],[min value (corrected)]]-49)</f>
        <v>488</v>
      </c>
      <c r="C176">
        <f>MINUTE(Table14[[#This Row],[Corrected time]])</f>
        <v>53</v>
      </c>
      <c r="D176" s="1">
        <v>0.49551081018518517</v>
      </c>
      <c r="E176" s="1">
        <f>Table14[[#This Row],[Time]]-TIME(0,0,8)</f>
        <v>0.49541821759259258</v>
      </c>
      <c r="F176" t="s">
        <v>9</v>
      </c>
      <c r="G176" t="s">
        <v>28</v>
      </c>
      <c r="H176">
        <f t="shared" si="3"/>
        <v>-125</v>
      </c>
      <c r="I176">
        <v>-3</v>
      </c>
      <c r="L176">
        <f>480+2*(Table25[[#This Row],[min value (corrected)]]-49)</f>
        <v>488</v>
      </c>
      <c r="M176">
        <f>MINUTE(Table25[[#This Row],[Corrected time]])</f>
        <v>53</v>
      </c>
      <c r="N176" s="1">
        <v>0.66207594907407408</v>
      </c>
      <c r="O176" s="1">
        <f>Table25[[#This Row],[Time]]-TIME(0,0,4)</f>
        <v>0.66202965277777781</v>
      </c>
      <c r="P176" t="s">
        <v>9</v>
      </c>
      <c r="Q176">
        <v>-124</v>
      </c>
      <c r="R176">
        <f>Table25[[#This Row],[RSSI]]</f>
        <v>-124</v>
      </c>
      <c r="S176">
        <v>-3.2</v>
      </c>
    </row>
    <row r="177" spans="2:19" x14ac:dyDescent="0.25">
      <c r="B177">
        <f>480+2*(Table14[[#This Row],[min value (corrected)]]-49)</f>
        <v>488</v>
      </c>
      <c r="C177">
        <f>MINUTE(Table14[[#This Row],[Corrected time]])</f>
        <v>53</v>
      </c>
      <c r="D177" s="1">
        <v>0.49553064814814812</v>
      </c>
      <c r="E177" s="1">
        <f>Table14[[#This Row],[Time]]-TIME(0,0,8)</f>
        <v>0.49543805555555553</v>
      </c>
      <c r="F177" t="s">
        <v>9</v>
      </c>
      <c r="G177" t="s">
        <v>19</v>
      </c>
      <c r="H177">
        <f t="shared" si="3"/>
        <v>-124</v>
      </c>
      <c r="I177">
        <v>-2.5</v>
      </c>
      <c r="L177">
        <f>480+2*(Table25[[#This Row],[min value (corrected)]]-49)</f>
        <v>488</v>
      </c>
      <c r="M177">
        <f>MINUTE(Table25[[#This Row],[Corrected time]])</f>
        <v>53</v>
      </c>
      <c r="N177" s="1">
        <v>0.66209578703703709</v>
      </c>
      <c r="O177" s="1">
        <f>Table25[[#This Row],[Time]]-TIME(0,0,4)</f>
        <v>0.66204949074074082</v>
      </c>
      <c r="P177" t="s">
        <v>9</v>
      </c>
      <c r="Q177">
        <v>-124</v>
      </c>
      <c r="R177">
        <f>Table25[[#This Row],[RSSI]]</f>
        <v>-124</v>
      </c>
      <c r="S177">
        <v>-2.5</v>
      </c>
    </row>
    <row r="178" spans="2:19" x14ac:dyDescent="0.25">
      <c r="B178">
        <f>480+2*(Table14[[#This Row],[min value (corrected)]]-49)</f>
        <v>488</v>
      </c>
      <c r="C178">
        <f>MINUTE(Table14[[#This Row],[Corrected time]])</f>
        <v>53</v>
      </c>
      <c r="D178" s="1">
        <v>0.49555047453703704</v>
      </c>
      <c r="E178" s="1">
        <f>Table14[[#This Row],[Time]]-TIME(0,0,8)</f>
        <v>0.49545788194444446</v>
      </c>
      <c r="F178" t="s">
        <v>9</v>
      </c>
      <c r="G178" t="s">
        <v>19</v>
      </c>
      <c r="H178">
        <f t="shared" si="3"/>
        <v>-124</v>
      </c>
      <c r="I178">
        <v>-2.7</v>
      </c>
      <c r="L178">
        <f>480+2*(Table25[[#This Row],[min value (corrected)]]-49)</f>
        <v>488</v>
      </c>
      <c r="M178">
        <f>MINUTE(Table25[[#This Row],[Corrected time]])</f>
        <v>53</v>
      </c>
      <c r="N178" s="1">
        <v>0.66211562499999999</v>
      </c>
      <c r="O178" s="1">
        <f>Table25[[#This Row],[Time]]-TIME(0,0,4)</f>
        <v>0.66206932870370372</v>
      </c>
      <c r="P178" t="s">
        <v>9</v>
      </c>
      <c r="Q178">
        <v>-124</v>
      </c>
      <c r="R178">
        <f>Table25[[#This Row],[RSSI]]</f>
        <v>-124</v>
      </c>
      <c r="S178">
        <v>-2.5</v>
      </c>
    </row>
    <row r="179" spans="2:19" x14ac:dyDescent="0.25">
      <c r="B179">
        <f>480+2*(Table14[[#This Row],[min value (corrected)]]-49)</f>
        <v>488</v>
      </c>
      <c r="C179">
        <f>MINUTE(Table14[[#This Row],[Corrected time]])</f>
        <v>53</v>
      </c>
      <c r="D179" s="1">
        <v>0.49557032407407403</v>
      </c>
      <c r="E179" s="1">
        <f>Table14[[#This Row],[Time]]-TIME(0,0,8)</f>
        <v>0.49547773148148144</v>
      </c>
      <c r="F179" t="s">
        <v>9</v>
      </c>
      <c r="G179" t="s">
        <v>19</v>
      </c>
      <c r="H179">
        <f t="shared" si="3"/>
        <v>-124</v>
      </c>
      <c r="I179">
        <v>-2.7</v>
      </c>
      <c r="L179">
        <f>480+2*(Table25[[#This Row],[min value (corrected)]]-49)</f>
        <v>488</v>
      </c>
      <c r="M179">
        <f>MINUTE(Table25[[#This Row],[Corrected time]])</f>
        <v>53</v>
      </c>
      <c r="N179" s="1">
        <v>0.66213545138888885</v>
      </c>
      <c r="O179" s="1">
        <f>Table25[[#This Row],[Time]]-TIME(0,0,4)</f>
        <v>0.66208915509259259</v>
      </c>
      <c r="P179" t="s">
        <v>9</v>
      </c>
      <c r="Q179">
        <v>-124</v>
      </c>
      <c r="R179">
        <f>Table25[[#This Row],[RSSI]]</f>
        <v>-124</v>
      </c>
      <c r="S179">
        <v>-2.5</v>
      </c>
    </row>
    <row r="180" spans="2:19" x14ac:dyDescent="0.25">
      <c r="B180">
        <f>480+2*(Table14[[#This Row],[min value (corrected)]]-49)</f>
        <v>488</v>
      </c>
      <c r="C180">
        <f>MINUTE(Table14[[#This Row],[Corrected time]])</f>
        <v>53</v>
      </c>
      <c r="D180" s="1">
        <v>0.49559015046296295</v>
      </c>
      <c r="E180" s="1">
        <f>Table14[[#This Row],[Time]]-TIME(0,0,8)</f>
        <v>0.49549755787037036</v>
      </c>
      <c r="F180" t="s">
        <v>9</v>
      </c>
      <c r="G180" t="s">
        <v>19</v>
      </c>
      <c r="H180">
        <f t="shared" si="3"/>
        <v>-124</v>
      </c>
      <c r="I180">
        <v>-3</v>
      </c>
      <c r="L180">
        <f>480+2*(Table25[[#This Row],[min value (corrected)]]-49)</f>
        <v>488</v>
      </c>
      <c r="M180">
        <f>MINUTE(Table25[[#This Row],[Corrected time]])</f>
        <v>53</v>
      </c>
      <c r="N180" s="1">
        <v>0.66215530092592589</v>
      </c>
      <c r="O180" s="1">
        <f>Table25[[#This Row],[Time]]-TIME(0,0,4)</f>
        <v>0.66210900462962963</v>
      </c>
      <c r="P180" t="s">
        <v>9</v>
      </c>
      <c r="Q180">
        <v>-124</v>
      </c>
      <c r="R180">
        <f>Table25[[#This Row],[RSSI]]</f>
        <v>-124</v>
      </c>
      <c r="S180">
        <v>-2.5</v>
      </c>
    </row>
    <row r="181" spans="2:19" x14ac:dyDescent="0.25">
      <c r="B181">
        <f>480+2*(Table14[[#This Row],[min value (corrected)]]-49)</f>
        <v>488</v>
      </c>
      <c r="C181">
        <f>MINUTE(Table14[[#This Row],[Corrected time]])</f>
        <v>53</v>
      </c>
      <c r="D181" s="1">
        <v>0.49560999999999999</v>
      </c>
      <c r="E181" s="1">
        <f>Table14[[#This Row],[Time]]-TIME(0,0,8)</f>
        <v>0.49551740740740741</v>
      </c>
      <c r="F181" t="s">
        <v>9</v>
      </c>
      <c r="G181" t="s">
        <v>19</v>
      </c>
      <c r="H181">
        <f t="shared" si="3"/>
        <v>-124</v>
      </c>
      <c r="I181">
        <v>-2.5</v>
      </c>
      <c r="L181">
        <f>480+2*(Table25[[#This Row],[min value (corrected)]]-49)</f>
        <v>488</v>
      </c>
      <c r="M181">
        <f>MINUTE(Table25[[#This Row],[Corrected time]])</f>
        <v>53</v>
      </c>
      <c r="N181" s="1">
        <v>0.6621751388888889</v>
      </c>
      <c r="O181" s="1">
        <f>Table25[[#This Row],[Time]]-TIME(0,0,4)</f>
        <v>0.66212884259259264</v>
      </c>
      <c r="P181" t="s">
        <v>9</v>
      </c>
      <c r="Q181">
        <v>-124</v>
      </c>
      <c r="R181">
        <f>Table25[[#This Row],[RSSI]]</f>
        <v>-124</v>
      </c>
      <c r="S181">
        <v>-2.5</v>
      </c>
    </row>
    <row r="182" spans="2:19" x14ac:dyDescent="0.25">
      <c r="B182">
        <f>480+2*(Table14[[#This Row],[min value (corrected)]]-49)</f>
        <v>488</v>
      </c>
      <c r="C182">
        <f>MINUTE(Table14[[#This Row],[Corrected time]])</f>
        <v>53</v>
      </c>
      <c r="D182" s="1">
        <v>0.49562983796296295</v>
      </c>
      <c r="E182" s="1">
        <f>Table14[[#This Row],[Time]]-TIME(0,0,8)</f>
        <v>0.49553724537037036</v>
      </c>
      <c r="F182" t="s">
        <v>9</v>
      </c>
      <c r="G182" t="s">
        <v>19</v>
      </c>
      <c r="H182">
        <f t="shared" si="3"/>
        <v>-124</v>
      </c>
      <c r="I182">
        <v>-2.5</v>
      </c>
      <c r="L182">
        <f>480+2*(Table25[[#This Row],[min value (corrected)]]-49)</f>
        <v>488</v>
      </c>
      <c r="M182">
        <f>MINUTE(Table25[[#This Row],[Corrected time]])</f>
        <v>53</v>
      </c>
      <c r="N182" s="1">
        <v>0.66219497685185191</v>
      </c>
      <c r="O182" s="1">
        <f>Table25[[#This Row],[Time]]-TIME(0,0,4)</f>
        <v>0.66214868055555565</v>
      </c>
      <c r="P182" t="s">
        <v>9</v>
      </c>
      <c r="Q182">
        <v>-124</v>
      </c>
      <c r="R182">
        <f>Table25[[#This Row],[RSSI]]</f>
        <v>-124</v>
      </c>
      <c r="S182">
        <v>-2.7</v>
      </c>
    </row>
    <row r="183" spans="2:19" x14ac:dyDescent="0.25">
      <c r="B183">
        <f>480+2*(Table14[[#This Row],[min value (corrected)]]-49)</f>
        <v>488</v>
      </c>
      <c r="C183">
        <f>MINUTE(Table14[[#This Row],[Corrected time]])</f>
        <v>53</v>
      </c>
      <c r="D183" s="1">
        <v>0.4956496759259259</v>
      </c>
      <c r="E183" s="1">
        <f>Table14[[#This Row],[Time]]-TIME(0,0,8)</f>
        <v>0.49555708333333331</v>
      </c>
      <c r="F183" t="s">
        <v>9</v>
      </c>
      <c r="G183" t="s">
        <v>12</v>
      </c>
      <c r="H183">
        <f t="shared" si="3"/>
        <v>-123</v>
      </c>
      <c r="I183">
        <v>-2.7</v>
      </c>
      <c r="L183">
        <f>480+2*(Table25[[#This Row],[min value (corrected)]]-49)</f>
        <v>488</v>
      </c>
      <c r="M183">
        <f>MINUTE(Table25[[#This Row],[Corrected time]])</f>
        <v>53</v>
      </c>
      <c r="N183" s="1">
        <v>0.66221481481481481</v>
      </c>
      <c r="O183" s="1">
        <f>Table25[[#This Row],[Time]]-TIME(0,0,4)</f>
        <v>0.66216851851851855</v>
      </c>
      <c r="P183" t="s">
        <v>9</v>
      </c>
      <c r="Q183">
        <v>-124</v>
      </c>
      <c r="R183">
        <f>Table25[[#This Row],[RSSI]]</f>
        <v>-124</v>
      </c>
      <c r="S183">
        <v>-2.5</v>
      </c>
    </row>
    <row r="184" spans="2:19" x14ac:dyDescent="0.25">
      <c r="B184">
        <f>480+2*(Table14[[#This Row],[min value (corrected)]]-49)</f>
        <v>488</v>
      </c>
      <c r="C184">
        <f>MINUTE(Table14[[#This Row],[Corrected time]])</f>
        <v>53</v>
      </c>
      <c r="D184" s="1">
        <v>0.49566950231481482</v>
      </c>
      <c r="E184" s="1">
        <f>Table14[[#This Row],[Time]]-TIME(0,0,8)</f>
        <v>0.49557690972222224</v>
      </c>
      <c r="F184" t="s">
        <v>9</v>
      </c>
      <c r="G184" t="s">
        <v>19</v>
      </c>
      <c r="H184">
        <f t="shared" si="3"/>
        <v>-124</v>
      </c>
      <c r="I184">
        <v>-2.7</v>
      </c>
      <c r="L184">
        <f>480+2*(Table25[[#This Row],[min value (corrected)]]-49)</f>
        <v>488</v>
      </c>
      <c r="M184">
        <f>MINUTE(Table25[[#This Row],[Corrected time]])</f>
        <v>53</v>
      </c>
      <c r="N184" s="1">
        <v>0.66223465277777782</v>
      </c>
      <c r="O184" s="1">
        <f>Table25[[#This Row],[Time]]-TIME(0,0,4)</f>
        <v>0.66218835648148155</v>
      </c>
      <c r="P184" t="s">
        <v>9</v>
      </c>
      <c r="Q184">
        <v>-124</v>
      </c>
      <c r="R184">
        <f>Table25[[#This Row],[RSSI]]</f>
        <v>-124</v>
      </c>
      <c r="S184">
        <v>-3.2</v>
      </c>
    </row>
    <row r="185" spans="2:19" x14ac:dyDescent="0.25">
      <c r="B185">
        <f>480+2*(Table14[[#This Row],[min value (corrected)]]-49)</f>
        <v>488</v>
      </c>
      <c r="C185">
        <f>MINUTE(Table14[[#This Row],[Corrected time]])</f>
        <v>53</v>
      </c>
      <c r="D185" s="1">
        <v>0.49568935185185181</v>
      </c>
      <c r="E185" s="1">
        <f>Table14[[#This Row],[Time]]-TIME(0,0,8)</f>
        <v>0.49559675925925922</v>
      </c>
      <c r="F185" t="s">
        <v>9</v>
      </c>
      <c r="G185" t="s">
        <v>19</v>
      </c>
      <c r="H185">
        <f t="shared" si="3"/>
        <v>-124</v>
      </c>
      <c r="I185">
        <v>-2.7</v>
      </c>
      <c r="L185">
        <f>480+2*(Table25[[#This Row],[min value (corrected)]]-49)</f>
        <v>488</v>
      </c>
      <c r="M185">
        <f>MINUTE(Table25[[#This Row],[Corrected time]])</f>
        <v>53</v>
      </c>
      <c r="N185" s="1">
        <v>0.66225447916666658</v>
      </c>
      <c r="O185" s="1">
        <f>Table25[[#This Row],[Time]]-TIME(0,0,4)</f>
        <v>0.66220818287037031</v>
      </c>
      <c r="P185" t="s">
        <v>9</v>
      </c>
      <c r="Q185">
        <v>-124</v>
      </c>
      <c r="R185">
        <f>Table25[[#This Row],[RSSI]]</f>
        <v>-124</v>
      </c>
      <c r="S185">
        <v>-2.7</v>
      </c>
    </row>
    <row r="186" spans="2:19" x14ac:dyDescent="0.25">
      <c r="B186">
        <f>480+2*(Table14[[#This Row],[min value (corrected)]]-49)</f>
        <v>488</v>
      </c>
      <c r="C186">
        <f>MINUTE(Table14[[#This Row],[Corrected time]])</f>
        <v>53</v>
      </c>
      <c r="D186" s="1">
        <v>0.49570918981481477</v>
      </c>
      <c r="E186" s="1">
        <f>Table14[[#This Row],[Time]]-TIME(0,0,8)</f>
        <v>0.49561659722222218</v>
      </c>
      <c r="F186" t="s">
        <v>9</v>
      </c>
      <c r="G186" t="s">
        <v>19</v>
      </c>
      <c r="H186">
        <f t="shared" si="3"/>
        <v>-124</v>
      </c>
      <c r="I186">
        <v>-2.7</v>
      </c>
      <c r="L186">
        <f>480+2*(Table25[[#This Row],[min value (corrected)]]-49)</f>
        <v>488</v>
      </c>
      <c r="M186">
        <f>MINUTE(Table25[[#This Row],[Corrected time]])</f>
        <v>53</v>
      </c>
      <c r="N186" s="1">
        <v>0.66227432870370373</v>
      </c>
      <c r="O186" s="1">
        <f>Table25[[#This Row],[Time]]-TIME(0,0,4)</f>
        <v>0.66222803240740746</v>
      </c>
      <c r="P186" t="s">
        <v>9</v>
      </c>
      <c r="Q186">
        <v>-124</v>
      </c>
      <c r="R186">
        <f>Table25[[#This Row],[RSSI]]</f>
        <v>-124</v>
      </c>
      <c r="S186">
        <v>-2.7</v>
      </c>
    </row>
    <row r="187" spans="2:19" x14ac:dyDescent="0.25">
      <c r="B187">
        <f>480+2*(Table14[[#This Row],[min value (corrected)]]-49)</f>
        <v>488</v>
      </c>
      <c r="C187">
        <f>MINUTE(Table14[[#This Row],[Corrected time]])</f>
        <v>53</v>
      </c>
      <c r="D187" s="1">
        <v>0.49572902777777778</v>
      </c>
      <c r="E187" s="1">
        <f>Table14[[#This Row],[Time]]-TIME(0,0,8)</f>
        <v>0.49563643518518519</v>
      </c>
      <c r="F187" t="s">
        <v>9</v>
      </c>
      <c r="G187" t="s">
        <v>19</v>
      </c>
      <c r="H187">
        <f t="shared" si="3"/>
        <v>-124</v>
      </c>
      <c r="I187">
        <v>-2.7</v>
      </c>
      <c r="L187">
        <f>480+2*(Table25[[#This Row],[min value (corrected)]]-49)</f>
        <v>488</v>
      </c>
      <c r="M187">
        <f>MINUTE(Table25[[#This Row],[Corrected time]])</f>
        <v>53</v>
      </c>
      <c r="N187" s="1">
        <v>0.66229416666666663</v>
      </c>
      <c r="O187" s="1">
        <f>Table25[[#This Row],[Time]]-TIME(0,0,4)</f>
        <v>0.66224787037037036</v>
      </c>
      <c r="P187" t="s">
        <v>9</v>
      </c>
      <c r="Q187">
        <v>-123</v>
      </c>
      <c r="R187">
        <f>Table25[[#This Row],[RSSI]]</f>
        <v>-123</v>
      </c>
      <c r="S187">
        <v>-2.5</v>
      </c>
    </row>
    <row r="188" spans="2:19" x14ac:dyDescent="0.25">
      <c r="B188">
        <f>480+2*(Table14[[#This Row],[min value (corrected)]]-49)</f>
        <v>488</v>
      </c>
      <c r="C188">
        <f>MINUTE(Table14[[#This Row],[Corrected time]])</f>
        <v>53</v>
      </c>
      <c r="D188" s="1">
        <v>0.4957488541666667</v>
      </c>
      <c r="E188" s="1">
        <f>Table14[[#This Row],[Time]]-TIME(0,0,8)</f>
        <v>0.49565626157407411</v>
      </c>
      <c r="F188" t="s">
        <v>9</v>
      </c>
      <c r="G188" t="s">
        <v>19</v>
      </c>
      <c r="H188">
        <f t="shared" si="3"/>
        <v>-124</v>
      </c>
      <c r="I188">
        <v>-3</v>
      </c>
      <c r="L188">
        <f>480+2*(Table25[[#This Row],[min value (corrected)]]-49)</f>
        <v>488</v>
      </c>
      <c r="M188">
        <f>MINUTE(Table25[[#This Row],[Corrected time]])</f>
        <v>53</v>
      </c>
      <c r="N188" s="1">
        <v>0.66231400462962964</v>
      </c>
      <c r="O188" s="1">
        <f>Table25[[#This Row],[Time]]-TIME(0,0,4)</f>
        <v>0.66226770833333337</v>
      </c>
      <c r="P188" t="s">
        <v>9</v>
      </c>
      <c r="Q188">
        <v>-123</v>
      </c>
      <c r="R188">
        <f>Table25[[#This Row],[RSSI]]</f>
        <v>-123</v>
      </c>
      <c r="S188">
        <v>-2.5</v>
      </c>
    </row>
    <row r="189" spans="2:19" x14ac:dyDescent="0.25">
      <c r="B189">
        <f>480+2*(Table14[[#This Row],[min value (corrected)]]-49)</f>
        <v>488</v>
      </c>
      <c r="C189">
        <f>MINUTE(Table14[[#This Row],[Corrected time]])</f>
        <v>53</v>
      </c>
      <c r="D189" s="1">
        <v>0.49576870370370368</v>
      </c>
      <c r="E189" s="1">
        <f>Table14[[#This Row],[Time]]-TIME(0,0,8)</f>
        <v>0.4956761111111111</v>
      </c>
      <c r="F189" t="s">
        <v>9</v>
      </c>
      <c r="G189" t="s">
        <v>12</v>
      </c>
      <c r="H189">
        <f t="shared" si="3"/>
        <v>-123</v>
      </c>
      <c r="I189">
        <v>-2.7</v>
      </c>
      <c r="L189">
        <f>480+2*(Table25[[#This Row],[min value (corrected)]]-49)</f>
        <v>488</v>
      </c>
      <c r="M189">
        <f>MINUTE(Table25[[#This Row],[Corrected time]])</f>
        <v>53</v>
      </c>
      <c r="N189" s="1">
        <v>0.66233384259259265</v>
      </c>
      <c r="O189" s="1">
        <f>Table25[[#This Row],[Time]]-TIME(0,0,4)</f>
        <v>0.66228754629629638</v>
      </c>
      <c r="P189" t="s">
        <v>9</v>
      </c>
      <c r="Q189">
        <v>-124</v>
      </c>
      <c r="R189">
        <f>Table25[[#This Row],[RSSI]]</f>
        <v>-124</v>
      </c>
      <c r="S189">
        <v>-2.2000000000000002</v>
      </c>
    </row>
    <row r="190" spans="2:19" x14ac:dyDescent="0.25">
      <c r="B190">
        <f>480+2*(Table14[[#This Row],[min value (corrected)]]-49)</f>
        <v>488</v>
      </c>
      <c r="C190">
        <f>MINUTE(Table14[[#This Row],[Corrected time]])</f>
        <v>53</v>
      </c>
      <c r="D190" s="1">
        <v>0.49578854166666664</v>
      </c>
      <c r="E190" s="1">
        <f>Table14[[#This Row],[Time]]-TIME(0,0,8)</f>
        <v>0.49569594907407405</v>
      </c>
      <c r="F190" t="s">
        <v>9</v>
      </c>
      <c r="G190" t="s">
        <v>19</v>
      </c>
      <c r="H190">
        <f t="shared" si="3"/>
        <v>-124</v>
      </c>
      <c r="I190">
        <v>-3.2</v>
      </c>
      <c r="L190">
        <f>480+2*(Table25[[#This Row],[min value (corrected)]]-49)</f>
        <v>488</v>
      </c>
      <c r="M190">
        <f>MINUTE(Table25[[#This Row],[Corrected time]])</f>
        <v>53</v>
      </c>
      <c r="N190" s="1">
        <v>0.66235368055555555</v>
      </c>
      <c r="O190" s="1">
        <f>Table25[[#This Row],[Time]]-TIME(0,0,4)</f>
        <v>0.66230738425925928</v>
      </c>
      <c r="P190" t="s">
        <v>9</v>
      </c>
      <c r="Q190">
        <v>-124</v>
      </c>
      <c r="R190">
        <f>Table25[[#This Row],[RSSI]]</f>
        <v>-124</v>
      </c>
      <c r="S190">
        <v>-2.5</v>
      </c>
    </row>
    <row r="191" spans="2:19" x14ac:dyDescent="0.25">
      <c r="B191">
        <f>480+2*(Table14[[#This Row],[min value (corrected)]]-49)</f>
        <v>488</v>
      </c>
      <c r="C191">
        <f>MINUTE(Table14[[#This Row],[Corrected time]])</f>
        <v>53</v>
      </c>
      <c r="D191" s="1">
        <v>0.49580837962962959</v>
      </c>
      <c r="E191" s="1">
        <f>Table14[[#This Row],[Time]]-TIME(0,0,8)</f>
        <v>0.495715787037037</v>
      </c>
      <c r="F191" t="s">
        <v>9</v>
      </c>
      <c r="G191" t="s">
        <v>19</v>
      </c>
      <c r="H191">
        <f t="shared" si="3"/>
        <v>-124</v>
      </c>
      <c r="I191">
        <v>-3</v>
      </c>
      <c r="L191">
        <f>480+2*(Table25[[#This Row],[min value (corrected)]]-49)</f>
        <v>488</v>
      </c>
      <c r="M191">
        <f>MINUTE(Table25[[#This Row],[Corrected time]])</f>
        <v>53</v>
      </c>
      <c r="N191" s="1">
        <v>0.66237351851851856</v>
      </c>
      <c r="O191" s="1">
        <f>Table25[[#This Row],[Time]]-TIME(0,0,4)</f>
        <v>0.66232722222222229</v>
      </c>
      <c r="P191" t="s">
        <v>9</v>
      </c>
      <c r="Q191">
        <v>-124</v>
      </c>
      <c r="R191">
        <f>Table25[[#This Row],[RSSI]]</f>
        <v>-124</v>
      </c>
      <c r="S191">
        <v>-2.7</v>
      </c>
    </row>
    <row r="192" spans="2:19" x14ac:dyDescent="0.25">
      <c r="B192">
        <f>480+2*(Table14[[#This Row],[min value (corrected)]]-49)</f>
        <v>488</v>
      </c>
      <c r="C192">
        <f>MINUTE(Table14[[#This Row],[Corrected time]])</f>
        <v>53</v>
      </c>
      <c r="D192" s="1">
        <v>0.49582821759259255</v>
      </c>
      <c r="E192" s="1">
        <f>Table14[[#This Row],[Time]]-TIME(0,0,8)</f>
        <v>0.49573562499999996</v>
      </c>
      <c r="F192" t="s">
        <v>9</v>
      </c>
      <c r="G192" t="s">
        <v>19</v>
      </c>
      <c r="H192">
        <f t="shared" si="3"/>
        <v>-124</v>
      </c>
      <c r="I192">
        <v>-2.5</v>
      </c>
      <c r="L192">
        <f>480+2*(Table25[[#This Row],[min value (corrected)]]-49)</f>
        <v>488</v>
      </c>
      <c r="M192">
        <f>MINUTE(Table25[[#This Row],[Corrected time]])</f>
        <v>53</v>
      </c>
      <c r="N192" s="1">
        <v>0.66239335648148145</v>
      </c>
      <c r="O192" s="1">
        <f>Table25[[#This Row],[Time]]-TIME(0,0,4)</f>
        <v>0.66234706018518519</v>
      </c>
      <c r="P192" t="s">
        <v>9</v>
      </c>
      <c r="Q192">
        <v>-124</v>
      </c>
      <c r="R192">
        <f>Table25[[#This Row],[RSSI]]</f>
        <v>-124</v>
      </c>
      <c r="S192">
        <v>-2.2000000000000002</v>
      </c>
    </row>
    <row r="193" spans="2:19" x14ac:dyDescent="0.25">
      <c r="B193">
        <f>480+2*(Table14[[#This Row],[min value (corrected)]]-49)</f>
        <v>488</v>
      </c>
      <c r="C193">
        <f>MINUTE(Table14[[#This Row],[Corrected time]])</f>
        <v>53</v>
      </c>
      <c r="D193" s="1">
        <v>0.49584804398148147</v>
      </c>
      <c r="E193" s="1">
        <f>Table14[[#This Row],[Time]]-TIME(0,0,8)</f>
        <v>0.49575545138888888</v>
      </c>
      <c r="F193" t="s">
        <v>9</v>
      </c>
      <c r="G193" t="s">
        <v>19</v>
      </c>
      <c r="H193">
        <f t="shared" si="3"/>
        <v>-124</v>
      </c>
      <c r="I193">
        <v>-3</v>
      </c>
      <c r="L193">
        <f>480+2*(Table25[[#This Row],[min value (corrected)]]-49)</f>
        <v>488</v>
      </c>
      <c r="M193">
        <f>MINUTE(Table25[[#This Row],[Corrected time]])</f>
        <v>53</v>
      </c>
      <c r="N193" s="1">
        <v>0.66241319444444446</v>
      </c>
      <c r="O193" s="1">
        <f>Table25[[#This Row],[Time]]-TIME(0,0,4)</f>
        <v>0.6623668981481482</v>
      </c>
      <c r="P193" t="s">
        <v>9</v>
      </c>
      <c r="Q193">
        <v>-124</v>
      </c>
      <c r="R193">
        <f>Table25[[#This Row],[RSSI]]</f>
        <v>-124</v>
      </c>
      <c r="S193">
        <v>-2.5</v>
      </c>
    </row>
    <row r="194" spans="2:19" x14ac:dyDescent="0.25">
      <c r="B194">
        <f>480+2*(Table14[[#This Row],[min value (corrected)]]-49)</f>
        <v>488</v>
      </c>
      <c r="C194">
        <f>MINUTE(Table14[[#This Row],[Corrected time]])</f>
        <v>53</v>
      </c>
      <c r="D194" s="1">
        <v>0.49586789351851851</v>
      </c>
      <c r="E194" s="1">
        <f>Table14[[#This Row],[Time]]-TIME(0,0,8)</f>
        <v>0.49577530092592592</v>
      </c>
      <c r="F194" t="s">
        <v>9</v>
      </c>
      <c r="G194" t="s">
        <v>19</v>
      </c>
      <c r="H194">
        <f t="shared" si="3"/>
        <v>-124</v>
      </c>
      <c r="I194">
        <v>-2.7</v>
      </c>
      <c r="L194">
        <f>480+2*(Table25[[#This Row],[min value (corrected)]]-49)</f>
        <v>488</v>
      </c>
      <c r="M194">
        <f>MINUTE(Table25[[#This Row],[Corrected time]])</f>
        <v>53</v>
      </c>
      <c r="N194" s="1">
        <v>0.66243303240740736</v>
      </c>
      <c r="O194" s="1">
        <f>Table25[[#This Row],[Time]]-TIME(0,0,4)</f>
        <v>0.6623867361111111</v>
      </c>
      <c r="P194" t="s">
        <v>9</v>
      </c>
      <c r="Q194">
        <v>-124</v>
      </c>
      <c r="R194">
        <f>Table25[[#This Row],[RSSI]]</f>
        <v>-124</v>
      </c>
      <c r="S194">
        <v>-3</v>
      </c>
    </row>
    <row r="195" spans="2:19" x14ac:dyDescent="0.25">
      <c r="B195">
        <f>480+2*(Table14[[#This Row],[min value (corrected)]]-49)</f>
        <v>488</v>
      </c>
      <c r="C195">
        <f>MINUTE(Table14[[#This Row],[Corrected time]])</f>
        <v>53</v>
      </c>
      <c r="D195" s="1">
        <v>0.49588773148148146</v>
      </c>
      <c r="E195" s="1">
        <f>Table14[[#This Row],[Time]]-TIME(0,0,8)</f>
        <v>0.49579513888888888</v>
      </c>
      <c r="F195" t="s">
        <v>9</v>
      </c>
      <c r="G195" t="s">
        <v>11</v>
      </c>
      <c r="H195">
        <f t="shared" si="3"/>
        <v>-122</v>
      </c>
      <c r="I195">
        <v>-2.7</v>
      </c>
      <c r="L195">
        <f>480+2*(Table25[[#This Row],[min value (corrected)]]-49)</f>
        <v>488</v>
      </c>
      <c r="M195">
        <f>MINUTE(Table25[[#This Row],[Corrected time]])</f>
        <v>53</v>
      </c>
      <c r="N195" s="1">
        <v>0.66245287037037037</v>
      </c>
      <c r="O195" s="1">
        <f>Table25[[#This Row],[Time]]-TIME(0,0,4)</f>
        <v>0.66240657407407411</v>
      </c>
      <c r="P195" t="s">
        <v>9</v>
      </c>
      <c r="Q195">
        <v>-124</v>
      </c>
      <c r="R195">
        <f>Table25[[#This Row],[RSSI]]</f>
        <v>-124</v>
      </c>
      <c r="S195">
        <v>-2.5</v>
      </c>
    </row>
    <row r="196" spans="2:19" x14ac:dyDescent="0.25">
      <c r="B196">
        <f>480+2*(Table14[[#This Row],[min value (corrected)]]-49)</f>
        <v>488</v>
      </c>
      <c r="C196">
        <f>MINUTE(Table14[[#This Row],[Corrected time]])</f>
        <v>53</v>
      </c>
      <c r="D196" s="1">
        <v>0.49590756944444442</v>
      </c>
      <c r="E196" s="1">
        <f>Table14[[#This Row],[Time]]-TIME(0,0,8)</f>
        <v>0.49581497685185183</v>
      </c>
      <c r="F196" t="s">
        <v>9</v>
      </c>
      <c r="G196" t="s">
        <v>19</v>
      </c>
      <c r="H196">
        <f t="shared" ref="H196:H259" si="4">VALUE(LEFT(G196,LEN(G196)-1))</f>
        <v>-124</v>
      </c>
      <c r="I196">
        <v>-2.7</v>
      </c>
      <c r="L196">
        <f>480+2*(Table25[[#This Row],[min value (corrected)]]-49)</f>
        <v>488</v>
      </c>
      <c r="M196">
        <f>MINUTE(Table25[[#This Row],[Corrected time]])</f>
        <v>53</v>
      </c>
      <c r="N196" s="1">
        <v>0.66247269675925935</v>
      </c>
      <c r="O196" s="1">
        <f>Table25[[#This Row],[Time]]-TIME(0,0,4)</f>
        <v>0.66242640046296308</v>
      </c>
      <c r="P196" t="s">
        <v>9</v>
      </c>
      <c r="Q196">
        <v>-124</v>
      </c>
      <c r="R196">
        <f>Table25[[#This Row],[RSSI]]</f>
        <v>-124</v>
      </c>
      <c r="S196">
        <v>-2.7</v>
      </c>
    </row>
    <row r="197" spans="2:19" x14ac:dyDescent="0.25">
      <c r="B197">
        <f>480+2*(Table14[[#This Row],[min value (corrected)]]-49)</f>
        <v>490</v>
      </c>
      <c r="C197">
        <f>MINUTE(Table14[[#This Row],[Corrected time]])</f>
        <v>54</v>
      </c>
      <c r="D197" s="1">
        <v>0.49592739583333334</v>
      </c>
      <c r="E197" s="1">
        <f>Table14[[#This Row],[Time]]-TIME(0,0,8)</f>
        <v>0.49583480324074075</v>
      </c>
      <c r="F197" t="s">
        <v>9</v>
      </c>
      <c r="G197" t="s">
        <v>28</v>
      </c>
      <c r="H197">
        <f t="shared" si="4"/>
        <v>-125</v>
      </c>
      <c r="I197">
        <v>-3.7</v>
      </c>
      <c r="L197">
        <f>480+2*(Table25[[#This Row],[min value (corrected)]]-49)</f>
        <v>488</v>
      </c>
      <c r="M197">
        <f>MINUTE(Table25[[#This Row],[Corrected time]])</f>
        <v>53</v>
      </c>
      <c r="N197" s="1">
        <v>0.66249254629629628</v>
      </c>
      <c r="O197" s="1">
        <f>Table25[[#This Row],[Time]]-TIME(0,0,4)</f>
        <v>0.66244625000000001</v>
      </c>
      <c r="P197" t="s">
        <v>9</v>
      </c>
      <c r="Q197">
        <v>-124</v>
      </c>
      <c r="R197">
        <f>Table25[[#This Row],[RSSI]]</f>
        <v>-124</v>
      </c>
      <c r="S197">
        <v>-2.5</v>
      </c>
    </row>
    <row r="198" spans="2:19" x14ac:dyDescent="0.25">
      <c r="B198">
        <f>480+2*(Table14[[#This Row],[min value (corrected)]]-49)</f>
        <v>490</v>
      </c>
      <c r="C198">
        <f>MINUTE(Table14[[#This Row],[Corrected time]])</f>
        <v>54</v>
      </c>
      <c r="D198" s="1">
        <v>0.49594723379629629</v>
      </c>
      <c r="E198" s="1">
        <f>Table14[[#This Row],[Time]]-TIME(0,0,8)</f>
        <v>0.49585464120370371</v>
      </c>
      <c r="F198" t="s">
        <v>9</v>
      </c>
      <c r="G198" t="s">
        <v>19</v>
      </c>
      <c r="H198">
        <f t="shared" si="4"/>
        <v>-124</v>
      </c>
      <c r="I198">
        <v>-3.5</v>
      </c>
      <c r="L198">
        <f>480+2*(Table25[[#This Row],[min value (corrected)]]-49)</f>
        <v>488</v>
      </c>
      <c r="M198">
        <f>MINUTE(Table25[[#This Row],[Corrected time]])</f>
        <v>53</v>
      </c>
      <c r="N198" s="1">
        <v>0.66251237268518526</v>
      </c>
      <c r="O198" s="1">
        <f>Table25[[#This Row],[Time]]-TIME(0,0,4)</f>
        <v>0.66246607638888899</v>
      </c>
      <c r="P198" t="s">
        <v>9</v>
      </c>
      <c r="Q198">
        <v>-124</v>
      </c>
      <c r="R198">
        <f>Table25[[#This Row],[RSSI]]</f>
        <v>-124</v>
      </c>
      <c r="S198">
        <v>-2.7</v>
      </c>
    </row>
    <row r="199" spans="2:19" x14ac:dyDescent="0.25">
      <c r="B199">
        <f>480+2*(Table14[[#This Row],[min value (corrected)]]-49)</f>
        <v>490</v>
      </c>
      <c r="C199">
        <f>MINUTE(Table14[[#This Row],[Corrected time]])</f>
        <v>54</v>
      </c>
      <c r="D199" s="1">
        <v>0.49596708333333328</v>
      </c>
      <c r="E199" s="1">
        <f>Table14[[#This Row],[Time]]-TIME(0,0,8)</f>
        <v>0.49587449074074069</v>
      </c>
      <c r="F199" t="s">
        <v>9</v>
      </c>
      <c r="G199" t="s">
        <v>19</v>
      </c>
      <c r="H199">
        <f t="shared" si="4"/>
        <v>-124</v>
      </c>
      <c r="I199">
        <v>-3.2</v>
      </c>
      <c r="L199">
        <f>480+2*(Table25[[#This Row],[min value (corrected)]]-49)</f>
        <v>488</v>
      </c>
      <c r="M199">
        <f>MINUTE(Table25[[#This Row],[Corrected time]])</f>
        <v>53</v>
      </c>
      <c r="N199" s="1">
        <v>0.66253222222222219</v>
      </c>
      <c r="O199" s="1">
        <f>Table25[[#This Row],[Time]]-TIME(0,0,4)</f>
        <v>0.66248592592592592</v>
      </c>
      <c r="P199" t="s">
        <v>9</v>
      </c>
      <c r="Q199">
        <v>-124</v>
      </c>
      <c r="R199">
        <f>Table25[[#This Row],[RSSI]]</f>
        <v>-124</v>
      </c>
      <c r="S199">
        <v>-3.5</v>
      </c>
    </row>
    <row r="200" spans="2:19" x14ac:dyDescent="0.25">
      <c r="B200">
        <f>480+2*(Table14[[#This Row],[min value (corrected)]]-49)</f>
        <v>490</v>
      </c>
      <c r="C200">
        <f>MINUTE(Table14[[#This Row],[Corrected time]])</f>
        <v>54</v>
      </c>
      <c r="D200" s="1">
        <v>0.49598692129629623</v>
      </c>
      <c r="E200" s="1">
        <f>Table14[[#This Row],[Time]]-TIME(0,0,8)</f>
        <v>0.49589432870370365</v>
      </c>
      <c r="F200" t="s">
        <v>9</v>
      </c>
      <c r="G200" t="s">
        <v>19</v>
      </c>
      <c r="H200">
        <f t="shared" si="4"/>
        <v>-124</v>
      </c>
      <c r="I200">
        <v>-3.2</v>
      </c>
      <c r="L200">
        <f>480+2*(Table25[[#This Row],[min value (corrected)]]-49)</f>
        <v>490</v>
      </c>
      <c r="M200">
        <f>MINUTE(Table25[[#This Row],[Corrected time]])</f>
        <v>54</v>
      </c>
      <c r="N200" s="1">
        <v>0.6625520601851852</v>
      </c>
      <c r="O200" s="1">
        <f>Table25[[#This Row],[Time]]-TIME(0,0,4)</f>
        <v>0.66250576388888893</v>
      </c>
      <c r="P200" t="s">
        <v>9</v>
      </c>
      <c r="Q200">
        <v>-124</v>
      </c>
      <c r="R200">
        <f>Table25[[#This Row],[RSSI]]</f>
        <v>-124</v>
      </c>
      <c r="S200">
        <v>-2.7</v>
      </c>
    </row>
    <row r="201" spans="2:19" x14ac:dyDescent="0.25">
      <c r="B201">
        <f>480+2*(Table14[[#This Row],[min value (corrected)]]-49)</f>
        <v>490</v>
      </c>
      <c r="C201">
        <f>MINUTE(Table14[[#This Row],[Corrected time]])</f>
        <v>54</v>
      </c>
      <c r="D201" s="1">
        <v>0.49600675925925924</v>
      </c>
      <c r="E201" s="1">
        <f>Table14[[#This Row],[Time]]-TIME(0,0,8)</f>
        <v>0.49591416666666666</v>
      </c>
      <c r="F201" t="s">
        <v>9</v>
      </c>
      <c r="G201" t="s">
        <v>19</v>
      </c>
      <c r="H201">
        <f t="shared" si="4"/>
        <v>-124</v>
      </c>
      <c r="I201">
        <v>-3.5</v>
      </c>
      <c r="L201">
        <f>480+2*(Table25[[#This Row],[min value (corrected)]]-49)</f>
        <v>490</v>
      </c>
      <c r="M201">
        <f>MINUTE(Table25[[#This Row],[Corrected time]])</f>
        <v>54</v>
      </c>
      <c r="N201" s="1">
        <v>0.6625718981481481</v>
      </c>
      <c r="O201" s="1">
        <f>Table25[[#This Row],[Time]]-TIME(0,0,4)</f>
        <v>0.66252560185185183</v>
      </c>
      <c r="P201" t="s">
        <v>9</v>
      </c>
      <c r="Q201">
        <v>-125</v>
      </c>
      <c r="R201">
        <f>Table25[[#This Row],[RSSI]]</f>
        <v>-125</v>
      </c>
      <c r="S201">
        <v>-4</v>
      </c>
    </row>
    <row r="202" spans="2:19" x14ac:dyDescent="0.25">
      <c r="B202">
        <f>480+2*(Table14[[#This Row],[min value (corrected)]]-49)</f>
        <v>490</v>
      </c>
      <c r="C202">
        <f>MINUTE(Table14[[#This Row],[Corrected time]])</f>
        <v>54</v>
      </c>
      <c r="D202" s="1">
        <v>0.4960265972222222</v>
      </c>
      <c r="E202" s="1">
        <f>Table14[[#This Row],[Time]]-TIME(0,0,8)</f>
        <v>0.49593400462962961</v>
      </c>
      <c r="F202" t="s">
        <v>13</v>
      </c>
      <c r="G202" t="str">
        <f>G201</f>
        <v>-124.0,</v>
      </c>
      <c r="H202">
        <f>H201-0.5</f>
        <v>-124.5</v>
      </c>
      <c r="I202">
        <f>I201-0.5</f>
        <v>-4</v>
      </c>
      <c r="L202">
        <f>480+2*(Table25[[#This Row],[min value (corrected)]]-49)</f>
        <v>490</v>
      </c>
      <c r="M202">
        <f>MINUTE(Table25[[#This Row],[Corrected time]])</f>
        <v>54</v>
      </c>
      <c r="N202" s="1">
        <v>0.66259173611111111</v>
      </c>
      <c r="O202" s="1">
        <f>Table25[[#This Row],[Time]]-TIME(0,0,4)</f>
        <v>0.66254543981481484</v>
      </c>
      <c r="P202" t="s">
        <v>9</v>
      </c>
      <c r="Q202">
        <v>-125</v>
      </c>
      <c r="R202">
        <f>Table25[[#This Row],[RSSI]]</f>
        <v>-125</v>
      </c>
      <c r="S202">
        <v>-3.5</v>
      </c>
    </row>
    <row r="203" spans="2:19" x14ac:dyDescent="0.25">
      <c r="B203">
        <f>480+2*(Table14[[#This Row],[min value (corrected)]]-49)</f>
        <v>490</v>
      </c>
      <c r="C203">
        <f>MINUTE(Table14[[#This Row],[Corrected time]])</f>
        <v>54</v>
      </c>
      <c r="D203" s="1">
        <v>0.49604643518518515</v>
      </c>
      <c r="E203" s="1">
        <f>Table14[[#This Row],[Time]]-TIME(0,0,8)</f>
        <v>0.49595384259259256</v>
      </c>
      <c r="F203" t="s">
        <v>9</v>
      </c>
      <c r="G203" t="s">
        <v>19</v>
      </c>
      <c r="H203">
        <f t="shared" si="4"/>
        <v>-124</v>
      </c>
      <c r="I203">
        <v>-2.7</v>
      </c>
      <c r="L203">
        <f>480+2*(Table25[[#This Row],[min value (corrected)]]-49)</f>
        <v>490</v>
      </c>
      <c r="M203">
        <f>MINUTE(Table25[[#This Row],[Corrected time]])</f>
        <v>54</v>
      </c>
      <c r="N203" s="1">
        <v>0.66261157407407412</v>
      </c>
      <c r="O203" s="1">
        <f>Table25[[#This Row],[Time]]-TIME(0,0,4)</f>
        <v>0.66256527777777785</v>
      </c>
      <c r="P203" t="s">
        <v>9</v>
      </c>
      <c r="Q203">
        <v>-124</v>
      </c>
      <c r="R203">
        <f>Table25[[#This Row],[RSSI]]</f>
        <v>-124</v>
      </c>
      <c r="S203">
        <v>-3.2</v>
      </c>
    </row>
    <row r="204" spans="2:19" x14ac:dyDescent="0.25">
      <c r="B204">
        <f>480+2*(Table14[[#This Row],[min value (corrected)]]-49)</f>
        <v>490</v>
      </c>
      <c r="C204">
        <f>MINUTE(Table14[[#This Row],[Corrected time]])</f>
        <v>54</v>
      </c>
      <c r="D204" s="1">
        <v>0.49606627314814811</v>
      </c>
      <c r="E204" s="1">
        <f>Table14[[#This Row],[Time]]-TIME(0,0,8)</f>
        <v>0.49597368055555552</v>
      </c>
      <c r="F204" t="s">
        <v>9</v>
      </c>
      <c r="G204" t="s">
        <v>12</v>
      </c>
      <c r="H204">
        <f t="shared" si="4"/>
        <v>-123</v>
      </c>
      <c r="I204">
        <v>-2.7</v>
      </c>
      <c r="L204">
        <f>480+2*(Table25[[#This Row],[min value (corrected)]]-49)</f>
        <v>490</v>
      </c>
      <c r="M204">
        <f>MINUTE(Table25[[#This Row],[Corrected time]])</f>
        <v>54</v>
      </c>
      <c r="N204" s="1">
        <v>0.66263141203703702</v>
      </c>
      <c r="O204" s="1">
        <f>Table25[[#This Row],[Time]]-TIME(0,0,4)</f>
        <v>0.66258511574074075</v>
      </c>
      <c r="P204" t="s">
        <v>9</v>
      </c>
      <c r="Q204">
        <v>-124</v>
      </c>
      <c r="R204">
        <f>Table25[[#This Row],[RSSI]]</f>
        <v>-124</v>
      </c>
      <c r="S204">
        <v>-3.7</v>
      </c>
    </row>
    <row r="205" spans="2:19" x14ac:dyDescent="0.25">
      <c r="B205">
        <f>480+2*(Table14[[#This Row],[min value (corrected)]]-49)</f>
        <v>490</v>
      </c>
      <c r="C205">
        <f>MINUTE(Table14[[#This Row],[Corrected time]])</f>
        <v>54</v>
      </c>
      <c r="D205" s="1">
        <v>0.49608609953703703</v>
      </c>
      <c r="E205" s="1">
        <f>Table14[[#This Row],[Time]]-TIME(0,0,8)</f>
        <v>0.49599350694444444</v>
      </c>
      <c r="F205" t="s">
        <v>9</v>
      </c>
      <c r="G205" t="s">
        <v>19</v>
      </c>
      <c r="H205">
        <f t="shared" si="4"/>
        <v>-124</v>
      </c>
      <c r="I205">
        <v>-2.7</v>
      </c>
      <c r="L205">
        <f>480+2*(Table25[[#This Row],[min value (corrected)]]-49)</f>
        <v>490</v>
      </c>
      <c r="M205">
        <f>MINUTE(Table25[[#This Row],[Corrected time]])</f>
        <v>54</v>
      </c>
      <c r="N205" s="1">
        <v>0.66265125000000002</v>
      </c>
      <c r="O205" s="1">
        <f>Table25[[#This Row],[Time]]-TIME(0,0,4)</f>
        <v>0.66260495370370376</v>
      </c>
      <c r="P205" t="s">
        <v>13</v>
      </c>
      <c r="Q205">
        <f>Q204</f>
        <v>-124</v>
      </c>
      <c r="R205">
        <f>Table25[[#This Row],[RSSI]]</f>
        <v>-124</v>
      </c>
    </row>
    <row r="206" spans="2:19" x14ac:dyDescent="0.25">
      <c r="B206">
        <f>480+2*(Table14[[#This Row],[min value (corrected)]]-49)</f>
        <v>490</v>
      </c>
      <c r="C206">
        <f>MINUTE(Table14[[#This Row],[Corrected time]])</f>
        <v>54</v>
      </c>
      <c r="D206" s="1">
        <v>0.49610594907407402</v>
      </c>
      <c r="E206" s="1">
        <f>Table14[[#This Row],[Time]]-TIME(0,0,8)</f>
        <v>0.49601335648148143</v>
      </c>
      <c r="F206" t="s">
        <v>9</v>
      </c>
      <c r="G206" t="s">
        <v>19</v>
      </c>
      <c r="H206">
        <f t="shared" si="4"/>
        <v>-124</v>
      </c>
      <c r="I206">
        <v>-2.7</v>
      </c>
      <c r="L206">
        <f>480+2*(Table25[[#This Row],[min value (corrected)]]-49)</f>
        <v>490</v>
      </c>
      <c r="M206">
        <f>MINUTE(Table25[[#This Row],[Corrected time]])</f>
        <v>54</v>
      </c>
      <c r="N206" s="1">
        <v>0.66267108796296292</v>
      </c>
      <c r="O206" s="1">
        <f>Table25[[#This Row],[Time]]-TIME(0,0,4)</f>
        <v>0.66262479166666666</v>
      </c>
      <c r="P206" t="s">
        <v>9</v>
      </c>
      <c r="Q206">
        <v>-124</v>
      </c>
      <c r="R206">
        <f>Table25[[#This Row],[RSSI]]</f>
        <v>-124</v>
      </c>
      <c r="S206">
        <v>-2.5</v>
      </c>
    </row>
    <row r="207" spans="2:19" x14ac:dyDescent="0.25">
      <c r="B207">
        <f>480+2*(Table14[[#This Row],[min value (corrected)]]-49)</f>
        <v>490</v>
      </c>
      <c r="C207">
        <f>MINUTE(Table14[[#This Row],[Corrected time]])</f>
        <v>54</v>
      </c>
      <c r="D207" s="1">
        <v>0.49612578703703697</v>
      </c>
      <c r="E207" s="1">
        <f>Table14[[#This Row],[Time]]-TIME(0,0,8)</f>
        <v>0.49603319444444438</v>
      </c>
      <c r="F207" t="s">
        <v>9</v>
      </c>
      <c r="G207" t="s">
        <v>19</v>
      </c>
      <c r="H207">
        <f t="shared" si="4"/>
        <v>-124</v>
      </c>
      <c r="I207">
        <v>-3</v>
      </c>
      <c r="L207">
        <f>480+2*(Table25[[#This Row],[min value (corrected)]]-49)</f>
        <v>490</v>
      </c>
      <c r="M207">
        <f>MINUTE(Table25[[#This Row],[Corrected time]])</f>
        <v>54</v>
      </c>
      <c r="N207" s="1">
        <v>0.66269092592592593</v>
      </c>
      <c r="O207" s="1">
        <f>Table25[[#This Row],[Time]]-TIME(0,0,4)</f>
        <v>0.66264462962962967</v>
      </c>
      <c r="P207" t="s">
        <v>9</v>
      </c>
      <c r="Q207">
        <v>-124</v>
      </c>
      <c r="R207">
        <f>Table25[[#This Row],[RSSI]]</f>
        <v>-124</v>
      </c>
      <c r="S207">
        <v>-2.7</v>
      </c>
    </row>
    <row r="208" spans="2:19" x14ac:dyDescent="0.25">
      <c r="B208">
        <f>480+2*(Table14[[#This Row],[min value (corrected)]]-49)</f>
        <v>490</v>
      </c>
      <c r="C208">
        <f>MINUTE(Table14[[#This Row],[Corrected time]])</f>
        <v>54</v>
      </c>
      <c r="D208" s="1">
        <v>0.49614562500000003</v>
      </c>
      <c r="E208" s="1">
        <f>Table14[[#This Row],[Time]]-TIME(0,0,8)</f>
        <v>0.49605303240740745</v>
      </c>
      <c r="F208" t="s">
        <v>9</v>
      </c>
      <c r="G208" t="s">
        <v>19</v>
      </c>
      <c r="H208">
        <f t="shared" si="4"/>
        <v>-124</v>
      </c>
      <c r="I208">
        <v>-2.2000000000000002</v>
      </c>
      <c r="L208">
        <f>480+2*(Table25[[#This Row],[min value (corrected)]]-49)</f>
        <v>490</v>
      </c>
      <c r="M208">
        <f>MINUTE(Table25[[#This Row],[Corrected time]])</f>
        <v>54</v>
      </c>
      <c r="N208" s="1">
        <v>0.66271076388888883</v>
      </c>
      <c r="O208" s="1">
        <f>Table25[[#This Row],[Time]]-TIME(0,0,4)</f>
        <v>0.66266446759259257</v>
      </c>
      <c r="P208" t="s">
        <v>9</v>
      </c>
      <c r="Q208">
        <v>-123</v>
      </c>
      <c r="R208">
        <f>Table25[[#This Row],[RSSI]]</f>
        <v>-123</v>
      </c>
      <c r="S208">
        <v>-2.5</v>
      </c>
    </row>
    <row r="209" spans="2:19" x14ac:dyDescent="0.25">
      <c r="B209">
        <f>480+2*(Table14[[#This Row],[min value (corrected)]]-49)</f>
        <v>490</v>
      </c>
      <c r="C209">
        <f>MINUTE(Table14[[#This Row],[Corrected time]])</f>
        <v>54</v>
      </c>
      <c r="D209" s="1">
        <v>0.4961654513888889</v>
      </c>
      <c r="E209" s="1">
        <f>Table14[[#This Row],[Time]]-TIME(0,0,8)</f>
        <v>0.49607285879629631</v>
      </c>
      <c r="F209" t="s">
        <v>9</v>
      </c>
      <c r="G209" t="s">
        <v>19</v>
      </c>
      <c r="H209">
        <f t="shared" si="4"/>
        <v>-124</v>
      </c>
      <c r="I209">
        <v>-2.5</v>
      </c>
      <c r="L209">
        <f>480+2*(Table25[[#This Row],[min value (corrected)]]-49)</f>
        <v>490</v>
      </c>
      <c r="M209">
        <f>MINUTE(Table25[[#This Row],[Corrected time]])</f>
        <v>54</v>
      </c>
      <c r="N209" s="1">
        <v>0.66273060185185184</v>
      </c>
      <c r="O209" s="1">
        <f>Table25[[#This Row],[Time]]-TIME(0,0,4)</f>
        <v>0.66268430555555558</v>
      </c>
      <c r="P209" t="s">
        <v>9</v>
      </c>
      <c r="Q209">
        <v>-124</v>
      </c>
      <c r="R209">
        <f>Table25[[#This Row],[RSSI]]</f>
        <v>-124</v>
      </c>
      <c r="S209">
        <v>-3</v>
      </c>
    </row>
    <row r="210" spans="2:19" x14ac:dyDescent="0.25">
      <c r="B210">
        <f>480+2*(Table14[[#This Row],[min value (corrected)]]-49)</f>
        <v>490</v>
      </c>
      <c r="C210">
        <f>MINUTE(Table14[[#This Row],[Corrected time]])</f>
        <v>54</v>
      </c>
      <c r="D210" s="1">
        <v>0.49618530092592594</v>
      </c>
      <c r="E210" s="1">
        <f>Table14[[#This Row],[Time]]-TIME(0,0,8)</f>
        <v>0.49609270833333335</v>
      </c>
      <c r="F210" t="s">
        <v>9</v>
      </c>
      <c r="G210" t="s">
        <v>19</v>
      </c>
      <c r="H210">
        <f t="shared" si="4"/>
        <v>-124</v>
      </c>
      <c r="I210">
        <v>-3</v>
      </c>
      <c r="L210">
        <f>480+2*(Table25[[#This Row],[min value (corrected)]]-49)</f>
        <v>490</v>
      </c>
      <c r="M210">
        <f>MINUTE(Table25[[#This Row],[Corrected time]])</f>
        <v>54</v>
      </c>
      <c r="N210" s="1">
        <v>0.66275043981481485</v>
      </c>
      <c r="O210" s="1">
        <f>Table25[[#This Row],[Time]]-TIME(0,0,4)</f>
        <v>0.66270414351851858</v>
      </c>
      <c r="P210" t="s">
        <v>9</v>
      </c>
      <c r="Q210">
        <v>-124</v>
      </c>
      <c r="R210">
        <f>Table25[[#This Row],[RSSI]]</f>
        <v>-124</v>
      </c>
      <c r="S210">
        <v>-3</v>
      </c>
    </row>
    <row r="211" spans="2:19" x14ac:dyDescent="0.25">
      <c r="B211">
        <f>480+2*(Table14[[#This Row],[min value (corrected)]]-49)</f>
        <v>490</v>
      </c>
      <c r="C211">
        <f>MINUTE(Table14[[#This Row],[Corrected time]])</f>
        <v>54</v>
      </c>
      <c r="D211" s="1">
        <v>0.49620512731481481</v>
      </c>
      <c r="E211" s="1">
        <f>Table14[[#This Row],[Time]]-TIME(0,0,8)</f>
        <v>0.49611253472222222</v>
      </c>
      <c r="F211" t="s">
        <v>9</v>
      </c>
      <c r="G211" t="s">
        <v>19</v>
      </c>
      <c r="H211">
        <f t="shared" si="4"/>
        <v>-124</v>
      </c>
      <c r="I211">
        <v>-2.7</v>
      </c>
      <c r="L211">
        <f>480+2*(Table25[[#This Row],[min value (corrected)]]-49)</f>
        <v>490</v>
      </c>
      <c r="M211">
        <f>MINUTE(Table25[[#This Row],[Corrected time]])</f>
        <v>54</v>
      </c>
      <c r="N211" s="1">
        <v>0.66277026620370372</v>
      </c>
      <c r="O211" s="1">
        <f>Table25[[#This Row],[Time]]-TIME(0,0,4)</f>
        <v>0.66272396990740745</v>
      </c>
      <c r="P211" t="s">
        <v>9</v>
      </c>
      <c r="Q211">
        <v>-124</v>
      </c>
      <c r="R211">
        <f>Table25[[#This Row],[RSSI]]</f>
        <v>-124</v>
      </c>
      <c r="S211">
        <v>-3.2</v>
      </c>
    </row>
    <row r="212" spans="2:19" x14ac:dyDescent="0.25">
      <c r="B212">
        <f>480+2*(Table14[[#This Row],[min value (corrected)]]-49)</f>
        <v>490</v>
      </c>
      <c r="C212">
        <f>MINUTE(Table14[[#This Row],[Corrected time]])</f>
        <v>54</v>
      </c>
      <c r="D212" s="1">
        <v>0.49622497685185191</v>
      </c>
      <c r="E212" s="1">
        <f>Table14[[#This Row],[Time]]-TIME(0,0,8)</f>
        <v>0.49613238425925932</v>
      </c>
      <c r="F212" t="s">
        <v>9</v>
      </c>
      <c r="G212" t="s">
        <v>19</v>
      </c>
      <c r="H212">
        <f t="shared" si="4"/>
        <v>-124</v>
      </c>
      <c r="I212">
        <v>-3</v>
      </c>
      <c r="L212">
        <f>480+2*(Table25[[#This Row],[min value (corrected)]]-49)</f>
        <v>490</v>
      </c>
      <c r="M212">
        <f>MINUTE(Table25[[#This Row],[Corrected time]])</f>
        <v>54</v>
      </c>
      <c r="N212" s="1">
        <v>0.66279010416666673</v>
      </c>
      <c r="O212" s="1">
        <f>Table25[[#This Row],[Time]]-TIME(0,0,4)</f>
        <v>0.66274380787037046</v>
      </c>
      <c r="P212" t="s">
        <v>9</v>
      </c>
      <c r="Q212">
        <v>-124</v>
      </c>
      <c r="R212">
        <f>Table25[[#This Row],[RSSI]]</f>
        <v>-124</v>
      </c>
      <c r="S212">
        <v>-2.5</v>
      </c>
    </row>
    <row r="213" spans="2:19" x14ac:dyDescent="0.25">
      <c r="B213">
        <f>480+2*(Table14[[#This Row],[min value (corrected)]]-49)</f>
        <v>490</v>
      </c>
      <c r="C213">
        <f>MINUTE(Table14[[#This Row],[Corrected time]])</f>
        <v>54</v>
      </c>
      <c r="D213" s="1">
        <v>0.49624481481481486</v>
      </c>
      <c r="E213" s="1">
        <f>Table14[[#This Row],[Time]]-TIME(0,0,8)</f>
        <v>0.49615222222222227</v>
      </c>
      <c r="F213" t="s">
        <v>9</v>
      </c>
      <c r="G213" t="s">
        <v>19</v>
      </c>
      <c r="H213">
        <f t="shared" si="4"/>
        <v>-124</v>
      </c>
      <c r="I213">
        <v>-2.5</v>
      </c>
      <c r="L213">
        <f>480+2*(Table25[[#This Row],[min value (corrected)]]-49)</f>
        <v>490</v>
      </c>
      <c r="M213">
        <f>MINUTE(Table25[[#This Row],[Corrected time]])</f>
        <v>54</v>
      </c>
      <c r="N213" s="1">
        <v>0.66280995370370366</v>
      </c>
      <c r="O213" s="1">
        <f>Table25[[#This Row],[Time]]-TIME(0,0,4)</f>
        <v>0.66276365740740739</v>
      </c>
      <c r="P213" t="s">
        <v>9</v>
      </c>
      <c r="Q213">
        <v>-124</v>
      </c>
      <c r="R213">
        <f>Table25[[#This Row],[RSSI]]</f>
        <v>-124</v>
      </c>
      <c r="S213">
        <v>-2.2000000000000002</v>
      </c>
    </row>
    <row r="214" spans="2:19" x14ac:dyDescent="0.25">
      <c r="B214">
        <f>480+2*(Table14[[#This Row],[min value (corrected)]]-49)</f>
        <v>490</v>
      </c>
      <c r="C214">
        <f>MINUTE(Table14[[#This Row],[Corrected time]])</f>
        <v>54</v>
      </c>
      <c r="D214" s="1">
        <v>0.49626465277777781</v>
      </c>
      <c r="E214" s="1">
        <f>Table14[[#This Row],[Time]]-TIME(0,0,8)</f>
        <v>0.49617206018518523</v>
      </c>
      <c r="F214" t="s">
        <v>9</v>
      </c>
      <c r="G214" t="s">
        <v>19</v>
      </c>
      <c r="H214">
        <f t="shared" si="4"/>
        <v>-124</v>
      </c>
      <c r="I214">
        <v>-3</v>
      </c>
      <c r="L214">
        <f>480+2*(Table25[[#This Row],[min value (corrected)]]-49)</f>
        <v>490</v>
      </c>
      <c r="M214">
        <f>MINUTE(Table25[[#This Row],[Corrected time]])</f>
        <v>54</v>
      </c>
      <c r="N214" s="1">
        <v>0.66282979166666667</v>
      </c>
      <c r="O214" s="1">
        <f>Table25[[#This Row],[Time]]-TIME(0,0,4)</f>
        <v>0.6627834953703704</v>
      </c>
      <c r="P214" t="s">
        <v>9</v>
      </c>
      <c r="Q214">
        <v>-124</v>
      </c>
      <c r="R214">
        <f>Table25[[#This Row],[RSSI]]</f>
        <v>-124</v>
      </c>
      <c r="S214">
        <v>-3</v>
      </c>
    </row>
    <row r="215" spans="2:19" x14ac:dyDescent="0.25">
      <c r="B215">
        <f>480+2*(Table14[[#This Row],[min value (corrected)]]-49)</f>
        <v>490</v>
      </c>
      <c r="C215">
        <f>MINUTE(Table14[[#This Row],[Corrected time]])</f>
        <v>54</v>
      </c>
      <c r="D215" s="1">
        <v>0.49628449074074077</v>
      </c>
      <c r="E215" s="1">
        <f>Table14[[#This Row],[Time]]-TIME(0,0,8)</f>
        <v>0.49619189814814818</v>
      </c>
      <c r="F215" t="s">
        <v>9</v>
      </c>
      <c r="G215" t="s">
        <v>11</v>
      </c>
      <c r="H215">
        <f t="shared" si="4"/>
        <v>-122</v>
      </c>
      <c r="I215">
        <v>-3.2</v>
      </c>
      <c r="L215">
        <f>480+2*(Table25[[#This Row],[min value (corrected)]]-49)</f>
        <v>490</v>
      </c>
      <c r="M215">
        <f>MINUTE(Table25[[#This Row],[Corrected time]])</f>
        <v>54</v>
      </c>
      <c r="N215" s="1">
        <v>0.66284962962962957</v>
      </c>
      <c r="O215" s="1">
        <f>Table25[[#This Row],[Time]]-TIME(0,0,4)</f>
        <v>0.6628033333333333</v>
      </c>
      <c r="P215" t="s">
        <v>9</v>
      </c>
      <c r="Q215">
        <v>-124</v>
      </c>
      <c r="R215">
        <f>Table25[[#This Row],[RSSI]]</f>
        <v>-124</v>
      </c>
      <c r="S215">
        <v>-2.7</v>
      </c>
    </row>
    <row r="216" spans="2:19" x14ac:dyDescent="0.25">
      <c r="B216">
        <f>480+2*(Table14[[#This Row],[min value (corrected)]]-49)</f>
        <v>490</v>
      </c>
      <c r="C216">
        <f>MINUTE(Table14[[#This Row],[Corrected time]])</f>
        <v>54</v>
      </c>
      <c r="D216" s="1">
        <v>0.49630432870370372</v>
      </c>
      <c r="E216" s="1">
        <f>Table14[[#This Row],[Time]]-TIME(0,0,8)</f>
        <v>0.49621173611111113</v>
      </c>
      <c r="F216" t="s">
        <v>9</v>
      </c>
      <c r="G216" t="s">
        <v>19</v>
      </c>
      <c r="H216">
        <f t="shared" si="4"/>
        <v>-124</v>
      </c>
      <c r="I216">
        <v>-3</v>
      </c>
      <c r="L216">
        <f>480+2*(Table25[[#This Row],[min value (corrected)]]-49)</f>
        <v>490</v>
      </c>
      <c r="M216">
        <f>MINUTE(Table25[[#This Row],[Corrected time]])</f>
        <v>54</v>
      </c>
      <c r="N216" s="1">
        <v>0.66286946759259258</v>
      </c>
      <c r="O216" s="1">
        <f>Table25[[#This Row],[Time]]-TIME(0,0,4)</f>
        <v>0.66282317129629631</v>
      </c>
      <c r="P216" t="s">
        <v>9</v>
      </c>
      <c r="Q216">
        <v>-124</v>
      </c>
      <c r="R216">
        <f>Table25[[#This Row],[RSSI]]</f>
        <v>-124</v>
      </c>
      <c r="S216">
        <v>-3</v>
      </c>
    </row>
    <row r="217" spans="2:19" x14ac:dyDescent="0.25">
      <c r="B217">
        <f>480+2*(Table14[[#This Row],[min value (corrected)]]-49)</f>
        <v>490</v>
      </c>
      <c r="C217">
        <f>MINUTE(Table14[[#This Row],[Corrected time]])</f>
        <v>54</v>
      </c>
      <c r="D217" s="1">
        <v>0.49632416666666668</v>
      </c>
      <c r="E217" s="1">
        <f>Table14[[#This Row],[Time]]-TIME(0,0,8)</f>
        <v>0.49623157407407409</v>
      </c>
      <c r="F217" t="s">
        <v>9</v>
      </c>
      <c r="G217" t="s">
        <v>19</v>
      </c>
      <c r="H217">
        <f t="shared" si="4"/>
        <v>-124</v>
      </c>
      <c r="I217">
        <v>-3.2</v>
      </c>
      <c r="L217">
        <f>480+2*(Table25[[#This Row],[min value (corrected)]]-49)</f>
        <v>490</v>
      </c>
      <c r="M217">
        <f>MINUTE(Table25[[#This Row],[Corrected time]])</f>
        <v>54</v>
      </c>
      <c r="N217" s="1">
        <v>0.66288930555555559</v>
      </c>
      <c r="O217" s="1">
        <f>Table25[[#This Row],[Time]]-TIME(0,0,4)</f>
        <v>0.66284300925925932</v>
      </c>
      <c r="P217" t="s">
        <v>9</v>
      </c>
      <c r="Q217">
        <v>-124</v>
      </c>
      <c r="R217">
        <f>Table25[[#This Row],[RSSI]]</f>
        <v>-124</v>
      </c>
      <c r="S217">
        <v>-2.5</v>
      </c>
    </row>
    <row r="218" spans="2:19" x14ac:dyDescent="0.25">
      <c r="B218">
        <f>480+2*(Table14[[#This Row],[min value (corrected)]]-49)</f>
        <v>490</v>
      </c>
      <c r="C218">
        <f>MINUTE(Table14[[#This Row],[Corrected time]])</f>
        <v>54</v>
      </c>
      <c r="D218" s="1">
        <v>0.49634399305555554</v>
      </c>
      <c r="E218" s="1">
        <f>Table14[[#This Row],[Time]]-TIME(0,0,8)</f>
        <v>0.49625140046296295</v>
      </c>
      <c r="F218" t="s">
        <v>9</v>
      </c>
      <c r="G218" t="s">
        <v>19</v>
      </c>
      <c r="H218">
        <f t="shared" si="4"/>
        <v>-124</v>
      </c>
      <c r="I218">
        <v>-3</v>
      </c>
      <c r="L218">
        <f>480+2*(Table25[[#This Row],[min value (corrected)]]-49)</f>
        <v>490</v>
      </c>
      <c r="M218">
        <f>MINUTE(Table25[[#This Row],[Corrected time]])</f>
        <v>54</v>
      </c>
      <c r="N218" s="1">
        <v>0.66290913194444445</v>
      </c>
      <c r="O218" s="1">
        <f>Table25[[#This Row],[Time]]-TIME(0,0,4)</f>
        <v>0.66286283564814819</v>
      </c>
      <c r="P218" t="s">
        <v>9</v>
      </c>
      <c r="Q218">
        <v>-124</v>
      </c>
      <c r="R218">
        <f>Table25[[#This Row],[RSSI]]</f>
        <v>-124</v>
      </c>
      <c r="S218">
        <v>-2.5</v>
      </c>
    </row>
    <row r="219" spans="2:19" x14ac:dyDescent="0.25">
      <c r="B219">
        <f>480+2*(Table14[[#This Row],[min value (corrected)]]-49)</f>
        <v>490</v>
      </c>
      <c r="C219">
        <f>MINUTE(Table14[[#This Row],[Corrected time]])</f>
        <v>54</v>
      </c>
      <c r="D219" s="1">
        <v>0.4963638310185185</v>
      </c>
      <c r="E219" s="1">
        <f>Table14[[#This Row],[Time]]-TIME(0,0,8)</f>
        <v>0.49627123842592591</v>
      </c>
      <c r="F219" t="s">
        <v>9</v>
      </c>
      <c r="G219" t="s">
        <v>19</v>
      </c>
      <c r="H219">
        <f t="shared" si="4"/>
        <v>-124</v>
      </c>
      <c r="I219">
        <v>-2.5</v>
      </c>
      <c r="L219">
        <f>480+2*(Table25[[#This Row],[min value (corrected)]]-49)</f>
        <v>490</v>
      </c>
      <c r="M219">
        <f>MINUTE(Table25[[#This Row],[Corrected time]])</f>
        <v>54</v>
      </c>
      <c r="N219" s="1">
        <v>0.66292896990740746</v>
      </c>
      <c r="O219" s="1">
        <f>Table25[[#This Row],[Time]]-TIME(0,0,4)</f>
        <v>0.6628826736111112</v>
      </c>
      <c r="P219" t="s">
        <v>9</v>
      </c>
      <c r="Q219">
        <v>-120</v>
      </c>
      <c r="R219">
        <f>Table25[[#This Row],[RSSI]]</f>
        <v>-120</v>
      </c>
      <c r="S219">
        <v>-3</v>
      </c>
    </row>
    <row r="220" spans="2:19" x14ac:dyDescent="0.25">
      <c r="B220">
        <f>480+2*(Table14[[#This Row],[min value (corrected)]]-49)</f>
        <v>490</v>
      </c>
      <c r="C220">
        <f>MINUTE(Table14[[#This Row],[Corrected time]])</f>
        <v>54</v>
      </c>
      <c r="D220" s="1">
        <v>0.49638366898148145</v>
      </c>
      <c r="E220" s="1">
        <f>Table14[[#This Row],[Time]]-TIME(0,0,8)</f>
        <v>0.49629107638888886</v>
      </c>
      <c r="F220" t="s">
        <v>9</v>
      </c>
      <c r="G220" t="s">
        <v>19</v>
      </c>
      <c r="H220">
        <f t="shared" si="4"/>
        <v>-124</v>
      </c>
      <c r="I220">
        <v>-2.5</v>
      </c>
      <c r="L220">
        <f>480+2*(Table25[[#This Row],[min value (corrected)]]-49)</f>
        <v>490</v>
      </c>
      <c r="M220">
        <f>MINUTE(Table25[[#This Row],[Corrected time]])</f>
        <v>54</v>
      </c>
      <c r="N220" s="1">
        <v>0.66294881944444439</v>
      </c>
      <c r="O220" s="1">
        <f>Table25[[#This Row],[Time]]-TIME(0,0,4)</f>
        <v>0.66290252314814813</v>
      </c>
      <c r="P220" t="s">
        <v>9</v>
      </c>
      <c r="Q220">
        <v>-124</v>
      </c>
      <c r="R220">
        <f>Table25[[#This Row],[RSSI]]</f>
        <v>-124</v>
      </c>
      <c r="S220">
        <v>-3</v>
      </c>
    </row>
    <row r="221" spans="2:19" x14ac:dyDescent="0.25">
      <c r="B221">
        <f>480+2*(Table14[[#This Row],[min value (corrected)]]-49)</f>
        <v>490</v>
      </c>
      <c r="C221">
        <f>MINUTE(Table14[[#This Row],[Corrected time]])</f>
        <v>54</v>
      </c>
      <c r="D221" s="1">
        <v>0.49640350694444441</v>
      </c>
      <c r="E221" s="1">
        <f>Table14[[#This Row],[Time]]-TIME(0,0,8)</f>
        <v>0.49631091435185182</v>
      </c>
      <c r="F221" t="s">
        <v>9</v>
      </c>
      <c r="G221" t="s">
        <v>19</v>
      </c>
      <c r="H221">
        <f t="shared" si="4"/>
        <v>-124</v>
      </c>
      <c r="I221">
        <v>-2.7</v>
      </c>
      <c r="L221">
        <f>480+2*(Table25[[#This Row],[min value (corrected)]]-49)</f>
        <v>490</v>
      </c>
      <c r="M221">
        <f>MINUTE(Table25[[#This Row],[Corrected time]])</f>
        <v>54</v>
      </c>
      <c r="N221" s="1">
        <v>0.6629686574074074</v>
      </c>
      <c r="O221" s="1">
        <f>Table25[[#This Row],[Time]]-TIME(0,0,4)</f>
        <v>0.66292236111111114</v>
      </c>
      <c r="P221" t="s">
        <v>9</v>
      </c>
      <c r="Q221">
        <v>-124</v>
      </c>
      <c r="R221">
        <f>Table25[[#This Row],[RSSI]]</f>
        <v>-124</v>
      </c>
      <c r="S221">
        <v>-2.5</v>
      </c>
    </row>
    <row r="222" spans="2:19" x14ac:dyDescent="0.25">
      <c r="B222">
        <f>480+2*(Table14[[#This Row],[min value (corrected)]]-49)</f>
        <v>490</v>
      </c>
      <c r="C222">
        <f>MINUTE(Table14[[#This Row],[Corrected time]])</f>
        <v>54</v>
      </c>
      <c r="D222" s="1">
        <v>0.49642334490740742</v>
      </c>
      <c r="E222" s="1">
        <f>Table14[[#This Row],[Time]]-TIME(0,0,8)</f>
        <v>0.49633075231481483</v>
      </c>
      <c r="F222" t="s">
        <v>9</v>
      </c>
      <c r="G222" t="s">
        <v>19</v>
      </c>
      <c r="H222">
        <f t="shared" si="4"/>
        <v>-124</v>
      </c>
      <c r="I222">
        <v>-3</v>
      </c>
      <c r="L222">
        <f>480+2*(Table25[[#This Row],[min value (corrected)]]-49)</f>
        <v>490</v>
      </c>
      <c r="M222">
        <f>MINUTE(Table25[[#This Row],[Corrected time]])</f>
        <v>54</v>
      </c>
      <c r="N222" s="1">
        <v>0.66298848379629627</v>
      </c>
      <c r="O222" s="1">
        <f>Table25[[#This Row],[Time]]-TIME(0,0,4)</f>
        <v>0.6629421875</v>
      </c>
      <c r="P222" t="s">
        <v>9</v>
      </c>
      <c r="Q222">
        <v>-124</v>
      </c>
      <c r="R222">
        <f>Table25[[#This Row],[RSSI]]</f>
        <v>-124</v>
      </c>
      <c r="S222">
        <v>-2.7</v>
      </c>
    </row>
    <row r="223" spans="2:19" x14ac:dyDescent="0.25">
      <c r="B223">
        <f>480+2*(Table14[[#This Row],[min value (corrected)]]-49)</f>
        <v>490</v>
      </c>
      <c r="C223">
        <f>MINUTE(Table14[[#This Row],[Corrected time]])</f>
        <v>54</v>
      </c>
      <c r="D223" s="1">
        <v>0.49644319444444446</v>
      </c>
      <c r="E223" s="1">
        <f>Table14[[#This Row],[Time]]-TIME(0,0,8)</f>
        <v>0.49635060185185187</v>
      </c>
      <c r="F223" t="s">
        <v>9</v>
      </c>
      <c r="G223" t="s">
        <v>19</v>
      </c>
      <c r="H223">
        <f t="shared" si="4"/>
        <v>-124</v>
      </c>
      <c r="I223">
        <v>-2.5</v>
      </c>
      <c r="L223">
        <f>480+2*(Table25[[#This Row],[min value (corrected)]]-49)</f>
        <v>490</v>
      </c>
      <c r="M223">
        <f>MINUTE(Table25[[#This Row],[Corrected time]])</f>
        <v>54</v>
      </c>
      <c r="N223" s="1">
        <v>0.66300833333333331</v>
      </c>
      <c r="O223" s="1">
        <f>Table25[[#This Row],[Time]]-TIME(0,0,4)</f>
        <v>0.66296203703703704</v>
      </c>
      <c r="P223" t="s">
        <v>9</v>
      </c>
      <c r="Q223">
        <v>-124</v>
      </c>
      <c r="R223">
        <f>Table25[[#This Row],[RSSI]]</f>
        <v>-124</v>
      </c>
      <c r="S223">
        <v>-3.2</v>
      </c>
    </row>
    <row r="224" spans="2:19" x14ac:dyDescent="0.25">
      <c r="B224">
        <f>480+2*(Table14[[#This Row],[min value (corrected)]]-49)</f>
        <v>490</v>
      </c>
      <c r="C224">
        <f>MINUTE(Table14[[#This Row],[Corrected time]])</f>
        <v>54</v>
      </c>
      <c r="D224" s="1">
        <v>0.49646300925925929</v>
      </c>
      <c r="E224" s="1">
        <f>Table14[[#This Row],[Time]]-TIME(0,0,8)</f>
        <v>0.4963704166666667</v>
      </c>
      <c r="F224" t="s">
        <v>9</v>
      </c>
      <c r="G224" t="s">
        <v>19</v>
      </c>
      <c r="H224">
        <f t="shared" si="4"/>
        <v>-124</v>
      </c>
      <c r="I224">
        <v>-2.7</v>
      </c>
      <c r="L224">
        <f>480+2*(Table25[[#This Row],[min value (corrected)]]-49)</f>
        <v>490</v>
      </c>
      <c r="M224">
        <f>MINUTE(Table25[[#This Row],[Corrected time]])</f>
        <v>54</v>
      </c>
      <c r="N224" s="1">
        <v>0.66302817129629632</v>
      </c>
      <c r="O224" s="1">
        <f>Table25[[#This Row],[Time]]-TIME(0,0,4)</f>
        <v>0.66298187500000005</v>
      </c>
      <c r="P224" t="s">
        <v>9</v>
      </c>
      <c r="Q224">
        <v>-124</v>
      </c>
      <c r="R224">
        <f>Table25[[#This Row],[RSSI]]</f>
        <v>-124</v>
      </c>
      <c r="S224">
        <v>-2.5</v>
      </c>
    </row>
    <row r="225" spans="2:19" x14ac:dyDescent="0.25">
      <c r="B225">
        <f>480+2*(Table14[[#This Row],[min value (corrected)]]-49)</f>
        <v>490</v>
      </c>
      <c r="C225">
        <f>MINUTE(Table14[[#This Row],[Corrected time]])</f>
        <v>54</v>
      </c>
      <c r="D225" s="1">
        <v>0.49648287037037042</v>
      </c>
      <c r="E225" s="1">
        <f>Table14[[#This Row],[Time]]-TIME(0,0,8)</f>
        <v>0.49639027777777783</v>
      </c>
      <c r="F225" t="s">
        <v>9</v>
      </c>
      <c r="G225" t="s">
        <v>19</v>
      </c>
      <c r="H225">
        <f t="shared" si="4"/>
        <v>-124</v>
      </c>
      <c r="I225">
        <v>-2.7</v>
      </c>
      <c r="L225">
        <f>480+2*(Table25[[#This Row],[min value (corrected)]]-49)</f>
        <v>490</v>
      </c>
      <c r="M225">
        <f>MINUTE(Table25[[#This Row],[Corrected time]])</f>
        <v>54</v>
      </c>
      <c r="N225" s="1">
        <v>0.66304799768518519</v>
      </c>
      <c r="O225" s="1">
        <f>Table25[[#This Row],[Time]]-TIME(0,0,4)</f>
        <v>0.66300170138888892</v>
      </c>
      <c r="P225" t="s">
        <v>9</v>
      </c>
      <c r="Q225">
        <v>-124</v>
      </c>
      <c r="R225">
        <f>Table25[[#This Row],[RSSI]]</f>
        <v>-124</v>
      </c>
      <c r="S225">
        <v>-2.5</v>
      </c>
    </row>
    <row r="226" spans="2:19" x14ac:dyDescent="0.25">
      <c r="B226">
        <f>480+2*(Table14[[#This Row],[min value (corrected)]]-49)</f>
        <v>490</v>
      </c>
      <c r="C226">
        <f>MINUTE(Table14[[#This Row],[Corrected time]])</f>
        <v>54</v>
      </c>
      <c r="D226" s="1">
        <v>0.49650269675925923</v>
      </c>
      <c r="E226" s="1">
        <f>Table14[[#This Row],[Time]]-TIME(0,0,8)</f>
        <v>0.49641010416666664</v>
      </c>
      <c r="F226" t="s">
        <v>9</v>
      </c>
      <c r="G226" t="s">
        <v>19</v>
      </c>
      <c r="H226">
        <f t="shared" si="4"/>
        <v>-124</v>
      </c>
      <c r="I226">
        <v>-3</v>
      </c>
      <c r="L226">
        <f>480+2*(Table25[[#This Row],[min value (corrected)]]-49)</f>
        <v>490</v>
      </c>
      <c r="M226">
        <f>MINUTE(Table25[[#This Row],[Corrected time]])</f>
        <v>54</v>
      </c>
      <c r="N226" s="1">
        <v>0.6630678356481482</v>
      </c>
      <c r="O226" s="1">
        <f>Table25[[#This Row],[Time]]-TIME(0,0,4)</f>
        <v>0.66302153935185193</v>
      </c>
      <c r="P226" t="s">
        <v>9</v>
      </c>
      <c r="Q226">
        <v>-124</v>
      </c>
      <c r="R226">
        <f>Table25[[#This Row],[RSSI]]</f>
        <v>-124</v>
      </c>
      <c r="S226">
        <v>-2.5</v>
      </c>
    </row>
    <row r="227" spans="2:19" x14ac:dyDescent="0.25">
      <c r="B227">
        <f>480+2*(Table14[[#This Row],[min value (corrected)]]-49)</f>
        <v>490</v>
      </c>
      <c r="C227">
        <f>MINUTE(Table14[[#This Row],[Corrected time]])</f>
        <v>54</v>
      </c>
      <c r="D227" s="1">
        <v>0.49652254629629633</v>
      </c>
      <c r="E227" s="1">
        <f>Table14[[#This Row],[Time]]-TIME(0,0,8)</f>
        <v>0.49642995370370374</v>
      </c>
      <c r="F227" t="s">
        <v>9</v>
      </c>
      <c r="G227" t="s">
        <v>19</v>
      </c>
      <c r="H227">
        <f t="shared" si="4"/>
        <v>-124</v>
      </c>
      <c r="I227">
        <v>-2.2000000000000002</v>
      </c>
      <c r="L227">
        <f>480+2*(Table25[[#This Row],[min value (corrected)]]-49)</f>
        <v>490</v>
      </c>
      <c r="M227">
        <f>MINUTE(Table25[[#This Row],[Corrected time]])</f>
        <v>54</v>
      </c>
      <c r="N227" s="1">
        <v>0.66308768518518513</v>
      </c>
      <c r="O227" s="1">
        <f>Table25[[#This Row],[Time]]-TIME(0,0,4)</f>
        <v>0.66304138888888886</v>
      </c>
      <c r="P227" t="s">
        <v>9</v>
      </c>
      <c r="Q227">
        <v>-123</v>
      </c>
      <c r="R227">
        <f>Table25[[#This Row],[RSSI]]</f>
        <v>-123</v>
      </c>
      <c r="S227">
        <v>-2.2000000000000002</v>
      </c>
    </row>
    <row r="228" spans="2:19" x14ac:dyDescent="0.25">
      <c r="B228">
        <f>480+2*(Table14[[#This Row],[min value (corrected)]]-49)</f>
        <v>490</v>
      </c>
      <c r="C228">
        <f>MINUTE(Table14[[#This Row],[Corrected time]])</f>
        <v>54</v>
      </c>
      <c r="D228" s="1">
        <v>0.4965423726851852</v>
      </c>
      <c r="E228" s="1">
        <f>Table14[[#This Row],[Time]]-TIME(0,0,8)</f>
        <v>0.49644978009259261</v>
      </c>
      <c r="F228" t="s">
        <v>9</v>
      </c>
      <c r="G228" t="s">
        <v>19</v>
      </c>
      <c r="H228">
        <f t="shared" si="4"/>
        <v>-124</v>
      </c>
      <c r="I228">
        <v>-2.7</v>
      </c>
      <c r="L228">
        <f>480+2*(Table25[[#This Row],[min value (corrected)]]-49)</f>
        <v>490</v>
      </c>
      <c r="M228">
        <f>MINUTE(Table25[[#This Row],[Corrected time]])</f>
        <v>54</v>
      </c>
      <c r="N228" s="1">
        <v>0.66310752314814814</v>
      </c>
      <c r="O228" s="1">
        <f>Table25[[#This Row],[Time]]-TIME(0,0,4)</f>
        <v>0.66306122685185187</v>
      </c>
      <c r="P228" t="s">
        <v>9</v>
      </c>
      <c r="Q228">
        <v>-124</v>
      </c>
      <c r="R228">
        <f>Table25[[#This Row],[RSSI]]</f>
        <v>-124</v>
      </c>
      <c r="S228">
        <v>-2.5</v>
      </c>
    </row>
    <row r="229" spans="2:19" x14ac:dyDescent="0.25">
      <c r="B229">
        <f>480+2*(Table14[[#This Row],[min value (corrected)]]-49)</f>
        <v>490</v>
      </c>
      <c r="C229">
        <f>MINUTE(Table14[[#This Row],[Corrected time]])</f>
        <v>54</v>
      </c>
      <c r="D229" s="1">
        <v>0.49656222222222224</v>
      </c>
      <c r="E229" s="1">
        <f>Table14[[#This Row],[Time]]-TIME(0,0,8)</f>
        <v>0.49646962962962965</v>
      </c>
      <c r="F229" t="s">
        <v>9</v>
      </c>
      <c r="G229" t="s">
        <v>19</v>
      </c>
      <c r="H229">
        <f t="shared" si="4"/>
        <v>-124</v>
      </c>
      <c r="I229">
        <v>-3</v>
      </c>
      <c r="L229">
        <f>480+2*(Table25[[#This Row],[min value (corrected)]]-49)</f>
        <v>490</v>
      </c>
      <c r="M229">
        <f>MINUTE(Table25[[#This Row],[Corrected time]])</f>
        <v>54</v>
      </c>
      <c r="N229" s="1">
        <v>0.66312736111111104</v>
      </c>
      <c r="O229" s="1">
        <f>Table25[[#This Row],[Time]]-TIME(0,0,4)</f>
        <v>0.66308106481481477</v>
      </c>
      <c r="P229" t="s">
        <v>9</v>
      </c>
      <c r="Q229">
        <v>-124</v>
      </c>
      <c r="R229">
        <f>Table25[[#This Row],[RSSI]]</f>
        <v>-124</v>
      </c>
      <c r="S229">
        <v>-3</v>
      </c>
    </row>
    <row r="230" spans="2:19" x14ac:dyDescent="0.25">
      <c r="B230">
        <f>480+2*(Table14[[#This Row],[min value (corrected)]]-49)</f>
        <v>490</v>
      </c>
      <c r="C230">
        <f>MINUTE(Table14[[#This Row],[Corrected time]])</f>
        <v>54</v>
      </c>
      <c r="D230" s="1">
        <v>0.4965820486111111</v>
      </c>
      <c r="E230" s="1">
        <f>Table14[[#This Row],[Time]]-TIME(0,0,8)</f>
        <v>0.49648945601851852</v>
      </c>
      <c r="F230" t="s">
        <v>9</v>
      </c>
      <c r="G230" t="s">
        <v>19</v>
      </c>
      <c r="H230">
        <f t="shared" si="4"/>
        <v>-124</v>
      </c>
      <c r="I230">
        <v>-3.2</v>
      </c>
      <c r="L230">
        <f>480+2*(Table25[[#This Row],[min value (corrected)]]-49)</f>
        <v>490</v>
      </c>
      <c r="M230">
        <f>MINUTE(Table25[[#This Row],[Corrected time]])</f>
        <v>54</v>
      </c>
      <c r="N230" s="1">
        <v>0.66314719907407405</v>
      </c>
      <c r="O230" s="1">
        <f>Table25[[#This Row],[Time]]-TIME(0,0,4)</f>
        <v>0.66310090277777778</v>
      </c>
      <c r="P230" t="s">
        <v>9</v>
      </c>
      <c r="Q230">
        <v>-123</v>
      </c>
      <c r="R230">
        <f>Table25[[#This Row],[RSSI]]</f>
        <v>-123</v>
      </c>
      <c r="S230">
        <v>-2.5</v>
      </c>
    </row>
    <row r="231" spans="2:19" x14ac:dyDescent="0.25">
      <c r="B231">
        <f>480+2*(Table14[[#This Row],[min value (corrected)]]-49)</f>
        <v>490</v>
      </c>
      <c r="C231">
        <f>MINUTE(Table14[[#This Row],[Corrected time]])</f>
        <v>54</v>
      </c>
      <c r="D231" s="1">
        <v>0.4966018981481482</v>
      </c>
      <c r="E231" s="1">
        <f>Table14[[#This Row],[Time]]-TIME(0,0,8)</f>
        <v>0.49650930555555561</v>
      </c>
      <c r="F231" t="s">
        <v>9</v>
      </c>
      <c r="G231" t="s">
        <v>19</v>
      </c>
      <c r="H231">
        <f t="shared" si="4"/>
        <v>-124</v>
      </c>
      <c r="I231">
        <v>-3.7</v>
      </c>
      <c r="L231">
        <f>480+2*(Table25[[#This Row],[min value (corrected)]]-49)</f>
        <v>490</v>
      </c>
      <c r="M231">
        <f>MINUTE(Table25[[#This Row],[Corrected time]])</f>
        <v>54</v>
      </c>
      <c r="N231" s="1">
        <v>0.66316703703703705</v>
      </c>
      <c r="O231" s="1">
        <f>Table25[[#This Row],[Time]]-TIME(0,0,4)</f>
        <v>0.66312074074074079</v>
      </c>
      <c r="P231" t="s">
        <v>9</v>
      </c>
      <c r="Q231">
        <v>-124</v>
      </c>
      <c r="R231">
        <f>Table25[[#This Row],[RSSI]]</f>
        <v>-124</v>
      </c>
      <c r="S231">
        <v>-2.7</v>
      </c>
    </row>
    <row r="232" spans="2:19" x14ac:dyDescent="0.25">
      <c r="B232">
        <f>480+2*(Table14[[#This Row],[min value (corrected)]]-49)</f>
        <v>492</v>
      </c>
      <c r="C232">
        <f>MINUTE(Table14[[#This Row],[Corrected time]])</f>
        <v>55</v>
      </c>
      <c r="D232" s="1">
        <v>0.49662173611111116</v>
      </c>
      <c r="E232" s="1">
        <f>Table14[[#This Row],[Time]]-TIME(0,0,8)</f>
        <v>0.49652914351851857</v>
      </c>
      <c r="F232" t="s">
        <v>9</v>
      </c>
      <c r="G232" t="s">
        <v>19</v>
      </c>
      <c r="H232">
        <f t="shared" si="4"/>
        <v>-124</v>
      </c>
      <c r="I232">
        <v>-3.2</v>
      </c>
      <c r="L232">
        <f>480+2*(Table25[[#This Row],[min value (corrected)]]-49)</f>
        <v>490</v>
      </c>
      <c r="M232">
        <f>MINUTE(Table25[[#This Row],[Corrected time]])</f>
        <v>54</v>
      </c>
      <c r="N232" s="1">
        <v>0.66318686342592592</v>
      </c>
      <c r="O232" s="1">
        <f>Table25[[#This Row],[Time]]-TIME(0,0,4)</f>
        <v>0.66314056712962965</v>
      </c>
      <c r="P232" t="s">
        <v>9</v>
      </c>
      <c r="Q232">
        <v>-124</v>
      </c>
      <c r="R232">
        <f>Table25[[#This Row],[RSSI]]</f>
        <v>-124</v>
      </c>
      <c r="S232">
        <v>-3</v>
      </c>
    </row>
    <row r="233" spans="2:19" x14ac:dyDescent="0.25">
      <c r="B233">
        <f>480+2*(Table14[[#This Row],[min value (corrected)]]-49)</f>
        <v>492</v>
      </c>
      <c r="C233">
        <f>MINUTE(Table14[[#This Row],[Corrected time]])</f>
        <v>55</v>
      </c>
      <c r="D233" s="1">
        <v>0.49664157407407411</v>
      </c>
      <c r="E233" s="1">
        <f>Table14[[#This Row],[Time]]-TIME(0,0,8)</f>
        <v>0.49654898148148152</v>
      </c>
      <c r="F233" t="s">
        <v>9</v>
      </c>
      <c r="G233" t="s">
        <v>12</v>
      </c>
      <c r="H233">
        <f t="shared" si="4"/>
        <v>-123</v>
      </c>
      <c r="I233">
        <v>-3.5</v>
      </c>
      <c r="L233">
        <f>480+2*(Table25[[#This Row],[min value (corrected)]]-49)</f>
        <v>490</v>
      </c>
      <c r="M233">
        <f>MINUTE(Table25[[#This Row],[Corrected time]])</f>
        <v>54</v>
      </c>
      <c r="N233" s="1">
        <v>0.66320671296296296</v>
      </c>
      <c r="O233" s="1">
        <f>Table25[[#This Row],[Time]]-TIME(0,0,4)</f>
        <v>0.6631604166666667</v>
      </c>
      <c r="P233" t="s">
        <v>9</v>
      </c>
      <c r="Q233">
        <v>-124</v>
      </c>
      <c r="R233">
        <f>Table25[[#This Row],[RSSI]]</f>
        <v>-124</v>
      </c>
      <c r="S233">
        <v>-2.7</v>
      </c>
    </row>
    <row r="234" spans="2:19" x14ac:dyDescent="0.25">
      <c r="B234">
        <f>480+2*(Table14[[#This Row],[min value (corrected)]]-49)</f>
        <v>492</v>
      </c>
      <c r="C234">
        <f>MINUTE(Table14[[#This Row],[Corrected time]])</f>
        <v>55</v>
      </c>
      <c r="D234" s="1">
        <v>0.49666138888888889</v>
      </c>
      <c r="E234" s="1">
        <f>Table14[[#This Row],[Time]]-TIME(0,0,8)</f>
        <v>0.4965687962962963</v>
      </c>
      <c r="F234" t="s">
        <v>9</v>
      </c>
      <c r="G234" t="s">
        <v>19</v>
      </c>
      <c r="H234">
        <f t="shared" si="4"/>
        <v>-124</v>
      </c>
      <c r="I234">
        <v>-3.7</v>
      </c>
      <c r="L234">
        <f>480+2*(Table25[[#This Row],[min value (corrected)]]-49)</f>
        <v>490</v>
      </c>
      <c r="M234">
        <f>MINUTE(Table25[[#This Row],[Corrected time]])</f>
        <v>54</v>
      </c>
      <c r="N234" s="1">
        <v>0.66322655092592586</v>
      </c>
      <c r="O234" s="1">
        <f>Table25[[#This Row],[Time]]-TIME(0,0,4)</f>
        <v>0.6631802546296296</v>
      </c>
      <c r="P234" t="s">
        <v>9</v>
      </c>
      <c r="Q234">
        <v>-124</v>
      </c>
      <c r="R234">
        <f>Table25[[#This Row],[RSSI]]</f>
        <v>-124</v>
      </c>
      <c r="S234">
        <v>-3.2</v>
      </c>
    </row>
    <row r="235" spans="2:19" x14ac:dyDescent="0.25">
      <c r="B235">
        <f>480+2*(Table14[[#This Row],[min value (corrected)]]-49)</f>
        <v>492</v>
      </c>
      <c r="C235">
        <f>MINUTE(Table14[[#This Row],[Corrected time]])</f>
        <v>55</v>
      </c>
      <c r="D235" s="1">
        <v>0.49668125000000002</v>
      </c>
      <c r="E235" s="1">
        <f>Table14[[#This Row],[Time]]-TIME(0,0,8)</f>
        <v>0.49658865740740743</v>
      </c>
      <c r="F235" t="s">
        <v>9</v>
      </c>
      <c r="G235" t="s">
        <v>19</v>
      </c>
      <c r="H235">
        <f t="shared" si="4"/>
        <v>-124</v>
      </c>
      <c r="I235">
        <v>-3.5</v>
      </c>
      <c r="L235">
        <f>480+2*(Table25[[#This Row],[min value (corrected)]]-49)</f>
        <v>492</v>
      </c>
      <c r="M235">
        <f>MINUTE(Table25[[#This Row],[Corrected time]])</f>
        <v>55</v>
      </c>
      <c r="N235" s="1">
        <v>0.66324638888888887</v>
      </c>
      <c r="O235" s="1">
        <f>Table25[[#This Row],[Time]]-TIME(0,0,4)</f>
        <v>0.6632000925925926</v>
      </c>
      <c r="P235" t="s">
        <v>9</v>
      </c>
      <c r="Q235">
        <v>-124</v>
      </c>
      <c r="R235">
        <f>Table25[[#This Row],[RSSI]]</f>
        <v>-124</v>
      </c>
      <c r="S235">
        <v>-4</v>
      </c>
    </row>
    <row r="236" spans="2:19" x14ac:dyDescent="0.25">
      <c r="B236">
        <f>480+2*(Table14[[#This Row],[min value (corrected)]]-49)</f>
        <v>492</v>
      </c>
      <c r="C236">
        <f>MINUTE(Table14[[#This Row],[Corrected time]])</f>
        <v>55</v>
      </c>
      <c r="D236" s="1">
        <v>0.49670108796296297</v>
      </c>
      <c r="E236" s="1">
        <f>Table14[[#This Row],[Time]]-TIME(0,0,8)</f>
        <v>0.49660849537037038</v>
      </c>
      <c r="F236" t="s">
        <v>9</v>
      </c>
      <c r="G236" t="s">
        <v>19</v>
      </c>
      <c r="H236">
        <f t="shared" si="4"/>
        <v>-124</v>
      </c>
      <c r="I236">
        <v>-3.2</v>
      </c>
      <c r="L236">
        <f>480+2*(Table25[[#This Row],[min value (corrected)]]-49)</f>
        <v>492</v>
      </c>
      <c r="M236">
        <f>MINUTE(Table25[[#This Row],[Corrected time]])</f>
        <v>55</v>
      </c>
      <c r="N236" s="1">
        <v>0.66326622685185177</v>
      </c>
      <c r="O236" s="1">
        <f>Table25[[#This Row],[Time]]-TIME(0,0,4)</f>
        <v>0.6632199305555555</v>
      </c>
      <c r="P236" t="s">
        <v>9</v>
      </c>
      <c r="Q236">
        <v>-124</v>
      </c>
      <c r="R236">
        <f>Table25[[#This Row],[RSSI]]</f>
        <v>-124</v>
      </c>
      <c r="S236">
        <v>-3.2</v>
      </c>
    </row>
    <row r="237" spans="2:19" x14ac:dyDescent="0.25">
      <c r="B237">
        <f>480+2*(Table14[[#This Row],[min value (corrected)]]-49)</f>
        <v>492</v>
      </c>
      <c r="C237">
        <f>MINUTE(Table14[[#This Row],[Corrected time]])</f>
        <v>55</v>
      </c>
      <c r="D237" s="1">
        <v>0.49672091435185184</v>
      </c>
      <c r="E237" s="1">
        <f>Table14[[#This Row],[Time]]-TIME(0,0,8)</f>
        <v>0.49662832175925925</v>
      </c>
      <c r="F237" t="s">
        <v>13</v>
      </c>
      <c r="G237" t="str">
        <f>G236</f>
        <v>-124.0,</v>
      </c>
      <c r="H237">
        <f>H236-0.5</f>
        <v>-124.5</v>
      </c>
      <c r="I237">
        <f>I236-0.5</f>
        <v>-3.7</v>
      </c>
      <c r="L237">
        <f>480+2*(Table25[[#This Row],[min value (corrected)]]-49)</f>
        <v>492</v>
      </c>
      <c r="M237">
        <f>MINUTE(Table25[[#This Row],[Corrected time]])</f>
        <v>55</v>
      </c>
      <c r="N237" s="1">
        <v>0.66328606481481478</v>
      </c>
      <c r="O237" s="1">
        <f>Table25[[#This Row],[Time]]-TIME(0,0,4)</f>
        <v>0.66323976851851851</v>
      </c>
      <c r="P237" t="s">
        <v>9</v>
      </c>
      <c r="Q237">
        <v>-124</v>
      </c>
      <c r="R237">
        <f>Table25[[#This Row],[RSSI]]</f>
        <v>-124</v>
      </c>
      <c r="S237">
        <v>-3.5</v>
      </c>
    </row>
    <row r="238" spans="2:19" x14ac:dyDescent="0.25">
      <c r="B238">
        <f>480+2*(Table14[[#This Row],[min value (corrected)]]-49)</f>
        <v>492</v>
      </c>
      <c r="C238">
        <f>MINUTE(Table14[[#This Row],[Corrected time]])</f>
        <v>55</v>
      </c>
      <c r="D238" s="1">
        <v>0.49674075231481479</v>
      </c>
      <c r="E238" s="1">
        <f>Table14[[#This Row],[Time]]-TIME(0,0,8)</f>
        <v>0.4966481597222222</v>
      </c>
      <c r="F238" t="s">
        <v>9</v>
      </c>
      <c r="G238" t="s">
        <v>19</v>
      </c>
      <c r="H238">
        <f t="shared" si="4"/>
        <v>-124</v>
      </c>
      <c r="I238">
        <v>-2.7</v>
      </c>
      <c r="L238">
        <f>480+2*(Table25[[#This Row],[min value (corrected)]]-49)</f>
        <v>492</v>
      </c>
      <c r="M238">
        <f>MINUTE(Table25[[#This Row],[Corrected time]])</f>
        <v>55</v>
      </c>
      <c r="N238" s="1">
        <v>0.66330589120370376</v>
      </c>
      <c r="O238" s="1">
        <f>Table25[[#This Row],[Time]]-TIME(0,0,4)</f>
        <v>0.66325959490740749</v>
      </c>
      <c r="P238" t="s">
        <v>9</v>
      </c>
      <c r="Q238">
        <v>-122</v>
      </c>
      <c r="R238">
        <f>Table25[[#This Row],[RSSI]]</f>
        <v>-122</v>
      </c>
      <c r="S238">
        <v>-3.2</v>
      </c>
    </row>
    <row r="239" spans="2:19" x14ac:dyDescent="0.25">
      <c r="B239">
        <f>480+2*(Table14[[#This Row],[min value (corrected)]]-49)</f>
        <v>492</v>
      </c>
      <c r="C239">
        <f>MINUTE(Table14[[#This Row],[Corrected time]])</f>
        <v>55</v>
      </c>
      <c r="D239" s="1">
        <v>0.49676060185185189</v>
      </c>
      <c r="E239" s="1">
        <f>Table14[[#This Row],[Time]]-TIME(0,0,8)</f>
        <v>0.4966680092592593</v>
      </c>
      <c r="F239" t="s">
        <v>9</v>
      </c>
      <c r="G239" t="s">
        <v>19</v>
      </c>
      <c r="H239">
        <f t="shared" si="4"/>
        <v>-124</v>
      </c>
      <c r="I239">
        <v>-2.5</v>
      </c>
      <c r="L239">
        <f>480+2*(Table25[[#This Row],[min value (corrected)]]-49)</f>
        <v>492</v>
      </c>
      <c r="M239">
        <f>MINUTE(Table25[[#This Row],[Corrected time]])</f>
        <v>55</v>
      </c>
      <c r="N239" s="1">
        <v>0.66332574074074069</v>
      </c>
      <c r="O239" s="1">
        <f>Table25[[#This Row],[Time]]-TIME(0,0,4)</f>
        <v>0.66327944444444442</v>
      </c>
      <c r="P239" t="s">
        <v>9</v>
      </c>
      <c r="Q239">
        <v>-120</v>
      </c>
      <c r="R239">
        <f>Table25[[#This Row],[RSSI]]</f>
        <v>-120</v>
      </c>
      <c r="S239">
        <v>-3.2</v>
      </c>
    </row>
    <row r="240" spans="2:19" x14ac:dyDescent="0.25">
      <c r="B240">
        <f>480+2*(Table14[[#This Row],[min value (corrected)]]-49)</f>
        <v>492</v>
      </c>
      <c r="C240">
        <f>MINUTE(Table14[[#This Row],[Corrected time]])</f>
        <v>55</v>
      </c>
      <c r="D240" s="1">
        <v>0.49678043981481484</v>
      </c>
      <c r="E240" s="1">
        <f>Table14[[#This Row],[Time]]-TIME(0,0,8)</f>
        <v>0.49668784722222226</v>
      </c>
      <c r="F240" t="s">
        <v>9</v>
      </c>
      <c r="G240" t="s">
        <v>19</v>
      </c>
      <c r="H240">
        <f t="shared" si="4"/>
        <v>-124</v>
      </c>
      <c r="I240">
        <v>-2.7</v>
      </c>
      <c r="L240">
        <f>480+2*(Table25[[#This Row],[min value (corrected)]]-49)</f>
        <v>492</v>
      </c>
      <c r="M240">
        <f>MINUTE(Table25[[#This Row],[Corrected time]])</f>
        <v>55</v>
      </c>
      <c r="N240" s="1">
        <v>0.6633455787037037</v>
      </c>
      <c r="O240" s="1">
        <f>Table25[[#This Row],[Time]]-TIME(0,0,4)</f>
        <v>0.66329928240740743</v>
      </c>
      <c r="P240" t="s">
        <v>13</v>
      </c>
      <c r="Q240">
        <f>Q239</f>
        <v>-120</v>
      </c>
      <c r="R240">
        <f>Table25[[#This Row],[RSSI]]</f>
        <v>-120</v>
      </c>
    </row>
    <row r="241" spans="2:19" x14ac:dyDescent="0.25">
      <c r="B241">
        <f>480+2*(Table14[[#This Row],[min value (corrected)]]-49)</f>
        <v>492</v>
      </c>
      <c r="C241">
        <f>MINUTE(Table14[[#This Row],[Corrected time]])</f>
        <v>55</v>
      </c>
      <c r="D241" s="1">
        <v>0.4968002777777778</v>
      </c>
      <c r="E241" s="1">
        <f>Table14[[#This Row],[Time]]-TIME(0,0,8)</f>
        <v>0.49670768518518521</v>
      </c>
      <c r="F241" t="s">
        <v>9</v>
      </c>
      <c r="G241" t="s">
        <v>12</v>
      </c>
      <c r="H241">
        <f t="shared" si="4"/>
        <v>-123</v>
      </c>
      <c r="I241">
        <v>-2.2000000000000002</v>
      </c>
      <c r="L241">
        <f>480+2*(Table25[[#This Row],[min value (corrected)]]-49)</f>
        <v>492</v>
      </c>
      <c r="M241">
        <f>MINUTE(Table25[[#This Row],[Corrected time]])</f>
        <v>55</v>
      </c>
      <c r="N241" s="1">
        <v>0.6633654166666666</v>
      </c>
      <c r="O241" s="1">
        <f>Table25[[#This Row],[Time]]-TIME(0,0,4)</f>
        <v>0.66331912037037033</v>
      </c>
      <c r="P241" t="s">
        <v>9</v>
      </c>
      <c r="Q241">
        <v>-124</v>
      </c>
      <c r="R241">
        <f>Table25[[#This Row],[RSSI]]</f>
        <v>-124</v>
      </c>
      <c r="S241">
        <v>-2.7</v>
      </c>
    </row>
    <row r="242" spans="2:19" x14ac:dyDescent="0.25">
      <c r="B242">
        <f>480+2*(Table14[[#This Row],[min value (corrected)]]-49)</f>
        <v>492</v>
      </c>
      <c r="C242">
        <f>MINUTE(Table14[[#This Row],[Corrected time]])</f>
        <v>55</v>
      </c>
      <c r="D242" s="1">
        <v>0.49682010416666667</v>
      </c>
      <c r="E242" s="1">
        <f>Table14[[#This Row],[Time]]-TIME(0,0,8)</f>
        <v>0.49672751157407408</v>
      </c>
      <c r="F242" t="s">
        <v>9</v>
      </c>
      <c r="G242" t="s">
        <v>19</v>
      </c>
      <c r="H242">
        <f t="shared" si="4"/>
        <v>-124</v>
      </c>
      <c r="I242">
        <v>-3</v>
      </c>
      <c r="L242">
        <f>480+2*(Table25[[#This Row],[min value (corrected)]]-49)</f>
        <v>492</v>
      </c>
      <c r="M242">
        <f>MINUTE(Table25[[#This Row],[Corrected time]])</f>
        <v>55</v>
      </c>
      <c r="N242" s="1">
        <v>0.66338524305555557</v>
      </c>
      <c r="O242" s="1">
        <f>Table25[[#This Row],[Time]]-TIME(0,0,4)</f>
        <v>0.66333894675925931</v>
      </c>
      <c r="P242" t="s">
        <v>9</v>
      </c>
      <c r="Q242">
        <v>-124</v>
      </c>
      <c r="R242">
        <f>Table25[[#This Row],[RSSI]]</f>
        <v>-124</v>
      </c>
      <c r="S242">
        <v>-2.7</v>
      </c>
    </row>
    <row r="243" spans="2:19" x14ac:dyDescent="0.25">
      <c r="B243">
        <f>480+2*(Table14[[#This Row],[min value (corrected)]]-49)</f>
        <v>492</v>
      </c>
      <c r="C243">
        <f>MINUTE(Table14[[#This Row],[Corrected time]])</f>
        <v>55</v>
      </c>
      <c r="D243" s="1">
        <v>0.49683994212962962</v>
      </c>
      <c r="E243" s="1">
        <f>Table14[[#This Row],[Time]]-TIME(0,0,8)</f>
        <v>0.49674734953703703</v>
      </c>
      <c r="F243" t="s">
        <v>9</v>
      </c>
      <c r="G243" t="s">
        <v>19</v>
      </c>
      <c r="H243">
        <f t="shared" si="4"/>
        <v>-124</v>
      </c>
      <c r="I243">
        <v>-2.7</v>
      </c>
      <c r="L243">
        <f>480+2*(Table25[[#This Row],[min value (corrected)]]-49)</f>
        <v>492</v>
      </c>
      <c r="M243">
        <f>MINUTE(Table25[[#This Row],[Corrected time]])</f>
        <v>55</v>
      </c>
      <c r="N243" s="1">
        <v>0.66340508101851847</v>
      </c>
      <c r="O243" s="1">
        <f>Table25[[#This Row],[Time]]-TIME(0,0,4)</f>
        <v>0.66335878472222221</v>
      </c>
      <c r="P243" t="s">
        <v>9</v>
      </c>
      <c r="Q243">
        <v>-124</v>
      </c>
      <c r="R243">
        <f>Table25[[#This Row],[RSSI]]</f>
        <v>-124</v>
      </c>
      <c r="S243">
        <v>-3</v>
      </c>
    </row>
    <row r="244" spans="2:19" x14ac:dyDescent="0.25">
      <c r="B244">
        <f>480+2*(Table14[[#This Row],[min value (corrected)]]-49)</f>
        <v>492</v>
      </c>
      <c r="C244">
        <f>MINUTE(Table14[[#This Row],[Corrected time]])</f>
        <v>55</v>
      </c>
      <c r="D244" s="1">
        <v>0.49685979166666666</v>
      </c>
      <c r="E244" s="1">
        <f>Table14[[#This Row],[Time]]-TIME(0,0,8)</f>
        <v>0.49676719907407407</v>
      </c>
      <c r="F244" t="s">
        <v>9</v>
      </c>
      <c r="G244" t="s">
        <v>19</v>
      </c>
      <c r="H244">
        <f t="shared" si="4"/>
        <v>-124</v>
      </c>
      <c r="I244">
        <v>-2.7</v>
      </c>
      <c r="L244">
        <f>480+2*(Table25[[#This Row],[min value (corrected)]]-49)</f>
        <v>492</v>
      </c>
      <c r="M244">
        <f>MINUTE(Table25[[#This Row],[Corrected time]])</f>
        <v>55</v>
      </c>
      <c r="N244" s="1">
        <v>0.66342493055555551</v>
      </c>
      <c r="O244" s="1">
        <f>Table25[[#This Row],[Time]]-TIME(0,0,4)</f>
        <v>0.66337863425925925</v>
      </c>
      <c r="P244" t="s">
        <v>9</v>
      </c>
      <c r="Q244">
        <v>-124</v>
      </c>
      <c r="R244">
        <f>Table25[[#This Row],[RSSI]]</f>
        <v>-124</v>
      </c>
      <c r="S244">
        <v>-2.7</v>
      </c>
    </row>
    <row r="245" spans="2:19" x14ac:dyDescent="0.25">
      <c r="B245">
        <f>480+2*(Table14[[#This Row],[min value (corrected)]]-49)</f>
        <v>492</v>
      </c>
      <c r="C245">
        <f>MINUTE(Table14[[#This Row],[Corrected time]])</f>
        <v>55</v>
      </c>
      <c r="D245" s="1">
        <v>0.49687962962962967</v>
      </c>
      <c r="E245" s="1">
        <f>Table14[[#This Row],[Time]]-TIME(0,0,8)</f>
        <v>0.49678703703703708</v>
      </c>
      <c r="F245" t="s">
        <v>9</v>
      </c>
      <c r="G245" t="s">
        <v>19</v>
      </c>
      <c r="H245">
        <f t="shared" si="4"/>
        <v>-124</v>
      </c>
      <c r="I245">
        <v>-3</v>
      </c>
      <c r="L245">
        <f>480+2*(Table25[[#This Row],[min value (corrected)]]-49)</f>
        <v>492</v>
      </c>
      <c r="M245">
        <f>MINUTE(Table25[[#This Row],[Corrected time]])</f>
        <v>55</v>
      </c>
      <c r="N245" s="1">
        <v>0.66344476851851852</v>
      </c>
      <c r="O245" s="1">
        <f>Table25[[#This Row],[Time]]-TIME(0,0,4)</f>
        <v>0.66339847222222226</v>
      </c>
      <c r="P245" t="s">
        <v>9</v>
      </c>
      <c r="Q245">
        <v>-124</v>
      </c>
      <c r="R245">
        <f>Table25[[#This Row],[RSSI]]</f>
        <v>-124</v>
      </c>
      <c r="S245">
        <v>-2.7</v>
      </c>
    </row>
    <row r="246" spans="2:19" x14ac:dyDescent="0.25">
      <c r="B246">
        <f>480+2*(Table14[[#This Row],[min value (corrected)]]-49)</f>
        <v>492</v>
      </c>
      <c r="C246">
        <f>MINUTE(Table14[[#This Row],[Corrected time]])</f>
        <v>55</v>
      </c>
      <c r="D246" s="1">
        <v>0.49689946759259263</v>
      </c>
      <c r="E246" s="1">
        <f>Table14[[#This Row],[Time]]-TIME(0,0,8)</f>
        <v>0.49680687500000004</v>
      </c>
      <c r="F246" t="s">
        <v>9</v>
      </c>
      <c r="G246" t="s">
        <v>12</v>
      </c>
      <c r="H246">
        <f t="shared" si="4"/>
        <v>-123</v>
      </c>
      <c r="I246">
        <v>-3.5</v>
      </c>
      <c r="L246">
        <f>480+2*(Table25[[#This Row],[min value (corrected)]]-49)</f>
        <v>492</v>
      </c>
      <c r="M246">
        <f>MINUTE(Table25[[#This Row],[Corrected time]])</f>
        <v>55</v>
      </c>
      <c r="N246" s="1">
        <v>0.66346460648148142</v>
      </c>
      <c r="O246" s="1">
        <f>Table25[[#This Row],[Time]]-TIME(0,0,4)</f>
        <v>0.66341831018518516</v>
      </c>
      <c r="P246" t="s">
        <v>9</v>
      </c>
      <c r="Q246">
        <v>-124</v>
      </c>
      <c r="R246">
        <f>Table25[[#This Row],[RSSI]]</f>
        <v>-124</v>
      </c>
      <c r="S246">
        <v>-2.5</v>
      </c>
    </row>
    <row r="247" spans="2:19" x14ac:dyDescent="0.25">
      <c r="B247">
        <f>480+2*(Table14[[#This Row],[min value (corrected)]]-49)</f>
        <v>492</v>
      </c>
      <c r="C247">
        <f>MINUTE(Table14[[#This Row],[Corrected time]])</f>
        <v>55</v>
      </c>
      <c r="D247" s="1">
        <v>0.49691930555555558</v>
      </c>
      <c r="E247" s="1">
        <f>Table14[[#This Row],[Time]]-TIME(0,0,8)</f>
        <v>0.49682671296296299</v>
      </c>
      <c r="F247" t="s">
        <v>9</v>
      </c>
      <c r="G247" t="s">
        <v>19</v>
      </c>
      <c r="H247">
        <f t="shared" si="4"/>
        <v>-124</v>
      </c>
      <c r="I247">
        <v>-3</v>
      </c>
      <c r="L247">
        <f>480+2*(Table25[[#This Row],[min value (corrected)]]-49)</f>
        <v>492</v>
      </c>
      <c r="M247">
        <f>MINUTE(Table25[[#This Row],[Corrected time]])</f>
        <v>55</v>
      </c>
      <c r="N247" s="1">
        <v>0.66348444444444443</v>
      </c>
      <c r="O247" s="1">
        <f>Table25[[#This Row],[Time]]-TIME(0,0,4)</f>
        <v>0.66343814814814817</v>
      </c>
      <c r="P247" t="s">
        <v>9</v>
      </c>
      <c r="Q247">
        <v>-124</v>
      </c>
      <c r="R247">
        <f>Table25[[#This Row],[RSSI]]</f>
        <v>-124</v>
      </c>
      <c r="S247">
        <v>-2.5</v>
      </c>
    </row>
    <row r="248" spans="2:19" x14ac:dyDescent="0.25">
      <c r="B248">
        <f>480+2*(Table14[[#This Row],[min value (corrected)]]-49)</f>
        <v>492</v>
      </c>
      <c r="C248">
        <f>MINUTE(Table14[[#This Row],[Corrected time]])</f>
        <v>55</v>
      </c>
      <c r="D248" s="1">
        <v>0.49693914351851853</v>
      </c>
      <c r="E248" s="1">
        <f>Table14[[#This Row],[Time]]-TIME(0,0,8)</f>
        <v>0.49684655092592594</v>
      </c>
      <c r="F248" t="s">
        <v>9</v>
      </c>
      <c r="G248" t="s">
        <v>19</v>
      </c>
      <c r="H248">
        <f t="shared" si="4"/>
        <v>-124</v>
      </c>
      <c r="I248">
        <v>-3</v>
      </c>
      <c r="L248">
        <f>480+2*(Table25[[#This Row],[min value (corrected)]]-49)</f>
        <v>492</v>
      </c>
      <c r="M248">
        <f>MINUTE(Table25[[#This Row],[Corrected time]])</f>
        <v>55</v>
      </c>
      <c r="N248" s="1">
        <v>0.66350428240740733</v>
      </c>
      <c r="O248" s="1">
        <f>Table25[[#This Row],[Time]]-TIME(0,0,4)</f>
        <v>0.66345798611111106</v>
      </c>
      <c r="P248" t="s">
        <v>9</v>
      </c>
      <c r="Q248">
        <v>-124</v>
      </c>
      <c r="R248">
        <f>Table25[[#This Row],[RSSI]]</f>
        <v>-124</v>
      </c>
      <c r="S248">
        <v>-3</v>
      </c>
    </row>
    <row r="249" spans="2:19" x14ac:dyDescent="0.25">
      <c r="B249">
        <f>480+2*(Table14[[#This Row],[min value (corrected)]]-49)</f>
        <v>492</v>
      </c>
      <c r="C249">
        <f>MINUTE(Table14[[#This Row],[Corrected time]])</f>
        <v>55</v>
      </c>
      <c r="D249" s="1">
        <v>0.4969589699074074</v>
      </c>
      <c r="E249" s="1">
        <f>Table14[[#This Row],[Time]]-TIME(0,0,8)</f>
        <v>0.49686637731481481</v>
      </c>
      <c r="F249" t="s">
        <v>9</v>
      </c>
      <c r="G249" t="s">
        <v>19</v>
      </c>
      <c r="H249">
        <f t="shared" si="4"/>
        <v>-124</v>
      </c>
      <c r="I249">
        <v>-3</v>
      </c>
      <c r="L249">
        <f>480+2*(Table25[[#This Row],[min value (corrected)]]-49)</f>
        <v>492</v>
      </c>
      <c r="M249">
        <f>MINUTE(Table25[[#This Row],[Corrected time]])</f>
        <v>55</v>
      </c>
      <c r="N249" s="1">
        <v>0.66352412037037034</v>
      </c>
      <c r="O249" s="1">
        <f>Table25[[#This Row],[Time]]-TIME(0,0,4)</f>
        <v>0.66347782407407407</v>
      </c>
      <c r="P249" t="s">
        <v>9</v>
      </c>
      <c r="Q249">
        <v>-122</v>
      </c>
      <c r="R249">
        <f>Table25[[#This Row],[RSSI]]</f>
        <v>-122</v>
      </c>
      <c r="S249">
        <v>-2.5</v>
      </c>
    </row>
    <row r="250" spans="2:19" x14ac:dyDescent="0.25">
      <c r="B250">
        <f>480+2*(Table14[[#This Row],[min value (corrected)]]-49)</f>
        <v>492</v>
      </c>
      <c r="C250">
        <f>MINUTE(Table14[[#This Row],[Corrected time]])</f>
        <v>55</v>
      </c>
      <c r="D250" s="1">
        <v>0.49697880787037035</v>
      </c>
      <c r="E250" s="1">
        <f>Table14[[#This Row],[Time]]-TIME(0,0,8)</f>
        <v>0.49688621527777777</v>
      </c>
      <c r="F250" t="s">
        <v>9</v>
      </c>
      <c r="G250" t="s">
        <v>28</v>
      </c>
      <c r="H250">
        <f t="shared" si="4"/>
        <v>-125</v>
      </c>
      <c r="I250">
        <v>-3.5</v>
      </c>
      <c r="L250">
        <f>480+2*(Table25[[#This Row],[min value (corrected)]]-49)</f>
        <v>492</v>
      </c>
      <c r="M250">
        <f>MINUTE(Table25[[#This Row],[Corrected time]])</f>
        <v>55</v>
      </c>
      <c r="N250" s="1">
        <v>0.66354393518518517</v>
      </c>
      <c r="O250" s="1">
        <f>Table25[[#This Row],[Time]]-TIME(0,0,4)</f>
        <v>0.66349763888888891</v>
      </c>
      <c r="P250" t="s">
        <v>9</v>
      </c>
      <c r="Q250">
        <v>-124</v>
      </c>
      <c r="R250">
        <f>Table25[[#This Row],[RSSI]]</f>
        <v>-124</v>
      </c>
      <c r="S250">
        <v>-2.7</v>
      </c>
    </row>
    <row r="251" spans="2:19" x14ac:dyDescent="0.25">
      <c r="B251">
        <f>480+2*(Table14[[#This Row],[min value (corrected)]]-49)</f>
        <v>492</v>
      </c>
      <c r="C251">
        <f>MINUTE(Table14[[#This Row],[Corrected time]])</f>
        <v>55</v>
      </c>
      <c r="D251" s="1">
        <v>0.49699864583333331</v>
      </c>
      <c r="E251" s="1">
        <f>Table14[[#This Row],[Time]]-TIME(0,0,8)</f>
        <v>0.49690605324074072</v>
      </c>
      <c r="F251" t="s">
        <v>9</v>
      </c>
      <c r="G251" t="s">
        <v>19</v>
      </c>
      <c r="H251">
        <f t="shared" si="4"/>
        <v>-124</v>
      </c>
      <c r="I251">
        <v>-2.7</v>
      </c>
      <c r="L251">
        <f>480+2*(Table25[[#This Row],[min value (corrected)]]-49)</f>
        <v>492</v>
      </c>
      <c r="M251">
        <f>MINUTE(Table25[[#This Row],[Corrected time]])</f>
        <v>55</v>
      </c>
      <c r="N251" s="1">
        <v>0.66356378472222222</v>
      </c>
      <c r="O251" s="1">
        <f>Table25[[#This Row],[Time]]-TIME(0,0,4)</f>
        <v>0.66351748842592595</v>
      </c>
      <c r="P251" t="s">
        <v>9</v>
      </c>
      <c r="Q251">
        <v>-124</v>
      </c>
      <c r="R251">
        <f>Table25[[#This Row],[RSSI]]</f>
        <v>-124</v>
      </c>
      <c r="S251">
        <v>-2</v>
      </c>
    </row>
    <row r="252" spans="2:19" x14ac:dyDescent="0.25">
      <c r="B252">
        <f>480+2*(Table14[[#This Row],[min value (corrected)]]-49)</f>
        <v>492</v>
      </c>
      <c r="C252">
        <f>MINUTE(Table14[[#This Row],[Corrected time]])</f>
        <v>55</v>
      </c>
      <c r="D252" s="1">
        <v>0.49701849537037041</v>
      </c>
      <c r="E252" s="1">
        <f>Table14[[#This Row],[Time]]-TIME(0,0,8)</f>
        <v>0.49692590277777782</v>
      </c>
      <c r="F252" t="s">
        <v>9</v>
      </c>
      <c r="G252" t="s">
        <v>19</v>
      </c>
      <c r="H252">
        <f t="shared" si="4"/>
        <v>-124</v>
      </c>
      <c r="I252">
        <v>-3</v>
      </c>
      <c r="L252">
        <f>480+2*(Table25[[#This Row],[min value (corrected)]]-49)</f>
        <v>492</v>
      </c>
      <c r="M252">
        <f>MINUTE(Table25[[#This Row],[Corrected time]])</f>
        <v>55</v>
      </c>
      <c r="N252" s="1">
        <v>0.66358363425925926</v>
      </c>
      <c r="O252" s="1">
        <f>Table25[[#This Row],[Time]]-TIME(0,0,4)</f>
        <v>0.66353733796296299</v>
      </c>
      <c r="P252" t="s">
        <v>9</v>
      </c>
      <c r="Q252">
        <v>-123</v>
      </c>
      <c r="R252">
        <f>Table25[[#This Row],[RSSI]]</f>
        <v>-123</v>
      </c>
      <c r="S252">
        <v>-2.5</v>
      </c>
    </row>
    <row r="253" spans="2:19" x14ac:dyDescent="0.25">
      <c r="B253">
        <f>480+2*(Table14[[#This Row],[min value (corrected)]]-49)</f>
        <v>492</v>
      </c>
      <c r="C253">
        <f>MINUTE(Table14[[#This Row],[Corrected time]])</f>
        <v>55</v>
      </c>
      <c r="D253" s="1">
        <v>0.49703833333333336</v>
      </c>
      <c r="E253" s="1">
        <f>Table14[[#This Row],[Time]]-TIME(0,0,8)</f>
        <v>0.49694574074074077</v>
      </c>
      <c r="F253" t="s">
        <v>9</v>
      </c>
      <c r="G253" t="s">
        <v>19</v>
      </c>
      <c r="H253">
        <f t="shared" si="4"/>
        <v>-124</v>
      </c>
      <c r="I253">
        <v>-2.7</v>
      </c>
      <c r="L253">
        <f>480+2*(Table25[[#This Row],[min value (corrected)]]-49)</f>
        <v>492</v>
      </c>
      <c r="M253">
        <f>MINUTE(Table25[[#This Row],[Corrected time]])</f>
        <v>55</v>
      </c>
      <c r="N253" s="1">
        <v>0.66360347222222216</v>
      </c>
      <c r="O253" s="1">
        <f>Table25[[#This Row],[Time]]-TIME(0,0,4)</f>
        <v>0.66355717592592589</v>
      </c>
      <c r="P253" t="s">
        <v>9</v>
      </c>
      <c r="Q253">
        <v>-124</v>
      </c>
      <c r="R253">
        <f>Table25[[#This Row],[RSSI]]</f>
        <v>-124</v>
      </c>
      <c r="S253">
        <v>-3</v>
      </c>
    </row>
    <row r="254" spans="2:19" x14ac:dyDescent="0.25">
      <c r="B254">
        <f>480+2*(Table14[[#This Row],[min value (corrected)]]-49)</f>
        <v>492</v>
      </c>
      <c r="C254">
        <f>MINUTE(Table14[[#This Row],[Corrected time]])</f>
        <v>55</v>
      </c>
      <c r="D254" s="1">
        <v>0.49705817129629631</v>
      </c>
      <c r="E254" s="1">
        <f>Table14[[#This Row],[Time]]-TIME(0,0,8)</f>
        <v>0.49696557870370373</v>
      </c>
      <c r="F254" t="s">
        <v>9</v>
      </c>
      <c r="G254" t="s">
        <v>19</v>
      </c>
      <c r="H254">
        <f t="shared" si="4"/>
        <v>-124</v>
      </c>
      <c r="I254">
        <v>-2.7</v>
      </c>
      <c r="L254">
        <f>480+2*(Table25[[#This Row],[min value (corrected)]]-49)</f>
        <v>492</v>
      </c>
      <c r="M254">
        <f>MINUTE(Table25[[#This Row],[Corrected time]])</f>
        <v>55</v>
      </c>
      <c r="N254" s="1">
        <v>0.66362329861111113</v>
      </c>
      <c r="O254" s="1">
        <f>Table25[[#This Row],[Time]]-TIME(0,0,4)</f>
        <v>0.66357700231481487</v>
      </c>
      <c r="P254" t="s">
        <v>9</v>
      </c>
      <c r="Q254">
        <v>-124</v>
      </c>
      <c r="R254">
        <f>Table25[[#This Row],[RSSI]]</f>
        <v>-124</v>
      </c>
      <c r="S254">
        <v>-2.5</v>
      </c>
    </row>
    <row r="255" spans="2:19" x14ac:dyDescent="0.25">
      <c r="B255">
        <f>480+2*(Table14[[#This Row],[min value (corrected)]]-49)</f>
        <v>492</v>
      </c>
      <c r="C255">
        <f>MINUTE(Table14[[#This Row],[Corrected time]])</f>
        <v>55</v>
      </c>
      <c r="D255" s="1">
        <v>0.49707800925925927</v>
      </c>
      <c r="E255" s="1">
        <f>Table14[[#This Row],[Time]]-TIME(0,0,8)</f>
        <v>0.49698541666666668</v>
      </c>
      <c r="F255" t="s">
        <v>9</v>
      </c>
      <c r="G255" t="s">
        <v>19</v>
      </c>
      <c r="H255">
        <f t="shared" si="4"/>
        <v>-124</v>
      </c>
      <c r="I255">
        <v>-3</v>
      </c>
      <c r="L255">
        <f>480+2*(Table25[[#This Row],[min value (corrected)]]-49)</f>
        <v>492</v>
      </c>
      <c r="M255">
        <f>MINUTE(Table25[[#This Row],[Corrected time]])</f>
        <v>55</v>
      </c>
      <c r="N255" s="1">
        <v>0.66364314814814807</v>
      </c>
      <c r="O255" s="1">
        <f>Table25[[#This Row],[Time]]-TIME(0,0,4)</f>
        <v>0.6635968518518518</v>
      </c>
      <c r="P255" t="s">
        <v>9</v>
      </c>
      <c r="Q255">
        <v>-124</v>
      </c>
      <c r="R255">
        <f>Table25[[#This Row],[RSSI]]</f>
        <v>-124</v>
      </c>
      <c r="S255">
        <v>-2.7</v>
      </c>
    </row>
    <row r="256" spans="2:19" x14ac:dyDescent="0.25">
      <c r="B256">
        <f>480+2*(Table14[[#This Row],[min value (corrected)]]-49)</f>
        <v>492</v>
      </c>
      <c r="C256">
        <f>MINUTE(Table14[[#This Row],[Corrected time]])</f>
        <v>55</v>
      </c>
      <c r="D256" s="1">
        <v>0.49709784722222222</v>
      </c>
      <c r="E256" s="1">
        <f>Table14[[#This Row],[Time]]-TIME(0,0,8)</f>
        <v>0.49700525462962963</v>
      </c>
      <c r="F256" t="s">
        <v>9</v>
      </c>
      <c r="G256" t="s">
        <v>19</v>
      </c>
      <c r="H256">
        <f t="shared" si="4"/>
        <v>-124</v>
      </c>
      <c r="I256">
        <v>-3</v>
      </c>
      <c r="L256">
        <f>480+2*(Table25[[#This Row],[min value (corrected)]]-49)</f>
        <v>492</v>
      </c>
      <c r="M256">
        <f>MINUTE(Table25[[#This Row],[Corrected time]])</f>
        <v>55</v>
      </c>
      <c r="N256" s="1">
        <v>0.66366298611111119</v>
      </c>
      <c r="O256" s="1">
        <f>Table25[[#This Row],[Time]]-TIME(0,0,4)</f>
        <v>0.66361668981481492</v>
      </c>
      <c r="P256" t="s">
        <v>9</v>
      </c>
      <c r="Q256">
        <v>-124</v>
      </c>
      <c r="R256">
        <f>Table25[[#This Row],[RSSI]]</f>
        <v>-124</v>
      </c>
      <c r="S256">
        <v>-2.7</v>
      </c>
    </row>
    <row r="257" spans="2:19" x14ac:dyDescent="0.25">
      <c r="B257">
        <f>480+2*(Table14[[#This Row],[min value (corrected)]]-49)</f>
        <v>492</v>
      </c>
      <c r="C257">
        <f>MINUTE(Table14[[#This Row],[Corrected time]])</f>
        <v>55</v>
      </c>
      <c r="D257" s="1">
        <v>0.49711768518518518</v>
      </c>
      <c r="E257" s="1">
        <f>Table14[[#This Row],[Time]]-TIME(0,0,8)</f>
        <v>0.49702509259259259</v>
      </c>
      <c r="F257" t="s">
        <v>9</v>
      </c>
      <c r="G257" t="s">
        <v>19</v>
      </c>
      <c r="H257">
        <f t="shared" si="4"/>
        <v>-124</v>
      </c>
      <c r="I257">
        <v>-2.7</v>
      </c>
      <c r="L257">
        <f>480+2*(Table25[[#This Row],[min value (corrected)]]-49)</f>
        <v>492</v>
      </c>
      <c r="M257">
        <f>MINUTE(Table25[[#This Row],[Corrected time]])</f>
        <v>55</v>
      </c>
      <c r="N257" s="1">
        <v>0.66368282407407408</v>
      </c>
      <c r="O257" s="1">
        <f>Table25[[#This Row],[Time]]-TIME(0,0,4)</f>
        <v>0.66363652777777782</v>
      </c>
      <c r="P257" t="s">
        <v>9</v>
      </c>
      <c r="Q257">
        <v>-124</v>
      </c>
      <c r="R257">
        <f>Table25[[#This Row],[RSSI]]</f>
        <v>-124</v>
      </c>
      <c r="S257">
        <v>-2.7</v>
      </c>
    </row>
    <row r="258" spans="2:19" x14ac:dyDescent="0.25">
      <c r="B258">
        <f>480+2*(Table14[[#This Row],[min value (corrected)]]-49)</f>
        <v>492</v>
      </c>
      <c r="C258">
        <f>MINUTE(Table14[[#This Row],[Corrected time]])</f>
        <v>55</v>
      </c>
      <c r="D258" s="1">
        <v>0.49713752314814813</v>
      </c>
      <c r="E258" s="1">
        <f>Table14[[#This Row],[Time]]-TIME(0,0,8)</f>
        <v>0.49704493055555554</v>
      </c>
      <c r="F258" t="s">
        <v>9</v>
      </c>
      <c r="G258" t="s">
        <v>12</v>
      </c>
      <c r="H258">
        <f t="shared" si="4"/>
        <v>-123</v>
      </c>
      <c r="I258">
        <v>-2.7</v>
      </c>
      <c r="L258">
        <f>480+2*(Table25[[#This Row],[min value (corrected)]]-49)</f>
        <v>492</v>
      </c>
      <c r="M258">
        <f>MINUTE(Table25[[#This Row],[Corrected time]])</f>
        <v>55</v>
      </c>
      <c r="N258" s="1">
        <v>0.66370266203703709</v>
      </c>
      <c r="O258" s="1">
        <f>Table25[[#This Row],[Time]]-TIME(0,0,4)</f>
        <v>0.66365636574074083</v>
      </c>
      <c r="P258" t="s">
        <v>9</v>
      </c>
      <c r="Q258">
        <v>-124</v>
      </c>
      <c r="R258">
        <f>Table25[[#This Row],[RSSI]]</f>
        <v>-124</v>
      </c>
      <c r="S258">
        <v>-2.5</v>
      </c>
    </row>
    <row r="259" spans="2:19" x14ac:dyDescent="0.25">
      <c r="B259">
        <f>480+2*(Table14[[#This Row],[min value (corrected)]]-49)</f>
        <v>492</v>
      </c>
      <c r="C259">
        <f>MINUTE(Table14[[#This Row],[Corrected time]])</f>
        <v>55</v>
      </c>
      <c r="D259" s="1">
        <v>0.49715736111111114</v>
      </c>
      <c r="E259" s="1">
        <f>Table14[[#This Row],[Time]]-TIME(0,0,8)</f>
        <v>0.49706476851851855</v>
      </c>
      <c r="F259" t="s">
        <v>9</v>
      </c>
      <c r="G259" t="s">
        <v>19</v>
      </c>
      <c r="H259">
        <f t="shared" si="4"/>
        <v>-124</v>
      </c>
      <c r="I259">
        <v>-2.5</v>
      </c>
      <c r="L259">
        <f>480+2*(Table25[[#This Row],[min value (corrected)]]-49)</f>
        <v>492</v>
      </c>
      <c r="M259">
        <f>MINUTE(Table25[[#This Row],[Corrected time]])</f>
        <v>55</v>
      </c>
      <c r="N259" s="1">
        <v>0.66372249999999999</v>
      </c>
      <c r="O259" s="1">
        <f>Table25[[#This Row],[Time]]-TIME(0,0,4)</f>
        <v>0.66367620370370373</v>
      </c>
      <c r="P259" t="s">
        <v>9</v>
      </c>
      <c r="Q259">
        <v>-124</v>
      </c>
      <c r="R259">
        <f>Table25[[#This Row],[RSSI]]</f>
        <v>-124</v>
      </c>
      <c r="S259">
        <v>-2.7</v>
      </c>
    </row>
    <row r="260" spans="2:19" x14ac:dyDescent="0.25">
      <c r="B260">
        <f>480+2*(Table14[[#This Row],[min value (corrected)]]-49)</f>
        <v>492</v>
      </c>
      <c r="C260">
        <f>MINUTE(Table14[[#This Row],[Corrected time]])</f>
        <v>55</v>
      </c>
      <c r="D260" s="1">
        <v>0.49717719907407409</v>
      </c>
      <c r="E260" s="1">
        <f>Table14[[#This Row],[Time]]-TIME(0,0,8)</f>
        <v>0.49708460648148151</v>
      </c>
      <c r="F260" t="s">
        <v>9</v>
      </c>
      <c r="G260" t="s">
        <v>19</v>
      </c>
      <c r="H260">
        <f t="shared" ref="H260:H323" si="5">VALUE(LEFT(G260,LEN(G260)-1))</f>
        <v>-124</v>
      </c>
      <c r="I260">
        <v>-2.7</v>
      </c>
      <c r="L260">
        <f>480+2*(Table25[[#This Row],[min value (corrected)]]-49)</f>
        <v>492</v>
      </c>
      <c r="M260">
        <f>MINUTE(Table25[[#This Row],[Corrected time]])</f>
        <v>55</v>
      </c>
      <c r="N260" s="1">
        <v>0.663742337962963</v>
      </c>
      <c r="O260" s="1">
        <f>Table25[[#This Row],[Time]]-TIME(0,0,4)</f>
        <v>0.66369604166666674</v>
      </c>
      <c r="P260" t="s">
        <v>9</v>
      </c>
      <c r="Q260">
        <v>-124</v>
      </c>
      <c r="R260">
        <f>Table25[[#This Row],[RSSI]]</f>
        <v>-124</v>
      </c>
      <c r="S260">
        <v>-3</v>
      </c>
    </row>
    <row r="261" spans="2:19" x14ac:dyDescent="0.25">
      <c r="B261">
        <f>480+2*(Table14[[#This Row],[min value (corrected)]]-49)</f>
        <v>492</v>
      </c>
      <c r="C261">
        <f>MINUTE(Table14[[#This Row],[Corrected time]])</f>
        <v>55</v>
      </c>
      <c r="D261" s="1">
        <v>0.49719703703703705</v>
      </c>
      <c r="E261" s="1">
        <f>Table14[[#This Row],[Time]]-TIME(0,0,8)</f>
        <v>0.49710444444444446</v>
      </c>
      <c r="F261" t="s">
        <v>9</v>
      </c>
      <c r="G261" t="s">
        <v>19</v>
      </c>
      <c r="H261">
        <f t="shared" si="5"/>
        <v>-124</v>
      </c>
      <c r="I261">
        <v>-2.7</v>
      </c>
      <c r="L261">
        <f>480+2*(Table25[[#This Row],[min value (corrected)]]-49)</f>
        <v>492</v>
      </c>
      <c r="M261">
        <f>MINUTE(Table25[[#This Row],[Corrected time]])</f>
        <v>55</v>
      </c>
      <c r="N261" s="1">
        <v>0.66376217592592601</v>
      </c>
      <c r="O261" s="1">
        <f>Table25[[#This Row],[Time]]-TIME(0,0,4)</f>
        <v>0.66371587962962975</v>
      </c>
      <c r="P261" t="s">
        <v>9</v>
      </c>
      <c r="Q261">
        <v>-124</v>
      </c>
      <c r="R261">
        <f>Table25[[#This Row],[RSSI]]</f>
        <v>-124</v>
      </c>
      <c r="S261">
        <v>-3</v>
      </c>
    </row>
    <row r="262" spans="2:19" x14ac:dyDescent="0.25">
      <c r="B262">
        <f>480+2*(Table14[[#This Row],[min value (corrected)]]-49)</f>
        <v>492</v>
      </c>
      <c r="C262">
        <f>MINUTE(Table14[[#This Row],[Corrected time]])</f>
        <v>55</v>
      </c>
      <c r="D262" s="1">
        <v>0.49721686342592591</v>
      </c>
      <c r="E262" s="1">
        <f>Table14[[#This Row],[Time]]-TIME(0,0,8)</f>
        <v>0.49712427083333333</v>
      </c>
      <c r="F262" t="s">
        <v>9</v>
      </c>
      <c r="G262" t="s">
        <v>19</v>
      </c>
      <c r="H262">
        <f t="shared" si="5"/>
        <v>-124</v>
      </c>
      <c r="I262">
        <v>-3.2</v>
      </c>
      <c r="L262">
        <f>480+2*(Table25[[#This Row],[min value (corrected)]]-49)</f>
        <v>492</v>
      </c>
      <c r="M262">
        <f>MINUTE(Table25[[#This Row],[Corrected time]])</f>
        <v>55</v>
      </c>
      <c r="N262" s="1">
        <v>0.66378201388888891</v>
      </c>
      <c r="O262" s="1">
        <f>Table25[[#This Row],[Time]]-TIME(0,0,4)</f>
        <v>0.66373571759259264</v>
      </c>
      <c r="P262" t="s">
        <v>9</v>
      </c>
      <c r="Q262">
        <v>-124</v>
      </c>
      <c r="R262">
        <f>Table25[[#This Row],[RSSI]]</f>
        <v>-124</v>
      </c>
      <c r="S262">
        <v>-2.5</v>
      </c>
    </row>
    <row r="263" spans="2:19" x14ac:dyDescent="0.25">
      <c r="B263">
        <f>480+2*(Table14[[#This Row],[min value (corrected)]]-49)</f>
        <v>492</v>
      </c>
      <c r="C263">
        <f>MINUTE(Table14[[#This Row],[Corrected time]])</f>
        <v>55</v>
      </c>
      <c r="D263" s="1">
        <v>0.49723671296296296</v>
      </c>
      <c r="E263" s="1">
        <f>Table14[[#This Row],[Time]]-TIME(0,0,8)</f>
        <v>0.49714412037037037</v>
      </c>
      <c r="F263" t="s">
        <v>9</v>
      </c>
      <c r="G263" t="s">
        <v>19</v>
      </c>
      <c r="H263">
        <f t="shared" si="5"/>
        <v>-124</v>
      </c>
      <c r="I263">
        <v>-2.7</v>
      </c>
      <c r="L263">
        <f>480+2*(Table25[[#This Row],[min value (corrected)]]-49)</f>
        <v>492</v>
      </c>
      <c r="M263">
        <f>MINUTE(Table25[[#This Row],[Corrected time]])</f>
        <v>55</v>
      </c>
      <c r="N263" s="1">
        <v>0.66380185185185192</v>
      </c>
      <c r="O263" s="1">
        <f>Table25[[#This Row],[Time]]-TIME(0,0,4)</f>
        <v>0.66375555555555565</v>
      </c>
      <c r="P263" t="s">
        <v>9</v>
      </c>
      <c r="Q263">
        <v>-124</v>
      </c>
      <c r="R263">
        <f>Table25[[#This Row],[RSSI]]</f>
        <v>-124</v>
      </c>
      <c r="S263">
        <v>-3</v>
      </c>
    </row>
    <row r="264" spans="2:19" x14ac:dyDescent="0.25">
      <c r="B264">
        <f>480+2*(Table14[[#This Row],[min value (corrected)]]-49)</f>
        <v>492</v>
      </c>
      <c r="C264">
        <f>MINUTE(Table14[[#This Row],[Corrected time]])</f>
        <v>55</v>
      </c>
      <c r="D264" s="1">
        <v>0.49725653935185182</v>
      </c>
      <c r="E264" s="1">
        <f>Table14[[#This Row],[Time]]-TIME(0,0,8)</f>
        <v>0.49716394675925923</v>
      </c>
      <c r="F264" t="s">
        <v>9</v>
      </c>
      <c r="G264" t="s">
        <v>19</v>
      </c>
      <c r="H264">
        <f t="shared" si="5"/>
        <v>-124</v>
      </c>
      <c r="I264">
        <v>-2.2000000000000002</v>
      </c>
      <c r="L264">
        <f>480+2*(Table25[[#This Row],[min value (corrected)]]-49)</f>
        <v>492</v>
      </c>
      <c r="M264">
        <f>MINUTE(Table25[[#This Row],[Corrected time]])</f>
        <v>55</v>
      </c>
      <c r="N264" s="1">
        <v>0.66382167824074079</v>
      </c>
      <c r="O264" s="1">
        <f>Table25[[#This Row],[Time]]-TIME(0,0,4)</f>
        <v>0.66377538194444452</v>
      </c>
      <c r="P264" t="s">
        <v>9</v>
      </c>
      <c r="Q264">
        <v>-123</v>
      </c>
      <c r="R264">
        <f>Table25[[#This Row],[RSSI]]</f>
        <v>-123</v>
      </c>
      <c r="S264">
        <v>-2.7</v>
      </c>
    </row>
    <row r="265" spans="2:19" x14ac:dyDescent="0.25">
      <c r="B265">
        <f>480+2*(Table14[[#This Row],[min value (corrected)]]-49)</f>
        <v>492</v>
      </c>
      <c r="C265">
        <f>MINUTE(Table14[[#This Row],[Corrected time]])</f>
        <v>55</v>
      </c>
      <c r="D265" s="1">
        <v>0.49727638888888887</v>
      </c>
      <c r="E265" s="1">
        <f>Table14[[#This Row],[Time]]-TIME(0,0,8)</f>
        <v>0.49718379629629628</v>
      </c>
      <c r="F265" t="s">
        <v>9</v>
      </c>
      <c r="G265" t="s">
        <v>19</v>
      </c>
      <c r="H265">
        <f t="shared" si="5"/>
        <v>-124</v>
      </c>
      <c r="I265">
        <v>-3</v>
      </c>
      <c r="L265">
        <f>480+2*(Table25[[#This Row],[min value (corrected)]]-49)</f>
        <v>492</v>
      </c>
      <c r="M265">
        <f>MINUTE(Table25[[#This Row],[Corrected time]])</f>
        <v>55</v>
      </c>
      <c r="N265" s="1">
        <v>0.66384151620370369</v>
      </c>
      <c r="O265" s="1">
        <f>Table25[[#This Row],[Time]]-TIME(0,0,4)</f>
        <v>0.66379521990740742</v>
      </c>
      <c r="P265" t="s">
        <v>9</v>
      </c>
      <c r="Q265">
        <v>-124</v>
      </c>
      <c r="R265">
        <f>Table25[[#This Row],[RSSI]]</f>
        <v>-124</v>
      </c>
      <c r="S265">
        <v>-2.7</v>
      </c>
    </row>
    <row r="266" spans="2:19" x14ac:dyDescent="0.25">
      <c r="B266">
        <f>480+2*(Table14[[#This Row],[min value (corrected)]]-49)</f>
        <v>492</v>
      </c>
      <c r="C266">
        <f>MINUTE(Table14[[#This Row],[Corrected time]])</f>
        <v>55</v>
      </c>
      <c r="D266" s="1">
        <v>0.49729622685185187</v>
      </c>
      <c r="E266" s="1">
        <f>Table14[[#This Row],[Time]]-TIME(0,0,8)</f>
        <v>0.49720363425925929</v>
      </c>
      <c r="F266" t="s">
        <v>9</v>
      </c>
      <c r="G266" t="s">
        <v>19</v>
      </c>
      <c r="H266">
        <f t="shared" si="5"/>
        <v>-124</v>
      </c>
      <c r="I266">
        <v>-3.5</v>
      </c>
      <c r="L266">
        <f>480+2*(Table25[[#This Row],[min value (corrected)]]-49)</f>
        <v>492</v>
      </c>
      <c r="M266">
        <f>MINUTE(Table25[[#This Row],[Corrected time]])</f>
        <v>55</v>
      </c>
      <c r="N266" s="1">
        <v>0.66386136574074073</v>
      </c>
      <c r="O266" s="1">
        <f>Table25[[#This Row],[Time]]-TIME(0,0,4)</f>
        <v>0.66381506944444446</v>
      </c>
      <c r="P266" t="s">
        <v>9</v>
      </c>
      <c r="Q266">
        <v>-124</v>
      </c>
      <c r="R266">
        <f>Table25[[#This Row],[RSSI]]</f>
        <v>-124</v>
      </c>
      <c r="S266">
        <v>-2.2000000000000002</v>
      </c>
    </row>
    <row r="267" spans="2:19" x14ac:dyDescent="0.25">
      <c r="B267">
        <f>480+2*(Table14[[#This Row],[min value (corrected)]]-49)</f>
        <v>494</v>
      </c>
      <c r="C267">
        <f>MINUTE(Table14[[#This Row],[Corrected time]])</f>
        <v>56</v>
      </c>
      <c r="D267" s="1">
        <v>0.49731606481481483</v>
      </c>
      <c r="E267" s="1">
        <f>Table14[[#This Row],[Time]]-TIME(0,0,8)</f>
        <v>0.49722347222222224</v>
      </c>
      <c r="F267" t="s">
        <v>9</v>
      </c>
      <c r="G267" t="s">
        <v>28</v>
      </c>
      <c r="H267">
        <f t="shared" si="5"/>
        <v>-125</v>
      </c>
      <c r="I267">
        <v>-4</v>
      </c>
      <c r="L267">
        <f>480+2*(Table25[[#This Row],[min value (corrected)]]-49)</f>
        <v>492</v>
      </c>
      <c r="M267">
        <f>MINUTE(Table25[[#This Row],[Corrected time]])</f>
        <v>55</v>
      </c>
      <c r="N267" s="1">
        <v>0.66388120370370374</v>
      </c>
      <c r="O267" s="1">
        <f>Table25[[#This Row],[Time]]-TIME(0,0,4)</f>
        <v>0.66383490740740747</v>
      </c>
      <c r="P267" t="s">
        <v>9</v>
      </c>
      <c r="Q267">
        <v>-124</v>
      </c>
      <c r="R267">
        <f>Table25[[#This Row],[RSSI]]</f>
        <v>-124</v>
      </c>
      <c r="S267">
        <v>-2.7</v>
      </c>
    </row>
    <row r="268" spans="2:19" x14ac:dyDescent="0.25">
      <c r="B268">
        <f>480+2*(Table14[[#This Row],[min value (corrected)]]-49)</f>
        <v>494</v>
      </c>
      <c r="C268">
        <f>MINUTE(Table14[[#This Row],[Corrected time]])</f>
        <v>56</v>
      </c>
      <c r="D268" s="1">
        <v>0.49733589120370375</v>
      </c>
      <c r="E268" s="1">
        <f>Table14[[#This Row],[Time]]-TIME(0,0,8)</f>
        <v>0.49724329861111116</v>
      </c>
      <c r="F268" t="s">
        <v>9</v>
      </c>
      <c r="G268" t="s">
        <v>19</v>
      </c>
      <c r="H268">
        <f t="shared" si="5"/>
        <v>-124</v>
      </c>
      <c r="I268">
        <v>-3.2</v>
      </c>
      <c r="L268">
        <f>480+2*(Table25[[#This Row],[min value (corrected)]]-49)</f>
        <v>492</v>
      </c>
      <c r="M268">
        <f>MINUTE(Table25[[#This Row],[Corrected time]])</f>
        <v>55</v>
      </c>
      <c r="N268" s="1">
        <v>0.66390104166666675</v>
      </c>
      <c r="O268" s="1">
        <f>Table25[[#This Row],[Time]]-TIME(0,0,4)</f>
        <v>0.66385474537037048</v>
      </c>
      <c r="P268" t="s">
        <v>9</v>
      </c>
      <c r="Q268">
        <v>-123</v>
      </c>
      <c r="R268">
        <f>Table25[[#This Row],[RSSI]]</f>
        <v>-123</v>
      </c>
      <c r="S268">
        <v>-2.7</v>
      </c>
    </row>
    <row r="269" spans="2:19" x14ac:dyDescent="0.25">
      <c r="B269">
        <f>480+2*(Table14[[#This Row],[min value (corrected)]]-49)</f>
        <v>494</v>
      </c>
      <c r="C269">
        <f>MINUTE(Table14[[#This Row],[Corrected time]])</f>
        <v>56</v>
      </c>
      <c r="D269" s="1">
        <v>0.49735574074074074</v>
      </c>
      <c r="E269" s="1">
        <f>Table14[[#This Row],[Time]]-TIME(0,0,8)</f>
        <v>0.49726314814814815</v>
      </c>
      <c r="F269" t="s">
        <v>9</v>
      </c>
      <c r="G269" t="s">
        <v>19</v>
      </c>
      <c r="H269">
        <f t="shared" si="5"/>
        <v>-124</v>
      </c>
      <c r="I269">
        <v>-3.5</v>
      </c>
      <c r="L269">
        <f>480+2*(Table25[[#This Row],[min value (corrected)]]-49)</f>
        <v>492</v>
      </c>
      <c r="M269">
        <f>MINUTE(Table25[[#This Row],[Corrected time]])</f>
        <v>55</v>
      </c>
      <c r="N269" s="1">
        <v>0.66392087962962965</v>
      </c>
      <c r="O269" s="1">
        <f>Table25[[#This Row],[Time]]-TIME(0,0,4)</f>
        <v>0.66387458333333338</v>
      </c>
      <c r="P269" t="s">
        <v>9</v>
      </c>
      <c r="Q269">
        <v>-124</v>
      </c>
      <c r="R269">
        <f>Table25[[#This Row],[RSSI]]</f>
        <v>-124</v>
      </c>
      <c r="S269">
        <v>-3.2</v>
      </c>
    </row>
    <row r="270" spans="2:19" x14ac:dyDescent="0.25">
      <c r="B270">
        <f>480+2*(Table14[[#This Row],[min value (corrected)]]-49)</f>
        <v>494</v>
      </c>
      <c r="C270">
        <f>MINUTE(Table14[[#This Row],[Corrected time]])</f>
        <v>56</v>
      </c>
      <c r="D270" s="1">
        <v>0.49737556712962966</v>
      </c>
      <c r="E270" s="1">
        <f>Table14[[#This Row],[Time]]-TIME(0,0,8)</f>
        <v>0.49728297453703707</v>
      </c>
      <c r="F270" t="s">
        <v>9</v>
      </c>
      <c r="G270" t="s">
        <v>19</v>
      </c>
      <c r="H270">
        <f t="shared" si="5"/>
        <v>-124</v>
      </c>
      <c r="I270">
        <v>-3.5</v>
      </c>
      <c r="L270">
        <f>480+2*(Table25[[#This Row],[min value (corrected)]]-49)</f>
        <v>494</v>
      </c>
      <c r="M270">
        <f>MINUTE(Table25[[#This Row],[Corrected time]])</f>
        <v>56</v>
      </c>
      <c r="N270" s="1">
        <v>0.66394071759259266</v>
      </c>
      <c r="O270" s="1">
        <f>Table25[[#This Row],[Time]]-TIME(0,0,4)</f>
        <v>0.66389442129629639</v>
      </c>
      <c r="P270" t="s">
        <v>9</v>
      </c>
      <c r="Q270">
        <v>-125</v>
      </c>
      <c r="R270">
        <f>Table25[[#This Row],[RSSI]]</f>
        <v>-125</v>
      </c>
      <c r="S270">
        <v>-3.7</v>
      </c>
    </row>
    <row r="271" spans="2:19" x14ac:dyDescent="0.25">
      <c r="B271">
        <f>480+2*(Table14[[#This Row],[min value (corrected)]]-49)</f>
        <v>494</v>
      </c>
      <c r="C271">
        <f>MINUTE(Table14[[#This Row],[Corrected time]])</f>
        <v>56</v>
      </c>
      <c r="D271" s="1">
        <v>0.49739540509259261</v>
      </c>
      <c r="E271" s="1">
        <f>Table14[[#This Row],[Time]]-TIME(0,0,8)</f>
        <v>0.49730281250000002</v>
      </c>
      <c r="F271" t="s">
        <v>9</v>
      </c>
      <c r="G271" t="s">
        <v>28</v>
      </c>
      <c r="H271">
        <f t="shared" si="5"/>
        <v>-125</v>
      </c>
      <c r="I271">
        <v>-3.7</v>
      </c>
      <c r="L271">
        <f>480+2*(Table25[[#This Row],[min value (corrected)]]-49)</f>
        <v>494</v>
      </c>
      <c r="M271">
        <f>MINUTE(Table25[[#This Row],[Corrected time]])</f>
        <v>56</v>
      </c>
      <c r="N271" s="1">
        <v>0.66396053240740749</v>
      </c>
      <c r="O271" s="1">
        <f>Table25[[#This Row],[Time]]-TIME(0,0,4)</f>
        <v>0.66391423611111122</v>
      </c>
      <c r="P271" t="s">
        <v>9</v>
      </c>
      <c r="Q271">
        <v>-124</v>
      </c>
      <c r="R271">
        <f>Table25[[#This Row],[RSSI]]</f>
        <v>-124</v>
      </c>
      <c r="S271">
        <v>-3.2</v>
      </c>
    </row>
    <row r="272" spans="2:19" x14ac:dyDescent="0.25">
      <c r="B272">
        <f>480+2*(Table14[[#This Row],[min value (corrected)]]-49)</f>
        <v>494</v>
      </c>
      <c r="C272">
        <f>MINUTE(Table14[[#This Row],[Corrected time]])</f>
        <v>56</v>
      </c>
      <c r="D272" s="1">
        <v>0.49741524305555557</v>
      </c>
      <c r="E272" s="1">
        <f>Table14[[#This Row],[Time]]-TIME(0,0,8)</f>
        <v>0.49732265046296298</v>
      </c>
      <c r="F272" t="s">
        <v>13</v>
      </c>
      <c r="G272" t="str">
        <f>G271</f>
        <v>-125.0,</v>
      </c>
      <c r="H272">
        <f>H271-0.5</f>
        <v>-125.5</v>
      </c>
      <c r="I272">
        <f>I271-0.5</f>
        <v>-4.2</v>
      </c>
      <c r="L272">
        <f>480+2*(Table25[[#This Row],[min value (corrected)]]-49)</f>
        <v>494</v>
      </c>
      <c r="M272">
        <f>MINUTE(Table25[[#This Row],[Corrected time]])</f>
        <v>56</v>
      </c>
      <c r="N272" s="1">
        <v>0.66398039351851856</v>
      </c>
      <c r="O272" s="1">
        <f>Table25[[#This Row],[Time]]-TIME(0,0,4)</f>
        <v>0.6639340972222223</v>
      </c>
      <c r="P272" t="s">
        <v>9</v>
      </c>
      <c r="Q272">
        <v>-124</v>
      </c>
      <c r="R272">
        <f>Table25[[#This Row],[RSSI]]</f>
        <v>-124</v>
      </c>
      <c r="S272">
        <v>-3.5</v>
      </c>
    </row>
    <row r="273" spans="2:19" x14ac:dyDescent="0.25">
      <c r="B273">
        <f>480+2*(Table14[[#This Row],[min value (corrected)]]-49)</f>
        <v>494</v>
      </c>
      <c r="C273">
        <f>MINUTE(Table14[[#This Row],[Corrected time]])</f>
        <v>56</v>
      </c>
      <c r="D273" s="1">
        <v>0.49743509259259261</v>
      </c>
      <c r="E273" s="1">
        <f>Table14[[#This Row],[Time]]-TIME(0,0,8)</f>
        <v>0.49734250000000002</v>
      </c>
      <c r="F273" t="s">
        <v>9</v>
      </c>
      <c r="G273" t="s">
        <v>19</v>
      </c>
      <c r="H273">
        <f t="shared" si="5"/>
        <v>-124</v>
      </c>
      <c r="I273">
        <v>-2.7</v>
      </c>
      <c r="L273">
        <f>480+2*(Table25[[#This Row],[min value (corrected)]]-49)</f>
        <v>494</v>
      </c>
      <c r="M273">
        <f>MINUTE(Table25[[#This Row],[Corrected time]])</f>
        <v>56</v>
      </c>
      <c r="N273" s="1">
        <v>0.66400023148148146</v>
      </c>
      <c r="O273" s="1">
        <f>Table25[[#This Row],[Time]]-TIME(0,0,4)</f>
        <v>0.6639539351851852</v>
      </c>
      <c r="P273" t="s">
        <v>9</v>
      </c>
      <c r="Q273">
        <v>-124</v>
      </c>
      <c r="R273">
        <f>Table25[[#This Row],[RSSI]]</f>
        <v>-124</v>
      </c>
      <c r="S273">
        <v>-3.5</v>
      </c>
    </row>
    <row r="274" spans="2:19" x14ac:dyDescent="0.25">
      <c r="B274">
        <f>480+2*(Table14[[#This Row],[min value (corrected)]]-49)</f>
        <v>494</v>
      </c>
      <c r="C274">
        <f>MINUTE(Table14[[#This Row],[Corrected time]])</f>
        <v>56</v>
      </c>
      <c r="D274" s="1">
        <v>0.49745491898148153</v>
      </c>
      <c r="E274" s="1">
        <f>Table14[[#This Row],[Time]]-TIME(0,0,8)</f>
        <v>0.49736232638888894</v>
      </c>
      <c r="F274" t="s">
        <v>9</v>
      </c>
      <c r="G274" t="s">
        <v>19</v>
      </c>
      <c r="H274">
        <f t="shared" si="5"/>
        <v>-124</v>
      </c>
      <c r="I274">
        <v>-3</v>
      </c>
      <c r="L274">
        <f>480+2*(Table25[[#This Row],[min value (corrected)]]-49)</f>
        <v>494</v>
      </c>
      <c r="M274">
        <f>MINUTE(Table25[[#This Row],[Corrected time]])</f>
        <v>56</v>
      </c>
      <c r="N274" s="1">
        <v>0.66402005787037033</v>
      </c>
      <c r="O274" s="1">
        <f>Table25[[#This Row],[Time]]-TIME(0,0,4)</f>
        <v>0.66397376157407406</v>
      </c>
      <c r="P274" t="s">
        <v>9</v>
      </c>
      <c r="Q274">
        <v>-124</v>
      </c>
      <c r="R274">
        <f>Table25[[#This Row],[RSSI]]</f>
        <v>-124</v>
      </c>
      <c r="S274">
        <v>-3.5</v>
      </c>
    </row>
    <row r="275" spans="2:19" x14ac:dyDescent="0.25">
      <c r="B275">
        <f>480+2*(Table14[[#This Row],[min value (corrected)]]-49)</f>
        <v>494</v>
      </c>
      <c r="C275">
        <f>MINUTE(Table14[[#This Row],[Corrected time]])</f>
        <v>56</v>
      </c>
      <c r="D275" s="1">
        <v>0.49747475694444449</v>
      </c>
      <c r="E275" s="1">
        <f>Table14[[#This Row],[Time]]-TIME(0,0,8)</f>
        <v>0.4973821643518519</v>
      </c>
      <c r="F275" t="s">
        <v>9</v>
      </c>
      <c r="G275" t="s">
        <v>19</v>
      </c>
      <c r="H275">
        <f t="shared" si="5"/>
        <v>-124</v>
      </c>
      <c r="I275">
        <v>-2.5</v>
      </c>
      <c r="L275">
        <f>480+2*(Table25[[#This Row],[min value (corrected)]]-49)</f>
        <v>494</v>
      </c>
      <c r="M275">
        <f>MINUTE(Table25[[#This Row],[Corrected time]])</f>
        <v>56</v>
      </c>
      <c r="N275" s="1">
        <v>0.66403990740740748</v>
      </c>
      <c r="O275" s="1">
        <f>Table25[[#This Row],[Time]]-TIME(0,0,4)</f>
        <v>0.66399361111111121</v>
      </c>
      <c r="P275" t="s">
        <v>13</v>
      </c>
      <c r="Q275">
        <f>Q274</f>
        <v>-124</v>
      </c>
      <c r="R275">
        <f>Table25[[#This Row],[RSSI]]</f>
        <v>-124</v>
      </c>
    </row>
    <row r="276" spans="2:19" x14ac:dyDescent="0.25">
      <c r="B276">
        <f>480+2*(Table14[[#This Row],[min value (corrected)]]-49)</f>
        <v>494</v>
      </c>
      <c r="C276">
        <f>MINUTE(Table14[[#This Row],[Corrected time]])</f>
        <v>56</v>
      </c>
      <c r="D276" s="1">
        <v>0.49749458333333335</v>
      </c>
      <c r="E276" s="1">
        <f>Table14[[#This Row],[Time]]-TIME(0,0,8)</f>
        <v>0.49740199074074076</v>
      </c>
      <c r="F276" t="s">
        <v>9</v>
      </c>
      <c r="G276" t="s">
        <v>19</v>
      </c>
      <c r="H276">
        <f t="shared" si="5"/>
        <v>-124</v>
      </c>
      <c r="I276">
        <v>-3</v>
      </c>
      <c r="L276">
        <f>480+2*(Table25[[#This Row],[min value (corrected)]]-49)</f>
        <v>494</v>
      </c>
      <c r="M276">
        <f>MINUTE(Table25[[#This Row],[Corrected time]])</f>
        <v>56</v>
      </c>
      <c r="N276" s="1">
        <v>0.66405974537037038</v>
      </c>
      <c r="O276" s="1">
        <f>Table25[[#This Row],[Time]]-TIME(0,0,4)</f>
        <v>0.66401344907407411</v>
      </c>
      <c r="P276" t="s">
        <v>9</v>
      </c>
      <c r="Q276">
        <v>-124</v>
      </c>
      <c r="R276">
        <f>Table25[[#This Row],[RSSI]]</f>
        <v>-124</v>
      </c>
      <c r="S276">
        <v>-2.7</v>
      </c>
    </row>
    <row r="277" spans="2:19" x14ac:dyDescent="0.25">
      <c r="B277">
        <f>480+2*(Table14[[#This Row],[min value (corrected)]]-49)</f>
        <v>494</v>
      </c>
      <c r="C277">
        <f>MINUTE(Table14[[#This Row],[Corrected time]])</f>
        <v>56</v>
      </c>
      <c r="D277" s="1">
        <v>0.49751442129629631</v>
      </c>
      <c r="E277" s="1">
        <f>Table14[[#This Row],[Time]]-TIME(0,0,8)</f>
        <v>0.49742182870370372</v>
      </c>
      <c r="F277" t="s">
        <v>9</v>
      </c>
      <c r="G277" t="s">
        <v>19</v>
      </c>
      <c r="H277">
        <f t="shared" si="5"/>
        <v>-124</v>
      </c>
      <c r="I277">
        <v>-2.7</v>
      </c>
      <c r="L277">
        <f>480+2*(Table25[[#This Row],[min value (corrected)]]-49)</f>
        <v>494</v>
      </c>
      <c r="M277">
        <f>MINUTE(Table25[[#This Row],[Corrected time]])</f>
        <v>56</v>
      </c>
      <c r="N277" s="1">
        <v>0.66407957175925925</v>
      </c>
      <c r="O277" s="1">
        <f>Table25[[#This Row],[Time]]-TIME(0,0,4)</f>
        <v>0.66403327546296298</v>
      </c>
      <c r="P277" t="s">
        <v>9</v>
      </c>
      <c r="Q277">
        <v>-124</v>
      </c>
      <c r="R277">
        <f>Table25[[#This Row],[RSSI]]</f>
        <v>-124</v>
      </c>
      <c r="S277">
        <v>-2.5</v>
      </c>
    </row>
    <row r="278" spans="2:19" x14ac:dyDescent="0.25">
      <c r="B278">
        <f>480+2*(Table14[[#This Row],[min value (corrected)]]-49)</f>
        <v>494</v>
      </c>
      <c r="C278">
        <f>MINUTE(Table14[[#This Row],[Corrected time]])</f>
        <v>56</v>
      </c>
      <c r="D278" s="1">
        <v>0.49753427083333335</v>
      </c>
      <c r="E278" s="1">
        <f>Table14[[#This Row],[Time]]-TIME(0,0,8)</f>
        <v>0.49744167824074076</v>
      </c>
      <c r="F278" t="s">
        <v>9</v>
      </c>
      <c r="G278" t="s">
        <v>19</v>
      </c>
      <c r="H278">
        <f t="shared" si="5"/>
        <v>-124</v>
      </c>
      <c r="I278">
        <v>-2.7</v>
      </c>
      <c r="L278">
        <f>480+2*(Table25[[#This Row],[min value (corrected)]]-49)</f>
        <v>494</v>
      </c>
      <c r="M278">
        <f>MINUTE(Table25[[#This Row],[Corrected time]])</f>
        <v>56</v>
      </c>
      <c r="N278" s="1">
        <v>0.66409940972222226</v>
      </c>
      <c r="O278" s="1">
        <f>Table25[[#This Row],[Time]]-TIME(0,0,4)</f>
        <v>0.66405311342592599</v>
      </c>
      <c r="P278" t="s">
        <v>9</v>
      </c>
      <c r="Q278">
        <v>-124</v>
      </c>
      <c r="R278">
        <f>Table25[[#This Row],[RSSI]]</f>
        <v>-124</v>
      </c>
      <c r="S278">
        <v>-2.5</v>
      </c>
    </row>
    <row r="279" spans="2:19" x14ac:dyDescent="0.25">
      <c r="B279">
        <f>480+2*(Table14[[#This Row],[min value (corrected)]]-49)</f>
        <v>494</v>
      </c>
      <c r="C279">
        <f>MINUTE(Table14[[#This Row],[Corrected time]])</f>
        <v>56</v>
      </c>
      <c r="D279" s="1">
        <v>0.49755410879629636</v>
      </c>
      <c r="E279" s="1">
        <f>Table14[[#This Row],[Time]]-TIME(0,0,8)</f>
        <v>0.49746151620370377</v>
      </c>
      <c r="F279" t="s">
        <v>9</v>
      </c>
      <c r="G279" t="s">
        <v>19</v>
      </c>
      <c r="H279">
        <f t="shared" si="5"/>
        <v>-124</v>
      </c>
      <c r="I279">
        <v>-2.5</v>
      </c>
      <c r="L279">
        <f>480+2*(Table25[[#This Row],[min value (corrected)]]-49)</f>
        <v>494</v>
      </c>
      <c r="M279">
        <f>MINUTE(Table25[[#This Row],[Corrected time]])</f>
        <v>56</v>
      </c>
      <c r="N279" s="1">
        <v>0.6641192592592593</v>
      </c>
      <c r="O279" s="1">
        <f>Table25[[#This Row],[Time]]-TIME(0,0,4)</f>
        <v>0.66407296296296303</v>
      </c>
      <c r="P279" t="s">
        <v>9</v>
      </c>
      <c r="Q279">
        <v>-124</v>
      </c>
      <c r="R279">
        <f>Table25[[#This Row],[RSSI]]</f>
        <v>-124</v>
      </c>
      <c r="S279">
        <v>-2.7</v>
      </c>
    </row>
    <row r="280" spans="2:19" x14ac:dyDescent="0.25">
      <c r="B280">
        <f>480+2*(Table14[[#This Row],[min value (corrected)]]-49)</f>
        <v>494</v>
      </c>
      <c r="C280">
        <f>MINUTE(Table14[[#This Row],[Corrected time]])</f>
        <v>56</v>
      </c>
      <c r="D280" s="1">
        <v>0.49757394675925931</v>
      </c>
      <c r="E280" s="1">
        <f>Table14[[#This Row],[Time]]-TIME(0,0,8)</f>
        <v>0.49748135416666672</v>
      </c>
      <c r="F280" t="s">
        <v>9</v>
      </c>
      <c r="G280" t="s">
        <v>12</v>
      </c>
      <c r="H280">
        <f t="shared" si="5"/>
        <v>-123</v>
      </c>
      <c r="I280">
        <v>-2.7</v>
      </c>
      <c r="L280">
        <f>480+2*(Table25[[#This Row],[min value (corrected)]]-49)</f>
        <v>494</v>
      </c>
      <c r="M280">
        <f>MINUTE(Table25[[#This Row],[Corrected time]])</f>
        <v>56</v>
      </c>
      <c r="N280" s="1">
        <v>0.6641390972222222</v>
      </c>
      <c r="O280" s="1">
        <f>Table25[[#This Row],[Time]]-TIME(0,0,4)</f>
        <v>0.66409280092592593</v>
      </c>
      <c r="P280" t="s">
        <v>9</v>
      </c>
      <c r="Q280">
        <v>-124</v>
      </c>
      <c r="R280">
        <f>Table25[[#This Row],[RSSI]]</f>
        <v>-124</v>
      </c>
      <c r="S280">
        <v>-2.5</v>
      </c>
    </row>
    <row r="281" spans="2:19" x14ac:dyDescent="0.25">
      <c r="B281">
        <f>480+2*(Table14[[#This Row],[min value (corrected)]]-49)</f>
        <v>494</v>
      </c>
      <c r="C281">
        <f>MINUTE(Table14[[#This Row],[Corrected time]])</f>
        <v>56</v>
      </c>
      <c r="D281" s="1">
        <v>0.49759378472222227</v>
      </c>
      <c r="E281" s="1">
        <f>Table14[[#This Row],[Time]]-TIME(0,0,8)</f>
        <v>0.49750119212962968</v>
      </c>
      <c r="F281" t="s">
        <v>9</v>
      </c>
      <c r="G281" t="s">
        <v>19</v>
      </c>
      <c r="H281">
        <f t="shared" si="5"/>
        <v>-124</v>
      </c>
      <c r="I281">
        <v>-2.5</v>
      </c>
      <c r="L281">
        <f>480+2*(Table25[[#This Row],[min value (corrected)]]-49)</f>
        <v>494</v>
      </c>
      <c r="M281">
        <f>MINUTE(Table25[[#This Row],[Corrected time]])</f>
        <v>56</v>
      </c>
      <c r="N281" s="1">
        <v>0.66415893518518521</v>
      </c>
      <c r="O281" s="1">
        <f>Table25[[#This Row],[Time]]-TIME(0,0,4)</f>
        <v>0.66411263888888894</v>
      </c>
      <c r="P281" t="s">
        <v>9</v>
      </c>
      <c r="Q281">
        <v>-124</v>
      </c>
      <c r="R281">
        <f>Table25[[#This Row],[RSSI]]</f>
        <v>-124</v>
      </c>
      <c r="S281">
        <v>-2.7</v>
      </c>
    </row>
    <row r="282" spans="2:19" x14ac:dyDescent="0.25">
      <c r="B282">
        <f>480+2*(Table14[[#This Row],[min value (corrected)]]-49)</f>
        <v>494</v>
      </c>
      <c r="C282">
        <f>MINUTE(Table14[[#This Row],[Corrected time]])</f>
        <v>56</v>
      </c>
      <c r="D282" s="1">
        <v>0.49761362268518522</v>
      </c>
      <c r="E282" s="1">
        <f>Table14[[#This Row],[Time]]-TIME(0,0,8)</f>
        <v>0.49752103009259263</v>
      </c>
      <c r="F282" t="s">
        <v>9</v>
      </c>
      <c r="G282" t="s">
        <v>19</v>
      </c>
      <c r="H282">
        <f t="shared" si="5"/>
        <v>-124</v>
      </c>
      <c r="I282">
        <v>-3</v>
      </c>
      <c r="L282">
        <f>480+2*(Table25[[#This Row],[min value (corrected)]]-49)</f>
        <v>494</v>
      </c>
      <c r="M282">
        <f>MINUTE(Table25[[#This Row],[Corrected time]])</f>
        <v>56</v>
      </c>
      <c r="N282" s="1">
        <v>0.66417877314814822</v>
      </c>
      <c r="O282" s="1">
        <f>Table25[[#This Row],[Time]]-TIME(0,0,4)</f>
        <v>0.66413247685185195</v>
      </c>
      <c r="P282" t="s">
        <v>9</v>
      </c>
      <c r="Q282">
        <v>-124</v>
      </c>
      <c r="R282">
        <f>Table25[[#This Row],[RSSI]]</f>
        <v>-124</v>
      </c>
      <c r="S282">
        <v>-3</v>
      </c>
    </row>
    <row r="283" spans="2:19" x14ac:dyDescent="0.25">
      <c r="B283">
        <f>480+2*(Table14[[#This Row],[min value (corrected)]]-49)</f>
        <v>494</v>
      </c>
      <c r="C283">
        <f>MINUTE(Table14[[#This Row],[Corrected time]])</f>
        <v>56</v>
      </c>
      <c r="D283" s="1">
        <v>0.49763346064814817</v>
      </c>
      <c r="E283" s="1">
        <f>Table14[[#This Row],[Time]]-TIME(0,0,8)</f>
        <v>0.49754086805555559</v>
      </c>
      <c r="F283" t="s">
        <v>9</v>
      </c>
      <c r="G283" t="s">
        <v>19</v>
      </c>
      <c r="H283">
        <f t="shared" si="5"/>
        <v>-124</v>
      </c>
      <c r="I283">
        <v>-2.5</v>
      </c>
      <c r="L283">
        <f>480+2*(Table25[[#This Row],[min value (corrected)]]-49)</f>
        <v>494</v>
      </c>
      <c r="M283">
        <f>MINUTE(Table25[[#This Row],[Corrected time]])</f>
        <v>56</v>
      </c>
      <c r="N283" s="1">
        <v>0.66419861111111111</v>
      </c>
      <c r="O283" s="1">
        <f>Table25[[#This Row],[Time]]-TIME(0,0,4)</f>
        <v>0.66415231481481485</v>
      </c>
      <c r="P283" t="s">
        <v>9</v>
      </c>
      <c r="Q283">
        <v>-124</v>
      </c>
      <c r="R283">
        <f>Table25[[#This Row],[RSSI]]</f>
        <v>-124</v>
      </c>
      <c r="S283">
        <v>-2.7</v>
      </c>
    </row>
    <row r="284" spans="2:19" x14ac:dyDescent="0.25">
      <c r="B284">
        <f>480+2*(Table14[[#This Row],[min value (corrected)]]-49)</f>
        <v>494</v>
      </c>
      <c r="C284">
        <f>MINUTE(Table14[[#This Row],[Corrected time]])</f>
        <v>56</v>
      </c>
      <c r="D284" s="1">
        <v>0.49765329861111113</v>
      </c>
      <c r="E284" s="1">
        <f>Table14[[#This Row],[Time]]-TIME(0,0,8)</f>
        <v>0.49756070601851854</v>
      </c>
      <c r="F284" t="s">
        <v>9</v>
      </c>
      <c r="G284" t="s">
        <v>19</v>
      </c>
      <c r="H284">
        <f t="shared" si="5"/>
        <v>-124</v>
      </c>
      <c r="I284">
        <v>-2.5</v>
      </c>
      <c r="L284">
        <f>480+2*(Table25[[#This Row],[min value (corrected)]]-49)</f>
        <v>494</v>
      </c>
      <c r="M284">
        <f>MINUTE(Table25[[#This Row],[Corrected time]])</f>
        <v>56</v>
      </c>
      <c r="N284" s="1">
        <v>0.66421844907407412</v>
      </c>
      <c r="O284" s="1">
        <f>Table25[[#This Row],[Time]]-TIME(0,0,4)</f>
        <v>0.66417215277777786</v>
      </c>
      <c r="P284" t="s">
        <v>9</v>
      </c>
      <c r="Q284">
        <v>-124</v>
      </c>
      <c r="R284">
        <f>Table25[[#This Row],[RSSI]]</f>
        <v>-124</v>
      </c>
      <c r="S284">
        <v>-2.7</v>
      </c>
    </row>
    <row r="285" spans="2:19" x14ac:dyDescent="0.25">
      <c r="B285">
        <f>480+2*(Table14[[#This Row],[min value (corrected)]]-49)</f>
        <v>494</v>
      </c>
      <c r="C285">
        <f>MINUTE(Table14[[#This Row],[Corrected time]])</f>
        <v>56</v>
      </c>
      <c r="D285" s="1">
        <v>0.49767313657407408</v>
      </c>
      <c r="E285" s="1">
        <f>Table14[[#This Row],[Time]]-TIME(0,0,8)</f>
        <v>0.49758054398148149</v>
      </c>
      <c r="F285" t="s">
        <v>9</v>
      </c>
      <c r="G285" t="s">
        <v>19</v>
      </c>
      <c r="H285">
        <f t="shared" si="5"/>
        <v>-124</v>
      </c>
      <c r="I285">
        <v>-3.2</v>
      </c>
      <c r="L285">
        <f>480+2*(Table25[[#This Row],[min value (corrected)]]-49)</f>
        <v>494</v>
      </c>
      <c r="M285">
        <f>MINUTE(Table25[[#This Row],[Corrected time]])</f>
        <v>56</v>
      </c>
      <c r="N285" s="1">
        <v>0.66423828703703702</v>
      </c>
      <c r="O285" s="1">
        <f>Table25[[#This Row],[Time]]-TIME(0,0,4)</f>
        <v>0.66419199074074076</v>
      </c>
      <c r="P285" t="s">
        <v>9</v>
      </c>
      <c r="Q285">
        <v>-124</v>
      </c>
      <c r="R285">
        <f>Table25[[#This Row],[RSSI]]</f>
        <v>-124</v>
      </c>
      <c r="S285">
        <v>-3</v>
      </c>
    </row>
    <row r="286" spans="2:19" x14ac:dyDescent="0.25">
      <c r="B286">
        <f>480+2*(Table14[[#This Row],[min value (corrected)]]-49)</f>
        <v>494</v>
      </c>
      <c r="C286">
        <f>MINUTE(Table14[[#This Row],[Corrected time]])</f>
        <v>56</v>
      </c>
      <c r="D286" s="1">
        <v>0.49769297453703709</v>
      </c>
      <c r="E286" s="1">
        <f>Table14[[#This Row],[Time]]-TIME(0,0,8)</f>
        <v>0.4976003819444445</v>
      </c>
      <c r="F286" t="s">
        <v>9</v>
      </c>
      <c r="G286" t="s">
        <v>19</v>
      </c>
      <c r="H286">
        <f t="shared" si="5"/>
        <v>-124</v>
      </c>
      <c r="I286">
        <v>-3</v>
      </c>
      <c r="L286">
        <f>480+2*(Table25[[#This Row],[min value (corrected)]]-49)</f>
        <v>494</v>
      </c>
      <c r="M286">
        <f>MINUTE(Table25[[#This Row],[Corrected time]])</f>
        <v>56</v>
      </c>
      <c r="N286" s="1">
        <v>0.66425812500000003</v>
      </c>
      <c r="O286" s="1">
        <f>Table25[[#This Row],[Time]]-TIME(0,0,4)</f>
        <v>0.66421182870370377</v>
      </c>
      <c r="P286" t="s">
        <v>9</v>
      </c>
      <c r="Q286">
        <v>-124</v>
      </c>
      <c r="R286">
        <f>Table25[[#This Row],[RSSI]]</f>
        <v>-124</v>
      </c>
      <c r="S286">
        <v>-2.5</v>
      </c>
    </row>
    <row r="287" spans="2:19" x14ac:dyDescent="0.25">
      <c r="B287">
        <f>480+2*(Table14[[#This Row],[min value (corrected)]]-49)</f>
        <v>494</v>
      </c>
      <c r="C287">
        <f>MINUTE(Table14[[#This Row],[Corrected time]])</f>
        <v>56</v>
      </c>
      <c r="D287" s="1">
        <v>0.49771281250000005</v>
      </c>
      <c r="E287" s="1">
        <f>Table14[[#This Row],[Time]]-TIME(0,0,8)</f>
        <v>0.49762021990740746</v>
      </c>
      <c r="F287" t="s">
        <v>9</v>
      </c>
      <c r="G287" t="s">
        <v>19</v>
      </c>
      <c r="H287">
        <f t="shared" si="5"/>
        <v>-124</v>
      </c>
      <c r="I287">
        <v>-2.7</v>
      </c>
      <c r="L287">
        <f>480+2*(Table25[[#This Row],[min value (corrected)]]-49)</f>
        <v>494</v>
      </c>
      <c r="M287">
        <f>MINUTE(Table25[[#This Row],[Corrected time]])</f>
        <v>56</v>
      </c>
      <c r="N287" s="1">
        <v>0.66427796296296293</v>
      </c>
      <c r="O287" s="1">
        <f>Table25[[#This Row],[Time]]-TIME(0,0,4)</f>
        <v>0.66423166666666666</v>
      </c>
      <c r="P287" t="s">
        <v>9</v>
      </c>
      <c r="Q287">
        <v>-124</v>
      </c>
      <c r="R287">
        <f>Table25[[#This Row],[RSSI]]</f>
        <v>-124</v>
      </c>
      <c r="S287">
        <v>-2.5</v>
      </c>
    </row>
    <row r="288" spans="2:19" x14ac:dyDescent="0.25">
      <c r="B288">
        <f>480+2*(Table14[[#This Row],[min value (corrected)]]-49)</f>
        <v>494</v>
      </c>
      <c r="C288">
        <f>MINUTE(Table14[[#This Row],[Corrected time]])</f>
        <v>56</v>
      </c>
      <c r="D288" s="1">
        <v>0.497732650462963</v>
      </c>
      <c r="E288" s="1">
        <f>Table14[[#This Row],[Time]]-TIME(0,0,8)</f>
        <v>0.49764005787037041</v>
      </c>
      <c r="F288" t="s">
        <v>9</v>
      </c>
      <c r="G288" t="s">
        <v>19</v>
      </c>
      <c r="H288">
        <f t="shared" si="5"/>
        <v>-124</v>
      </c>
      <c r="I288">
        <v>-3</v>
      </c>
      <c r="L288">
        <f>480+2*(Table25[[#This Row],[min value (corrected)]]-49)</f>
        <v>494</v>
      </c>
      <c r="M288">
        <f>MINUTE(Table25[[#This Row],[Corrected time]])</f>
        <v>56</v>
      </c>
      <c r="N288" s="1">
        <v>0.66429780092592594</v>
      </c>
      <c r="O288" s="1">
        <f>Table25[[#This Row],[Time]]-TIME(0,0,4)</f>
        <v>0.66425150462962967</v>
      </c>
      <c r="P288" t="s">
        <v>9</v>
      </c>
      <c r="Q288">
        <v>-124</v>
      </c>
      <c r="R288">
        <f>Table25[[#This Row],[RSSI]]</f>
        <v>-124</v>
      </c>
      <c r="S288">
        <v>-2.5</v>
      </c>
    </row>
    <row r="289" spans="2:19" x14ac:dyDescent="0.25">
      <c r="B289">
        <f>480+2*(Table14[[#This Row],[min value (corrected)]]-49)</f>
        <v>494</v>
      </c>
      <c r="C289">
        <f>MINUTE(Table14[[#This Row],[Corrected time]])</f>
        <v>56</v>
      </c>
      <c r="D289" s="1">
        <v>0.49775248842592595</v>
      </c>
      <c r="E289" s="1">
        <f>Table14[[#This Row],[Time]]-TIME(0,0,8)</f>
        <v>0.49765989583333337</v>
      </c>
      <c r="F289" t="s">
        <v>9</v>
      </c>
      <c r="G289" t="s">
        <v>19</v>
      </c>
      <c r="H289">
        <f t="shared" si="5"/>
        <v>-124</v>
      </c>
      <c r="I289">
        <v>-3.2</v>
      </c>
      <c r="L289">
        <f>480+2*(Table25[[#This Row],[min value (corrected)]]-49)</f>
        <v>494</v>
      </c>
      <c r="M289">
        <f>MINUTE(Table25[[#This Row],[Corrected time]])</f>
        <v>56</v>
      </c>
      <c r="N289" s="1">
        <v>0.66431762731481481</v>
      </c>
      <c r="O289" s="1">
        <f>Table25[[#This Row],[Time]]-TIME(0,0,4)</f>
        <v>0.66427133101851854</v>
      </c>
      <c r="P289" t="s">
        <v>9</v>
      </c>
      <c r="Q289">
        <v>-124</v>
      </c>
      <c r="R289">
        <f>Table25[[#This Row],[RSSI]]</f>
        <v>-124</v>
      </c>
      <c r="S289">
        <v>-2.7</v>
      </c>
    </row>
    <row r="290" spans="2:19" x14ac:dyDescent="0.25">
      <c r="B290">
        <f>480+2*(Table14[[#This Row],[min value (corrected)]]-49)</f>
        <v>494</v>
      </c>
      <c r="C290">
        <f>MINUTE(Table14[[#This Row],[Corrected time]])</f>
        <v>56</v>
      </c>
      <c r="D290" s="1">
        <v>0.49777231481481482</v>
      </c>
      <c r="E290" s="1">
        <f>Table14[[#This Row],[Time]]-TIME(0,0,8)</f>
        <v>0.49767972222222223</v>
      </c>
      <c r="F290" t="s">
        <v>9</v>
      </c>
      <c r="G290" t="s">
        <v>19</v>
      </c>
      <c r="H290">
        <f t="shared" si="5"/>
        <v>-124</v>
      </c>
      <c r="I290">
        <v>-3</v>
      </c>
      <c r="L290">
        <f>480+2*(Table25[[#This Row],[min value (corrected)]]-49)</f>
        <v>494</v>
      </c>
      <c r="M290">
        <f>MINUTE(Table25[[#This Row],[Corrected time]])</f>
        <v>56</v>
      </c>
      <c r="N290" s="1">
        <v>0.66433747685185185</v>
      </c>
      <c r="O290" s="1">
        <f>Table25[[#This Row],[Time]]-TIME(0,0,4)</f>
        <v>0.66429118055555558</v>
      </c>
      <c r="P290" t="s">
        <v>9</v>
      </c>
      <c r="Q290">
        <v>-124</v>
      </c>
      <c r="R290">
        <f>Table25[[#This Row],[RSSI]]</f>
        <v>-124</v>
      </c>
      <c r="S290">
        <v>-2.7</v>
      </c>
    </row>
    <row r="291" spans="2:19" x14ac:dyDescent="0.25">
      <c r="B291">
        <f>480+2*(Table14[[#This Row],[min value (corrected)]]-49)</f>
        <v>494</v>
      </c>
      <c r="C291">
        <f>MINUTE(Table14[[#This Row],[Corrected time]])</f>
        <v>56</v>
      </c>
      <c r="D291" s="1">
        <v>0.49779216435185186</v>
      </c>
      <c r="E291" s="1">
        <f>Table14[[#This Row],[Time]]-TIME(0,0,8)</f>
        <v>0.49769957175925927</v>
      </c>
      <c r="F291" t="s">
        <v>9</v>
      </c>
      <c r="G291" t="s">
        <v>19</v>
      </c>
      <c r="H291">
        <f t="shared" si="5"/>
        <v>-124</v>
      </c>
      <c r="I291">
        <v>-3.2</v>
      </c>
      <c r="L291">
        <f>480+2*(Table25[[#This Row],[min value (corrected)]]-49)</f>
        <v>494</v>
      </c>
      <c r="M291">
        <f>MINUTE(Table25[[#This Row],[Corrected time]])</f>
        <v>56</v>
      </c>
      <c r="N291" s="1">
        <v>0.66435730324074072</v>
      </c>
      <c r="O291" s="1">
        <f>Table25[[#This Row],[Time]]-TIME(0,0,4)</f>
        <v>0.66431100694444445</v>
      </c>
      <c r="P291" t="s">
        <v>9</v>
      </c>
      <c r="Q291">
        <v>-124</v>
      </c>
      <c r="R291">
        <f>Table25[[#This Row],[RSSI]]</f>
        <v>-124</v>
      </c>
      <c r="S291">
        <v>-2.7</v>
      </c>
    </row>
    <row r="292" spans="2:19" x14ac:dyDescent="0.25">
      <c r="B292">
        <f>480+2*(Table14[[#This Row],[min value (corrected)]]-49)</f>
        <v>494</v>
      </c>
      <c r="C292">
        <f>MINUTE(Table14[[#This Row],[Corrected time]])</f>
        <v>56</v>
      </c>
      <c r="D292" s="1">
        <v>0.49781200231481482</v>
      </c>
      <c r="E292" s="1">
        <f>Table14[[#This Row],[Time]]-TIME(0,0,8)</f>
        <v>0.49771940972222223</v>
      </c>
      <c r="F292" t="s">
        <v>9</v>
      </c>
      <c r="G292" t="s">
        <v>19</v>
      </c>
      <c r="H292">
        <f t="shared" si="5"/>
        <v>-124</v>
      </c>
      <c r="I292">
        <v>-3.2</v>
      </c>
      <c r="L292">
        <f>480+2*(Table25[[#This Row],[min value (corrected)]]-49)</f>
        <v>494</v>
      </c>
      <c r="M292">
        <f>MINUTE(Table25[[#This Row],[Corrected time]])</f>
        <v>56</v>
      </c>
      <c r="N292" s="1">
        <v>0.66437715277777776</v>
      </c>
      <c r="O292" s="1">
        <f>Table25[[#This Row],[Time]]-TIME(0,0,4)</f>
        <v>0.66433085648148149</v>
      </c>
      <c r="P292" t="s">
        <v>9</v>
      </c>
      <c r="Q292">
        <v>-124</v>
      </c>
      <c r="R292">
        <f>Table25[[#This Row],[RSSI]]</f>
        <v>-124</v>
      </c>
      <c r="S292">
        <v>-2.7</v>
      </c>
    </row>
    <row r="293" spans="2:19" x14ac:dyDescent="0.25">
      <c r="B293">
        <f>480+2*(Table14[[#This Row],[min value (corrected)]]-49)</f>
        <v>494</v>
      </c>
      <c r="C293">
        <f>MINUTE(Table14[[#This Row],[Corrected time]])</f>
        <v>56</v>
      </c>
      <c r="D293" s="1">
        <v>0.49783184027777783</v>
      </c>
      <c r="E293" s="1">
        <f>Table14[[#This Row],[Time]]-TIME(0,0,8)</f>
        <v>0.49773924768518524</v>
      </c>
      <c r="F293" t="s">
        <v>9</v>
      </c>
      <c r="G293" t="s">
        <v>19</v>
      </c>
      <c r="H293">
        <f t="shared" si="5"/>
        <v>-124</v>
      </c>
      <c r="I293">
        <v>-2.5</v>
      </c>
      <c r="L293">
        <f>480+2*(Table25[[#This Row],[min value (corrected)]]-49)</f>
        <v>494</v>
      </c>
      <c r="M293">
        <f>MINUTE(Table25[[#This Row],[Corrected time]])</f>
        <v>56</v>
      </c>
      <c r="N293" s="1">
        <v>0.66439699074074077</v>
      </c>
      <c r="O293" s="1">
        <f>Table25[[#This Row],[Time]]-TIME(0,0,4)</f>
        <v>0.6643506944444445</v>
      </c>
      <c r="P293" t="s">
        <v>9</v>
      </c>
      <c r="Q293">
        <v>-124</v>
      </c>
      <c r="R293">
        <f>Table25[[#This Row],[RSSI]]</f>
        <v>-124</v>
      </c>
      <c r="S293">
        <v>-3</v>
      </c>
    </row>
    <row r="294" spans="2:19" x14ac:dyDescent="0.25">
      <c r="B294">
        <f>480+2*(Table14[[#This Row],[min value (corrected)]]-49)</f>
        <v>494</v>
      </c>
      <c r="C294">
        <f>MINUTE(Table14[[#This Row],[Corrected time]])</f>
        <v>56</v>
      </c>
      <c r="D294" s="1">
        <v>0.49785167824074078</v>
      </c>
      <c r="E294" s="1">
        <f>Table14[[#This Row],[Time]]-TIME(0,0,8)</f>
        <v>0.49775908564814819</v>
      </c>
      <c r="F294" t="s">
        <v>9</v>
      </c>
      <c r="G294" t="s">
        <v>19</v>
      </c>
      <c r="H294">
        <f t="shared" si="5"/>
        <v>-124</v>
      </c>
      <c r="I294">
        <v>-2.7</v>
      </c>
      <c r="L294">
        <f>480+2*(Table25[[#This Row],[min value (corrected)]]-49)</f>
        <v>494</v>
      </c>
      <c r="M294">
        <f>MINUTE(Table25[[#This Row],[Corrected time]])</f>
        <v>56</v>
      </c>
      <c r="N294" s="1">
        <v>0.66441682870370367</v>
      </c>
      <c r="O294" s="1">
        <f>Table25[[#This Row],[Time]]-TIME(0,0,4)</f>
        <v>0.6643705324074074</v>
      </c>
      <c r="P294" t="s">
        <v>9</v>
      </c>
      <c r="Q294">
        <v>-123</v>
      </c>
      <c r="R294">
        <f>Table25[[#This Row],[RSSI]]</f>
        <v>-123</v>
      </c>
      <c r="S294">
        <v>-2.5</v>
      </c>
    </row>
    <row r="295" spans="2:19" x14ac:dyDescent="0.25">
      <c r="B295">
        <f>480+2*(Table14[[#This Row],[min value (corrected)]]-49)</f>
        <v>494</v>
      </c>
      <c r="C295">
        <f>MINUTE(Table14[[#This Row],[Corrected time]])</f>
        <v>56</v>
      </c>
      <c r="D295" s="1">
        <v>0.49787151620370373</v>
      </c>
      <c r="E295" s="1">
        <f>Table14[[#This Row],[Time]]-TIME(0,0,8)</f>
        <v>0.49777892361111115</v>
      </c>
      <c r="F295" t="s">
        <v>9</v>
      </c>
      <c r="G295" t="s">
        <v>19</v>
      </c>
      <c r="H295">
        <f t="shared" si="5"/>
        <v>-124</v>
      </c>
      <c r="I295">
        <v>-2.7</v>
      </c>
      <c r="L295">
        <f>480+2*(Table25[[#This Row],[min value (corrected)]]-49)</f>
        <v>494</v>
      </c>
      <c r="M295">
        <f>MINUTE(Table25[[#This Row],[Corrected time]])</f>
        <v>56</v>
      </c>
      <c r="N295" s="1">
        <v>0.66443666666666668</v>
      </c>
      <c r="O295" s="1">
        <f>Table25[[#This Row],[Time]]-TIME(0,0,4)</f>
        <v>0.66439037037037041</v>
      </c>
      <c r="P295" t="s">
        <v>9</v>
      </c>
      <c r="Q295">
        <v>-124</v>
      </c>
      <c r="R295">
        <f>Table25[[#This Row],[RSSI]]</f>
        <v>-124</v>
      </c>
      <c r="S295">
        <v>-2.7</v>
      </c>
    </row>
    <row r="296" spans="2:19" x14ac:dyDescent="0.25">
      <c r="B296">
        <f>480+2*(Table14[[#This Row],[min value (corrected)]]-49)</f>
        <v>494</v>
      </c>
      <c r="C296">
        <f>MINUTE(Table14[[#This Row],[Corrected time]])</f>
        <v>56</v>
      </c>
      <c r="D296" s="1">
        <v>0.49789135416666669</v>
      </c>
      <c r="E296" s="1">
        <f>Table14[[#This Row],[Time]]-TIME(0,0,8)</f>
        <v>0.4977987615740741</v>
      </c>
      <c r="F296" t="s">
        <v>9</v>
      </c>
      <c r="G296" t="s">
        <v>19</v>
      </c>
      <c r="H296">
        <f t="shared" si="5"/>
        <v>-124</v>
      </c>
      <c r="I296">
        <v>-2.5</v>
      </c>
      <c r="L296">
        <f>480+2*(Table25[[#This Row],[min value (corrected)]]-49)</f>
        <v>494</v>
      </c>
      <c r="M296">
        <f>MINUTE(Table25[[#This Row],[Corrected time]])</f>
        <v>56</v>
      </c>
      <c r="N296" s="1">
        <v>0.66445650462962969</v>
      </c>
      <c r="O296" s="1">
        <f>Table25[[#This Row],[Time]]-TIME(0,0,4)</f>
        <v>0.66441020833333342</v>
      </c>
      <c r="P296" t="s">
        <v>9</v>
      </c>
      <c r="Q296">
        <v>-124</v>
      </c>
      <c r="R296">
        <f>Table25[[#This Row],[RSSI]]</f>
        <v>-124</v>
      </c>
      <c r="S296">
        <v>-3.2</v>
      </c>
    </row>
    <row r="297" spans="2:19" x14ac:dyDescent="0.25">
      <c r="B297">
        <f>480+2*(Table14[[#This Row],[min value (corrected)]]-49)</f>
        <v>494</v>
      </c>
      <c r="C297">
        <f>MINUTE(Table14[[#This Row],[Corrected time]])</f>
        <v>56</v>
      </c>
      <c r="D297" s="1">
        <v>0.49791119212962964</v>
      </c>
      <c r="E297" s="1">
        <f>Table14[[#This Row],[Time]]-TIME(0,0,8)</f>
        <v>0.49781859953703705</v>
      </c>
      <c r="F297" t="s">
        <v>9</v>
      </c>
      <c r="G297" t="s">
        <v>19</v>
      </c>
      <c r="H297">
        <f t="shared" si="5"/>
        <v>-124</v>
      </c>
      <c r="I297">
        <v>-2.7</v>
      </c>
      <c r="L297">
        <f>480+2*(Table25[[#This Row],[min value (corrected)]]-49)</f>
        <v>494</v>
      </c>
      <c r="M297">
        <f>MINUTE(Table25[[#This Row],[Corrected time]])</f>
        <v>56</v>
      </c>
      <c r="N297" s="1">
        <v>0.66447633101851844</v>
      </c>
      <c r="O297" s="1">
        <f>Table25[[#This Row],[Time]]-TIME(0,0,4)</f>
        <v>0.66443003472222217</v>
      </c>
      <c r="P297" t="s">
        <v>9</v>
      </c>
      <c r="Q297">
        <v>-124</v>
      </c>
      <c r="R297">
        <f>Table25[[#This Row],[RSSI]]</f>
        <v>-124</v>
      </c>
      <c r="S297">
        <v>-2.7</v>
      </c>
    </row>
    <row r="298" spans="2:19" x14ac:dyDescent="0.25">
      <c r="B298">
        <f>480+2*(Table14[[#This Row],[min value (corrected)]]-49)</f>
        <v>494</v>
      </c>
      <c r="C298">
        <f>MINUTE(Table14[[#This Row],[Corrected time]])</f>
        <v>56</v>
      </c>
      <c r="D298" s="1">
        <v>0.4979310300925926</v>
      </c>
      <c r="E298" s="1">
        <f>Table14[[#This Row],[Time]]-TIME(0,0,8)</f>
        <v>0.49783843750000001</v>
      </c>
      <c r="F298" t="s">
        <v>9</v>
      </c>
      <c r="G298" t="s">
        <v>19</v>
      </c>
      <c r="H298">
        <f t="shared" si="5"/>
        <v>-124</v>
      </c>
      <c r="I298">
        <v>-3</v>
      </c>
      <c r="L298">
        <f>480+2*(Table25[[#This Row],[min value (corrected)]]-49)</f>
        <v>494</v>
      </c>
      <c r="M298">
        <f>MINUTE(Table25[[#This Row],[Corrected time]])</f>
        <v>56</v>
      </c>
      <c r="N298" s="1">
        <v>0.66449618055555559</v>
      </c>
      <c r="O298" s="1">
        <f>Table25[[#This Row],[Time]]-TIME(0,0,4)</f>
        <v>0.66444988425925933</v>
      </c>
      <c r="P298" t="s">
        <v>9</v>
      </c>
      <c r="Q298">
        <v>-124</v>
      </c>
      <c r="R298">
        <f>Table25[[#This Row],[RSSI]]</f>
        <v>-124</v>
      </c>
      <c r="S298">
        <v>-2.7</v>
      </c>
    </row>
    <row r="299" spans="2:19" x14ac:dyDescent="0.25">
      <c r="B299">
        <f>480+2*(Table14[[#This Row],[min value (corrected)]]-49)</f>
        <v>494</v>
      </c>
      <c r="C299">
        <f>MINUTE(Table14[[#This Row],[Corrected time]])</f>
        <v>56</v>
      </c>
      <c r="D299" s="1">
        <v>0.49795086805555555</v>
      </c>
      <c r="E299" s="1">
        <f>Table14[[#This Row],[Time]]-TIME(0,0,8)</f>
        <v>0.49785827546296296</v>
      </c>
      <c r="F299" t="s">
        <v>9</v>
      </c>
      <c r="G299" t="s">
        <v>19</v>
      </c>
      <c r="H299">
        <f t="shared" si="5"/>
        <v>-124</v>
      </c>
      <c r="I299">
        <v>-2.5</v>
      </c>
      <c r="L299">
        <f>480+2*(Table25[[#This Row],[min value (corrected)]]-49)</f>
        <v>494</v>
      </c>
      <c r="M299">
        <f>MINUTE(Table25[[#This Row],[Corrected time]])</f>
        <v>56</v>
      </c>
      <c r="N299" s="1">
        <v>0.66451601851851849</v>
      </c>
      <c r="O299" s="1">
        <f>Table25[[#This Row],[Time]]-TIME(0,0,4)</f>
        <v>0.66446972222222223</v>
      </c>
      <c r="P299" t="s">
        <v>9</v>
      </c>
      <c r="Q299">
        <v>-124</v>
      </c>
      <c r="R299">
        <f>Table25[[#This Row],[RSSI]]</f>
        <v>-124</v>
      </c>
      <c r="S299">
        <v>-3</v>
      </c>
    </row>
    <row r="300" spans="2:19" x14ac:dyDescent="0.25">
      <c r="B300">
        <f>480+2*(Table14[[#This Row],[min value (corrected)]]-49)</f>
        <v>494</v>
      </c>
      <c r="C300">
        <f>MINUTE(Table14[[#This Row],[Corrected time]])</f>
        <v>56</v>
      </c>
      <c r="D300" s="1">
        <v>0.49797070601851856</v>
      </c>
      <c r="E300" s="1">
        <f>Table14[[#This Row],[Time]]-TIME(0,0,8)</f>
        <v>0.49787811342592597</v>
      </c>
      <c r="F300" t="s">
        <v>9</v>
      </c>
      <c r="G300" t="s">
        <v>19</v>
      </c>
      <c r="H300">
        <f t="shared" si="5"/>
        <v>-124</v>
      </c>
      <c r="I300">
        <v>-2.7</v>
      </c>
      <c r="L300">
        <f>480+2*(Table25[[#This Row],[min value (corrected)]]-49)</f>
        <v>494</v>
      </c>
      <c r="M300">
        <f>MINUTE(Table25[[#This Row],[Corrected time]])</f>
        <v>56</v>
      </c>
      <c r="N300" s="1">
        <v>0.66453584490740736</v>
      </c>
      <c r="O300" s="1">
        <f>Table25[[#This Row],[Time]]-TIME(0,0,4)</f>
        <v>0.66448954861111109</v>
      </c>
      <c r="P300" t="s">
        <v>9</v>
      </c>
      <c r="Q300">
        <v>-124</v>
      </c>
      <c r="R300">
        <f>Table25[[#This Row],[RSSI]]</f>
        <v>-124</v>
      </c>
      <c r="S300">
        <v>-2.2000000000000002</v>
      </c>
    </row>
    <row r="301" spans="2:19" x14ac:dyDescent="0.25">
      <c r="B301">
        <f>480+2*(Table14[[#This Row],[min value (corrected)]]-49)</f>
        <v>494</v>
      </c>
      <c r="C301">
        <f>MINUTE(Table14[[#This Row],[Corrected time]])</f>
        <v>56</v>
      </c>
      <c r="D301" s="1">
        <v>0.49799054398148151</v>
      </c>
      <c r="E301" s="1">
        <f>Table14[[#This Row],[Time]]-TIME(0,0,8)</f>
        <v>0.49789795138888893</v>
      </c>
      <c r="F301" t="s">
        <v>9</v>
      </c>
      <c r="G301" t="s">
        <v>28</v>
      </c>
      <c r="H301">
        <f t="shared" si="5"/>
        <v>-125</v>
      </c>
      <c r="I301">
        <v>-3.7</v>
      </c>
      <c r="L301">
        <f>480+2*(Table25[[#This Row],[min value (corrected)]]-49)</f>
        <v>494</v>
      </c>
      <c r="M301">
        <f>MINUTE(Table25[[#This Row],[Corrected time]])</f>
        <v>56</v>
      </c>
      <c r="N301" s="1">
        <v>0.66455569444444451</v>
      </c>
      <c r="O301" s="1">
        <f>Table25[[#This Row],[Time]]-TIME(0,0,4)</f>
        <v>0.66450939814814824</v>
      </c>
      <c r="P301" t="s">
        <v>9</v>
      </c>
      <c r="Q301">
        <v>-124</v>
      </c>
      <c r="R301">
        <f>Table25[[#This Row],[RSSI]]</f>
        <v>-124</v>
      </c>
      <c r="S301">
        <v>-2.7</v>
      </c>
    </row>
    <row r="302" spans="2:19" x14ac:dyDescent="0.25">
      <c r="B302">
        <f>480+2*(Table14[[#This Row],[min value (corrected)]]-49)</f>
        <v>496</v>
      </c>
      <c r="C302">
        <f>MINUTE(Table14[[#This Row],[Corrected time]])</f>
        <v>57</v>
      </c>
      <c r="D302" s="1">
        <v>0.49801038194444447</v>
      </c>
      <c r="E302" s="1">
        <f>Table14[[#This Row],[Time]]-TIME(0,0,8)</f>
        <v>0.49791778935185188</v>
      </c>
      <c r="F302" t="s">
        <v>9</v>
      </c>
      <c r="G302" t="s">
        <v>19</v>
      </c>
      <c r="H302">
        <f t="shared" si="5"/>
        <v>-124</v>
      </c>
      <c r="I302">
        <v>-3.2</v>
      </c>
      <c r="L302">
        <f>480+2*(Table25[[#This Row],[min value (corrected)]]-49)</f>
        <v>494</v>
      </c>
      <c r="M302">
        <f>MINUTE(Table25[[#This Row],[Corrected time]])</f>
        <v>56</v>
      </c>
      <c r="N302" s="1">
        <v>0.66457552083333327</v>
      </c>
      <c r="O302" s="1">
        <f>Table25[[#This Row],[Time]]-TIME(0,0,4)</f>
        <v>0.664529224537037</v>
      </c>
      <c r="P302" t="s">
        <v>9</v>
      </c>
      <c r="Q302">
        <v>-123</v>
      </c>
      <c r="R302">
        <f>Table25[[#This Row],[RSSI]]</f>
        <v>-123</v>
      </c>
      <c r="S302">
        <v>-2.5</v>
      </c>
    </row>
    <row r="303" spans="2:19" x14ac:dyDescent="0.25">
      <c r="B303">
        <f>480+2*(Table14[[#This Row],[min value (corrected)]]-49)</f>
        <v>496</v>
      </c>
      <c r="C303">
        <f>MINUTE(Table14[[#This Row],[Corrected time]])</f>
        <v>57</v>
      </c>
      <c r="D303" s="1">
        <v>0.49803020833333328</v>
      </c>
      <c r="E303" s="1">
        <f>Table14[[#This Row],[Time]]-TIME(0,0,8)</f>
        <v>0.49793761574074069</v>
      </c>
      <c r="F303" t="s">
        <v>9</v>
      </c>
      <c r="G303" t="s">
        <v>28</v>
      </c>
      <c r="H303">
        <f t="shared" si="5"/>
        <v>-125</v>
      </c>
      <c r="I303">
        <v>-3.5</v>
      </c>
      <c r="L303">
        <f>480+2*(Table25[[#This Row],[min value (corrected)]]-49)</f>
        <v>494</v>
      </c>
      <c r="M303">
        <f>MINUTE(Table25[[#This Row],[Corrected time]])</f>
        <v>56</v>
      </c>
      <c r="N303" s="1">
        <v>0.66459537037037042</v>
      </c>
      <c r="O303" s="1">
        <f>Table25[[#This Row],[Time]]-TIME(0,0,4)</f>
        <v>0.66454907407407415</v>
      </c>
      <c r="P303" t="s">
        <v>9</v>
      </c>
      <c r="Q303">
        <v>-124</v>
      </c>
      <c r="R303">
        <f>Table25[[#This Row],[RSSI]]</f>
        <v>-124</v>
      </c>
      <c r="S303">
        <v>-2.7</v>
      </c>
    </row>
    <row r="304" spans="2:19" x14ac:dyDescent="0.25">
      <c r="B304">
        <f>480+2*(Table14[[#This Row],[min value (corrected)]]-49)</f>
        <v>496</v>
      </c>
      <c r="C304">
        <f>MINUTE(Table14[[#This Row],[Corrected time]])</f>
        <v>57</v>
      </c>
      <c r="D304" s="1">
        <v>0.49805005787037038</v>
      </c>
      <c r="E304" s="1">
        <f>Table14[[#This Row],[Time]]-TIME(0,0,8)</f>
        <v>0.49795746527777779</v>
      </c>
      <c r="F304" t="s">
        <v>9</v>
      </c>
      <c r="G304" t="s">
        <v>19</v>
      </c>
      <c r="H304">
        <f t="shared" si="5"/>
        <v>-124</v>
      </c>
      <c r="I304">
        <v>-3.5</v>
      </c>
      <c r="L304">
        <f>480+2*(Table25[[#This Row],[min value (corrected)]]-49)</f>
        <v>494</v>
      </c>
      <c r="M304">
        <f>MINUTE(Table25[[#This Row],[Corrected time]])</f>
        <v>56</v>
      </c>
      <c r="N304" s="1">
        <v>0.66461519675925917</v>
      </c>
      <c r="O304" s="1">
        <f>Table25[[#This Row],[Time]]-TIME(0,0,4)</f>
        <v>0.66456890046296291</v>
      </c>
      <c r="P304" t="s">
        <v>9</v>
      </c>
      <c r="Q304">
        <v>-125</v>
      </c>
      <c r="R304">
        <f>Table25[[#This Row],[RSSI]]</f>
        <v>-125</v>
      </c>
      <c r="S304">
        <v>-4</v>
      </c>
    </row>
    <row r="305" spans="2:19" x14ac:dyDescent="0.25">
      <c r="B305">
        <f>480+2*(Table14[[#This Row],[min value (corrected)]]-49)</f>
        <v>496</v>
      </c>
      <c r="C305">
        <f>MINUTE(Table14[[#This Row],[Corrected time]])</f>
        <v>57</v>
      </c>
      <c r="D305" s="1">
        <v>0.49806989583333333</v>
      </c>
      <c r="E305" s="1">
        <f>Table14[[#This Row],[Time]]-TIME(0,0,8)</f>
        <v>0.49797730324074074</v>
      </c>
      <c r="F305" t="s">
        <v>9</v>
      </c>
      <c r="G305" t="s">
        <v>28</v>
      </c>
      <c r="H305">
        <f t="shared" si="5"/>
        <v>-125</v>
      </c>
      <c r="I305">
        <v>-3.5</v>
      </c>
      <c r="L305">
        <f>480+2*(Table25[[#This Row],[min value (corrected)]]-49)</f>
        <v>496</v>
      </c>
      <c r="M305">
        <f>MINUTE(Table25[[#This Row],[Corrected time]])</f>
        <v>57</v>
      </c>
      <c r="N305" s="1">
        <v>0.66463504629629633</v>
      </c>
      <c r="O305" s="1">
        <f>Table25[[#This Row],[Time]]-TIME(0,0,4)</f>
        <v>0.66458875000000006</v>
      </c>
      <c r="P305" t="s">
        <v>9</v>
      </c>
      <c r="Q305">
        <v>-125</v>
      </c>
      <c r="R305">
        <f>Table25[[#This Row],[RSSI]]</f>
        <v>-125</v>
      </c>
      <c r="S305">
        <v>-3.7</v>
      </c>
    </row>
    <row r="306" spans="2:19" x14ac:dyDescent="0.25">
      <c r="B306">
        <f>480+2*(Table14[[#This Row],[min value (corrected)]]-49)</f>
        <v>496</v>
      </c>
      <c r="C306">
        <f>MINUTE(Table14[[#This Row],[Corrected time]])</f>
        <v>57</v>
      </c>
      <c r="D306" s="1">
        <v>0.49808973379629629</v>
      </c>
      <c r="E306" s="1">
        <f>Table14[[#This Row],[Time]]-TIME(0,0,8)</f>
        <v>0.4979971412037037</v>
      </c>
      <c r="F306" t="s">
        <v>9</v>
      </c>
      <c r="G306" t="s">
        <v>28</v>
      </c>
      <c r="H306">
        <f t="shared" si="5"/>
        <v>-125</v>
      </c>
      <c r="I306">
        <v>-4</v>
      </c>
      <c r="L306">
        <f>480+2*(Table25[[#This Row],[min value (corrected)]]-49)</f>
        <v>496</v>
      </c>
      <c r="M306">
        <f>MINUTE(Table25[[#This Row],[Corrected time]])</f>
        <v>57</v>
      </c>
      <c r="N306" s="1">
        <v>0.66465488425925923</v>
      </c>
      <c r="O306" s="1">
        <f>Table25[[#This Row],[Time]]-TIME(0,0,4)</f>
        <v>0.66460858796296296</v>
      </c>
      <c r="P306" t="s">
        <v>9</v>
      </c>
      <c r="Q306">
        <v>-124</v>
      </c>
      <c r="R306">
        <f>Table25[[#This Row],[RSSI]]</f>
        <v>-124</v>
      </c>
      <c r="S306">
        <v>-3.2</v>
      </c>
    </row>
    <row r="307" spans="2:19" x14ac:dyDescent="0.25">
      <c r="B307">
        <f>480+2*(Table14[[#This Row],[min value (corrected)]]-49)</f>
        <v>496</v>
      </c>
      <c r="C307">
        <f>MINUTE(Table14[[#This Row],[Corrected time]])</f>
        <v>57</v>
      </c>
      <c r="D307" s="1">
        <v>0.4981095717592593</v>
      </c>
      <c r="E307" s="1">
        <f>Table14[[#This Row],[Time]]-TIME(0,0,8)</f>
        <v>0.49801697916666671</v>
      </c>
      <c r="F307" t="s">
        <v>13</v>
      </c>
      <c r="G307" t="str">
        <f>G306</f>
        <v>-125.0,</v>
      </c>
      <c r="H307">
        <f>H306-0.5</f>
        <v>-125.5</v>
      </c>
      <c r="I307">
        <f>I306-0.5</f>
        <v>-4.5</v>
      </c>
      <c r="L307">
        <f>480+2*(Table25[[#This Row],[min value (corrected)]]-49)</f>
        <v>496</v>
      </c>
      <c r="M307">
        <f>MINUTE(Table25[[#This Row],[Corrected time]])</f>
        <v>57</v>
      </c>
      <c r="N307" s="1">
        <v>0.66467471064814809</v>
      </c>
      <c r="O307" s="1">
        <f>Table25[[#This Row],[Time]]-TIME(0,0,4)</f>
        <v>0.66462841435185183</v>
      </c>
      <c r="P307" t="s">
        <v>9</v>
      </c>
      <c r="Q307">
        <v>-124</v>
      </c>
      <c r="R307">
        <f>Table25[[#This Row],[RSSI]]</f>
        <v>-124</v>
      </c>
      <c r="S307">
        <v>-3</v>
      </c>
    </row>
    <row r="308" spans="2:19" x14ac:dyDescent="0.25">
      <c r="B308">
        <f>480+2*(Table14[[#This Row],[min value (corrected)]]-49)</f>
        <v>496</v>
      </c>
      <c r="C308">
        <f>MINUTE(Table14[[#This Row],[Corrected time]])</f>
        <v>57</v>
      </c>
      <c r="D308" s="1">
        <v>0.49812940972222225</v>
      </c>
      <c r="E308" s="1">
        <f>Table14[[#This Row],[Time]]-TIME(0,0,8)</f>
        <v>0.49803681712962966</v>
      </c>
      <c r="F308" t="s">
        <v>9</v>
      </c>
      <c r="G308" t="s">
        <v>19</v>
      </c>
      <c r="H308">
        <f t="shared" si="5"/>
        <v>-124</v>
      </c>
      <c r="I308">
        <v>-3.2</v>
      </c>
      <c r="L308">
        <f>480+2*(Table25[[#This Row],[min value (corrected)]]-49)</f>
        <v>496</v>
      </c>
      <c r="M308">
        <f>MINUTE(Table25[[#This Row],[Corrected time]])</f>
        <v>57</v>
      </c>
      <c r="N308" s="1">
        <v>0.66469456018518525</v>
      </c>
      <c r="O308" s="1">
        <f>Table25[[#This Row],[Time]]-TIME(0,0,4)</f>
        <v>0.66464826388888898</v>
      </c>
      <c r="P308" t="s">
        <v>9</v>
      </c>
      <c r="Q308">
        <v>-124</v>
      </c>
      <c r="R308">
        <f>Table25[[#This Row],[RSSI]]</f>
        <v>-124</v>
      </c>
      <c r="S308">
        <v>-3.5</v>
      </c>
    </row>
    <row r="309" spans="2:19" x14ac:dyDescent="0.25">
      <c r="B309">
        <f>480+2*(Table14[[#This Row],[min value (corrected)]]-49)</f>
        <v>496</v>
      </c>
      <c r="C309">
        <f>MINUTE(Table14[[#This Row],[Corrected time]])</f>
        <v>57</v>
      </c>
      <c r="D309" s="1">
        <v>0.4981492476851852</v>
      </c>
      <c r="E309" s="1">
        <f>Table14[[#This Row],[Time]]-TIME(0,0,8)</f>
        <v>0.49805665509259262</v>
      </c>
      <c r="F309" t="s">
        <v>9</v>
      </c>
      <c r="G309" t="s">
        <v>19</v>
      </c>
      <c r="H309">
        <f t="shared" si="5"/>
        <v>-124</v>
      </c>
      <c r="I309">
        <v>-3</v>
      </c>
      <c r="L309">
        <f>480+2*(Table25[[#This Row],[min value (corrected)]]-49)</f>
        <v>496</v>
      </c>
      <c r="M309">
        <f>MINUTE(Table25[[#This Row],[Corrected time]])</f>
        <v>57</v>
      </c>
      <c r="N309" s="1">
        <v>0.66471439814814814</v>
      </c>
      <c r="O309" s="1">
        <f>Table25[[#This Row],[Time]]-TIME(0,0,4)</f>
        <v>0.66466810185185188</v>
      </c>
      <c r="P309" t="s">
        <v>9</v>
      </c>
      <c r="Q309">
        <v>-124</v>
      </c>
      <c r="R309">
        <f>Table25[[#This Row],[RSSI]]</f>
        <v>-124</v>
      </c>
      <c r="S309">
        <v>-3.5</v>
      </c>
    </row>
    <row r="310" spans="2:19" x14ac:dyDescent="0.25">
      <c r="B310">
        <f>480+2*(Table14[[#This Row],[min value (corrected)]]-49)</f>
        <v>496</v>
      </c>
      <c r="C310">
        <f>MINUTE(Table14[[#This Row],[Corrected time]])</f>
        <v>57</v>
      </c>
      <c r="D310" s="1">
        <v>0.49816908564814816</v>
      </c>
      <c r="E310" s="1">
        <f>Table14[[#This Row],[Time]]-TIME(0,0,8)</f>
        <v>0.49807649305555557</v>
      </c>
      <c r="F310" t="s">
        <v>9</v>
      </c>
      <c r="G310" t="s">
        <v>19</v>
      </c>
      <c r="H310">
        <f t="shared" si="5"/>
        <v>-124</v>
      </c>
      <c r="I310">
        <v>-2.7</v>
      </c>
      <c r="L310">
        <f>480+2*(Table25[[#This Row],[min value (corrected)]]-49)</f>
        <v>496</v>
      </c>
      <c r="M310">
        <f>MINUTE(Table25[[#This Row],[Corrected time]])</f>
        <v>57</v>
      </c>
      <c r="N310" s="1">
        <v>0.66473423611111115</v>
      </c>
      <c r="O310" s="1">
        <f>Table25[[#This Row],[Time]]-TIME(0,0,4)</f>
        <v>0.66468793981481489</v>
      </c>
      <c r="P310" t="s">
        <v>13</v>
      </c>
      <c r="Q310">
        <f>Q309</f>
        <v>-124</v>
      </c>
      <c r="R310">
        <f>Table25[[#This Row],[RSSI]]</f>
        <v>-124</v>
      </c>
    </row>
    <row r="311" spans="2:19" x14ac:dyDescent="0.25">
      <c r="B311">
        <f>480+2*(Table14[[#This Row],[min value (corrected)]]-49)</f>
        <v>496</v>
      </c>
      <c r="C311">
        <f>MINUTE(Table14[[#This Row],[Corrected time]])</f>
        <v>57</v>
      </c>
      <c r="D311" s="1">
        <v>0.49818892361111111</v>
      </c>
      <c r="E311" s="1">
        <f>Table14[[#This Row],[Time]]-TIME(0,0,8)</f>
        <v>0.49809633101851852</v>
      </c>
      <c r="F311" t="s">
        <v>9</v>
      </c>
      <c r="G311" t="s">
        <v>19</v>
      </c>
      <c r="H311">
        <f t="shared" si="5"/>
        <v>-124</v>
      </c>
      <c r="I311">
        <v>-3</v>
      </c>
      <c r="L311">
        <f>480+2*(Table25[[#This Row],[min value (corrected)]]-49)</f>
        <v>496</v>
      </c>
      <c r="M311">
        <f>MINUTE(Table25[[#This Row],[Corrected time]])</f>
        <v>57</v>
      </c>
      <c r="N311" s="1">
        <v>0.66475406249999991</v>
      </c>
      <c r="O311" s="1">
        <f>Table25[[#This Row],[Time]]-TIME(0,0,4)</f>
        <v>0.66470776620370364</v>
      </c>
      <c r="P311" t="s">
        <v>9</v>
      </c>
      <c r="Q311">
        <v>-124</v>
      </c>
      <c r="R311">
        <f>Table25[[#This Row],[RSSI]]</f>
        <v>-124</v>
      </c>
      <c r="S311">
        <v>-2.7</v>
      </c>
    </row>
    <row r="312" spans="2:19" x14ac:dyDescent="0.25">
      <c r="B312">
        <f>480+2*(Table14[[#This Row],[min value (corrected)]]-49)</f>
        <v>496</v>
      </c>
      <c r="C312">
        <f>MINUTE(Table14[[#This Row],[Corrected time]])</f>
        <v>57</v>
      </c>
      <c r="D312" s="1">
        <v>0.49820876157407407</v>
      </c>
      <c r="E312" s="1">
        <f>Table14[[#This Row],[Time]]-TIME(0,0,8)</f>
        <v>0.49811616898148148</v>
      </c>
      <c r="F312" t="s">
        <v>9</v>
      </c>
      <c r="G312" t="s">
        <v>19</v>
      </c>
      <c r="H312">
        <f t="shared" si="5"/>
        <v>-124</v>
      </c>
      <c r="I312">
        <v>-3.2</v>
      </c>
      <c r="L312">
        <f>480+2*(Table25[[#This Row],[min value (corrected)]]-49)</f>
        <v>496</v>
      </c>
      <c r="M312">
        <f>MINUTE(Table25[[#This Row],[Corrected time]])</f>
        <v>57</v>
      </c>
      <c r="N312" s="1">
        <v>0.66477391203703706</v>
      </c>
      <c r="O312" s="1">
        <f>Table25[[#This Row],[Time]]-TIME(0,0,4)</f>
        <v>0.6647276157407408</v>
      </c>
      <c r="P312" t="s">
        <v>9</v>
      </c>
      <c r="Q312">
        <v>-124</v>
      </c>
      <c r="R312">
        <f>Table25[[#This Row],[RSSI]]</f>
        <v>-124</v>
      </c>
      <c r="S312">
        <v>-3.5</v>
      </c>
    </row>
    <row r="313" spans="2:19" x14ac:dyDescent="0.25">
      <c r="B313">
        <f>480+2*(Table14[[#This Row],[min value (corrected)]]-49)</f>
        <v>496</v>
      </c>
      <c r="C313">
        <f>MINUTE(Table14[[#This Row],[Corrected time]])</f>
        <v>57</v>
      </c>
      <c r="D313" s="1">
        <v>0.49822859953703702</v>
      </c>
      <c r="E313" s="1">
        <f>Table14[[#This Row],[Time]]-TIME(0,0,8)</f>
        <v>0.49813600694444443</v>
      </c>
      <c r="F313" t="s">
        <v>9</v>
      </c>
      <c r="G313" t="s">
        <v>19</v>
      </c>
      <c r="H313">
        <f t="shared" si="5"/>
        <v>-124</v>
      </c>
      <c r="I313">
        <v>-3</v>
      </c>
      <c r="L313">
        <f>480+2*(Table25[[#This Row],[min value (corrected)]]-49)</f>
        <v>496</v>
      </c>
      <c r="M313">
        <f>MINUTE(Table25[[#This Row],[Corrected time]])</f>
        <v>57</v>
      </c>
      <c r="N313" s="1">
        <v>0.66479374999999996</v>
      </c>
      <c r="O313" s="1">
        <f>Table25[[#This Row],[Time]]-TIME(0,0,4)</f>
        <v>0.66474745370370369</v>
      </c>
      <c r="P313" t="s">
        <v>9</v>
      </c>
      <c r="Q313">
        <v>-124</v>
      </c>
      <c r="R313">
        <f>Table25[[#This Row],[RSSI]]</f>
        <v>-124</v>
      </c>
      <c r="S313">
        <v>-2.7</v>
      </c>
    </row>
    <row r="314" spans="2:19" x14ac:dyDescent="0.25">
      <c r="B314">
        <f>480+2*(Table14[[#This Row],[min value (corrected)]]-49)</f>
        <v>496</v>
      </c>
      <c r="C314">
        <f>MINUTE(Table14[[#This Row],[Corrected time]])</f>
        <v>57</v>
      </c>
      <c r="D314" s="1">
        <v>0.49824843750000003</v>
      </c>
      <c r="E314" s="1">
        <f>Table14[[#This Row],[Time]]-TIME(0,0,8)</f>
        <v>0.49815584490740744</v>
      </c>
      <c r="F314" t="s">
        <v>9</v>
      </c>
      <c r="G314" t="s">
        <v>19</v>
      </c>
      <c r="H314">
        <f t="shared" si="5"/>
        <v>-124</v>
      </c>
      <c r="I314">
        <v>-3</v>
      </c>
      <c r="L314">
        <f>480+2*(Table25[[#This Row],[min value (corrected)]]-49)</f>
        <v>496</v>
      </c>
      <c r="M314">
        <f>MINUTE(Table25[[#This Row],[Corrected time]])</f>
        <v>57</v>
      </c>
      <c r="N314" s="1">
        <v>0.66481358796296297</v>
      </c>
      <c r="O314" s="1">
        <f>Table25[[#This Row],[Time]]-TIME(0,0,4)</f>
        <v>0.6647672916666667</v>
      </c>
      <c r="P314" t="s">
        <v>9</v>
      </c>
      <c r="Q314">
        <v>-124</v>
      </c>
      <c r="R314">
        <f>Table25[[#This Row],[RSSI]]</f>
        <v>-124</v>
      </c>
      <c r="S314">
        <v>-2.7</v>
      </c>
    </row>
    <row r="315" spans="2:19" x14ac:dyDescent="0.25">
      <c r="B315">
        <f>480+2*(Table14[[#This Row],[min value (corrected)]]-49)</f>
        <v>496</v>
      </c>
      <c r="C315">
        <f>MINUTE(Table14[[#This Row],[Corrected time]])</f>
        <v>57</v>
      </c>
      <c r="D315" s="1">
        <v>0.49826827546296298</v>
      </c>
      <c r="E315" s="1">
        <f>Table14[[#This Row],[Time]]-TIME(0,0,8)</f>
        <v>0.4981756828703704</v>
      </c>
      <c r="F315" t="s">
        <v>9</v>
      </c>
      <c r="G315" t="s">
        <v>19</v>
      </c>
      <c r="H315">
        <f t="shared" si="5"/>
        <v>-124</v>
      </c>
      <c r="I315">
        <v>-2.7</v>
      </c>
      <c r="L315">
        <f>480+2*(Table25[[#This Row],[min value (corrected)]]-49)</f>
        <v>496</v>
      </c>
      <c r="M315">
        <f>MINUTE(Table25[[#This Row],[Corrected time]])</f>
        <v>57</v>
      </c>
      <c r="N315" s="1">
        <v>0.66483342592592598</v>
      </c>
      <c r="O315" s="1">
        <f>Table25[[#This Row],[Time]]-TIME(0,0,4)</f>
        <v>0.66478712962962971</v>
      </c>
      <c r="P315" t="s">
        <v>9</v>
      </c>
      <c r="Q315">
        <v>-124</v>
      </c>
      <c r="R315">
        <f>Table25[[#This Row],[RSSI]]</f>
        <v>-124</v>
      </c>
      <c r="S315">
        <v>-2.7</v>
      </c>
    </row>
    <row r="316" spans="2:19" x14ac:dyDescent="0.25">
      <c r="B316">
        <f>480+2*(Table14[[#This Row],[min value (corrected)]]-49)</f>
        <v>496</v>
      </c>
      <c r="C316">
        <f>MINUTE(Table14[[#This Row],[Corrected time]])</f>
        <v>57</v>
      </c>
      <c r="D316" s="1">
        <v>0.49828811342592594</v>
      </c>
      <c r="E316" s="1">
        <f>Table14[[#This Row],[Time]]-TIME(0,0,8)</f>
        <v>0.49819552083333335</v>
      </c>
      <c r="F316" t="s">
        <v>9</v>
      </c>
      <c r="G316" t="s">
        <v>19</v>
      </c>
      <c r="H316">
        <f t="shared" si="5"/>
        <v>-124</v>
      </c>
      <c r="I316">
        <v>-2.5</v>
      </c>
      <c r="L316">
        <f>480+2*(Table25[[#This Row],[min value (corrected)]]-49)</f>
        <v>496</v>
      </c>
      <c r="M316">
        <f>MINUTE(Table25[[#This Row],[Corrected time]])</f>
        <v>57</v>
      </c>
      <c r="N316" s="1">
        <v>0.66485325231481485</v>
      </c>
      <c r="O316" s="1">
        <f>Table25[[#This Row],[Time]]-TIME(0,0,4)</f>
        <v>0.66480695601851858</v>
      </c>
      <c r="P316" t="s">
        <v>9</v>
      </c>
      <c r="Q316">
        <v>-123</v>
      </c>
      <c r="R316">
        <f>Table25[[#This Row],[RSSI]]</f>
        <v>-123</v>
      </c>
      <c r="S316">
        <v>-2</v>
      </c>
    </row>
    <row r="317" spans="2:19" x14ac:dyDescent="0.25">
      <c r="B317">
        <f>480+2*(Table14[[#This Row],[min value (corrected)]]-49)</f>
        <v>496</v>
      </c>
      <c r="C317">
        <f>MINUTE(Table14[[#This Row],[Corrected time]])</f>
        <v>57</v>
      </c>
      <c r="D317" s="1">
        <v>0.4983079398148148</v>
      </c>
      <c r="E317" s="1">
        <f>Table14[[#This Row],[Time]]-TIME(0,0,8)</f>
        <v>0.49821534722222222</v>
      </c>
      <c r="F317" t="s">
        <v>9</v>
      </c>
      <c r="G317" t="s">
        <v>19</v>
      </c>
      <c r="H317">
        <f t="shared" si="5"/>
        <v>-124</v>
      </c>
      <c r="I317">
        <v>-2.5</v>
      </c>
      <c r="L317">
        <f>480+2*(Table25[[#This Row],[min value (corrected)]]-49)</f>
        <v>496</v>
      </c>
      <c r="M317">
        <f>MINUTE(Table25[[#This Row],[Corrected time]])</f>
        <v>57</v>
      </c>
      <c r="N317" s="1">
        <v>0.66487309027777786</v>
      </c>
      <c r="O317" s="1">
        <f>Table25[[#This Row],[Time]]-TIME(0,0,4)</f>
        <v>0.66482679398148159</v>
      </c>
      <c r="P317" t="s">
        <v>9</v>
      </c>
      <c r="Q317">
        <v>-124</v>
      </c>
      <c r="R317">
        <f>Table25[[#This Row],[RSSI]]</f>
        <v>-124</v>
      </c>
      <c r="S317">
        <v>-3</v>
      </c>
    </row>
    <row r="318" spans="2:19" x14ac:dyDescent="0.25">
      <c r="B318">
        <f>480+2*(Table14[[#This Row],[min value (corrected)]]-49)</f>
        <v>496</v>
      </c>
      <c r="C318">
        <f>MINUTE(Table14[[#This Row],[Corrected time]])</f>
        <v>57</v>
      </c>
      <c r="D318" s="1">
        <v>0.49832778935185185</v>
      </c>
      <c r="E318" s="1">
        <f>Table14[[#This Row],[Time]]-TIME(0,0,8)</f>
        <v>0.49823519675925926</v>
      </c>
      <c r="F318" t="s">
        <v>9</v>
      </c>
      <c r="G318" t="s">
        <v>19</v>
      </c>
      <c r="H318">
        <f t="shared" si="5"/>
        <v>-124</v>
      </c>
      <c r="I318">
        <v>-3</v>
      </c>
      <c r="L318">
        <f>480+2*(Table25[[#This Row],[min value (corrected)]]-49)</f>
        <v>496</v>
      </c>
      <c r="M318">
        <f>MINUTE(Table25[[#This Row],[Corrected time]])</f>
        <v>57</v>
      </c>
      <c r="N318" s="1">
        <v>0.66489292824074075</v>
      </c>
      <c r="O318" s="1">
        <f>Table25[[#This Row],[Time]]-TIME(0,0,4)</f>
        <v>0.66484663194444449</v>
      </c>
      <c r="P318" t="s">
        <v>9</v>
      </c>
      <c r="Q318">
        <v>-124</v>
      </c>
      <c r="R318">
        <f>Table25[[#This Row],[RSSI]]</f>
        <v>-124</v>
      </c>
      <c r="S318">
        <v>-3</v>
      </c>
    </row>
    <row r="319" spans="2:19" x14ac:dyDescent="0.25">
      <c r="B319">
        <f>480+2*(Table14[[#This Row],[min value (corrected)]]-49)</f>
        <v>496</v>
      </c>
      <c r="C319">
        <f>MINUTE(Table14[[#This Row],[Corrected time]])</f>
        <v>57</v>
      </c>
      <c r="D319" s="1">
        <v>0.4983476273148148</v>
      </c>
      <c r="E319" s="1">
        <f>Table14[[#This Row],[Time]]-TIME(0,0,8)</f>
        <v>0.49825503472222221</v>
      </c>
      <c r="F319" t="s">
        <v>9</v>
      </c>
      <c r="G319" t="s">
        <v>19</v>
      </c>
      <c r="H319">
        <f t="shared" si="5"/>
        <v>-124</v>
      </c>
      <c r="I319">
        <v>-3</v>
      </c>
      <c r="L319">
        <f>480+2*(Table25[[#This Row],[min value (corrected)]]-49)</f>
        <v>496</v>
      </c>
      <c r="M319">
        <f>MINUTE(Table25[[#This Row],[Corrected time]])</f>
        <v>57</v>
      </c>
      <c r="N319" s="1">
        <v>0.6649127777777778</v>
      </c>
      <c r="O319" s="1">
        <f>Table25[[#This Row],[Time]]-TIME(0,0,4)</f>
        <v>0.66486648148148153</v>
      </c>
      <c r="P319" t="s">
        <v>9</v>
      </c>
      <c r="Q319">
        <v>-124</v>
      </c>
      <c r="R319">
        <f>Table25[[#This Row],[RSSI]]</f>
        <v>-124</v>
      </c>
      <c r="S319">
        <v>-2.5</v>
      </c>
    </row>
    <row r="320" spans="2:19" x14ac:dyDescent="0.25">
      <c r="B320">
        <f>480+2*(Table14[[#This Row],[min value (corrected)]]-49)</f>
        <v>496</v>
      </c>
      <c r="C320">
        <f>MINUTE(Table14[[#This Row],[Corrected time]])</f>
        <v>57</v>
      </c>
      <c r="D320" s="1">
        <v>0.49836746527777781</v>
      </c>
      <c r="E320" s="1">
        <f>Table14[[#This Row],[Time]]-TIME(0,0,8)</f>
        <v>0.49827487268518522</v>
      </c>
      <c r="F320" t="s">
        <v>9</v>
      </c>
      <c r="G320" t="s">
        <v>19</v>
      </c>
      <c r="H320">
        <f t="shared" si="5"/>
        <v>-124</v>
      </c>
      <c r="I320">
        <v>-3</v>
      </c>
      <c r="L320">
        <f>480+2*(Table25[[#This Row],[min value (corrected)]]-49)</f>
        <v>496</v>
      </c>
      <c r="M320">
        <f>MINUTE(Table25[[#This Row],[Corrected time]])</f>
        <v>57</v>
      </c>
      <c r="N320" s="1">
        <v>0.6649326157407407</v>
      </c>
      <c r="O320" s="1">
        <f>Table25[[#This Row],[Time]]-TIME(0,0,4)</f>
        <v>0.66488631944444443</v>
      </c>
      <c r="P320" t="s">
        <v>9</v>
      </c>
      <c r="Q320">
        <v>-124</v>
      </c>
      <c r="R320">
        <f>Table25[[#This Row],[RSSI]]</f>
        <v>-124</v>
      </c>
      <c r="S320">
        <v>-2.5</v>
      </c>
    </row>
    <row r="321" spans="2:19" x14ac:dyDescent="0.25">
      <c r="B321">
        <f>480+2*(Table14[[#This Row],[min value (corrected)]]-49)</f>
        <v>496</v>
      </c>
      <c r="C321">
        <f>MINUTE(Table14[[#This Row],[Corrected time]])</f>
        <v>57</v>
      </c>
      <c r="D321" s="1">
        <v>0.49838730324074076</v>
      </c>
      <c r="E321" s="1">
        <f>Table14[[#This Row],[Time]]-TIME(0,0,8)</f>
        <v>0.49829471064814818</v>
      </c>
      <c r="F321" t="s">
        <v>9</v>
      </c>
      <c r="G321" t="s">
        <v>19</v>
      </c>
      <c r="H321">
        <f t="shared" si="5"/>
        <v>-124</v>
      </c>
      <c r="I321">
        <v>-2.7</v>
      </c>
      <c r="L321">
        <f>480+2*(Table25[[#This Row],[min value (corrected)]]-49)</f>
        <v>496</v>
      </c>
      <c r="M321">
        <f>MINUTE(Table25[[#This Row],[Corrected time]])</f>
        <v>57</v>
      </c>
      <c r="N321" s="1">
        <v>0.66495245370370371</v>
      </c>
      <c r="O321" s="1">
        <f>Table25[[#This Row],[Time]]-TIME(0,0,4)</f>
        <v>0.66490615740740744</v>
      </c>
      <c r="P321" t="s">
        <v>9</v>
      </c>
      <c r="Q321">
        <v>-124</v>
      </c>
      <c r="R321">
        <f>Table25[[#This Row],[RSSI]]</f>
        <v>-124</v>
      </c>
      <c r="S321">
        <v>-2.7</v>
      </c>
    </row>
    <row r="322" spans="2:19" x14ac:dyDescent="0.25">
      <c r="B322">
        <f>480+2*(Table14[[#This Row],[min value (corrected)]]-49)</f>
        <v>496</v>
      </c>
      <c r="C322">
        <f>MINUTE(Table14[[#This Row],[Corrected time]])</f>
        <v>57</v>
      </c>
      <c r="D322" s="1">
        <v>0.49840714120370372</v>
      </c>
      <c r="E322" s="1">
        <f>Table14[[#This Row],[Time]]-TIME(0,0,8)</f>
        <v>0.49831454861111113</v>
      </c>
      <c r="F322" t="s">
        <v>9</v>
      </c>
      <c r="G322" t="s">
        <v>19</v>
      </c>
      <c r="H322">
        <f t="shared" si="5"/>
        <v>-124</v>
      </c>
      <c r="I322">
        <v>-3</v>
      </c>
      <c r="L322">
        <f>480+2*(Table25[[#This Row],[min value (corrected)]]-49)</f>
        <v>496</v>
      </c>
      <c r="M322">
        <f>MINUTE(Table25[[#This Row],[Corrected time]])</f>
        <v>57</v>
      </c>
      <c r="N322" s="1">
        <v>0.66497229166666671</v>
      </c>
      <c r="O322" s="1">
        <f>Table25[[#This Row],[Time]]-TIME(0,0,4)</f>
        <v>0.66492599537037045</v>
      </c>
      <c r="P322" t="s">
        <v>9</v>
      </c>
      <c r="Q322">
        <v>-124</v>
      </c>
      <c r="R322">
        <f>Table25[[#This Row],[RSSI]]</f>
        <v>-124</v>
      </c>
      <c r="S322">
        <v>-2.7</v>
      </c>
    </row>
    <row r="323" spans="2:19" x14ac:dyDescent="0.25">
      <c r="B323">
        <f>480+2*(Table14[[#This Row],[min value (corrected)]]-49)</f>
        <v>496</v>
      </c>
      <c r="C323">
        <f>MINUTE(Table14[[#This Row],[Corrected time]])</f>
        <v>57</v>
      </c>
      <c r="D323" s="1">
        <v>0.49842697916666667</v>
      </c>
      <c r="E323" s="1">
        <f>Table14[[#This Row],[Time]]-TIME(0,0,8)</f>
        <v>0.49833438657407408</v>
      </c>
      <c r="F323" t="s">
        <v>9</v>
      </c>
      <c r="G323" t="s">
        <v>19</v>
      </c>
      <c r="H323">
        <f t="shared" si="5"/>
        <v>-124</v>
      </c>
      <c r="I323">
        <v>-2.7</v>
      </c>
      <c r="L323">
        <f>480+2*(Table25[[#This Row],[min value (corrected)]]-49)</f>
        <v>496</v>
      </c>
      <c r="M323">
        <f>MINUTE(Table25[[#This Row],[Corrected time]])</f>
        <v>57</v>
      </c>
      <c r="N323" s="1">
        <v>0.66499212962962961</v>
      </c>
      <c r="O323" s="1">
        <f>Table25[[#This Row],[Time]]-TIME(0,0,4)</f>
        <v>0.66494583333333335</v>
      </c>
      <c r="P323" t="s">
        <v>9</v>
      </c>
      <c r="Q323">
        <v>-124</v>
      </c>
      <c r="R323">
        <f>Table25[[#This Row],[RSSI]]</f>
        <v>-124</v>
      </c>
      <c r="S323">
        <v>-3</v>
      </c>
    </row>
    <row r="324" spans="2:19" x14ac:dyDescent="0.25">
      <c r="B324">
        <f>480+2*(Table14[[#This Row],[min value (corrected)]]-49)</f>
        <v>496</v>
      </c>
      <c r="C324">
        <f>MINUTE(Table14[[#This Row],[Corrected time]])</f>
        <v>57</v>
      </c>
      <c r="D324" s="1">
        <v>0.49844681712962963</v>
      </c>
      <c r="E324" s="1">
        <f>Table14[[#This Row],[Time]]-TIME(0,0,8)</f>
        <v>0.49835422453703704</v>
      </c>
      <c r="F324" t="s">
        <v>9</v>
      </c>
      <c r="G324" t="s">
        <v>28</v>
      </c>
      <c r="H324">
        <f t="shared" ref="H324:H387" si="6">VALUE(LEFT(G324,LEN(G324)-1))</f>
        <v>-125</v>
      </c>
      <c r="I324">
        <v>-3.5</v>
      </c>
      <c r="L324">
        <f>480+2*(Table25[[#This Row],[min value (corrected)]]-49)</f>
        <v>496</v>
      </c>
      <c r="M324">
        <f>MINUTE(Table25[[#This Row],[Corrected time]])</f>
        <v>57</v>
      </c>
      <c r="N324" s="1">
        <v>0.66501196759259262</v>
      </c>
      <c r="O324" s="1">
        <f>Table25[[#This Row],[Time]]-TIME(0,0,4)</f>
        <v>0.66496567129629636</v>
      </c>
      <c r="P324" t="s">
        <v>9</v>
      </c>
      <c r="Q324">
        <v>-124</v>
      </c>
      <c r="R324">
        <f>Table25[[#This Row],[RSSI]]</f>
        <v>-124</v>
      </c>
      <c r="S324">
        <v>-2.7</v>
      </c>
    </row>
    <row r="325" spans="2:19" x14ac:dyDescent="0.25">
      <c r="B325">
        <f>480+2*(Table14[[#This Row],[min value (corrected)]]-49)</f>
        <v>496</v>
      </c>
      <c r="C325">
        <f>MINUTE(Table14[[#This Row],[Corrected time]])</f>
        <v>57</v>
      </c>
      <c r="D325" s="1">
        <v>0.49846665509259258</v>
      </c>
      <c r="E325" s="1">
        <f>Table14[[#This Row],[Time]]-TIME(0,0,8)</f>
        <v>0.49837406249999999</v>
      </c>
      <c r="F325" t="s">
        <v>9</v>
      </c>
      <c r="G325" t="s">
        <v>19</v>
      </c>
      <c r="H325">
        <f t="shared" si="6"/>
        <v>-124</v>
      </c>
      <c r="I325">
        <v>-2.7</v>
      </c>
      <c r="L325">
        <f>480+2*(Table25[[#This Row],[min value (corrected)]]-49)</f>
        <v>496</v>
      </c>
      <c r="M325">
        <f>MINUTE(Table25[[#This Row],[Corrected time]])</f>
        <v>57</v>
      </c>
      <c r="N325" s="1">
        <v>0.66503179398148149</v>
      </c>
      <c r="O325" s="1">
        <f>Table25[[#This Row],[Time]]-TIME(0,0,4)</f>
        <v>0.66498549768518522</v>
      </c>
      <c r="P325" t="s">
        <v>9</v>
      </c>
      <c r="Q325">
        <v>-124</v>
      </c>
      <c r="R325">
        <f>Table25[[#This Row],[RSSI]]</f>
        <v>-124</v>
      </c>
      <c r="S325">
        <v>-2.7</v>
      </c>
    </row>
    <row r="326" spans="2:19" x14ac:dyDescent="0.25">
      <c r="B326">
        <f>480+2*(Table14[[#This Row],[min value (corrected)]]-49)</f>
        <v>496</v>
      </c>
      <c r="C326">
        <f>MINUTE(Table14[[#This Row],[Corrected time]])</f>
        <v>57</v>
      </c>
      <c r="D326" s="1">
        <v>0.49848649305555554</v>
      </c>
      <c r="E326" s="1">
        <f>Table14[[#This Row],[Time]]-TIME(0,0,8)</f>
        <v>0.49839390046296295</v>
      </c>
      <c r="F326" t="s">
        <v>9</v>
      </c>
      <c r="G326" t="s">
        <v>19</v>
      </c>
      <c r="H326">
        <f t="shared" si="6"/>
        <v>-124</v>
      </c>
      <c r="I326">
        <v>-3.2</v>
      </c>
      <c r="L326">
        <f>480+2*(Table25[[#This Row],[min value (corrected)]]-49)</f>
        <v>496</v>
      </c>
      <c r="M326">
        <f>MINUTE(Table25[[#This Row],[Corrected time]])</f>
        <v>57</v>
      </c>
      <c r="N326" s="1">
        <v>0.66505164351851853</v>
      </c>
      <c r="O326" s="1">
        <f>Table25[[#This Row],[Time]]-TIME(0,0,4)</f>
        <v>0.66500534722222227</v>
      </c>
      <c r="P326" t="s">
        <v>9</v>
      </c>
      <c r="Q326">
        <v>-124</v>
      </c>
      <c r="R326">
        <f>Table25[[#This Row],[RSSI]]</f>
        <v>-124</v>
      </c>
      <c r="S326">
        <v>-2.5</v>
      </c>
    </row>
    <row r="327" spans="2:19" x14ac:dyDescent="0.25">
      <c r="B327">
        <f>480+2*(Table14[[#This Row],[min value (corrected)]]-49)</f>
        <v>496</v>
      </c>
      <c r="C327">
        <f>MINUTE(Table14[[#This Row],[Corrected time]])</f>
        <v>57</v>
      </c>
      <c r="D327" s="1">
        <v>0.49850633101851854</v>
      </c>
      <c r="E327" s="1">
        <f>Table14[[#This Row],[Time]]-TIME(0,0,8)</f>
        <v>0.49841373842592596</v>
      </c>
      <c r="F327" t="s">
        <v>9</v>
      </c>
      <c r="G327" t="s">
        <v>19</v>
      </c>
      <c r="H327">
        <f t="shared" si="6"/>
        <v>-124</v>
      </c>
      <c r="I327">
        <v>-2.5</v>
      </c>
      <c r="L327">
        <f>480+2*(Table25[[#This Row],[min value (corrected)]]-49)</f>
        <v>496</v>
      </c>
      <c r="M327">
        <f>MINUTE(Table25[[#This Row],[Corrected time]])</f>
        <v>57</v>
      </c>
      <c r="N327" s="1">
        <v>0.6650714699074074</v>
      </c>
      <c r="O327" s="1">
        <f>Table25[[#This Row],[Time]]-TIME(0,0,4)</f>
        <v>0.66502517361111113</v>
      </c>
      <c r="P327" t="s">
        <v>9</v>
      </c>
      <c r="Q327">
        <v>-124</v>
      </c>
      <c r="R327">
        <f>Table25[[#This Row],[RSSI]]</f>
        <v>-124</v>
      </c>
      <c r="S327">
        <v>-2.7</v>
      </c>
    </row>
    <row r="328" spans="2:19" x14ac:dyDescent="0.25">
      <c r="B328">
        <f>480+2*(Table14[[#This Row],[min value (corrected)]]-49)</f>
        <v>496</v>
      </c>
      <c r="C328">
        <f>MINUTE(Table14[[#This Row],[Corrected time]])</f>
        <v>57</v>
      </c>
      <c r="D328" s="1">
        <v>0.4985261689814815</v>
      </c>
      <c r="E328" s="1">
        <f>Table14[[#This Row],[Time]]-TIME(0,0,8)</f>
        <v>0.49843357638888891</v>
      </c>
      <c r="F328" t="s">
        <v>9</v>
      </c>
      <c r="G328" t="s">
        <v>19</v>
      </c>
      <c r="H328">
        <f t="shared" si="6"/>
        <v>-124</v>
      </c>
      <c r="I328">
        <v>-3</v>
      </c>
      <c r="L328">
        <f>480+2*(Table25[[#This Row],[min value (corrected)]]-49)</f>
        <v>496</v>
      </c>
      <c r="M328">
        <f>MINUTE(Table25[[#This Row],[Corrected time]])</f>
        <v>57</v>
      </c>
      <c r="N328" s="1">
        <v>0.66509131944444444</v>
      </c>
      <c r="O328" s="1">
        <f>Table25[[#This Row],[Time]]-TIME(0,0,4)</f>
        <v>0.66504502314814817</v>
      </c>
      <c r="P328" t="s">
        <v>9</v>
      </c>
      <c r="Q328">
        <v>-124</v>
      </c>
      <c r="R328">
        <f>Table25[[#This Row],[RSSI]]</f>
        <v>-124</v>
      </c>
      <c r="S328">
        <v>-2.7</v>
      </c>
    </row>
    <row r="329" spans="2:19" x14ac:dyDescent="0.25">
      <c r="B329">
        <f>480+2*(Table14[[#This Row],[min value (corrected)]]-49)</f>
        <v>496</v>
      </c>
      <c r="C329">
        <f>MINUTE(Table14[[#This Row],[Corrected time]])</f>
        <v>57</v>
      </c>
      <c r="D329" s="1">
        <v>0.49854600694444445</v>
      </c>
      <c r="E329" s="1">
        <f>Table14[[#This Row],[Time]]-TIME(0,0,8)</f>
        <v>0.49845341435185186</v>
      </c>
      <c r="F329" t="s">
        <v>9</v>
      </c>
      <c r="G329" t="s">
        <v>19</v>
      </c>
      <c r="H329">
        <f t="shared" si="6"/>
        <v>-124</v>
      </c>
      <c r="I329">
        <v>-2.7</v>
      </c>
      <c r="L329">
        <f>480+2*(Table25[[#This Row],[min value (corrected)]]-49)</f>
        <v>496</v>
      </c>
      <c r="M329">
        <f>MINUTE(Table25[[#This Row],[Corrected time]])</f>
        <v>57</v>
      </c>
      <c r="N329" s="1">
        <v>0.66511115740740745</v>
      </c>
      <c r="O329" s="1">
        <f>Table25[[#This Row],[Time]]-TIME(0,0,4)</f>
        <v>0.66506486111111118</v>
      </c>
      <c r="P329" t="s">
        <v>9</v>
      </c>
      <c r="Q329">
        <v>-124</v>
      </c>
      <c r="R329">
        <f>Table25[[#This Row],[RSSI]]</f>
        <v>-124</v>
      </c>
      <c r="S329">
        <v>-3</v>
      </c>
    </row>
    <row r="330" spans="2:19" x14ac:dyDescent="0.25">
      <c r="B330">
        <f>480+2*(Table14[[#This Row],[min value (corrected)]]-49)</f>
        <v>496</v>
      </c>
      <c r="C330">
        <f>MINUTE(Table14[[#This Row],[Corrected time]])</f>
        <v>57</v>
      </c>
      <c r="D330" s="1">
        <v>0.49856583333333337</v>
      </c>
      <c r="E330" s="1">
        <f>Table14[[#This Row],[Time]]-TIME(0,0,8)</f>
        <v>0.49847324074074079</v>
      </c>
      <c r="F330" t="s">
        <v>9</v>
      </c>
      <c r="G330" t="s">
        <v>19</v>
      </c>
      <c r="H330">
        <f t="shared" si="6"/>
        <v>-124</v>
      </c>
      <c r="I330">
        <v>-2.7</v>
      </c>
      <c r="L330">
        <f>480+2*(Table25[[#This Row],[min value (corrected)]]-49)</f>
        <v>496</v>
      </c>
      <c r="M330">
        <f>MINUTE(Table25[[#This Row],[Corrected time]])</f>
        <v>57</v>
      </c>
      <c r="N330" s="1">
        <v>0.66513098379629632</v>
      </c>
      <c r="O330" s="1">
        <f>Table25[[#This Row],[Time]]-TIME(0,0,4)</f>
        <v>0.66508468750000005</v>
      </c>
      <c r="P330" t="s">
        <v>9</v>
      </c>
      <c r="Q330">
        <v>-124</v>
      </c>
      <c r="R330">
        <f>Table25[[#This Row],[RSSI]]</f>
        <v>-124</v>
      </c>
      <c r="S330">
        <v>-2.7</v>
      </c>
    </row>
    <row r="331" spans="2:19" x14ac:dyDescent="0.25">
      <c r="B331">
        <f>480+2*(Table14[[#This Row],[min value (corrected)]]-49)</f>
        <v>496</v>
      </c>
      <c r="C331">
        <f>MINUTE(Table14[[#This Row],[Corrected time]])</f>
        <v>57</v>
      </c>
      <c r="D331" s="1">
        <v>0.49858568287037036</v>
      </c>
      <c r="E331" s="1">
        <f>Table14[[#This Row],[Time]]-TIME(0,0,8)</f>
        <v>0.49849309027777777</v>
      </c>
      <c r="F331" t="s">
        <v>9</v>
      </c>
      <c r="G331" t="s">
        <v>19</v>
      </c>
      <c r="H331">
        <f t="shared" si="6"/>
        <v>-124</v>
      </c>
      <c r="I331">
        <v>-2.2000000000000002</v>
      </c>
      <c r="L331">
        <f>480+2*(Table25[[#This Row],[min value (corrected)]]-49)</f>
        <v>496</v>
      </c>
      <c r="M331">
        <f>MINUTE(Table25[[#This Row],[Corrected time]])</f>
        <v>57</v>
      </c>
      <c r="N331" s="1">
        <v>0.66515082175925933</v>
      </c>
      <c r="O331" s="1">
        <f>Table25[[#This Row],[Time]]-TIME(0,0,4)</f>
        <v>0.66510452546296306</v>
      </c>
      <c r="P331" t="s">
        <v>9</v>
      </c>
      <c r="Q331">
        <v>-124</v>
      </c>
      <c r="R331">
        <f>Table25[[#This Row],[RSSI]]</f>
        <v>-124</v>
      </c>
      <c r="S331">
        <v>-2.5</v>
      </c>
    </row>
    <row r="332" spans="2:19" x14ac:dyDescent="0.25">
      <c r="B332">
        <f>480+2*(Table14[[#This Row],[min value (corrected)]]-49)</f>
        <v>496</v>
      </c>
      <c r="C332">
        <f>MINUTE(Table14[[#This Row],[Corrected time]])</f>
        <v>57</v>
      </c>
      <c r="D332" s="1">
        <v>0.49860550925925928</v>
      </c>
      <c r="E332" s="1">
        <f>Table14[[#This Row],[Time]]-TIME(0,0,8)</f>
        <v>0.49851291666666669</v>
      </c>
      <c r="F332" t="s">
        <v>9</v>
      </c>
      <c r="G332" t="s">
        <v>19</v>
      </c>
      <c r="H332">
        <f t="shared" si="6"/>
        <v>-124</v>
      </c>
      <c r="I332">
        <v>-2.5</v>
      </c>
      <c r="L332">
        <f>480+2*(Table25[[#This Row],[min value (corrected)]]-49)</f>
        <v>496</v>
      </c>
      <c r="M332">
        <f>MINUTE(Table25[[#This Row],[Corrected time]])</f>
        <v>57</v>
      </c>
      <c r="N332" s="1">
        <v>0.66517067129629626</v>
      </c>
      <c r="O332" s="1">
        <f>Table25[[#This Row],[Time]]-TIME(0,0,4)</f>
        <v>0.66512437499999999</v>
      </c>
      <c r="P332" t="s">
        <v>9</v>
      </c>
      <c r="Q332">
        <v>-121</v>
      </c>
      <c r="R332">
        <f>Table25[[#This Row],[RSSI]]</f>
        <v>-121</v>
      </c>
      <c r="S332">
        <v>-2.7</v>
      </c>
    </row>
    <row r="333" spans="2:19" x14ac:dyDescent="0.25">
      <c r="B333">
        <f>480+2*(Table14[[#This Row],[min value (corrected)]]-49)</f>
        <v>496</v>
      </c>
      <c r="C333">
        <f>MINUTE(Table14[[#This Row],[Corrected time]])</f>
        <v>57</v>
      </c>
      <c r="D333" s="1">
        <v>0.49862534722222224</v>
      </c>
      <c r="E333" s="1">
        <f>Table14[[#This Row],[Time]]-TIME(0,0,8)</f>
        <v>0.49853275462962965</v>
      </c>
      <c r="F333" t="s">
        <v>9</v>
      </c>
      <c r="G333" t="s">
        <v>19</v>
      </c>
      <c r="H333">
        <f t="shared" si="6"/>
        <v>-124</v>
      </c>
      <c r="I333">
        <v>-3.5</v>
      </c>
      <c r="L333">
        <f>480+2*(Table25[[#This Row],[min value (corrected)]]-49)</f>
        <v>496</v>
      </c>
      <c r="M333">
        <f>MINUTE(Table25[[#This Row],[Corrected time]])</f>
        <v>57</v>
      </c>
      <c r="N333" s="1">
        <v>0.66519050925925927</v>
      </c>
      <c r="O333" s="1">
        <f>Table25[[#This Row],[Time]]-TIME(0,0,4)</f>
        <v>0.665144212962963</v>
      </c>
      <c r="P333" t="s">
        <v>9</v>
      </c>
      <c r="Q333">
        <v>-124</v>
      </c>
      <c r="R333">
        <f>Table25[[#This Row],[RSSI]]</f>
        <v>-124</v>
      </c>
      <c r="S333">
        <v>-3</v>
      </c>
    </row>
    <row r="334" spans="2:19" x14ac:dyDescent="0.25">
      <c r="B334">
        <f>480+2*(Table14[[#This Row],[min value (corrected)]]-49)</f>
        <v>496</v>
      </c>
      <c r="C334">
        <f>MINUTE(Table14[[#This Row],[Corrected time]])</f>
        <v>57</v>
      </c>
      <c r="D334" s="1">
        <v>0.49864518518518525</v>
      </c>
      <c r="E334" s="1">
        <f>Table14[[#This Row],[Time]]-TIME(0,0,8)</f>
        <v>0.49855259259259266</v>
      </c>
      <c r="F334" t="s">
        <v>9</v>
      </c>
      <c r="G334" t="s">
        <v>19</v>
      </c>
      <c r="H334">
        <f t="shared" si="6"/>
        <v>-124</v>
      </c>
      <c r="I334">
        <v>-2.7</v>
      </c>
      <c r="L334">
        <f>480+2*(Table25[[#This Row],[min value (corrected)]]-49)</f>
        <v>496</v>
      </c>
      <c r="M334">
        <f>MINUTE(Table25[[#This Row],[Corrected time]])</f>
        <v>57</v>
      </c>
      <c r="N334" s="1">
        <v>0.66521034722222216</v>
      </c>
      <c r="O334" s="1">
        <f>Table25[[#This Row],[Time]]-TIME(0,0,4)</f>
        <v>0.6651640509259259</v>
      </c>
      <c r="P334" t="s">
        <v>9</v>
      </c>
      <c r="Q334">
        <v>-124</v>
      </c>
      <c r="R334">
        <f>Table25[[#This Row],[RSSI]]</f>
        <v>-124</v>
      </c>
      <c r="S334">
        <v>-2.5</v>
      </c>
    </row>
    <row r="335" spans="2:19" x14ac:dyDescent="0.25">
      <c r="B335">
        <f>480+2*(Table14[[#This Row],[min value (corrected)]]-49)</f>
        <v>496</v>
      </c>
      <c r="C335">
        <f>MINUTE(Table14[[#This Row],[Corrected time]])</f>
        <v>57</v>
      </c>
      <c r="D335" s="1">
        <v>0.49866503472222223</v>
      </c>
      <c r="E335" s="1">
        <f>Table14[[#This Row],[Time]]-TIME(0,0,8)</f>
        <v>0.49857244212962964</v>
      </c>
      <c r="F335" t="s">
        <v>9</v>
      </c>
      <c r="G335" t="s">
        <v>19</v>
      </c>
      <c r="H335">
        <f t="shared" si="6"/>
        <v>-124</v>
      </c>
      <c r="I335">
        <v>-2.7</v>
      </c>
      <c r="L335">
        <f>480+2*(Table25[[#This Row],[min value (corrected)]]-49)</f>
        <v>496</v>
      </c>
      <c r="M335">
        <f>MINUTE(Table25[[#This Row],[Corrected time]])</f>
        <v>57</v>
      </c>
      <c r="N335" s="1">
        <v>0.66523018518518517</v>
      </c>
      <c r="O335" s="1">
        <f>Table25[[#This Row],[Time]]-TIME(0,0,4)</f>
        <v>0.66518388888888891</v>
      </c>
      <c r="P335" t="s">
        <v>9</v>
      </c>
      <c r="Q335">
        <v>-123</v>
      </c>
      <c r="R335">
        <f>Table25[[#This Row],[RSSI]]</f>
        <v>-123</v>
      </c>
      <c r="S335">
        <v>-2.5</v>
      </c>
    </row>
    <row r="336" spans="2:19" x14ac:dyDescent="0.25">
      <c r="B336">
        <f>480+2*(Table14[[#This Row],[min value (corrected)]]-49)</f>
        <v>496</v>
      </c>
      <c r="C336">
        <f>MINUTE(Table14[[#This Row],[Corrected time]])</f>
        <v>57</v>
      </c>
      <c r="D336" s="1">
        <v>0.49868486111111116</v>
      </c>
      <c r="E336" s="1">
        <f>Table14[[#This Row],[Time]]-TIME(0,0,8)</f>
        <v>0.49859226851851857</v>
      </c>
      <c r="F336" t="s">
        <v>13</v>
      </c>
      <c r="G336" t="str">
        <f>G335</f>
        <v>-124.0,</v>
      </c>
      <c r="H336">
        <f>H335-0.5</f>
        <v>-124.5</v>
      </c>
      <c r="I336">
        <f>I335-0.5</f>
        <v>-3.2</v>
      </c>
      <c r="L336">
        <f>480+2*(Table25[[#This Row],[min value (corrected)]]-49)</f>
        <v>496</v>
      </c>
      <c r="M336">
        <f>MINUTE(Table25[[#This Row],[Corrected time]])</f>
        <v>57</v>
      </c>
      <c r="N336" s="1">
        <v>0.66525002314814818</v>
      </c>
      <c r="O336" s="1">
        <f>Table25[[#This Row],[Time]]-TIME(0,0,4)</f>
        <v>0.66520372685185192</v>
      </c>
      <c r="P336" t="s">
        <v>9</v>
      </c>
      <c r="Q336">
        <v>-124</v>
      </c>
      <c r="R336">
        <f>Table25[[#This Row],[RSSI]]</f>
        <v>-124</v>
      </c>
      <c r="S336">
        <v>-2.5</v>
      </c>
    </row>
    <row r="337" spans="2:19" x14ac:dyDescent="0.25">
      <c r="B337">
        <f>480+2*(Table14[[#This Row],[min value (corrected)]]-49)</f>
        <v>498</v>
      </c>
      <c r="C337">
        <f>MINUTE(Table14[[#This Row],[Corrected time]])</f>
        <v>58</v>
      </c>
      <c r="D337" s="1">
        <v>0.49870471064814814</v>
      </c>
      <c r="E337" s="1">
        <f>Table14[[#This Row],[Time]]-TIME(0,0,8)</f>
        <v>0.49861211805555555</v>
      </c>
      <c r="F337" t="s">
        <v>9</v>
      </c>
      <c r="G337" t="s">
        <v>19</v>
      </c>
      <c r="H337">
        <f t="shared" si="6"/>
        <v>-124</v>
      </c>
      <c r="I337">
        <v>-3.5</v>
      </c>
      <c r="L337">
        <f>480+2*(Table25[[#This Row],[min value (corrected)]]-49)</f>
        <v>496</v>
      </c>
      <c r="M337">
        <f>MINUTE(Table25[[#This Row],[Corrected time]])</f>
        <v>57</v>
      </c>
      <c r="N337" s="1">
        <v>0.66526986111111108</v>
      </c>
      <c r="O337" s="1">
        <f>Table25[[#This Row],[Time]]-TIME(0,0,4)</f>
        <v>0.66522356481481482</v>
      </c>
      <c r="P337" t="s">
        <v>9</v>
      </c>
      <c r="Q337">
        <v>-124</v>
      </c>
      <c r="R337">
        <f>Table25[[#This Row],[RSSI]]</f>
        <v>-124</v>
      </c>
      <c r="S337">
        <v>-3.2</v>
      </c>
    </row>
    <row r="338" spans="2:19" x14ac:dyDescent="0.25">
      <c r="B338">
        <f>480+2*(Table14[[#This Row],[min value (corrected)]]-49)</f>
        <v>498</v>
      </c>
      <c r="C338">
        <f>MINUTE(Table14[[#This Row],[Corrected time]])</f>
        <v>58</v>
      </c>
      <c r="D338" s="1">
        <v>0.4987245486111111</v>
      </c>
      <c r="E338" s="1">
        <f>Table14[[#This Row],[Time]]-TIME(0,0,8)</f>
        <v>0.49863195601851851</v>
      </c>
      <c r="F338" t="s">
        <v>9</v>
      </c>
      <c r="G338" t="s">
        <v>19</v>
      </c>
      <c r="H338">
        <f t="shared" si="6"/>
        <v>-124</v>
      </c>
      <c r="I338">
        <v>-3.5</v>
      </c>
      <c r="L338">
        <f>480+2*(Table25[[#This Row],[min value (corrected)]]-49)</f>
        <v>496</v>
      </c>
      <c r="M338">
        <f>MINUTE(Table25[[#This Row],[Corrected time]])</f>
        <v>57</v>
      </c>
      <c r="N338" s="1">
        <v>0.66528969907407409</v>
      </c>
      <c r="O338" s="1">
        <f>Table25[[#This Row],[Time]]-TIME(0,0,4)</f>
        <v>0.66524340277777783</v>
      </c>
      <c r="P338" t="s">
        <v>9</v>
      </c>
      <c r="Q338">
        <v>-124</v>
      </c>
      <c r="R338">
        <f>Table25[[#This Row],[RSSI]]</f>
        <v>-124</v>
      </c>
      <c r="S338">
        <v>-2.2000000000000002</v>
      </c>
    </row>
    <row r="339" spans="2:19" x14ac:dyDescent="0.25">
      <c r="B339">
        <f>480+2*(Table14[[#This Row],[min value (corrected)]]-49)</f>
        <v>498</v>
      </c>
      <c r="C339">
        <f>MINUTE(Table14[[#This Row],[Corrected time]])</f>
        <v>58</v>
      </c>
      <c r="D339" s="1">
        <v>0.49874438657407405</v>
      </c>
      <c r="E339" s="1">
        <f>Table14[[#This Row],[Time]]-TIME(0,0,8)</f>
        <v>0.49865179398148146</v>
      </c>
      <c r="F339" t="s">
        <v>9</v>
      </c>
      <c r="G339" t="s">
        <v>28</v>
      </c>
      <c r="H339">
        <f t="shared" si="6"/>
        <v>-125</v>
      </c>
      <c r="I339">
        <v>-4.2</v>
      </c>
      <c r="L339">
        <f>480+2*(Table25[[#This Row],[min value (corrected)]]-49)</f>
        <v>496</v>
      </c>
      <c r="M339">
        <f>MINUTE(Table25[[#This Row],[Corrected time]])</f>
        <v>57</v>
      </c>
      <c r="N339" s="1">
        <v>0.66530953703703699</v>
      </c>
      <c r="O339" s="1">
        <f>Table25[[#This Row],[Time]]-TIME(0,0,4)</f>
        <v>0.66526324074074072</v>
      </c>
      <c r="P339" t="s">
        <v>9</v>
      </c>
      <c r="Q339">
        <v>-124</v>
      </c>
      <c r="R339">
        <f>Table25[[#This Row],[RSSI]]</f>
        <v>-124</v>
      </c>
      <c r="S339">
        <v>-3.5</v>
      </c>
    </row>
    <row r="340" spans="2:19" x14ac:dyDescent="0.25">
      <c r="B340">
        <f>480+2*(Table14[[#This Row],[min value (corrected)]]-49)</f>
        <v>498</v>
      </c>
      <c r="C340">
        <f>MINUTE(Table14[[#This Row],[Corrected time]])</f>
        <v>58</v>
      </c>
      <c r="D340" s="1">
        <v>0.498764224537037</v>
      </c>
      <c r="E340" s="1">
        <f>Table14[[#This Row],[Time]]-TIME(0,0,8)</f>
        <v>0.49867163194444442</v>
      </c>
      <c r="F340" t="s">
        <v>9</v>
      </c>
      <c r="G340" t="s">
        <v>19</v>
      </c>
      <c r="H340">
        <f t="shared" si="6"/>
        <v>-124</v>
      </c>
      <c r="I340">
        <v>-2.7</v>
      </c>
      <c r="L340">
        <f>480+2*(Table25[[#This Row],[min value (corrected)]]-49)</f>
        <v>498</v>
      </c>
      <c r="M340">
        <f>MINUTE(Table25[[#This Row],[Corrected time]])</f>
        <v>58</v>
      </c>
      <c r="N340" s="1">
        <v>0.665329375</v>
      </c>
      <c r="O340" s="1">
        <f>Table25[[#This Row],[Time]]-TIME(0,0,4)</f>
        <v>0.66528307870370373</v>
      </c>
      <c r="P340" t="s">
        <v>9</v>
      </c>
      <c r="Q340">
        <v>-124</v>
      </c>
      <c r="R340">
        <f>Table25[[#This Row],[RSSI]]</f>
        <v>-124</v>
      </c>
      <c r="S340">
        <v>-3.2</v>
      </c>
    </row>
    <row r="341" spans="2:19" x14ac:dyDescent="0.25">
      <c r="B341">
        <f>480+2*(Table14[[#This Row],[min value (corrected)]]-49)</f>
        <v>498</v>
      </c>
      <c r="C341">
        <f>MINUTE(Table14[[#This Row],[Corrected time]])</f>
        <v>58</v>
      </c>
      <c r="D341" s="1">
        <v>0.49878406250000001</v>
      </c>
      <c r="E341" s="1">
        <f>Table14[[#This Row],[Time]]-TIME(0,0,8)</f>
        <v>0.49869146990740743</v>
      </c>
      <c r="F341" t="s">
        <v>9</v>
      </c>
      <c r="G341" t="s">
        <v>28</v>
      </c>
      <c r="H341">
        <f t="shared" si="6"/>
        <v>-125</v>
      </c>
      <c r="I341">
        <v>-4</v>
      </c>
      <c r="L341">
        <f>480+2*(Table25[[#This Row],[min value (corrected)]]-49)</f>
        <v>498</v>
      </c>
      <c r="M341">
        <f>MINUTE(Table25[[#This Row],[Corrected time]])</f>
        <v>58</v>
      </c>
      <c r="N341" s="1">
        <v>0.6653492129629629</v>
      </c>
      <c r="O341" s="1">
        <f>Table25[[#This Row],[Time]]-TIME(0,0,4)</f>
        <v>0.66530291666666663</v>
      </c>
      <c r="P341" t="s">
        <v>9</v>
      </c>
      <c r="Q341">
        <v>-124</v>
      </c>
      <c r="R341">
        <f>Table25[[#This Row],[RSSI]]</f>
        <v>-124</v>
      </c>
      <c r="S341">
        <v>-3.2</v>
      </c>
    </row>
    <row r="342" spans="2:19" x14ac:dyDescent="0.25">
      <c r="B342">
        <f>480+2*(Table14[[#This Row],[min value (corrected)]]-49)</f>
        <v>498</v>
      </c>
      <c r="C342">
        <f>MINUTE(Table14[[#This Row],[Corrected time]])</f>
        <v>58</v>
      </c>
      <c r="D342" s="1">
        <v>0.49880390046296297</v>
      </c>
      <c r="E342" s="1">
        <f>Table14[[#This Row],[Time]]-TIME(0,0,8)</f>
        <v>0.49871130787037038</v>
      </c>
      <c r="F342" t="s">
        <v>13</v>
      </c>
      <c r="G342" t="str">
        <f>G341</f>
        <v>-125.0,</v>
      </c>
      <c r="H342">
        <f>H341-0.5</f>
        <v>-125.5</v>
      </c>
      <c r="I342">
        <f>I341-0.5</f>
        <v>-4.5</v>
      </c>
      <c r="L342">
        <f>480+2*(Table25[[#This Row],[min value (corrected)]]-49)</f>
        <v>498</v>
      </c>
      <c r="M342">
        <f>MINUTE(Table25[[#This Row],[Corrected time]])</f>
        <v>58</v>
      </c>
      <c r="N342" s="1">
        <v>0.66536905092592591</v>
      </c>
      <c r="O342" s="1">
        <f>Table25[[#This Row],[Time]]-TIME(0,0,4)</f>
        <v>0.66532275462962964</v>
      </c>
      <c r="P342" t="s">
        <v>9</v>
      </c>
      <c r="Q342">
        <v>-124</v>
      </c>
      <c r="R342">
        <f>Table25[[#This Row],[RSSI]]</f>
        <v>-124</v>
      </c>
      <c r="S342">
        <v>-3.2</v>
      </c>
    </row>
    <row r="343" spans="2:19" x14ac:dyDescent="0.25">
      <c r="B343">
        <f>480+2*(Table14[[#This Row],[min value (corrected)]]-49)</f>
        <v>498</v>
      </c>
      <c r="C343">
        <f>MINUTE(Table14[[#This Row],[Corrected time]])</f>
        <v>58</v>
      </c>
      <c r="D343" s="1">
        <v>0.49882373842592592</v>
      </c>
      <c r="E343" s="1">
        <f>Table14[[#This Row],[Time]]-TIME(0,0,8)</f>
        <v>0.49873114583333333</v>
      </c>
      <c r="F343" t="s">
        <v>9</v>
      </c>
      <c r="G343" t="s">
        <v>28</v>
      </c>
      <c r="H343">
        <f t="shared" si="6"/>
        <v>-125</v>
      </c>
      <c r="I343">
        <v>-3.2</v>
      </c>
      <c r="L343">
        <f>480+2*(Table25[[#This Row],[min value (corrected)]]-49)</f>
        <v>498</v>
      </c>
      <c r="M343">
        <f>MINUTE(Table25[[#This Row],[Corrected time]])</f>
        <v>58</v>
      </c>
      <c r="N343" s="1">
        <v>0.66538888888888892</v>
      </c>
      <c r="O343" s="1">
        <f>Table25[[#This Row],[Time]]-TIME(0,0,4)</f>
        <v>0.66534259259259265</v>
      </c>
      <c r="P343" t="s">
        <v>9</v>
      </c>
      <c r="Q343">
        <v>-124</v>
      </c>
      <c r="R343">
        <f>Table25[[#This Row],[RSSI]]</f>
        <v>-124</v>
      </c>
      <c r="S343">
        <v>-3.5</v>
      </c>
    </row>
    <row r="344" spans="2:19" x14ac:dyDescent="0.25">
      <c r="B344">
        <f>480+2*(Table14[[#This Row],[min value (corrected)]]-49)</f>
        <v>498</v>
      </c>
      <c r="C344">
        <f>MINUTE(Table14[[#This Row],[Corrected time]])</f>
        <v>58</v>
      </c>
      <c r="D344" s="1">
        <v>0.49884357638888888</v>
      </c>
      <c r="E344" s="1">
        <f>Table14[[#This Row],[Time]]-TIME(0,0,8)</f>
        <v>0.49875098379629629</v>
      </c>
      <c r="F344" t="s">
        <v>9</v>
      </c>
      <c r="G344" t="s">
        <v>19</v>
      </c>
      <c r="H344">
        <f t="shared" si="6"/>
        <v>-124</v>
      </c>
      <c r="I344">
        <v>-3</v>
      </c>
      <c r="L344">
        <f>480+2*(Table25[[#This Row],[min value (corrected)]]-49)</f>
        <v>498</v>
      </c>
      <c r="M344">
        <f>MINUTE(Table25[[#This Row],[Corrected time]])</f>
        <v>58</v>
      </c>
      <c r="N344" s="1">
        <v>0.66540871527777778</v>
      </c>
      <c r="O344" s="1">
        <f>Table25[[#This Row],[Time]]-TIME(0,0,4)</f>
        <v>0.66536241898148152</v>
      </c>
      <c r="P344" t="s">
        <v>9</v>
      </c>
      <c r="Q344">
        <v>-124</v>
      </c>
      <c r="R344">
        <f>Table25[[#This Row],[RSSI]]</f>
        <v>-124</v>
      </c>
      <c r="S344">
        <v>-3</v>
      </c>
    </row>
    <row r="345" spans="2:19" x14ac:dyDescent="0.25">
      <c r="B345">
        <f>480+2*(Table14[[#This Row],[min value (corrected)]]-49)</f>
        <v>498</v>
      </c>
      <c r="C345">
        <f>MINUTE(Table14[[#This Row],[Corrected time]])</f>
        <v>58</v>
      </c>
      <c r="D345" s="1">
        <v>0.49886341435185183</v>
      </c>
      <c r="E345" s="1">
        <f>Table14[[#This Row],[Time]]-TIME(0,0,8)</f>
        <v>0.49877082175925924</v>
      </c>
      <c r="F345" t="s">
        <v>9</v>
      </c>
      <c r="G345" t="s">
        <v>19</v>
      </c>
      <c r="H345">
        <f t="shared" si="6"/>
        <v>-124</v>
      </c>
      <c r="I345">
        <v>-2.7</v>
      </c>
      <c r="L345">
        <f>480+2*(Table25[[#This Row],[min value (corrected)]]-49)</f>
        <v>498</v>
      </c>
      <c r="M345">
        <f>MINUTE(Table25[[#This Row],[Corrected time]])</f>
        <v>58</v>
      </c>
      <c r="N345" s="1">
        <v>0.66542856481481483</v>
      </c>
      <c r="O345" s="1">
        <f>Table25[[#This Row],[Time]]-TIME(0,0,4)</f>
        <v>0.66538226851851856</v>
      </c>
      <c r="P345" t="s">
        <v>13</v>
      </c>
      <c r="Q345">
        <f>Q344</f>
        <v>-124</v>
      </c>
      <c r="R345">
        <f>Table25[[#This Row],[RSSI]]</f>
        <v>-124</v>
      </c>
    </row>
    <row r="346" spans="2:19" x14ac:dyDescent="0.25">
      <c r="B346">
        <f>480+2*(Table14[[#This Row],[min value (corrected)]]-49)</f>
        <v>498</v>
      </c>
      <c r="C346">
        <f>MINUTE(Table14[[#This Row],[Corrected time]])</f>
        <v>58</v>
      </c>
      <c r="D346" s="1">
        <v>0.49888325231481478</v>
      </c>
      <c r="E346" s="1">
        <f>Table14[[#This Row],[Time]]-TIME(0,0,8)</f>
        <v>0.4987906597222222</v>
      </c>
      <c r="F346" t="s">
        <v>9</v>
      </c>
      <c r="G346" t="s">
        <v>19</v>
      </c>
      <c r="H346">
        <f t="shared" si="6"/>
        <v>-124</v>
      </c>
      <c r="I346">
        <v>-3</v>
      </c>
      <c r="L346">
        <f>480+2*(Table25[[#This Row],[min value (corrected)]]-49)</f>
        <v>498</v>
      </c>
      <c r="M346">
        <f>MINUTE(Table25[[#This Row],[Corrected time]])</f>
        <v>58</v>
      </c>
      <c r="N346" s="1">
        <v>0.66544839120370369</v>
      </c>
      <c r="O346" s="1">
        <f>Table25[[#This Row],[Time]]-TIME(0,0,4)</f>
        <v>0.66540209490740743</v>
      </c>
      <c r="P346" t="s">
        <v>9</v>
      </c>
      <c r="Q346">
        <v>-124</v>
      </c>
      <c r="R346">
        <f>Table25[[#This Row],[RSSI]]</f>
        <v>-124</v>
      </c>
      <c r="S346">
        <v>-2.5</v>
      </c>
    </row>
    <row r="347" spans="2:19" x14ac:dyDescent="0.25">
      <c r="B347">
        <f>480+2*(Table14[[#This Row],[min value (corrected)]]-49)</f>
        <v>498</v>
      </c>
      <c r="C347">
        <f>MINUTE(Table14[[#This Row],[Corrected time]])</f>
        <v>58</v>
      </c>
      <c r="D347" s="1">
        <v>0.49890309027777774</v>
      </c>
      <c r="E347" s="1">
        <f>Table14[[#This Row],[Time]]-TIME(0,0,8)</f>
        <v>0.49881049768518515</v>
      </c>
      <c r="F347" t="s">
        <v>9</v>
      </c>
      <c r="G347" t="s">
        <v>19</v>
      </c>
      <c r="H347">
        <f t="shared" si="6"/>
        <v>-124</v>
      </c>
      <c r="I347">
        <v>-2.7</v>
      </c>
      <c r="L347">
        <f>480+2*(Table25[[#This Row],[min value (corrected)]]-49)</f>
        <v>498</v>
      </c>
      <c r="M347">
        <f>MINUTE(Table25[[#This Row],[Corrected time]])</f>
        <v>58</v>
      </c>
      <c r="N347" s="1">
        <v>0.66546824074074074</v>
      </c>
      <c r="O347" s="1">
        <f>Table25[[#This Row],[Time]]-TIME(0,0,4)</f>
        <v>0.66542194444444447</v>
      </c>
      <c r="P347" t="s">
        <v>9</v>
      </c>
      <c r="Q347">
        <v>-124</v>
      </c>
      <c r="R347">
        <f>Table25[[#This Row],[RSSI]]</f>
        <v>-124</v>
      </c>
      <c r="S347">
        <v>-2.7</v>
      </c>
    </row>
    <row r="348" spans="2:19" x14ac:dyDescent="0.25">
      <c r="B348">
        <f>480+2*(Table14[[#This Row],[min value (corrected)]]-49)</f>
        <v>498</v>
      </c>
      <c r="C348">
        <f>MINUTE(Table14[[#This Row],[Corrected time]])</f>
        <v>58</v>
      </c>
      <c r="D348" s="1">
        <v>0.49892292824074075</v>
      </c>
      <c r="E348" s="1">
        <f>Table14[[#This Row],[Time]]-TIME(0,0,8)</f>
        <v>0.49883033564814816</v>
      </c>
      <c r="F348" t="s">
        <v>9</v>
      </c>
      <c r="G348" t="s">
        <v>19</v>
      </c>
      <c r="H348">
        <f t="shared" si="6"/>
        <v>-124</v>
      </c>
      <c r="I348">
        <v>-2.7</v>
      </c>
      <c r="L348">
        <f>480+2*(Table25[[#This Row],[min value (corrected)]]-49)</f>
        <v>498</v>
      </c>
      <c r="M348">
        <f>MINUTE(Table25[[#This Row],[Corrected time]])</f>
        <v>58</v>
      </c>
      <c r="N348" s="1">
        <v>0.66548807870370363</v>
      </c>
      <c r="O348" s="1">
        <f>Table25[[#This Row],[Time]]-TIME(0,0,4)</f>
        <v>0.66544178240740737</v>
      </c>
      <c r="P348" t="s">
        <v>9</v>
      </c>
      <c r="Q348">
        <v>-124</v>
      </c>
      <c r="R348">
        <f>Table25[[#This Row],[RSSI]]</f>
        <v>-124</v>
      </c>
      <c r="S348">
        <v>-2.5</v>
      </c>
    </row>
    <row r="349" spans="2:19" x14ac:dyDescent="0.25">
      <c r="B349">
        <f>480+2*(Table14[[#This Row],[min value (corrected)]]-49)</f>
        <v>498</v>
      </c>
      <c r="C349">
        <f>MINUTE(Table14[[#This Row],[Corrected time]])</f>
        <v>58</v>
      </c>
      <c r="D349" s="1">
        <v>0.4989427662037037</v>
      </c>
      <c r="E349" s="1">
        <f>Table14[[#This Row],[Time]]-TIME(0,0,8)</f>
        <v>0.49885017361111111</v>
      </c>
      <c r="F349" t="s">
        <v>9</v>
      </c>
      <c r="G349" t="s">
        <v>19</v>
      </c>
      <c r="H349">
        <f t="shared" si="6"/>
        <v>-124</v>
      </c>
      <c r="I349">
        <v>-3</v>
      </c>
      <c r="L349">
        <f>480+2*(Table25[[#This Row],[min value (corrected)]]-49)</f>
        <v>498</v>
      </c>
      <c r="M349">
        <f>MINUTE(Table25[[#This Row],[Corrected time]])</f>
        <v>58</v>
      </c>
      <c r="N349" s="1">
        <v>0.66550790509259261</v>
      </c>
      <c r="O349" s="1">
        <f>Table25[[#This Row],[Time]]-TIME(0,0,4)</f>
        <v>0.66546160879629634</v>
      </c>
      <c r="P349" t="s">
        <v>9</v>
      </c>
      <c r="Q349">
        <v>-124</v>
      </c>
      <c r="R349">
        <f>Table25[[#This Row],[RSSI]]</f>
        <v>-124</v>
      </c>
      <c r="S349">
        <v>-2.2000000000000002</v>
      </c>
    </row>
    <row r="350" spans="2:19" x14ac:dyDescent="0.25">
      <c r="B350">
        <f>480+2*(Table14[[#This Row],[min value (corrected)]]-49)</f>
        <v>498</v>
      </c>
      <c r="C350">
        <f>MINUTE(Table14[[#This Row],[Corrected time]])</f>
        <v>58</v>
      </c>
      <c r="D350" s="1">
        <v>0.49896260416666666</v>
      </c>
      <c r="E350" s="1">
        <f>Table14[[#This Row],[Time]]-TIME(0,0,8)</f>
        <v>0.49887001157407407</v>
      </c>
      <c r="F350" t="s">
        <v>9</v>
      </c>
      <c r="G350" t="s">
        <v>19</v>
      </c>
      <c r="H350">
        <f t="shared" si="6"/>
        <v>-124</v>
      </c>
      <c r="I350">
        <v>-2.7</v>
      </c>
      <c r="L350">
        <f>480+2*(Table25[[#This Row],[min value (corrected)]]-49)</f>
        <v>498</v>
      </c>
      <c r="M350">
        <f>MINUTE(Table25[[#This Row],[Corrected time]])</f>
        <v>58</v>
      </c>
      <c r="N350" s="1">
        <v>0.66552774305555562</v>
      </c>
      <c r="O350" s="1">
        <f>Table25[[#This Row],[Time]]-TIME(0,0,4)</f>
        <v>0.66548144675925935</v>
      </c>
      <c r="P350" t="s">
        <v>9</v>
      </c>
      <c r="Q350">
        <v>-124</v>
      </c>
      <c r="R350">
        <f>Table25[[#This Row],[RSSI]]</f>
        <v>-124</v>
      </c>
      <c r="S350">
        <v>-3</v>
      </c>
    </row>
    <row r="351" spans="2:19" x14ac:dyDescent="0.25">
      <c r="B351">
        <f>480+2*(Table14[[#This Row],[min value (corrected)]]-49)</f>
        <v>498</v>
      </c>
      <c r="C351">
        <f>MINUTE(Table14[[#This Row],[Corrected time]])</f>
        <v>58</v>
      </c>
      <c r="D351" s="1">
        <v>0.49898244212962961</v>
      </c>
      <c r="E351" s="1">
        <f>Table14[[#This Row],[Time]]-TIME(0,0,8)</f>
        <v>0.49888984953703702</v>
      </c>
      <c r="F351" t="s">
        <v>9</v>
      </c>
      <c r="G351" t="s">
        <v>19</v>
      </c>
      <c r="H351">
        <f t="shared" si="6"/>
        <v>-124</v>
      </c>
      <c r="I351">
        <v>-2.7</v>
      </c>
      <c r="L351">
        <f>480+2*(Table25[[#This Row],[min value (corrected)]]-49)</f>
        <v>498</v>
      </c>
      <c r="M351">
        <f>MINUTE(Table25[[#This Row],[Corrected time]])</f>
        <v>58</v>
      </c>
      <c r="N351" s="1">
        <v>0.66554759259259255</v>
      </c>
      <c r="O351" s="1">
        <f>Table25[[#This Row],[Time]]-TIME(0,0,4)</f>
        <v>0.66550129629629629</v>
      </c>
      <c r="P351" t="s">
        <v>9</v>
      </c>
      <c r="Q351">
        <v>-124</v>
      </c>
      <c r="R351">
        <f>Table25[[#This Row],[RSSI]]</f>
        <v>-124</v>
      </c>
      <c r="S351">
        <v>-3</v>
      </c>
    </row>
    <row r="352" spans="2:19" x14ac:dyDescent="0.25">
      <c r="B352">
        <f>480+2*(Table14[[#This Row],[min value (corrected)]]-49)</f>
        <v>498</v>
      </c>
      <c r="C352">
        <f>MINUTE(Table14[[#This Row],[Corrected time]])</f>
        <v>58</v>
      </c>
      <c r="D352" s="1">
        <v>0.49900228009259257</v>
      </c>
      <c r="E352" s="1">
        <f>Table14[[#This Row],[Time]]-TIME(0,0,8)</f>
        <v>0.49890968749999998</v>
      </c>
      <c r="F352" t="s">
        <v>9</v>
      </c>
      <c r="G352" t="s">
        <v>19</v>
      </c>
      <c r="H352">
        <f t="shared" si="6"/>
        <v>-124</v>
      </c>
      <c r="I352">
        <v>-3</v>
      </c>
      <c r="L352">
        <f>480+2*(Table25[[#This Row],[min value (corrected)]]-49)</f>
        <v>498</v>
      </c>
      <c r="M352">
        <f>MINUTE(Table25[[#This Row],[Corrected time]])</f>
        <v>58</v>
      </c>
      <c r="N352" s="1">
        <v>0.66556743055555556</v>
      </c>
      <c r="O352" s="1">
        <f>Table25[[#This Row],[Time]]-TIME(0,0,4)</f>
        <v>0.66552113425925929</v>
      </c>
      <c r="P352" t="s">
        <v>9</v>
      </c>
      <c r="Q352">
        <v>-124</v>
      </c>
      <c r="R352">
        <f>Table25[[#This Row],[RSSI]]</f>
        <v>-124</v>
      </c>
      <c r="S352">
        <v>-2.5</v>
      </c>
    </row>
    <row r="353" spans="2:19" x14ac:dyDescent="0.25">
      <c r="B353">
        <f>480+2*(Table14[[#This Row],[min value (corrected)]]-49)</f>
        <v>498</v>
      </c>
      <c r="C353">
        <f>MINUTE(Table14[[#This Row],[Corrected time]])</f>
        <v>58</v>
      </c>
      <c r="D353" s="1">
        <v>0.49902211805555552</v>
      </c>
      <c r="E353" s="1">
        <f>Table14[[#This Row],[Time]]-TIME(0,0,8)</f>
        <v>0.49892952546296293</v>
      </c>
      <c r="F353" t="s">
        <v>9</v>
      </c>
      <c r="G353" t="s">
        <v>19</v>
      </c>
      <c r="H353">
        <f t="shared" si="6"/>
        <v>-124</v>
      </c>
      <c r="I353">
        <v>-2.5</v>
      </c>
      <c r="L353">
        <f>480+2*(Table25[[#This Row],[min value (corrected)]]-49)</f>
        <v>498</v>
      </c>
      <c r="M353">
        <f>MINUTE(Table25[[#This Row],[Corrected time]])</f>
        <v>58</v>
      </c>
      <c r="N353" s="1">
        <v>0.66558726851851846</v>
      </c>
      <c r="O353" s="1">
        <f>Table25[[#This Row],[Time]]-TIME(0,0,4)</f>
        <v>0.66554097222222219</v>
      </c>
      <c r="P353" t="s">
        <v>9</v>
      </c>
      <c r="Q353">
        <v>-124</v>
      </c>
      <c r="R353">
        <f>Table25[[#This Row],[RSSI]]</f>
        <v>-124</v>
      </c>
      <c r="S353">
        <v>-2.5</v>
      </c>
    </row>
    <row r="354" spans="2:19" x14ac:dyDescent="0.25">
      <c r="B354">
        <f>480+2*(Table14[[#This Row],[min value (corrected)]]-49)</f>
        <v>498</v>
      </c>
      <c r="C354">
        <f>MINUTE(Table14[[#This Row],[Corrected time]])</f>
        <v>58</v>
      </c>
      <c r="D354" s="1">
        <v>0.49904195601851853</v>
      </c>
      <c r="E354" s="1">
        <f>Table14[[#This Row],[Time]]-TIME(0,0,8)</f>
        <v>0.49894936342592594</v>
      </c>
      <c r="F354" t="s">
        <v>9</v>
      </c>
      <c r="G354" t="s">
        <v>19</v>
      </c>
      <c r="H354">
        <f t="shared" si="6"/>
        <v>-124</v>
      </c>
      <c r="I354">
        <v>-2.7</v>
      </c>
      <c r="L354">
        <f>480+2*(Table25[[#This Row],[min value (corrected)]]-49)</f>
        <v>498</v>
      </c>
      <c r="M354">
        <f>MINUTE(Table25[[#This Row],[Corrected time]])</f>
        <v>58</v>
      </c>
      <c r="N354" s="1">
        <v>0.66560710648148147</v>
      </c>
      <c r="O354" s="1">
        <f>Table25[[#This Row],[Time]]-TIME(0,0,4)</f>
        <v>0.6655608101851852</v>
      </c>
      <c r="P354" t="s">
        <v>9</v>
      </c>
      <c r="Q354">
        <v>-119</v>
      </c>
      <c r="R354">
        <f>Table25[[#This Row],[RSSI]]</f>
        <v>-119</v>
      </c>
      <c r="S354">
        <v>-2.7</v>
      </c>
    </row>
    <row r="355" spans="2:19" x14ac:dyDescent="0.25">
      <c r="B355">
        <f>480+2*(Table14[[#This Row],[min value (corrected)]]-49)</f>
        <v>498</v>
      </c>
      <c r="C355">
        <f>MINUTE(Table14[[#This Row],[Corrected time]])</f>
        <v>58</v>
      </c>
      <c r="D355" s="1">
        <v>0.49906179398148148</v>
      </c>
      <c r="E355" s="1">
        <f>Table14[[#This Row],[Time]]-TIME(0,0,8)</f>
        <v>0.49896920138888889</v>
      </c>
      <c r="F355" t="s">
        <v>9</v>
      </c>
      <c r="G355" t="s">
        <v>19</v>
      </c>
      <c r="H355">
        <f t="shared" si="6"/>
        <v>-124</v>
      </c>
      <c r="I355">
        <v>-2.2000000000000002</v>
      </c>
      <c r="L355">
        <f>480+2*(Table25[[#This Row],[min value (corrected)]]-49)</f>
        <v>498</v>
      </c>
      <c r="M355">
        <f>MINUTE(Table25[[#This Row],[Corrected time]])</f>
        <v>58</v>
      </c>
      <c r="N355" s="1">
        <v>0.66562693287037034</v>
      </c>
      <c r="O355" s="1">
        <f>Table25[[#This Row],[Time]]-TIME(0,0,4)</f>
        <v>0.66558063657407407</v>
      </c>
      <c r="P355" t="s">
        <v>9</v>
      </c>
      <c r="Q355">
        <v>-124</v>
      </c>
      <c r="R355">
        <f>Table25[[#This Row],[RSSI]]</f>
        <v>-124</v>
      </c>
      <c r="S355">
        <v>-3</v>
      </c>
    </row>
    <row r="356" spans="2:19" x14ac:dyDescent="0.25">
      <c r="B356">
        <f>480+2*(Table14[[#This Row],[min value (corrected)]]-49)</f>
        <v>498</v>
      </c>
      <c r="C356">
        <f>MINUTE(Table14[[#This Row],[Corrected time]])</f>
        <v>58</v>
      </c>
      <c r="D356" s="1">
        <v>0.49908163194444444</v>
      </c>
      <c r="E356" s="1">
        <f>Table14[[#This Row],[Time]]-TIME(0,0,8)</f>
        <v>0.49898903935185185</v>
      </c>
      <c r="F356" t="s">
        <v>9</v>
      </c>
      <c r="G356" t="s">
        <v>19</v>
      </c>
      <c r="H356">
        <f t="shared" si="6"/>
        <v>-124</v>
      </c>
      <c r="I356">
        <v>-3.2</v>
      </c>
      <c r="L356">
        <f>480+2*(Table25[[#This Row],[min value (corrected)]]-49)</f>
        <v>498</v>
      </c>
      <c r="M356">
        <f>MINUTE(Table25[[#This Row],[Corrected time]])</f>
        <v>58</v>
      </c>
      <c r="N356" s="1">
        <v>0.66564678240740738</v>
      </c>
      <c r="O356" s="1">
        <f>Table25[[#This Row],[Time]]-TIME(0,0,4)</f>
        <v>0.66560048611111111</v>
      </c>
      <c r="P356" t="s">
        <v>9</v>
      </c>
      <c r="Q356">
        <v>-124</v>
      </c>
      <c r="R356">
        <f>Table25[[#This Row],[RSSI]]</f>
        <v>-124</v>
      </c>
      <c r="S356">
        <v>-2.7</v>
      </c>
    </row>
    <row r="357" spans="2:19" x14ac:dyDescent="0.25">
      <c r="B357">
        <f>480+2*(Table14[[#This Row],[min value (corrected)]]-49)</f>
        <v>498</v>
      </c>
      <c r="C357">
        <f>MINUTE(Table14[[#This Row],[Corrected time]])</f>
        <v>58</v>
      </c>
      <c r="D357" s="1">
        <v>0.49910145833333336</v>
      </c>
      <c r="E357" s="1">
        <f>Table14[[#This Row],[Time]]-TIME(0,0,8)</f>
        <v>0.49900886574074077</v>
      </c>
      <c r="F357" t="s">
        <v>9</v>
      </c>
      <c r="G357" t="s">
        <v>19</v>
      </c>
      <c r="H357">
        <f t="shared" si="6"/>
        <v>-124</v>
      </c>
      <c r="I357">
        <v>-2.7</v>
      </c>
      <c r="L357">
        <f>480+2*(Table25[[#This Row],[min value (corrected)]]-49)</f>
        <v>498</v>
      </c>
      <c r="M357">
        <f>MINUTE(Table25[[#This Row],[Corrected time]])</f>
        <v>58</v>
      </c>
      <c r="N357" s="1">
        <v>0.66566659722222221</v>
      </c>
      <c r="O357" s="1">
        <f>Table25[[#This Row],[Time]]-TIME(0,0,4)</f>
        <v>0.66562030092592595</v>
      </c>
      <c r="P357" t="s">
        <v>9</v>
      </c>
      <c r="Q357">
        <v>-124</v>
      </c>
      <c r="R357">
        <f>Table25[[#This Row],[RSSI]]</f>
        <v>-124</v>
      </c>
      <c r="S357">
        <v>-2.5</v>
      </c>
    </row>
    <row r="358" spans="2:19" x14ac:dyDescent="0.25">
      <c r="B358">
        <f>480+2*(Table14[[#This Row],[min value (corrected)]]-49)</f>
        <v>498</v>
      </c>
      <c r="C358">
        <f>MINUTE(Table14[[#This Row],[Corrected time]])</f>
        <v>58</v>
      </c>
      <c r="D358" s="1">
        <v>0.49912129629629631</v>
      </c>
      <c r="E358" s="1">
        <f>Table14[[#This Row],[Time]]-TIME(0,0,8)</f>
        <v>0.49902870370370372</v>
      </c>
      <c r="F358" t="s">
        <v>9</v>
      </c>
      <c r="G358" t="s">
        <v>19</v>
      </c>
      <c r="H358">
        <f t="shared" si="6"/>
        <v>-124</v>
      </c>
      <c r="I358">
        <v>-2.2000000000000002</v>
      </c>
      <c r="L358">
        <f>480+2*(Table25[[#This Row],[min value (corrected)]]-49)</f>
        <v>498</v>
      </c>
      <c r="M358">
        <f>MINUTE(Table25[[#This Row],[Corrected time]])</f>
        <v>58</v>
      </c>
      <c r="N358" s="1">
        <v>0.66568644675925925</v>
      </c>
      <c r="O358" s="1">
        <f>Table25[[#This Row],[Time]]-TIME(0,0,4)</f>
        <v>0.66564015046296299</v>
      </c>
      <c r="P358" t="s">
        <v>9</v>
      </c>
      <c r="Q358">
        <v>-124</v>
      </c>
      <c r="R358">
        <f>Table25[[#This Row],[RSSI]]</f>
        <v>-124</v>
      </c>
      <c r="S358">
        <v>-2.2000000000000002</v>
      </c>
    </row>
    <row r="359" spans="2:19" x14ac:dyDescent="0.25">
      <c r="B359">
        <f>480+2*(Table14[[#This Row],[min value (corrected)]]-49)</f>
        <v>498</v>
      </c>
      <c r="C359">
        <f>MINUTE(Table14[[#This Row],[Corrected time]])</f>
        <v>58</v>
      </c>
      <c r="D359" s="1">
        <v>0.4991411458333333</v>
      </c>
      <c r="E359" s="1">
        <f>Table14[[#This Row],[Time]]-TIME(0,0,8)</f>
        <v>0.49904855324074071</v>
      </c>
      <c r="F359" t="s">
        <v>9</v>
      </c>
      <c r="G359" t="s">
        <v>19</v>
      </c>
      <c r="H359">
        <f t="shared" si="6"/>
        <v>-124</v>
      </c>
      <c r="I359">
        <v>-2.5</v>
      </c>
      <c r="L359">
        <f>480+2*(Table25[[#This Row],[min value (corrected)]]-49)</f>
        <v>498</v>
      </c>
      <c r="M359">
        <f>MINUTE(Table25[[#This Row],[Corrected time]])</f>
        <v>58</v>
      </c>
      <c r="N359" s="1">
        <v>0.6657062962962963</v>
      </c>
      <c r="O359" s="1">
        <f>Table25[[#This Row],[Time]]-TIME(0,0,4)</f>
        <v>0.66566000000000003</v>
      </c>
      <c r="P359" t="s">
        <v>9</v>
      </c>
      <c r="Q359">
        <v>-125</v>
      </c>
      <c r="R359">
        <f>Table25[[#This Row],[RSSI]]</f>
        <v>-125</v>
      </c>
      <c r="S359">
        <v>-3.5</v>
      </c>
    </row>
    <row r="360" spans="2:19" x14ac:dyDescent="0.25">
      <c r="B360">
        <f>480+2*(Table14[[#This Row],[min value (corrected)]]-49)</f>
        <v>498</v>
      </c>
      <c r="C360">
        <f>MINUTE(Table14[[#This Row],[Corrected time]])</f>
        <v>58</v>
      </c>
      <c r="D360" s="1">
        <v>0.49916098379629625</v>
      </c>
      <c r="E360" s="1">
        <f>Table14[[#This Row],[Time]]-TIME(0,0,8)</f>
        <v>0.49906839120370367</v>
      </c>
      <c r="F360" t="s">
        <v>9</v>
      </c>
      <c r="G360" t="s">
        <v>19</v>
      </c>
      <c r="H360">
        <f t="shared" si="6"/>
        <v>-124</v>
      </c>
      <c r="I360">
        <v>-2.7</v>
      </c>
      <c r="L360">
        <f>480+2*(Table25[[#This Row],[min value (corrected)]]-49)</f>
        <v>498</v>
      </c>
      <c r="M360">
        <f>MINUTE(Table25[[#This Row],[Corrected time]])</f>
        <v>58</v>
      </c>
      <c r="N360" s="1">
        <v>0.66572613425925919</v>
      </c>
      <c r="O360" s="1">
        <f>Table25[[#This Row],[Time]]-TIME(0,0,4)</f>
        <v>0.66567983796296293</v>
      </c>
      <c r="P360" t="s">
        <v>9</v>
      </c>
      <c r="Q360">
        <v>-124</v>
      </c>
      <c r="R360">
        <f>Table25[[#This Row],[RSSI]]</f>
        <v>-124</v>
      </c>
      <c r="S360">
        <v>-3</v>
      </c>
    </row>
    <row r="361" spans="2:19" x14ac:dyDescent="0.25">
      <c r="B361">
        <f>480+2*(Table14[[#This Row],[min value (corrected)]]-49)</f>
        <v>498</v>
      </c>
      <c r="C361">
        <f>MINUTE(Table14[[#This Row],[Corrected time]])</f>
        <v>58</v>
      </c>
      <c r="D361" s="1">
        <v>0.49918081018518523</v>
      </c>
      <c r="E361" s="1">
        <f>Table14[[#This Row],[Time]]-TIME(0,0,8)</f>
        <v>0.49908821759259264</v>
      </c>
      <c r="F361" t="s">
        <v>9</v>
      </c>
      <c r="G361" t="s">
        <v>19</v>
      </c>
      <c r="H361">
        <f t="shared" si="6"/>
        <v>-124</v>
      </c>
      <c r="I361">
        <v>-3</v>
      </c>
      <c r="L361">
        <f>480+2*(Table25[[#This Row],[min value (corrected)]]-49)</f>
        <v>498</v>
      </c>
      <c r="M361">
        <f>MINUTE(Table25[[#This Row],[Corrected time]])</f>
        <v>58</v>
      </c>
      <c r="N361" s="1">
        <v>0.6657459722222222</v>
      </c>
      <c r="O361" s="1">
        <f>Table25[[#This Row],[Time]]-TIME(0,0,4)</f>
        <v>0.66569967592592594</v>
      </c>
      <c r="P361" t="s">
        <v>9</v>
      </c>
      <c r="Q361">
        <v>-123</v>
      </c>
      <c r="R361">
        <f>Table25[[#This Row],[RSSI]]</f>
        <v>-123</v>
      </c>
      <c r="S361">
        <v>-2.2000000000000002</v>
      </c>
    </row>
    <row r="362" spans="2:19" x14ac:dyDescent="0.25">
      <c r="B362">
        <f>480+2*(Table14[[#This Row],[min value (corrected)]]-49)</f>
        <v>498</v>
      </c>
      <c r="C362">
        <f>MINUTE(Table14[[#This Row],[Corrected time]])</f>
        <v>58</v>
      </c>
      <c r="D362" s="1">
        <v>0.49920065972222222</v>
      </c>
      <c r="E362" s="1">
        <f>Table14[[#This Row],[Time]]-TIME(0,0,8)</f>
        <v>0.49910806712962963</v>
      </c>
      <c r="F362" t="s">
        <v>9</v>
      </c>
      <c r="G362" t="s">
        <v>19</v>
      </c>
      <c r="H362">
        <f t="shared" si="6"/>
        <v>-124</v>
      </c>
      <c r="I362">
        <v>-2.7</v>
      </c>
      <c r="L362">
        <f>480+2*(Table25[[#This Row],[min value (corrected)]]-49)</f>
        <v>498</v>
      </c>
      <c r="M362">
        <f>MINUTE(Table25[[#This Row],[Corrected time]])</f>
        <v>58</v>
      </c>
      <c r="N362" s="1">
        <v>0.66576579861111107</v>
      </c>
      <c r="O362" s="1">
        <f>Table25[[#This Row],[Time]]-TIME(0,0,4)</f>
        <v>0.6657195023148148</v>
      </c>
      <c r="P362" t="s">
        <v>9</v>
      </c>
      <c r="Q362">
        <v>-124</v>
      </c>
      <c r="R362">
        <f>Table25[[#This Row],[RSSI]]</f>
        <v>-124</v>
      </c>
      <c r="S362">
        <v>-2.5</v>
      </c>
    </row>
    <row r="363" spans="2:19" x14ac:dyDescent="0.25">
      <c r="B363">
        <f>480+2*(Table14[[#This Row],[min value (corrected)]]-49)</f>
        <v>498</v>
      </c>
      <c r="C363">
        <f>MINUTE(Table14[[#This Row],[Corrected time]])</f>
        <v>58</v>
      </c>
      <c r="D363" s="1">
        <v>0.49922049768518517</v>
      </c>
      <c r="E363" s="1">
        <f>Table14[[#This Row],[Time]]-TIME(0,0,8)</f>
        <v>0.49912790509259258</v>
      </c>
      <c r="F363" t="s">
        <v>9</v>
      </c>
      <c r="G363" t="s">
        <v>19</v>
      </c>
      <c r="H363">
        <f t="shared" si="6"/>
        <v>-124</v>
      </c>
      <c r="I363">
        <v>-2.7</v>
      </c>
      <c r="L363">
        <f>480+2*(Table25[[#This Row],[min value (corrected)]]-49)</f>
        <v>498</v>
      </c>
      <c r="M363">
        <f>MINUTE(Table25[[#This Row],[Corrected time]])</f>
        <v>58</v>
      </c>
      <c r="N363" s="1">
        <v>0.66578564814814811</v>
      </c>
      <c r="O363" s="1">
        <f>Table25[[#This Row],[Time]]-TIME(0,0,4)</f>
        <v>0.66573935185185185</v>
      </c>
      <c r="P363" t="s">
        <v>9</v>
      </c>
      <c r="Q363">
        <v>-124</v>
      </c>
      <c r="R363">
        <f>Table25[[#This Row],[RSSI]]</f>
        <v>-124</v>
      </c>
      <c r="S363">
        <v>-2.5</v>
      </c>
    </row>
    <row r="364" spans="2:19" x14ac:dyDescent="0.25">
      <c r="B364">
        <f>480+2*(Table14[[#This Row],[min value (corrected)]]-49)</f>
        <v>498</v>
      </c>
      <c r="C364">
        <f>MINUTE(Table14[[#This Row],[Corrected time]])</f>
        <v>58</v>
      </c>
      <c r="D364" s="1">
        <v>0.49924033564814813</v>
      </c>
      <c r="E364" s="1">
        <f>Table14[[#This Row],[Time]]-TIME(0,0,8)</f>
        <v>0.49914774305555554</v>
      </c>
      <c r="F364" t="s">
        <v>9</v>
      </c>
      <c r="G364" t="s">
        <v>19</v>
      </c>
      <c r="H364">
        <f t="shared" si="6"/>
        <v>-124</v>
      </c>
      <c r="I364">
        <v>-2.7</v>
      </c>
      <c r="L364">
        <f>480+2*(Table25[[#This Row],[min value (corrected)]]-49)</f>
        <v>498</v>
      </c>
      <c r="M364">
        <f>MINUTE(Table25[[#This Row],[Corrected time]])</f>
        <v>58</v>
      </c>
      <c r="N364" s="1">
        <v>0.66580547453703709</v>
      </c>
      <c r="O364" s="1">
        <f>Table25[[#This Row],[Time]]-TIME(0,0,4)</f>
        <v>0.66575917824074082</v>
      </c>
      <c r="P364" t="s">
        <v>9</v>
      </c>
      <c r="Q364">
        <v>-124</v>
      </c>
      <c r="R364">
        <f>Table25[[#This Row],[RSSI]]</f>
        <v>-124</v>
      </c>
      <c r="S364">
        <v>-2.5</v>
      </c>
    </row>
    <row r="365" spans="2:19" x14ac:dyDescent="0.25">
      <c r="B365">
        <f>480+2*(Table14[[#This Row],[min value (corrected)]]-49)</f>
        <v>498</v>
      </c>
      <c r="C365">
        <f>MINUTE(Table14[[#This Row],[Corrected time]])</f>
        <v>58</v>
      </c>
      <c r="D365" s="1">
        <v>0.49926017361111108</v>
      </c>
      <c r="E365" s="1">
        <f>Table14[[#This Row],[Time]]-TIME(0,0,8)</f>
        <v>0.49916758101851849</v>
      </c>
      <c r="F365" t="s">
        <v>9</v>
      </c>
      <c r="G365" t="s">
        <v>19</v>
      </c>
      <c r="H365">
        <f t="shared" si="6"/>
        <v>-124</v>
      </c>
      <c r="I365">
        <v>-3</v>
      </c>
      <c r="L365">
        <f>480+2*(Table25[[#This Row],[min value (corrected)]]-49)</f>
        <v>498</v>
      </c>
      <c r="M365">
        <f>MINUTE(Table25[[#This Row],[Corrected time]])</f>
        <v>58</v>
      </c>
      <c r="N365" s="1">
        <v>0.66582532407407402</v>
      </c>
      <c r="O365" s="1">
        <f>Table25[[#This Row],[Time]]-TIME(0,0,4)</f>
        <v>0.66577902777777775</v>
      </c>
      <c r="P365" t="s">
        <v>9</v>
      </c>
      <c r="Q365">
        <v>-124</v>
      </c>
      <c r="R365">
        <f>Table25[[#This Row],[RSSI]]</f>
        <v>-124</v>
      </c>
      <c r="S365">
        <v>-2.5</v>
      </c>
    </row>
    <row r="366" spans="2:19" x14ac:dyDescent="0.25">
      <c r="B366">
        <f>480+2*(Table14[[#This Row],[min value (corrected)]]-49)</f>
        <v>498</v>
      </c>
      <c r="C366">
        <f>MINUTE(Table14[[#This Row],[Corrected time]])</f>
        <v>58</v>
      </c>
      <c r="D366" s="1">
        <v>0.49928001157407403</v>
      </c>
      <c r="E366" s="1">
        <f>Table14[[#This Row],[Time]]-TIME(0,0,8)</f>
        <v>0.49918741898148145</v>
      </c>
      <c r="F366" t="s">
        <v>9</v>
      </c>
      <c r="G366" t="s">
        <v>19</v>
      </c>
      <c r="H366">
        <f t="shared" si="6"/>
        <v>-124</v>
      </c>
      <c r="I366">
        <v>-3</v>
      </c>
      <c r="L366">
        <f>480+2*(Table25[[#This Row],[min value (corrected)]]-49)</f>
        <v>498</v>
      </c>
      <c r="M366">
        <f>MINUTE(Table25[[#This Row],[Corrected time]])</f>
        <v>58</v>
      </c>
      <c r="N366" s="1">
        <v>0.66584516203703703</v>
      </c>
      <c r="O366" s="1">
        <f>Table25[[#This Row],[Time]]-TIME(0,0,4)</f>
        <v>0.66579886574074076</v>
      </c>
      <c r="P366" t="s">
        <v>9</v>
      </c>
      <c r="Q366">
        <v>-124</v>
      </c>
      <c r="R366">
        <f>Table25[[#This Row],[RSSI]]</f>
        <v>-124</v>
      </c>
      <c r="S366">
        <v>-2.5</v>
      </c>
    </row>
    <row r="367" spans="2:19" x14ac:dyDescent="0.25">
      <c r="B367">
        <f>480+2*(Table14[[#This Row],[min value (corrected)]]-49)</f>
        <v>498</v>
      </c>
      <c r="C367">
        <f>MINUTE(Table14[[#This Row],[Corrected time]])</f>
        <v>58</v>
      </c>
      <c r="D367" s="1">
        <v>0.49929984953703699</v>
      </c>
      <c r="E367" s="1">
        <f>Table14[[#This Row],[Time]]-TIME(0,0,8)</f>
        <v>0.4992072569444444</v>
      </c>
      <c r="F367" t="s">
        <v>9</v>
      </c>
      <c r="G367" t="s">
        <v>19</v>
      </c>
      <c r="H367">
        <f t="shared" si="6"/>
        <v>-124</v>
      </c>
      <c r="I367">
        <v>-3</v>
      </c>
      <c r="L367">
        <f>480+2*(Table25[[#This Row],[min value (corrected)]]-49)</f>
        <v>498</v>
      </c>
      <c r="M367">
        <f>MINUTE(Table25[[#This Row],[Corrected time]])</f>
        <v>58</v>
      </c>
      <c r="N367" s="1">
        <v>0.66586499999999993</v>
      </c>
      <c r="O367" s="1">
        <f>Table25[[#This Row],[Time]]-TIME(0,0,4)</f>
        <v>0.66581870370370366</v>
      </c>
      <c r="P367" t="s">
        <v>9</v>
      </c>
      <c r="Q367">
        <v>-124</v>
      </c>
      <c r="R367">
        <f>Table25[[#This Row],[RSSI]]</f>
        <v>-124</v>
      </c>
      <c r="S367">
        <v>-2.7</v>
      </c>
    </row>
    <row r="368" spans="2:19" x14ac:dyDescent="0.25">
      <c r="B368">
        <f>480+2*(Table14[[#This Row],[min value (corrected)]]-49)</f>
        <v>498</v>
      </c>
      <c r="C368">
        <f>MINUTE(Table14[[#This Row],[Corrected time]])</f>
        <v>58</v>
      </c>
      <c r="D368" s="1">
        <v>0.4993196875</v>
      </c>
      <c r="E368" s="1">
        <f>Table14[[#This Row],[Time]]-TIME(0,0,8)</f>
        <v>0.49922709490740741</v>
      </c>
      <c r="F368" t="s">
        <v>9</v>
      </c>
      <c r="G368" t="s">
        <v>19</v>
      </c>
      <c r="H368">
        <f t="shared" si="6"/>
        <v>-124</v>
      </c>
      <c r="I368">
        <v>-3</v>
      </c>
      <c r="L368">
        <f>480+2*(Table25[[#This Row],[min value (corrected)]]-49)</f>
        <v>498</v>
      </c>
      <c r="M368">
        <f>MINUTE(Table25[[#This Row],[Corrected time]])</f>
        <v>58</v>
      </c>
      <c r="N368" s="1">
        <v>0.66588483796296294</v>
      </c>
      <c r="O368" s="1">
        <f>Table25[[#This Row],[Time]]-TIME(0,0,4)</f>
        <v>0.66583854166666667</v>
      </c>
      <c r="P368" t="s">
        <v>9</v>
      </c>
      <c r="Q368">
        <v>-124</v>
      </c>
      <c r="R368">
        <f>Table25[[#This Row],[RSSI]]</f>
        <v>-124</v>
      </c>
      <c r="S368">
        <v>-3</v>
      </c>
    </row>
    <row r="369" spans="2:19" x14ac:dyDescent="0.25">
      <c r="B369">
        <f>480+2*(Table14[[#This Row],[min value (corrected)]]-49)</f>
        <v>498</v>
      </c>
      <c r="C369">
        <f>MINUTE(Table14[[#This Row],[Corrected time]])</f>
        <v>58</v>
      </c>
      <c r="D369" s="1">
        <v>0.49933952546296295</v>
      </c>
      <c r="E369" s="1">
        <f>Table14[[#This Row],[Time]]-TIME(0,0,8)</f>
        <v>0.49924693287037036</v>
      </c>
      <c r="F369" t="s">
        <v>9</v>
      </c>
      <c r="G369" t="s">
        <v>19</v>
      </c>
      <c r="H369">
        <f t="shared" si="6"/>
        <v>-124</v>
      </c>
      <c r="I369">
        <v>-2.7</v>
      </c>
      <c r="L369">
        <f>480+2*(Table25[[#This Row],[min value (corrected)]]-49)</f>
        <v>498</v>
      </c>
      <c r="M369">
        <f>MINUTE(Table25[[#This Row],[Corrected time]])</f>
        <v>58</v>
      </c>
      <c r="N369" s="1">
        <v>0.66590467592592584</v>
      </c>
      <c r="O369" s="1">
        <f>Table25[[#This Row],[Time]]-TIME(0,0,4)</f>
        <v>0.66585837962962957</v>
      </c>
      <c r="P369" t="s">
        <v>9</v>
      </c>
      <c r="Q369">
        <v>-124</v>
      </c>
      <c r="R369">
        <f>Table25[[#This Row],[RSSI]]</f>
        <v>-124</v>
      </c>
      <c r="S369">
        <v>-2.7</v>
      </c>
    </row>
    <row r="370" spans="2:19" x14ac:dyDescent="0.25">
      <c r="B370">
        <f>480+2*(Table14[[#This Row],[min value (corrected)]]-49)</f>
        <v>498</v>
      </c>
      <c r="C370">
        <f>MINUTE(Table14[[#This Row],[Corrected time]])</f>
        <v>58</v>
      </c>
      <c r="D370" s="1">
        <v>0.49935935185185187</v>
      </c>
      <c r="E370" s="1">
        <f>Table14[[#This Row],[Time]]-TIME(0,0,8)</f>
        <v>0.49926675925925929</v>
      </c>
      <c r="F370" t="s">
        <v>9</v>
      </c>
      <c r="G370" t="s">
        <v>19</v>
      </c>
      <c r="H370">
        <f t="shared" si="6"/>
        <v>-124</v>
      </c>
      <c r="I370">
        <v>-3.2</v>
      </c>
      <c r="L370">
        <f>480+2*(Table25[[#This Row],[min value (corrected)]]-49)</f>
        <v>498</v>
      </c>
      <c r="M370">
        <f>MINUTE(Table25[[#This Row],[Corrected time]])</f>
        <v>58</v>
      </c>
      <c r="N370" s="1">
        <v>0.66592450231481481</v>
      </c>
      <c r="O370" s="1">
        <f>Table25[[#This Row],[Time]]-TIME(0,0,4)</f>
        <v>0.66587820601851855</v>
      </c>
      <c r="P370" t="s">
        <v>9</v>
      </c>
      <c r="Q370">
        <v>-124</v>
      </c>
      <c r="R370">
        <f>Table25[[#This Row],[RSSI]]</f>
        <v>-124</v>
      </c>
      <c r="S370">
        <v>-2.5</v>
      </c>
    </row>
    <row r="371" spans="2:19" x14ac:dyDescent="0.25">
      <c r="B371">
        <f>480+2*(Table14[[#This Row],[min value (corrected)]]-49)</f>
        <v>498</v>
      </c>
      <c r="C371">
        <f>MINUTE(Table14[[#This Row],[Corrected time]])</f>
        <v>58</v>
      </c>
      <c r="D371" s="1">
        <v>0.49937920138888886</v>
      </c>
      <c r="E371" s="1">
        <f>Table14[[#This Row],[Time]]-TIME(0,0,8)</f>
        <v>0.49928660879629627</v>
      </c>
      <c r="F371" t="s">
        <v>9</v>
      </c>
      <c r="G371" t="s">
        <v>28</v>
      </c>
      <c r="H371">
        <f t="shared" si="6"/>
        <v>-125</v>
      </c>
      <c r="I371">
        <v>-4.2</v>
      </c>
      <c r="L371">
        <f>480+2*(Table25[[#This Row],[min value (corrected)]]-49)</f>
        <v>498</v>
      </c>
      <c r="M371">
        <f>MINUTE(Table25[[#This Row],[Corrected time]])</f>
        <v>58</v>
      </c>
      <c r="N371" s="1">
        <v>0.66594434027777782</v>
      </c>
      <c r="O371" s="1">
        <f>Table25[[#This Row],[Time]]-TIME(0,0,4)</f>
        <v>0.66589804398148156</v>
      </c>
      <c r="P371" t="s">
        <v>9</v>
      </c>
      <c r="Q371">
        <v>-124</v>
      </c>
      <c r="R371">
        <f>Table25[[#This Row],[RSSI]]</f>
        <v>-124</v>
      </c>
      <c r="S371">
        <v>-2.5</v>
      </c>
    </row>
    <row r="372" spans="2:19" x14ac:dyDescent="0.25">
      <c r="B372">
        <f>480+2*(Table14[[#This Row],[min value (corrected)]]-49)</f>
        <v>500</v>
      </c>
      <c r="C372">
        <f>MINUTE(Table14[[#This Row],[Corrected time]])</f>
        <v>59</v>
      </c>
      <c r="D372" s="1">
        <v>0.49939903935185181</v>
      </c>
      <c r="E372" s="1">
        <f>Table14[[#This Row],[Time]]-TIME(0,0,8)</f>
        <v>0.49930644675925923</v>
      </c>
      <c r="F372" t="s">
        <v>9</v>
      </c>
      <c r="G372" t="s">
        <v>28</v>
      </c>
      <c r="H372">
        <f t="shared" si="6"/>
        <v>-125</v>
      </c>
      <c r="I372">
        <v>-4.2</v>
      </c>
      <c r="L372">
        <f>480+2*(Table25[[#This Row],[min value (corrected)]]-49)</f>
        <v>498</v>
      </c>
      <c r="M372">
        <f>MINUTE(Table25[[#This Row],[Corrected time]])</f>
        <v>58</v>
      </c>
      <c r="N372" s="1">
        <v>0.66596418981481476</v>
      </c>
      <c r="O372" s="1">
        <f>Table25[[#This Row],[Time]]-TIME(0,0,4)</f>
        <v>0.66591789351851849</v>
      </c>
      <c r="P372" t="s">
        <v>9</v>
      </c>
      <c r="Q372">
        <v>-124</v>
      </c>
      <c r="R372">
        <f>Table25[[#This Row],[RSSI]]</f>
        <v>-124</v>
      </c>
      <c r="S372">
        <v>-3</v>
      </c>
    </row>
    <row r="373" spans="2:19" x14ac:dyDescent="0.25">
      <c r="B373">
        <f>480+2*(Table14[[#This Row],[min value (corrected)]]-49)</f>
        <v>500</v>
      </c>
      <c r="C373">
        <f>MINUTE(Table14[[#This Row],[Corrected time]])</f>
        <v>59</v>
      </c>
      <c r="D373" s="1">
        <v>0.49941887731481477</v>
      </c>
      <c r="E373" s="1">
        <f>Table14[[#This Row],[Time]]-TIME(0,0,8)</f>
        <v>0.49932628472222218</v>
      </c>
      <c r="F373" t="s">
        <v>9</v>
      </c>
      <c r="G373" t="s">
        <v>19</v>
      </c>
      <c r="H373">
        <f t="shared" si="6"/>
        <v>-124</v>
      </c>
      <c r="I373">
        <v>-3.7</v>
      </c>
      <c r="L373">
        <f>480+2*(Table25[[#This Row],[min value (corrected)]]-49)</f>
        <v>498</v>
      </c>
      <c r="M373">
        <f>MINUTE(Table25[[#This Row],[Corrected time]])</f>
        <v>58</v>
      </c>
      <c r="N373" s="1">
        <v>0.66598402777777777</v>
      </c>
      <c r="O373" s="1">
        <f>Table25[[#This Row],[Time]]-TIME(0,0,4)</f>
        <v>0.6659377314814815</v>
      </c>
      <c r="P373" t="s">
        <v>9</v>
      </c>
      <c r="Q373">
        <v>-124</v>
      </c>
      <c r="R373">
        <f>Table25[[#This Row],[RSSI]]</f>
        <v>-124</v>
      </c>
      <c r="S373">
        <v>-2.5</v>
      </c>
    </row>
    <row r="374" spans="2:19" x14ac:dyDescent="0.25">
      <c r="B374">
        <f>480+2*(Table14[[#This Row],[min value (corrected)]]-49)</f>
        <v>500</v>
      </c>
      <c r="C374">
        <f>MINUTE(Table14[[#This Row],[Corrected time]])</f>
        <v>59</v>
      </c>
      <c r="D374" s="1">
        <v>0.49943870370370369</v>
      </c>
      <c r="E374" s="1">
        <f>Table14[[#This Row],[Time]]-TIME(0,0,8)</f>
        <v>0.4993461111111111</v>
      </c>
      <c r="F374" t="s">
        <v>9</v>
      </c>
      <c r="G374" t="s">
        <v>11</v>
      </c>
      <c r="H374">
        <f t="shared" si="6"/>
        <v>-122</v>
      </c>
      <c r="I374">
        <v>-4</v>
      </c>
      <c r="L374">
        <f>480+2*(Table25[[#This Row],[min value (corrected)]]-49)</f>
        <v>498</v>
      </c>
      <c r="M374">
        <f>MINUTE(Table25[[#This Row],[Corrected time]])</f>
        <v>58</v>
      </c>
      <c r="N374" s="1">
        <v>0.66600385416666663</v>
      </c>
      <c r="O374" s="1">
        <f>Table25[[#This Row],[Time]]-TIME(0,0,4)</f>
        <v>0.66595755787037036</v>
      </c>
      <c r="P374" t="s">
        <v>9</v>
      </c>
      <c r="Q374">
        <v>-124</v>
      </c>
      <c r="R374">
        <f>Table25[[#This Row],[RSSI]]</f>
        <v>-124</v>
      </c>
      <c r="S374">
        <v>-3.2</v>
      </c>
    </row>
    <row r="375" spans="2:19" x14ac:dyDescent="0.25">
      <c r="B375">
        <f>480+2*(Table14[[#This Row],[min value (corrected)]]-49)</f>
        <v>500</v>
      </c>
      <c r="C375">
        <f>MINUTE(Table14[[#This Row],[Corrected time]])</f>
        <v>59</v>
      </c>
      <c r="D375" s="1">
        <v>0.49945855324074073</v>
      </c>
      <c r="E375" s="1">
        <f>Table14[[#This Row],[Time]]-TIME(0,0,8)</f>
        <v>0.49936596064814814</v>
      </c>
      <c r="F375" t="s">
        <v>9</v>
      </c>
      <c r="G375" t="s">
        <v>28</v>
      </c>
      <c r="H375">
        <f t="shared" si="6"/>
        <v>-125</v>
      </c>
      <c r="I375">
        <v>-4.2</v>
      </c>
      <c r="L375">
        <f>480+2*(Table25[[#This Row],[min value (corrected)]]-49)</f>
        <v>500</v>
      </c>
      <c r="M375">
        <f>MINUTE(Table25[[#This Row],[Corrected time]])</f>
        <v>59</v>
      </c>
      <c r="N375" s="1">
        <v>0.66602370370370367</v>
      </c>
      <c r="O375" s="1">
        <f>Table25[[#This Row],[Time]]-TIME(0,0,4)</f>
        <v>0.66597740740740741</v>
      </c>
      <c r="P375" t="s">
        <v>9</v>
      </c>
      <c r="Q375">
        <v>-125</v>
      </c>
      <c r="R375">
        <f>Table25[[#This Row],[RSSI]]</f>
        <v>-125</v>
      </c>
      <c r="S375">
        <v>-4</v>
      </c>
    </row>
    <row r="376" spans="2:19" x14ac:dyDescent="0.25">
      <c r="B376">
        <f>480+2*(Table14[[#This Row],[min value (corrected)]]-49)</f>
        <v>500</v>
      </c>
      <c r="C376">
        <f>MINUTE(Table14[[#This Row],[Corrected time]])</f>
        <v>59</v>
      </c>
      <c r="D376" s="1">
        <v>0.49947837962962965</v>
      </c>
      <c r="E376" s="1">
        <f>Table14[[#This Row],[Time]]-TIME(0,0,8)</f>
        <v>0.49938578703703707</v>
      </c>
      <c r="F376" t="s">
        <v>9</v>
      </c>
      <c r="G376" t="s">
        <v>28</v>
      </c>
      <c r="H376">
        <f t="shared" si="6"/>
        <v>-125</v>
      </c>
      <c r="I376">
        <v>-4.2</v>
      </c>
      <c r="L376">
        <f>480+2*(Table25[[#This Row],[min value (corrected)]]-49)</f>
        <v>500</v>
      </c>
      <c r="M376">
        <f>MINUTE(Table25[[#This Row],[Corrected time]])</f>
        <v>59</v>
      </c>
      <c r="N376" s="1">
        <v>0.66604354166666668</v>
      </c>
      <c r="O376" s="1">
        <f>Table25[[#This Row],[Time]]-TIME(0,0,4)</f>
        <v>0.66599724537037042</v>
      </c>
      <c r="P376" t="s">
        <v>9</v>
      </c>
      <c r="Q376">
        <v>-124</v>
      </c>
      <c r="R376">
        <f>Table25[[#This Row],[RSSI]]</f>
        <v>-124</v>
      </c>
      <c r="S376">
        <v>-3.5</v>
      </c>
    </row>
    <row r="377" spans="2:19" x14ac:dyDescent="0.25">
      <c r="B377">
        <f>480+2*(Table14[[#This Row],[min value (corrected)]]-49)</f>
        <v>500</v>
      </c>
      <c r="C377">
        <f>MINUTE(Table14[[#This Row],[Corrected time]])</f>
        <v>59</v>
      </c>
      <c r="D377" s="1">
        <v>0.49949822916666664</v>
      </c>
      <c r="E377" s="1">
        <f>Table14[[#This Row],[Time]]-TIME(0,0,8)</f>
        <v>0.49940563657407405</v>
      </c>
      <c r="F377" t="s">
        <v>13</v>
      </c>
      <c r="G377" t="str">
        <f>G376</f>
        <v>-125.0,</v>
      </c>
      <c r="H377">
        <f>H376-0.5</f>
        <v>-125.5</v>
      </c>
      <c r="I377">
        <f>I376-0.5</f>
        <v>-4.7</v>
      </c>
      <c r="L377">
        <f>480+2*(Table25[[#This Row],[min value (corrected)]]-49)</f>
        <v>500</v>
      </c>
      <c r="M377">
        <f>MINUTE(Table25[[#This Row],[Corrected time]])</f>
        <v>59</v>
      </c>
      <c r="N377" s="1">
        <v>0.66606337962962958</v>
      </c>
      <c r="O377" s="1">
        <f>Table25[[#This Row],[Time]]-TIME(0,0,4)</f>
        <v>0.66601708333333332</v>
      </c>
      <c r="P377" t="s">
        <v>9</v>
      </c>
      <c r="Q377">
        <v>-124</v>
      </c>
      <c r="R377">
        <f>Table25[[#This Row],[RSSI]]</f>
        <v>-124</v>
      </c>
      <c r="S377">
        <v>-3.7</v>
      </c>
    </row>
    <row r="378" spans="2:19" x14ac:dyDescent="0.25">
      <c r="B378">
        <f>480+2*(Table14[[#This Row],[min value (corrected)]]-49)</f>
        <v>500</v>
      </c>
      <c r="C378">
        <f>MINUTE(Table14[[#This Row],[Corrected time]])</f>
        <v>59</v>
      </c>
      <c r="D378" s="1">
        <v>0.49951804398148142</v>
      </c>
      <c r="E378" s="1">
        <f>Table14[[#This Row],[Time]]-TIME(0,0,8)</f>
        <v>0.49942545138888883</v>
      </c>
      <c r="F378" t="s">
        <v>9</v>
      </c>
      <c r="G378" t="s">
        <v>29</v>
      </c>
      <c r="H378">
        <f t="shared" si="6"/>
        <v>-126</v>
      </c>
      <c r="I378">
        <v>-4.5</v>
      </c>
      <c r="L378">
        <f>480+2*(Table25[[#This Row],[min value (corrected)]]-49)</f>
        <v>500</v>
      </c>
      <c r="M378">
        <f>MINUTE(Table25[[#This Row],[Corrected time]])</f>
        <v>59</v>
      </c>
      <c r="N378" s="1">
        <v>0.66608321759259259</v>
      </c>
      <c r="O378" s="1">
        <f>Table25[[#This Row],[Time]]-TIME(0,0,4)</f>
        <v>0.66603692129629632</v>
      </c>
      <c r="P378" t="s">
        <v>9</v>
      </c>
      <c r="Q378">
        <v>-125</v>
      </c>
      <c r="R378">
        <f>Table25[[#This Row],[RSSI]]</f>
        <v>-125</v>
      </c>
      <c r="S378">
        <v>-4</v>
      </c>
    </row>
    <row r="379" spans="2:19" x14ac:dyDescent="0.25">
      <c r="B379">
        <f>480+2*(Table14[[#This Row],[min value (corrected)]]-49)</f>
        <v>500</v>
      </c>
      <c r="C379">
        <f>MINUTE(Table14[[#This Row],[Corrected time]])</f>
        <v>59</v>
      </c>
      <c r="D379" s="1">
        <v>0.49953790509259255</v>
      </c>
      <c r="E379" s="1">
        <f>Table14[[#This Row],[Time]]-TIME(0,0,8)</f>
        <v>0.49944531249999996</v>
      </c>
      <c r="F379" t="s">
        <v>9</v>
      </c>
      <c r="G379" t="s">
        <v>29</v>
      </c>
      <c r="H379">
        <f t="shared" si="6"/>
        <v>-126</v>
      </c>
      <c r="I379">
        <v>-4.5</v>
      </c>
      <c r="L379">
        <f>480+2*(Table25[[#This Row],[min value (corrected)]]-49)</f>
        <v>500</v>
      </c>
      <c r="M379">
        <f>MINUTE(Table25[[#This Row],[Corrected time]])</f>
        <v>59</v>
      </c>
      <c r="N379" s="1">
        <v>0.66610305555555549</v>
      </c>
      <c r="O379" s="1">
        <f>Table25[[#This Row],[Time]]-TIME(0,0,4)</f>
        <v>0.66605675925925922</v>
      </c>
      <c r="P379" t="s">
        <v>9</v>
      </c>
      <c r="Q379">
        <v>-125</v>
      </c>
      <c r="R379">
        <f>Table25[[#This Row],[RSSI]]</f>
        <v>-125</v>
      </c>
      <c r="S379">
        <v>-4.5</v>
      </c>
    </row>
    <row r="380" spans="2:19" x14ac:dyDescent="0.25">
      <c r="B380">
        <f>480+2*(Table14[[#This Row],[min value (corrected)]]-49)</f>
        <v>500</v>
      </c>
      <c r="C380">
        <f>MINUTE(Table14[[#This Row],[Corrected time]])</f>
        <v>59</v>
      </c>
      <c r="D380" s="1">
        <v>0.4995577430555555</v>
      </c>
      <c r="E380" s="1">
        <f>Table14[[#This Row],[Time]]-TIME(0,0,8)</f>
        <v>0.49946515046296291</v>
      </c>
      <c r="F380" t="s">
        <v>9</v>
      </c>
      <c r="G380" t="s">
        <v>29</v>
      </c>
      <c r="H380">
        <f t="shared" si="6"/>
        <v>-126</v>
      </c>
      <c r="I380">
        <v>-4.7</v>
      </c>
      <c r="L380">
        <f>480+2*(Table25[[#This Row],[min value (corrected)]]-49)</f>
        <v>500</v>
      </c>
      <c r="M380">
        <f>MINUTE(Table25[[#This Row],[Corrected time]])</f>
        <v>59</v>
      </c>
      <c r="N380" s="1">
        <v>0.66612288194444447</v>
      </c>
      <c r="O380" s="1">
        <f>Table25[[#This Row],[Time]]-TIME(0,0,4)</f>
        <v>0.6660765856481482</v>
      </c>
      <c r="P380" t="s">
        <v>13</v>
      </c>
      <c r="Q380">
        <f>Q379</f>
        <v>-125</v>
      </c>
      <c r="R380">
        <f>Table25[[#This Row],[RSSI]]</f>
        <v>-125</v>
      </c>
    </row>
    <row r="381" spans="2:19" x14ac:dyDescent="0.25">
      <c r="B381">
        <f>480+2*(Table14[[#This Row],[min value (corrected)]]-49)</f>
        <v>500</v>
      </c>
      <c r="C381">
        <f>MINUTE(Table14[[#This Row],[Corrected time]])</f>
        <v>59</v>
      </c>
      <c r="D381" s="1">
        <v>0.49957758101851846</v>
      </c>
      <c r="E381" s="1">
        <f>Table14[[#This Row],[Time]]-TIME(0,0,8)</f>
        <v>0.49948498842592587</v>
      </c>
      <c r="F381" t="s">
        <v>9</v>
      </c>
      <c r="G381" t="s">
        <v>28</v>
      </c>
      <c r="H381">
        <f t="shared" si="6"/>
        <v>-125</v>
      </c>
      <c r="I381">
        <v>-4.5</v>
      </c>
      <c r="L381">
        <f>480+2*(Table25[[#This Row],[min value (corrected)]]-49)</f>
        <v>500</v>
      </c>
      <c r="M381">
        <f>MINUTE(Table25[[#This Row],[Corrected time]])</f>
        <v>59</v>
      </c>
      <c r="N381" s="1">
        <v>0.66614273148148151</v>
      </c>
      <c r="O381" s="1">
        <f>Table25[[#This Row],[Time]]-TIME(0,0,4)</f>
        <v>0.66609643518518524</v>
      </c>
      <c r="P381" t="s">
        <v>9</v>
      </c>
      <c r="Q381">
        <v>-125</v>
      </c>
      <c r="R381">
        <f>Table25[[#This Row],[RSSI]]</f>
        <v>-125</v>
      </c>
      <c r="S381">
        <v>-4.2</v>
      </c>
    </row>
    <row r="382" spans="2:19" x14ac:dyDescent="0.25">
      <c r="B382">
        <f>480+2*(Table14[[#This Row],[min value (corrected)]]-49)</f>
        <v>500</v>
      </c>
      <c r="C382">
        <f>MINUTE(Table14[[#This Row],[Corrected time]])</f>
        <v>59</v>
      </c>
      <c r="D382" s="1">
        <v>0.49959741898148147</v>
      </c>
      <c r="E382" s="1">
        <f>Table14[[#This Row],[Time]]-TIME(0,0,8)</f>
        <v>0.49950482638888888</v>
      </c>
      <c r="F382" t="s">
        <v>9</v>
      </c>
      <c r="G382" t="s">
        <v>29</v>
      </c>
      <c r="H382">
        <f t="shared" si="6"/>
        <v>-126</v>
      </c>
      <c r="I382">
        <v>-4</v>
      </c>
      <c r="L382">
        <f>480+2*(Table25[[#This Row],[min value (corrected)]]-49)</f>
        <v>500</v>
      </c>
      <c r="M382">
        <f>MINUTE(Table25[[#This Row],[Corrected time]])</f>
        <v>59</v>
      </c>
      <c r="N382" s="1">
        <v>0.66616256944444452</v>
      </c>
      <c r="O382" s="1">
        <f>Table25[[#This Row],[Time]]-TIME(0,0,4)</f>
        <v>0.66611627314814825</v>
      </c>
      <c r="P382" t="s">
        <v>9</v>
      </c>
      <c r="Q382">
        <v>-126</v>
      </c>
      <c r="R382">
        <f>Table25[[#This Row],[RSSI]]</f>
        <v>-126</v>
      </c>
      <c r="S382">
        <v>-4.7</v>
      </c>
    </row>
    <row r="383" spans="2:19" x14ac:dyDescent="0.25">
      <c r="B383">
        <f>480+2*(Table14[[#This Row],[min value (corrected)]]-49)</f>
        <v>500</v>
      </c>
      <c r="C383">
        <f>MINUTE(Table14[[#This Row],[Corrected time]])</f>
        <v>59</v>
      </c>
      <c r="D383" s="1">
        <v>0.49961724537037039</v>
      </c>
      <c r="E383" s="1">
        <f>Table14[[#This Row],[Time]]-TIME(0,0,8)</f>
        <v>0.4995246527777778</v>
      </c>
      <c r="F383" t="s">
        <v>9</v>
      </c>
      <c r="G383" t="s">
        <v>28</v>
      </c>
      <c r="H383">
        <f t="shared" si="6"/>
        <v>-125</v>
      </c>
      <c r="I383">
        <v>-4.2</v>
      </c>
      <c r="L383">
        <f>480+2*(Table25[[#This Row],[min value (corrected)]]-49)</f>
        <v>500</v>
      </c>
      <c r="M383">
        <f>MINUTE(Table25[[#This Row],[Corrected time]])</f>
        <v>59</v>
      </c>
      <c r="N383" s="1">
        <v>0.66618239583333327</v>
      </c>
      <c r="O383" s="1">
        <f>Table25[[#This Row],[Time]]-TIME(0,0,4)</f>
        <v>0.66613609953703701</v>
      </c>
      <c r="P383" t="s">
        <v>9</v>
      </c>
      <c r="Q383">
        <v>-126</v>
      </c>
      <c r="R383">
        <f>Table25[[#This Row],[RSSI]]</f>
        <v>-126</v>
      </c>
      <c r="S383">
        <v>-4.5</v>
      </c>
    </row>
    <row r="384" spans="2:19" x14ac:dyDescent="0.25">
      <c r="B384">
        <f>480+2*(Table14[[#This Row],[min value (corrected)]]-49)</f>
        <v>500</v>
      </c>
      <c r="C384">
        <f>MINUTE(Table14[[#This Row],[Corrected time]])</f>
        <v>59</v>
      </c>
      <c r="D384" s="1">
        <v>0.49963709490740738</v>
      </c>
      <c r="E384" s="1">
        <f>Table14[[#This Row],[Time]]-TIME(0,0,8)</f>
        <v>0.49954450231481479</v>
      </c>
      <c r="F384" t="s">
        <v>9</v>
      </c>
      <c r="G384" t="s">
        <v>29</v>
      </c>
      <c r="H384">
        <f t="shared" si="6"/>
        <v>-126</v>
      </c>
      <c r="I384">
        <v>-5</v>
      </c>
      <c r="L384">
        <f>480+2*(Table25[[#This Row],[min value (corrected)]]-49)</f>
        <v>500</v>
      </c>
      <c r="M384">
        <f>MINUTE(Table25[[#This Row],[Corrected time]])</f>
        <v>59</v>
      </c>
      <c r="N384" s="1">
        <v>0.66620223379629628</v>
      </c>
      <c r="O384" s="1">
        <f>Table25[[#This Row],[Time]]-TIME(0,0,4)</f>
        <v>0.66615593750000002</v>
      </c>
      <c r="P384" t="s">
        <v>9</v>
      </c>
      <c r="Q384">
        <v>-123</v>
      </c>
      <c r="R384">
        <f>Table25[[#This Row],[RSSI]]</f>
        <v>-123</v>
      </c>
      <c r="S384">
        <v>-4.5</v>
      </c>
    </row>
    <row r="385" spans="2:19" x14ac:dyDescent="0.25">
      <c r="B385">
        <f>480+2*(Table14[[#This Row],[min value (corrected)]]-49)</f>
        <v>500</v>
      </c>
      <c r="C385">
        <f>MINUTE(Table14[[#This Row],[Corrected time]])</f>
        <v>59</v>
      </c>
      <c r="D385" s="1">
        <v>0.49965693287037033</v>
      </c>
      <c r="E385" s="1">
        <f>Table14[[#This Row],[Time]]-TIME(0,0,8)</f>
        <v>0.49956434027777774</v>
      </c>
      <c r="F385" t="s">
        <v>9</v>
      </c>
      <c r="G385" t="s">
        <v>29</v>
      </c>
      <c r="H385">
        <f t="shared" si="6"/>
        <v>-126</v>
      </c>
      <c r="I385">
        <v>-4.7</v>
      </c>
      <c r="L385">
        <f>480+2*(Table25[[#This Row],[min value (corrected)]]-49)</f>
        <v>500</v>
      </c>
      <c r="M385">
        <f>MINUTE(Table25[[#This Row],[Corrected time]])</f>
        <v>59</v>
      </c>
      <c r="N385" s="1">
        <v>0.66622207175925929</v>
      </c>
      <c r="O385" s="1">
        <f>Table25[[#This Row],[Time]]-TIME(0,0,4)</f>
        <v>0.66617577546296303</v>
      </c>
      <c r="P385" t="s">
        <v>9</v>
      </c>
      <c r="Q385">
        <v>-126</v>
      </c>
      <c r="R385">
        <f>Table25[[#This Row],[RSSI]]</f>
        <v>-126</v>
      </c>
      <c r="S385">
        <v>-4.5</v>
      </c>
    </row>
    <row r="386" spans="2:19" x14ac:dyDescent="0.25">
      <c r="B386">
        <f>480+2*(Table14[[#This Row],[min value (corrected)]]-49)</f>
        <v>500</v>
      </c>
      <c r="C386">
        <f>MINUTE(Table14[[#This Row],[Corrected time]])</f>
        <v>59</v>
      </c>
      <c r="D386" s="1">
        <v>0.49967675925925925</v>
      </c>
      <c r="E386" s="1">
        <f>Table14[[#This Row],[Time]]-TIME(0,0,8)</f>
        <v>0.49958416666666666</v>
      </c>
      <c r="F386" t="s">
        <v>9</v>
      </c>
      <c r="G386" t="s">
        <v>30</v>
      </c>
      <c r="H386">
        <f t="shared" si="6"/>
        <v>-127</v>
      </c>
      <c r="I386">
        <v>-5.7</v>
      </c>
      <c r="L386">
        <f>480+2*(Table25[[#This Row],[min value (corrected)]]-49)</f>
        <v>500</v>
      </c>
      <c r="M386">
        <f>MINUTE(Table25[[#This Row],[Corrected time]])</f>
        <v>59</v>
      </c>
      <c r="N386" s="1">
        <v>0.66624190972222219</v>
      </c>
      <c r="O386" s="1">
        <f>Table25[[#This Row],[Time]]-TIME(0,0,4)</f>
        <v>0.66619561342592593</v>
      </c>
      <c r="P386" t="s">
        <v>9</v>
      </c>
      <c r="Q386">
        <v>-126</v>
      </c>
      <c r="R386">
        <f>Table25[[#This Row],[RSSI]]</f>
        <v>-126</v>
      </c>
      <c r="S386">
        <v>-4.2</v>
      </c>
    </row>
    <row r="387" spans="2:19" x14ac:dyDescent="0.25">
      <c r="B387">
        <f>480+2*(Table14[[#This Row],[min value (corrected)]]-49)</f>
        <v>500</v>
      </c>
      <c r="C387">
        <f>MINUTE(Table14[[#This Row],[Corrected time]])</f>
        <v>59</v>
      </c>
      <c r="D387" s="1">
        <v>0.49969659722222221</v>
      </c>
      <c r="E387" s="1">
        <f>Table14[[#This Row],[Time]]-TIME(0,0,8)</f>
        <v>0.49960400462962962</v>
      </c>
      <c r="F387" t="s">
        <v>9</v>
      </c>
      <c r="G387" t="s">
        <v>29</v>
      </c>
      <c r="H387">
        <f t="shared" si="6"/>
        <v>-126</v>
      </c>
      <c r="I387">
        <v>-4.5</v>
      </c>
      <c r="L387">
        <f>480+2*(Table25[[#This Row],[min value (corrected)]]-49)</f>
        <v>500</v>
      </c>
      <c r="M387">
        <f>MINUTE(Table25[[#This Row],[Corrected time]])</f>
        <v>59</v>
      </c>
      <c r="N387" s="1">
        <v>0.6662617476851852</v>
      </c>
      <c r="O387" s="1">
        <f>Table25[[#This Row],[Time]]-TIME(0,0,4)</f>
        <v>0.66621545138888894</v>
      </c>
      <c r="P387" t="s">
        <v>9</v>
      </c>
      <c r="Q387">
        <v>-126</v>
      </c>
      <c r="R387">
        <f>Table25[[#This Row],[RSSI]]</f>
        <v>-126</v>
      </c>
      <c r="S387">
        <v>-4.5</v>
      </c>
    </row>
    <row r="388" spans="2:19" x14ac:dyDescent="0.25">
      <c r="B388">
        <f>480+2*(Table14[[#This Row],[min value (corrected)]]-49)</f>
        <v>500</v>
      </c>
      <c r="C388">
        <f>MINUTE(Table14[[#This Row],[Corrected time]])</f>
        <v>59</v>
      </c>
      <c r="D388" s="1">
        <v>0.49971644675925919</v>
      </c>
      <c r="E388" s="1">
        <f>Table14[[#This Row],[Time]]-TIME(0,0,8)</f>
        <v>0.4996238541666666</v>
      </c>
      <c r="F388" t="s">
        <v>9</v>
      </c>
      <c r="G388" t="s">
        <v>29</v>
      </c>
      <c r="H388">
        <f t="shared" ref="H388:H451" si="7">VALUE(LEFT(G388,LEN(G388)-1))</f>
        <v>-126</v>
      </c>
      <c r="I388">
        <v>-4.5</v>
      </c>
      <c r="L388">
        <f>480+2*(Table25[[#This Row],[min value (corrected)]]-49)</f>
        <v>500</v>
      </c>
      <c r="M388">
        <f>MINUTE(Table25[[#This Row],[Corrected time]])</f>
        <v>59</v>
      </c>
      <c r="N388" s="1">
        <v>0.66628159722222224</v>
      </c>
      <c r="O388" s="1">
        <f>Table25[[#This Row],[Time]]-TIME(0,0,4)</f>
        <v>0.66623530092592598</v>
      </c>
      <c r="P388" t="s">
        <v>9</v>
      </c>
      <c r="Q388">
        <v>-126</v>
      </c>
      <c r="R388">
        <f>Table25[[#This Row],[RSSI]]</f>
        <v>-126</v>
      </c>
      <c r="S388">
        <v>-4.5</v>
      </c>
    </row>
    <row r="389" spans="2:19" x14ac:dyDescent="0.25">
      <c r="B389">
        <f>480+2*(Table14[[#This Row],[min value (corrected)]]-49)</f>
        <v>500</v>
      </c>
      <c r="C389">
        <f>MINUTE(Table14[[#This Row],[Corrected time]])</f>
        <v>59</v>
      </c>
      <c r="D389" s="1">
        <v>0.4997362847222222</v>
      </c>
      <c r="E389" s="1">
        <f>Table14[[#This Row],[Time]]-TIME(0,0,8)</f>
        <v>0.49964369212962961</v>
      </c>
      <c r="F389" t="s">
        <v>9</v>
      </c>
      <c r="G389" t="s">
        <v>29</v>
      </c>
      <c r="H389">
        <f t="shared" si="7"/>
        <v>-126</v>
      </c>
      <c r="I389">
        <v>-4.7</v>
      </c>
      <c r="L389">
        <f>480+2*(Table25[[#This Row],[min value (corrected)]]-49)</f>
        <v>500</v>
      </c>
      <c r="M389">
        <f>MINUTE(Table25[[#This Row],[Corrected time]])</f>
        <v>59</v>
      </c>
      <c r="N389" s="1">
        <v>0.66630143518518525</v>
      </c>
      <c r="O389" s="1">
        <f>Table25[[#This Row],[Time]]-TIME(0,0,4)</f>
        <v>0.66625513888888899</v>
      </c>
      <c r="P389" t="s">
        <v>9</v>
      </c>
      <c r="Q389">
        <v>-125</v>
      </c>
      <c r="R389">
        <f>Table25[[#This Row],[RSSI]]</f>
        <v>-125</v>
      </c>
      <c r="S389">
        <v>-4</v>
      </c>
    </row>
    <row r="390" spans="2:19" x14ac:dyDescent="0.25">
      <c r="B390">
        <f>480+2*(Table14[[#This Row],[min value (corrected)]]-49)</f>
        <v>500</v>
      </c>
      <c r="C390">
        <f>MINUTE(Table14[[#This Row],[Corrected time]])</f>
        <v>59</v>
      </c>
      <c r="D390" s="1">
        <v>0.49975612268518516</v>
      </c>
      <c r="E390" s="1">
        <f>Table14[[#This Row],[Time]]-TIME(0,0,8)</f>
        <v>0.49966353009259257</v>
      </c>
      <c r="F390" t="s">
        <v>9</v>
      </c>
      <c r="G390" t="s">
        <v>28</v>
      </c>
      <c r="H390">
        <f t="shared" si="7"/>
        <v>-125</v>
      </c>
      <c r="I390">
        <v>-4.5</v>
      </c>
      <c r="L390">
        <f>480+2*(Table25[[#This Row],[min value (corrected)]]-49)</f>
        <v>500</v>
      </c>
      <c r="M390">
        <f>MINUTE(Table25[[#This Row],[Corrected time]])</f>
        <v>59</v>
      </c>
      <c r="N390" s="1">
        <v>0.66632127314814815</v>
      </c>
      <c r="O390" s="1">
        <f>Table25[[#This Row],[Time]]-TIME(0,0,4)</f>
        <v>0.66627497685185189</v>
      </c>
      <c r="P390" t="s">
        <v>9</v>
      </c>
      <c r="Q390">
        <v>-126</v>
      </c>
      <c r="R390">
        <f>Table25[[#This Row],[RSSI]]</f>
        <v>-126</v>
      </c>
      <c r="S390">
        <v>-4.7</v>
      </c>
    </row>
    <row r="391" spans="2:19" x14ac:dyDescent="0.25">
      <c r="B391">
        <f>480+2*(Table14[[#This Row],[min value (corrected)]]-49)</f>
        <v>500</v>
      </c>
      <c r="C391">
        <f>MINUTE(Table14[[#This Row],[Corrected time]])</f>
        <v>59</v>
      </c>
      <c r="D391" s="1">
        <v>0.49977596064814811</v>
      </c>
      <c r="E391" s="1">
        <f>Table14[[#This Row],[Time]]-TIME(0,0,8)</f>
        <v>0.49968336805555552</v>
      </c>
      <c r="F391" t="s">
        <v>9</v>
      </c>
      <c r="G391" t="s">
        <v>29</v>
      </c>
      <c r="H391">
        <f t="shared" si="7"/>
        <v>-126</v>
      </c>
      <c r="I391">
        <v>-4.5</v>
      </c>
      <c r="L391">
        <f>480+2*(Table25[[#This Row],[min value (corrected)]]-49)</f>
        <v>500</v>
      </c>
      <c r="M391">
        <f>MINUTE(Table25[[#This Row],[Corrected time]])</f>
        <v>59</v>
      </c>
      <c r="N391" s="1">
        <v>0.66634111111111116</v>
      </c>
      <c r="O391" s="1">
        <f>Table25[[#This Row],[Time]]-TIME(0,0,4)</f>
        <v>0.6662948148148149</v>
      </c>
      <c r="P391" t="s">
        <v>9</v>
      </c>
      <c r="Q391">
        <v>-126</v>
      </c>
      <c r="R391">
        <f>Table25[[#This Row],[RSSI]]</f>
        <v>-126</v>
      </c>
      <c r="S391">
        <v>-4.5</v>
      </c>
    </row>
    <row r="392" spans="2:19" x14ac:dyDescent="0.25">
      <c r="B392">
        <f>480+2*(Table14[[#This Row],[min value (corrected)]]-49)</f>
        <v>500</v>
      </c>
      <c r="C392">
        <f>MINUTE(Table14[[#This Row],[Corrected time]])</f>
        <v>59</v>
      </c>
      <c r="D392" s="1">
        <v>0.49979579861111118</v>
      </c>
      <c r="E392" s="1">
        <f>Table14[[#This Row],[Time]]-TIME(0,0,8)</f>
        <v>0.49970320601851859</v>
      </c>
      <c r="F392" t="s">
        <v>9</v>
      </c>
      <c r="G392" t="s">
        <v>29</v>
      </c>
      <c r="H392">
        <f t="shared" si="7"/>
        <v>-126</v>
      </c>
      <c r="I392">
        <v>-5.2</v>
      </c>
      <c r="L392">
        <f>480+2*(Table25[[#This Row],[min value (corrected)]]-49)</f>
        <v>500</v>
      </c>
      <c r="M392">
        <f>MINUTE(Table25[[#This Row],[Corrected time]])</f>
        <v>59</v>
      </c>
      <c r="N392" s="1">
        <v>0.66636094907407406</v>
      </c>
      <c r="O392" s="1">
        <f>Table25[[#This Row],[Time]]-TIME(0,0,4)</f>
        <v>0.66631465277777779</v>
      </c>
      <c r="P392" t="s">
        <v>9</v>
      </c>
      <c r="Q392">
        <v>-126</v>
      </c>
      <c r="R392">
        <f>Table25[[#This Row],[RSSI]]</f>
        <v>-126</v>
      </c>
      <c r="S392">
        <v>-4.7</v>
      </c>
    </row>
    <row r="393" spans="2:19" x14ac:dyDescent="0.25">
      <c r="B393">
        <f>480+2*(Table14[[#This Row],[min value (corrected)]]-49)</f>
        <v>500</v>
      </c>
      <c r="C393">
        <f>MINUTE(Table14[[#This Row],[Corrected time]])</f>
        <v>59</v>
      </c>
      <c r="D393" s="1">
        <v>0.49981562499999999</v>
      </c>
      <c r="E393" s="1">
        <f>Table14[[#This Row],[Time]]-TIME(0,0,8)</f>
        <v>0.4997230324074074</v>
      </c>
      <c r="F393" t="s">
        <v>9</v>
      </c>
      <c r="G393" t="s">
        <v>29</v>
      </c>
      <c r="H393">
        <f t="shared" si="7"/>
        <v>-126</v>
      </c>
      <c r="I393">
        <v>-4.5</v>
      </c>
      <c r="L393">
        <f>480+2*(Table25[[#This Row],[min value (corrected)]]-49)</f>
        <v>500</v>
      </c>
      <c r="M393">
        <f>MINUTE(Table25[[#This Row],[Corrected time]])</f>
        <v>59</v>
      </c>
      <c r="N393" s="1">
        <v>0.66638077546296293</v>
      </c>
      <c r="O393" s="1">
        <f>Table25[[#This Row],[Time]]-TIME(0,0,4)</f>
        <v>0.66633447916666666</v>
      </c>
      <c r="P393" t="s">
        <v>9</v>
      </c>
      <c r="Q393">
        <v>-125</v>
      </c>
      <c r="R393">
        <f>Table25[[#This Row],[RSSI]]</f>
        <v>-125</v>
      </c>
      <c r="S393">
        <v>-4.2</v>
      </c>
    </row>
    <row r="394" spans="2:19" x14ac:dyDescent="0.25">
      <c r="B394">
        <f>480+2*(Table14[[#This Row],[min value (corrected)]]-49)</f>
        <v>500</v>
      </c>
      <c r="C394">
        <f>MINUTE(Table14[[#This Row],[Corrected time]])</f>
        <v>59</v>
      </c>
      <c r="D394" s="1">
        <v>0.49983547453703708</v>
      </c>
      <c r="E394" s="1">
        <f>Table14[[#This Row],[Time]]-TIME(0,0,8)</f>
        <v>0.49974288194444449</v>
      </c>
      <c r="F394" t="s">
        <v>9</v>
      </c>
      <c r="G394" t="s">
        <v>29</v>
      </c>
      <c r="H394">
        <f t="shared" si="7"/>
        <v>-126</v>
      </c>
      <c r="I394">
        <v>-4.5</v>
      </c>
      <c r="L394">
        <f>480+2*(Table25[[#This Row],[min value (corrected)]]-49)</f>
        <v>500</v>
      </c>
      <c r="M394">
        <f>MINUTE(Table25[[#This Row],[Corrected time]])</f>
        <v>59</v>
      </c>
      <c r="N394" s="1">
        <v>0.66640062500000008</v>
      </c>
      <c r="O394" s="1">
        <f>Table25[[#This Row],[Time]]-TIME(0,0,4)</f>
        <v>0.66635432870370381</v>
      </c>
      <c r="P394" t="s">
        <v>9</v>
      </c>
      <c r="Q394">
        <v>-126</v>
      </c>
      <c r="R394">
        <f>Table25[[#This Row],[RSSI]]</f>
        <v>-126</v>
      </c>
      <c r="S394">
        <v>-5</v>
      </c>
    </row>
    <row r="395" spans="2:19" x14ac:dyDescent="0.25">
      <c r="B395">
        <f>480+2*(Table14[[#This Row],[min value (corrected)]]-49)</f>
        <v>500</v>
      </c>
      <c r="C395">
        <f>MINUTE(Table14[[#This Row],[Corrected time]])</f>
        <v>59</v>
      </c>
      <c r="D395" s="1">
        <v>0.49985531250000004</v>
      </c>
      <c r="E395" s="1">
        <f>Table14[[#This Row],[Time]]-TIME(0,0,8)</f>
        <v>0.49976271990740745</v>
      </c>
      <c r="F395" t="s">
        <v>9</v>
      </c>
      <c r="G395" t="s">
        <v>29</v>
      </c>
      <c r="H395">
        <f t="shared" si="7"/>
        <v>-126</v>
      </c>
      <c r="I395">
        <v>-4.7</v>
      </c>
      <c r="L395">
        <f>480+2*(Table25[[#This Row],[min value (corrected)]]-49)</f>
        <v>500</v>
      </c>
      <c r="M395">
        <f>MINUTE(Table25[[#This Row],[Corrected time]])</f>
        <v>59</v>
      </c>
      <c r="N395" s="1">
        <v>0.66642046296296298</v>
      </c>
      <c r="O395" s="1">
        <f>Table25[[#This Row],[Time]]-TIME(0,0,4)</f>
        <v>0.66637416666666671</v>
      </c>
      <c r="P395" t="s">
        <v>9</v>
      </c>
      <c r="Q395">
        <v>-126</v>
      </c>
      <c r="R395">
        <f>Table25[[#This Row],[RSSI]]</f>
        <v>-126</v>
      </c>
      <c r="S395">
        <v>-4.5</v>
      </c>
    </row>
    <row r="396" spans="2:19" x14ac:dyDescent="0.25">
      <c r="B396">
        <f>480+2*(Table14[[#This Row],[min value (corrected)]]-49)</f>
        <v>500</v>
      </c>
      <c r="C396">
        <f>MINUTE(Table14[[#This Row],[Corrected time]])</f>
        <v>59</v>
      </c>
      <c r="D396" s="1">
        <v>0.4998751388888889</v>
      </c>
      <c r="E396" s="1">
        <f>Table14[[#This Row],[Time]]-TIME(0,0,8)</f>
        <v>0.49978254629629632</v>
      </c>
      <c r="F396" t="s">
        <v>9</v>
      </c>
      <c r="G396" t="s">
        <v>29</v>
      </c>
      <c r="H396">
        <f t="shared" si="7"/>
        <v>-126</v>
      </c>
      <c r="I396">
        <v>-4.5</v>
      </c>
      <c r="L396">
        <f>480+2*(Table25[[#This Row],[min value (corrected)]]-49)</f>
        <v>500</v>
      </c>
      <c r="M396">
        <f>MINUTE(Table25[[#This Row],[Corrected time]])</f>
        <v>59</v>
      </c>
      <c r="N396" s="1">
        <v>0.66644028935185184</v>
      </c>
      <c r="O396" s="1">
        <f>Table25[[#This Row],[Time]]-TIME(0,0,4)</f>
        <v>0.66639399305555558</v>
      </c>
      <c r="P396" t="s">
        <v>9</v>
      </c>
      <c r="Q396">
        <v>-125</v>
      </c>
      <c r="R396">
        <f>Table25[[#This Row],[RSSI]]</f>
        <v>-125</v>
      </c>
      <c r="S396">
        <v>-4.2</v>
      </c>
    </row>
    <row r="397" spans="2:19" x14ac:dyDescent="0.25">
      <c r="B397">
        <f>480+2*(Table14[[#This Row],[min value (corrected)]]-49)</f>
        <v>500</v>
      </c>
      <c r="C397">
        <f>MINUTE(Table14[[#This Row],[Corrected time]])</f>
        <v>59</v>
      </c>
      <c r="D397" s="1">
        <v>0.49989498842592595</v>
      </c>
      <c r="E397" s="1">
        <f>Table14[[#This Row],[Time]]-TIME(0,0,8)</f>
        <v>0.49980239583333336</v>
      </c>
      <c r="F397" t="s">
        <v>9</v>
      </c>
      <c r="G397" t="s">
        <v>29</v>
      </c>
      <c r="H397">
        <f t="shared" si="7"/>
        <v>-126</v>
      </c>
      <c r="I397">
        <v>-4.7</v>
      </c>
      <c r="L397">
        <f>480+2*(Table25[[#This Row],[min value (corrected)]]-49)</f>
        <v>500</v>
      </c>
      <c r="M397">
        <f>MINUTE(Table25[[#This Row],[Corrected time]])</f>
        <v>59</v>
      </c>
      <c r="N397" s="1">
        <v>0.66646012731481485</v>
      </c>
      <c r="O397" s="1">
        <f>Table25[[#This Row],[Time]]-TIME(0,0,4)</f>
        <v>0.66641383101851859</v>
      </c>
      <c r="P397" t="s">
        <v>9</v>
      </c>
      <c r="Q397">
        <v>-126</v>
      </c>
      <c r="R397">
        <f>Table25[[#This Row],[RSSI]]</f>
        <v>-126</v>
      </c>
      <c r="S397">
        <v>-5</v>
      </c>
    </row>
    <row r="398" spans="2:19" x14ac:dyDescent="0.25">
      <c r="B398">
        <f>480+2*(Table14[[#This Row],[min value (corrected)]]-49)</f>
        <v>500</v>
      </c>
      <c r="C398">
        <f>MINUTE(Table14[[#This Row],[Corrected time]])</f>
        <v>59</v>
      </c>
      <c r="D398" s="1">
        <v>0.49991481481481481</v>
      </c>
      <c r="E398" s="1">
        <f>Table14[[#This Row],[Time]]-TIME(0,0,8)</f>
        <v>0.49982222222222222</v>
      </c>
      <c r="F398" t="s">
        <v>9</v>
      </c>
      <c r="G398" t="s">
        <v>29</v>
      </c>
      <c r="H398">
        <f t="shared" si="7"/>
        <v>-126</v>
      </c>
      <c r="I398">
        <v>-4.7</v>
      </c>
      <c r="L398">
        <f>480+2*(Table25[[#This Row],[min value (corrected)]]-49)</f>
        <v>500</v>
      </c>
      <c r="M398">
        <f>MINUTE(Table25[[#This Row],[Corrected time]])</f>
        <v>59</v>
      </c>
      <c r="N398" s="1">
        <v>0.66647996527777775</v>
      </c>
      <c r="O398" s="1">
        <f>Table25[[#This Row],[Time]]-TIME(0,0,4)</f>
        <v>0.66643366898148149</v>
      </c>
      <c r="P398" t="s">
        <v>9</v>
      </c>
      <c r="Q398">
        <v>-125</v>
      </c>
      <c r="R398">
        <f>Table25[[#This Row],[RSSI]]</f>
        <v>-125</v>
      </c>
      <c r="S398">
        <v>-4.2</v>
      </c>
    </row>
    <row r="399" spans="2:19" x14ac:dyDescent="0.25">
      <c r="B399">
        <f>480+2*(Table14[[#This Row],[min value (corrected)]]-49)</f>
        <v>500</v>
      </c>
      <c r="C399">
        <f>MINUTE(Table14[[#This Row],[Corrected time]])</f>
        <v>59</v>
      </c>
      <c r="D399" s="1">
        <v>0.49993466435185191</v>
      </c>
      <c r="E399" s="1">
        <f>Table14[[#This Row],[Time]]-TIME(0,0,8)</f>
        <v>0.49984207175925932</v>
      </c>
      <c r="F399" t="s">
        <v>9</v>
      </c>
      <c r="G399" t="s">
        <v>29</v>
      </c>
      <c r="H399">
        <f t="shared" si="7"/>
        <v>-126</v>
      </c>
      <c r="I399">
        <v>-4.7</v>
      </c>
      <c r="L399">
        <f>480+2*(Table25[[#This Row],[min value (corrected)]]-49)</f>
        <v>500</v>
      </c>
      <c r="M399">
        <f>MINUTE(Table25[[#This Row],[Corrected time]])</f>
        <v>59</v>
      </c>
      <c r="N399" s="1">
        <v>0.66649980324074076</v>
      </c>
      <c r="O399" s="1">
        <f>Table25[[#This Row],[Time]]-TIME(0,0,4)</f>
        <v>0.6664535069444445</v>
      </c>
      <c r="P399" t="s">
        <v>9</v>
      </c>
      <c r="Q399">
        <v>-126</v>
      </c>
      <c r="R399">
        <f>Table25[[#This Row],[RSSI]]</f>
        <v>-126</v>
      </c>
      <c r="S399">
        <v>-4.5</v>
      </c>
    </row>
    <row r="400" spans="2:19" x14ac:dyDescent="0.25">
      <c r="B400">
        <f>480+2*(Table14[[#This Row],[min value (corrected)]]-49)</f>
        <v>500</v>
      </c>
      <c r="C400">
        <f>MINUTE(Table14[[#This Row],[Corrected time]])</f>
        <v>59</v>
      </c>
      <c r="D400" s="1">
        <v>0.49995450231481486</v>
      </c>
      <c r="E400" s="1">
        <f>Table14[[#This Row],[Time]]-TIME(0,0,8)</f>
        <v>0.49986190972222228</v>
      </c>
      <c r="F400" t="s">
        <v>9</v>
      </c>
      <c r="G400" t="s">
        <v>29</v>
      </c>
      <c r="H400">
        <f t="shared" si="7"/>
        <v>-126</v>
      </c>
      <c r="I400">
        <v>-4.7</v>
      </c>
      <c r="L400">
        <f>480+2*(Table25[[#This Row],[min value (corrected)]]-49)</f>
        <v>500</v>
      </c>
      <c r="M400">
        <f>MINUTE(Table25[[#This Row],[Corrected time]])</f>
        <v>59</v>
      </c>
      <c r="N400" s="1">
        <v>0.6665196527777778</v>
      </c>
      <c r="O400" s="1">
        <f>Table25[[#This Row],[Time]]-TIME(0,0,4)</f>
        <v>0.66647335648148154</v>
      </c>
      <c r="P400" t="s">
        <v>9</v>
      </c>
      <c r="Q400">
        <v>-125</v>
      </c>
      <c r="R400">
        <f>Table25[[#This Row],[RSSI]]</f>
        <v>-125</v>
      </c>
      <c r="S400">
        <v>-4.2</v>
      </c>
    </row>
    <row r="401" spans="2:19" x14ac:dyDescent="0.25">
      <c r="B401">
        <f>480+2*(Table14[[#This Row],[min value (corrected)]]-49)</f>
        <v>500</v>
      </c>
      <c r="C401">
        <f>MINUTE(Table14[[#This Row],[Corrected time]])</f>
        <v>59</v>
      </c>
      <c r="D401" s="1">
        <v>0.49997434027777782</v>
      </c>
      <c r="E401" s="1">
        <f>Table14[[#This Row],[Time]]-TIME(0,0,8)</f>
        <v>0.49988174768518523</v>
      </c>
      <c r="F401" t="s">
        <v>9</v>
      </c>
      <c r="G401" t="s">
        <v>28</v>
      </c>
      <c r="H401">
        <f t="shared" si="7"/>
        <v>-125</v>
      </c>
      <c r="I401">
        <v>-4.5</v>
      </c>
      <c r="L401">
        <f>480+2*(Table25[[#This Row],[min value (corrected)]]-49)</f>
        <v>500</v>
      </c>
      <c r="M401">
        <f>MINUTE(Table25[[#This Row],[Corrected time]])</f>
        <v>59</v>
      </c>
      <c r="N401" s="1">
        <v>0.66653947916666667</v>
      </c>
      <c r="O401" s="1">
        <f>Table25[[#This Row],[Time]]-TIME(0,0,4)</f>
        <v>0.6664931828703704</v>
      </c>
      <c r="P401" t="s">
        <v>9</v>
      </c>
      <c r="Q401">
        <v>-126</v>
      </c>
      <c r="R401">
        <f>Table25[[#This Row],[RSSI]]</f>
        <v>-126</v>
      </c>
      <c r="S401">
        <v>-4.5</v>
      </c>
    </row>
    <row r="402" spans="2:19" x14ac:dyDescent="0.25">
      <c r="B402">
        <f>480+2*(Table14[[#This Row],[min value (corrected)]]-49)</f>
        <v>500</v>
      </c>
      <c r="C402">
        <f>MINUTE(Table14[[#This Row],[Corrected time]])</f>
        <v>59</v>
      </c>
      <c r="D402" s="1">
        <v>0.49999417824074077</v>
      </c>
      <c r="E402" s="1">
        <f>Table14[[#This Row],[Time]]-TIME(0,0,8)</f>
        <v>0.49990158564814818</v>
      </c>
      <c r="F402" t="s">
        <v>9</v>
      </c>
      <c r="G402" t="s">
        <v>12</v>
      </c>
      <c r="H402">
        <f t="shared" si="7"/>
        <v>-123</v>
      </c>
      <c r="I402">
        <v>-4.5</v>
      </c>
      <c r="L402">
        <f>480+2*(Table25[[#This Row],[min value (corrected)]]-49)</f>
        <v>500</v>
      </c>
      <c r="M402">
        <f>MINUTE(Table25[[#This Row],[Corrected time]])</f>
        <v>59</v>
      </c>
      <c r="N402" s="1">
        <v>0.66655932870370371</v>
      </c>
      <c r="O402" s="1">
        <f>Table25[[#This Row],[Time]]-TIME(0,0,4)</f>
        <v>0.66651303240740745</v>
      </c>
      <c r="P402" t="s">
        <v>9</v>
      </c>
      <c r="Q402">
        <v>-126</v>
      </c>
      <c r="R402">
        <f>Table25[[#This Row],[RSSI]]</f>
        <v>-126</v>
      </c>
      <c r="S402">
        <v>-5</v>
      </c>
    </row>
    <row r="403" spans="2:19" x14ac:dyDescent="0.25">
      <c r="B403">
        <f>480+2*(Table14[[#This Row],[min value (corrected)]]-49)</f>
        <v>500</v>
      </c>
      <c r="C403">
        <f>MINUTE(Table14[[#This Row],[Corrected time]])</f>
        <v>59</v>
      </c>
      <c r="D403" s="1">
        <v>0.50001400462962964</v>
      </c>
      <c r="E403" s="1">
        <f>Table14[[#This Row],[Time]]-TIME(0,0,8)</f>
        <v>0.49992141203703705</v>
      </c>
      <c r="F403" t="s">
        <v>9</v>
      </c>
      <c r="G403" t="s">
        <v>29</v>
      </c>
      <c r="H403">
        <f t="shared" si="7"/>
        <v>-126</v>
      </c>
      <c r="I403">
        <v>-5</v>
      </c>
      <c r="L403">
        <f>480+2*(Table25[[#This Row],[min value (corrected)]]-49)</f>
        <v>500</v>
      </c>
      <c r="M403">
        <f>MINUTE(Table25[[#This Row],[Corrected time]])</f>
        <v>59</v>
      </c>
      <c r="N403" s="1">
        <v>0.66657916666666672</v>
      </c>
      <c r="O403" s="1">
        <f>Table25[[#This Row],[Time]]-TIME(0,0,4)</f>
        <v>0.66653287037037046</v>
      </c>
      <c r="P403" t="s">
        <v>9</v>
      </c>
      <c r="Q403">
        <v>-126</v>
      </c>
      <c r="R403">
        <f>Table25[[#This Row],[RSSI]]</f>
        <v>-126</v>
      </c>
      <c r="S403">
        <v>-4.5</v>
      </c>
    </row>
    <row r="404" spans="2:19" x14ac:dyDescent="0.25">
      <c r="B404">
        <f>480+2*(Table14[[#This Row],[min value (corrected)]]-49)</f>
        <v>500</v>
      </c>
      <c r="C404">
        <f>MINUTE(Table14[[#This Row],[Corrected time]])</f>
        <v>59</v>
      </c>
      <c r="D404" s="1">
        <v>0.50003385416666668</v>
      </c>
      <c r="E404" s="1">
        <f>Table14[[#This Row],[Time]]-TIME(0,0,8)</f>
        <v>0.49994126157407409</v>
      </c>
      <c r="F404" t="s">
        <v>9</v>
      </c>
      <c r="G404" t="s">
        <v>29</v>
      </c>
      <c r="H404">
        <f t="shared" si="7"/>
        <v>-126</v>
      </c>
      <c r="I404">
        <v>-5</v>
      </c>
      <c r="L404">
        <f>480+2*(Table25[[#This Row],[min value (corrected)]]-49)</f>
        <v>500</v>
      </c>
      <c r="M404">
        <f>MINUTE(Table25[[#This Row],[Corrected time]])</f>
        <v>59</v>
      </c>
      <c r="N404" s="1">
        <v>0.66659899305555559</v>
      </c>
      <c r="O404" s="1">
        <f>Table25[[#This Row],[Time]]-TIME(0,0,4)</f>
        <v>0.66655269675925932</v>
      </c>
      <c r="P404" t="s">
        <v>9</v>
      </c>
      <c r="Q404">
        <v>-126</v>
      </c>
      <c r="R404">
        <f>Table25[[#This Row],[RSSI]]</f>
        <v>-126</v>
      </c>
      <c r="S404">
        <v>-4.7</v>
      </c>
    </row>
    <row r="405" spans="2:19" x14ac:dyDescent="0.25">
      <c r="B405">
        <f>480+2*(Table14[[#This Row],[min value (corrected)]]-49)</f>
        <v>500</v>
      </c>
      <c r="C405">
        <f>MINUTE(Table14[[#This Row],[Corrected time]])</f>
        <v>59</v>
      </c>
      <c r="D405" s="1">
        <v>0.50005369212962969</v>
      </c>
      <c r="E405" s="1">
        <f>Table14[[#This Row],[Time]]-TIME(0,0,8)</f>
        <v>0.4999610995370371</v>
      </c>
      <c r="F405" t="s">
        <v>9</v>
      </c>
      <c r="G405" t="s">
        <v>29</v>
      </c>
      <c r="H405">
        <f t="shared" si="7"/>
        <v>-126</v>
      </c>
      <c r="I405">
        <v>-5</v>
      </c>
      <c r="L405">
        <f>480+2*(Table25[[#This Row],[min value (corrected)]]-49)</f>
        <v>500</v>
      </c>
      <c r="M405">
        <f>MINUTE(Table25[[#This Row],[Corrected time]])</f>
        <v>59</v>
      </c>
      <c r="N405" s="1">
        <v>0.66661884259259263</v>
      </c>
      <c r="O405" s="1">
        <f>Table25[[#This Row],[Time]]-TIME(0,0,4)</f>
        <v>0.66657254629629636</v>
      </c>
      <c r="P405" t="s">
        <v>9</v>
      </c>
      <c r="Q405">
        <v>-125</v>
      </c>
      <c r="R405">
        <f>Table25[[#This Row],[RSSI]]</f>
        <v>-125</v>
      </c>
      <c r="S405">
        <v>-4</v>
      </c>
    </row>
    <row r="406" spans="2:19" x14ac:dyDescent="0.25">
      <c r="B406">
        <f>480+2*(Table14[[#This Row],[min value (corrected)]]-49)</f>
        <v>500</v>
      </c>
      <c r="C406">
        <f>MINUTE(Table14[[#This Row],[Corrected time]])</f>
        <v>59</v>
      </c>
      <c r="D406" s="1">
        <v>0.50007351851851856</v>
      </c>
      <c r="E406" s="1">
        <f>Table14[[#This Row],[Time]]-TIME(0,0,8)</f>
        <v>0.49998092592592597</v>
      </c>
      <c r="F406" t="s">
        <v>9</v>
      </c>
      <c r="G406" t="s">
        <v>29</v>
      </c>
      <c r="H406">
        <f t="shared" si="7"/>
        <v>-126</v>
      </c>
      <c r="I406">
        <v>-5.2</v>
      </c>
      <c r="L406">
        <f>480+2*(Table25[[#This Row],[min value (corrected)]]-49)</f>
        <v>500</v>
      </c>
      <c r="M406">
        <f>MINUTE(Table25[[#This Row],[Corrected time]])</f>
        <v>59</v>
      </c>
      <c r="N406" s="1">
        <v>0.66663868055555553</v>
      </c>
      <c r="O406" s="1">
        <f>Table25[[#This Row],[Time]]-TIME(0,0,4)</f>
        <v>0.66659238425925926</v>
      </c>
      <c r="P406" t="s">
        <v>9</v>
      </c>
      <c r="Q406">
        <v>-126</v>
      </c>
      <c r="R406">
        <f>Table25[[#This Row],[RSSI]]</f>
        <v>-126</v>
      </c>
      <c r="S406">
        <v>-4.7</v>
      </c>
    </row>
    <row r="407" spans="2:19" x14ac:dyDescent="0.25">
      <c r="B407">
        <f>502+2*(Table14[[#This Row],[min value (corrected)]])</f>
        <v>502</v>
      </c>
      <c r="C407">
        <f>MINUTE(Table14[[#This Row],[Corrected time]])</f>
        <v>0</v>
      </c>
      <c r="D407" s="1">
        <v>0.50009335648148145</v>
      </c>
      <c r="E407" s="1">
        <f>Table14[[#This Row],[Time]]-TIME(0,0,8)</f>
        <v>0.50000076388888881</v>
      </c>
      <c r="F407" t="s">
        <v>9</v>
      </c>
      <c r="G407" t="s">
        <v>30</v>
      </c>
      <c r="H407">
        <f t="shared" si="7"/>
        <v>-127</v>
      </c>
      <c r="I407">
        <v>-6.5</v>
      </c>
      <c r="L407">
        <f>480+2*(Table25[[#This Row],[min value (corrected)]]-49)</f>
        <v>500</v>
      </c>
      <c r="M407">
        <f>MINUTE(Table25[[#This Row],[Corrected time]])</f>
        <v>59</v>
      </c>
      <c r="N407" s="1">
        <v>0.6666585069444444</v>
      </c>
      <c r="O407" s="1">
        <f>Table25[[#This Row],[Time]]-TIME(0,0,4)</f>
        <v>0.66661221064814813</v>
      </c>
      <c r="P407" t="s">
        <v>9</v>
      </c>
      <c r="Q407">
        <v>-125</v>
      </c>
      <c r="R407">
        <f>Table25[[#This Row],[RSSI]]</f>
        <v>-125</v>
      </c>
      <c r="S407">
        <v>-4.2</v>
      </c>
    </row>
    <row r="408" spans="2:19" x14ac:dyDescent="0.25">
      <c r="B408">
        <f>502+2*(Table14[[#This Row],[min value (corrected)]])</f>
        <v>502</v>
      </c>
      <c r="C408">
        <f>MINUTE(Table14[[#This Row],[Corrected time]])</f>
        <v>0</v>
      </c>
      <c r="D408" s="1">
        <v>0.5001132060185185</v>
      </c>
      <c r="E408" s="1">
        <f>Table14[[#This Row],[Time]]-TIME(0,0,8)</f>
        <v>0.50002061342592585</v>
      </c>
      <c r="F408" t="s">
        <v>9</v>
      </c>
      <c r="G408" t="s">
        <v>29</v>
      </c>
      <c r="H408">
        <f t="shared" si="7"/>
        <v>-126</v>
      </c>
      <c r="I408">
        <v>-5.7</v>
      </c>
      <c r="L408">
        <f>480+2*(Table25[[#This Row],[min value (corrected)]]-49)</f>
        <v>500</v>
      </c>
      <c r="M408">
        <f>MINUTE(Table25[[#This Row],[Corrected time]])</f>
        <v>59</v>
      </c>
      <c r="N408" s="1">
        <v>0.66667835648148155</v>
      </c>
      <c r="O408" s="1">
        <f>Table25[[#This Row],[Time]]-TIME(0,0,4)</f>
        <v>0.66663206018518528</v>
      </c>
      <c r="P408" t="s">
        <v>9</v>
      </c>
      <c r="Q408">
        <v>-126</v>
      </c>
      <c r="R408">
        <f>Table25[[#This Row],[RSSI]]</f>
        <v>-126</v>
      </c>
      <c r="S408">
        <v>-4.7</v>
      </c>
    </row>
    <row r="409" spans="2:19" x14ac:dyDescent="0.25">
      <c r="B409">
        <f>502+2*(Table14[[#This Row],[min value (corrected)]])</f>
        <v>502</v>
      </c>
      <c r="C409">
        <f>MINUTE(Table14[[#This Row],[Corrected time]])</f>
        <v>0</v>
      </c>
      <c r="D409" s="1">
        <v>0.50013303240740736</v>
      </c>
      <c r="E409" s="1">
        <f>Table14[[#This Row],[Time]]-TIME(0,0,8)</f>
        <v>0.50004043981481472</v>
      </c>
      <c r="F409" t="s">
        <v>9</v>
      </c>
      <c r="G409" t="s">
        <v>31</v>
      </c>
      <c r="H409">
        <f t="shared" si="7"/>
        <v>-127.5</v>
      </c>
      <c r="I409">
        <v>-6.7</v>
      </c>
      <c r="L409">
        <f>480+2*(Table25[[#This Row],[min value (corrected)]]-49)</f>
        <v>500</v>
      </c>
      <c r="M409">
        <f>MINUTE(Table25[[#This Row],[Corrected time]])</f>
        <v>59</v>
      </c>
      <c r="N409" s="1">
        <v>0.66669819444444445</v>
      </c>
      <c r="O409" s="1">
        <f>Table25[[#This Row],[Time]]-TIME(0,0,4)</f>
        <v>0.66665189814814818</v>
      </c>
      <c r="P409" t="s">
        <v>9</v>
      </c>
      <c r="Q409">
        <v>-125</v>
      </c>
      <c r="R409">
        <f>Table25[[#This Row],[RSSI]]</f>
        <v>-125</v>
      </c>
      <c r="S409">
        <v>-4.5</v>
      </c>
    </row>
    <row r="410" spans="2:19" x14ac:dyDescent="0.25">
      <c r="B410">
        <f>502+2*(Table14[[#This Row],[min value (corrected)]])</f>
        <v>502</v>
      </c>
      <c r="C410">
        <f>MINUTE(Table14[[#This Row],[Corrected time]])</f>
        <v>0</v>
      </c>
      <c r="D410" s="1">
        <v>0.50015287037037037</v>
      </c>
      <c r="E410" s="1">
        <f>Table14[[#This Row],[Time]]-TIME(0,0,8)</f>
        <v>0.50006027777777773</v>
      </c>
      <c r="F410" t="s">
        <v>9</v>
      </c>
      <c r="G410" t="s">
        <v>31</v>
      </c>
      <c r="H410">
        <f t="shared" si="7"/>
        <v>-127.5</v>
      </c>
      <c r="I410">
        <v>-7.5</v>
      </c>
      <c r="L410">
        <f>502+2*(Table25[[#This Row],[min value (corrected)]])</f>
        <v>502</v>
      </c>
      <c r="M410">
        <f>MINUTE(Table25[[#This Row],[Corrected time]])</f>
        <v>0</v>
      </c>
      <c r="N410" s="1">
        <v>0.66671800925925928</v>
      </c>
      <c r="O410" s="1">
        <f>Table25[[#This Row],[Time]]-TIME(0,0,4)</f>
        <v>0.66667171296296301</v>
      </c>
      <c r="P410" t="s">
        <v>9</v>
      </c>
      <c r="Q410">
        <v>-126</v>
      </c>
      <c r="R410">
        <f>Table25[[#This Row],[RSSI]]</f>
        <v>-126</v>
      </c>
      <c r="S410">
        <v>-5.5</v>
      </c>
    </row>
    <row r="411" spans="2:19" x14ac:dyDescent="0.25">
      <c r="B411">
        <f>502+2*(Table14[[#This Row],[min value (corrected)]])</f>
        <v>502</v>
      </c>
      <c r="C411">
        <f>MINUTE(Table14[[#This Row],[Corrected time]])</f>
        <v>0</v>
      </c>
      <c r="D411" s="1">
        <v>0.50017271990740741</v>
      </c>
      <c r="E411" s="1">
        <f>Table14[[#This Row],[Time]]-TIME(0,0,8)</f>
        <v>0.50008012731481477</v>
      </c>
      <c r="F411" t="s">
        <v>27</v>
      </c>
      <c r="G411" t="str">
        <f>G410</f>
        <v>-127.5,</v>
      </c>
      <c r="H411">
        <f>H410-0.5</f>
        <v>-128</v>
      </c>
      <c r="I411">
        <f>I410-0.5</f>
        <v>-8</v>
      </c>
      <c r="L411">
        <f>502+2*(Table25[[#This Row],[min value (corrected)]])</f>
        <v>502</v>
      </c>
      <c r="M411">
        <f>MINUTE(Table25[[#This Row],[Corrected time]])</f>
        <v>0</v>
      </c>
      <c r="N411" s="1">
        <v>0.66673785879629632</v>
      </c>
      <c r="O411" s="1">
        <f>Table25[[#This Row],[Time]]-TIME(0,0,4)</f>
        <v>0.66669156250000006</v>
      </c>
      <c r="P411" t="s">
        <v>9</v>
      </c>
      <c r="Q411">
        <v>-127</v>
      </c>
      <c r="R411">
        <f>Table25[[#This Row],[RSSI]]</f>
        <v>-127</v>
      </c>
      <c r="S411">
        <v>-5.7</v>
      </c>
    </row>
    <row r="412" spans="2:19" x14ac:dyDescent="0.25">
      <c r="B412">
        <f>502+2*(Table14[[#This Row],[min value (corrected)]])</f>
        <v>502</v>
      </c>
      <c r="C412">
        <f>MINUTE(Table14[[#This Row],[Corrected time]])</f>
        <v>0</v>
      </c>
      <c r="D412" s="1">
        <v>0.50017271990740741</v>
      </c>
      <c r="E412" s="1">
        <f>Table14[[#This Row],[Time]]-TIME(0,0,8)</f>
        <v>0.50008012731481477</v>
      </c>
      <c r="F412" t="s">
        <v>9</v>
      </c>
      <c r="G412" t="s">
        <v>31</v>
      </c>
      <c r="H412">
        <f t="shared" si="7"/>
        <v>-127.5</v>
      </c>
      <c r="I412">
        <v>-7.2</v>
      </c>
      <c r="L412">
        <f>502+2*(Table25[[#This Row],[min value (corrected)]])</f>
        <v>502</v>
      </c>
      <c r="M412">
        <f>MINUTE(Table25[[#This Row],[Corrected time]])</f>
        <v>0</v>
      </c>
      <c r="N412" s="1">
        <v>0.66675770833333337</v>
      </c>
      <c r="O412" s="1">
        <f>Table25[[#This Row],[Time]]-TIME(0,0,4)</f>
        <v>0.6667114120370371</v>
      </c>
      <c r="P412" t="s">
        <v>9</v>
      </c>
      <c r="Q412">
        <v>-127</v>
      </c>
      <c r="R412">
        <f>Table25[[#This Row],[RSSI]]</f>
        <v>-127</v>
      </c>
      <c r="S412">
        <v>-5.7</v>
      </c>
    </row>
    <row r="413" spans="2:19" x14ac:dyDescent="0.25">
      <c r="B413">
        <f>502+2*(Table14[[#This Row],[min value (corrected)]])</f>
        <v>502</v>
      </c>
      <c r="C413">
        <f>MINUTE(Table14[[#This Row],[Corrected time]])</f>
        <v>0</v>
      </c>
      <c r="D413" s="1">
        <v>0.50021239583333332</v>
      </c>
      <c r="E413" s="1">
        <f>Table14[[#This Row],[Time]]-TIME(0,0,8)</f>
        <v>0.50011980324074068</v>
      </c>
      <c r="F413" t="s">
        <v>9</v>
      </c>
      <c r="G413" t="s">
        <v>29</v>
      </c>
      <c r="H413">
        <f t="shared" si="7"/>
        <v>-126</v>
      </c>
      <c r="I413">
        <v>-7</v>
      </c>
      <c r="L413">
        <f>502+2*(Table25[[#This Row],[min value (corrected)]])</f>
        <v>502</v>
      </c>
      <c r="M413">
        <f>MINUTE(Table25[[#This Row],[Corrected time]])</f>
        <v>0</v>
      </c>
      <c r="N413" s="1">
        <v>0.66677754629629626</v>
      </c>
      <c r="O413" s="1">
        <f>Table25[[#This Row],[Time]]-TIME(0,0,4)</f>
        <v>0.66673125</v>
      </c>
      <c r="P413" t="s">
        <v>13</v>
      </c>
      <c r="Q413">
        <f>Q412</f>
        <v>-127</v>
      </c>
      <c r="R413">
        <f>Table25[[#This Row],[RSSI]]</f>
        <v>-127</v>
      </c>
    </row>
    <row r="414" spans="2:19" x14ac:dyDescent="0.25">
      <c r="B414">
        <f>502+2*(Table14[[#This Row],[min value (corrected)]])</f>
        <v>502</v>
      </c>
      <c r="C414">
        <f>MINUTE(Table14[[#This Row],[Corrected time]])</f>
        <v>0</v>
      </c>
      <c r="D414" s="1">
        <v>0.50023222222222219</v>
      </c>
      <c r="E414" s="1">
        <f>Table14[[#This Row],[Time]]-TIME(0,0,8)</f>
        <v>0.50013962962962955</v>
      </c>
      <c r="F414" t="s">
        <v>9</v>
      </c>
      <c r="G414" t="s">
        <v>31</v>
      </c>
      <c r="H414">
        <f t="shared" si="7"/>
        <v>-127.5</v>
      </c>
      <c r="I414">
        <v>-7.2</v>
      </c>
      <c r="L414">
        <f>502+2*(Table25[[#This Row],[min value (corrected)]])</f>
        <v>502</v>
      </c>
      <c r="M414">
        <f>MINUTE(Table25[[#This Row],[Corrected time]])</f>
        <v>0</v>
      </c>
      <c r="N414" s="1">
        <v>0.66679738425925927</v>
      </c>
      <c r="O414" s="1">
        <f>Table25[[#This Row],[Time]]-TIME(0,0,4)</f>
        <v>0.66675108796296301</v>
      </c>
      <c r="P414" t="s">
        <v>9</v>
      </c>
      <c r="Q414">
        <v>-127.5</v>
      </c>
      <c r="R414">
        <f>Table25[[#This Row],[RSSI]]</f>
        <v>-127.5</v>
      </c>
      <c r="S414">
        <v>-7.7</v>
      </c>
    </row>
    <row r="415" spans="2:19" x14ac:dyDescent="0.25">
      <c r="B415">
        <f>502+2*(Table14[[#This Row],[min value (corrected)]])</f>
        <v>502</v>
      </c>
      <c r="C415">
        <f>MINUTE(Table14[[#This Row],[Corrected time]])</f>
        <v>0</v>
      </c>
      <c r="D415" s="1">
        <v>0.50025207175925923</v>
      </c>
      <c r="E415" s="1">
        <f>Table14[[#This Row],[Time]]-TIME(0,0,8)</f>
        <v>0.50015947916666659</v>
      </c>
      <c r="F415" t="s">
        <v>9</v>
      </c>
      <c r="G415" t="s">
        <v>31</v>
      </c>
      <c r="H415">
        <f t="shared" si="7"/>
        <v>-127.5</v>
      </c>
      <c r="I415">
        <v>-8</v>
      </c>
      <c r="L415">
        <f>502+2*(Table25[[#This Row],[min value (corrected)]])</f>
        <v>502</v>
      </c>
      <c r="M415">
        <f>MINUTE(Table25[[#This Row],[Corrected time]])</f>
        <v>0</v>
      </c>
      <c r="N415" s="1">
        <v>0.66681722222222228</v>
      </c>
      <c r="O415" s="1">
        <f>Table25[[#This Row],[Time]]-TIME(0,0,4)</f>
        <v>0.66677092592592602</v>
      </c>
      <c r="P415" t="s">
        <v>13</v>
      </c>
      <c r="Q415">
        <f>Q414</f>
        <v>-127.5</v>
      </c>
      <c r="R415">
        <f>Table25[[#This Row],[RSSI]]</f>
        <v>-127.5</v>
      </c>
    </row>
    <row r="416" spans="2:19" x14ac:dyDescent="0.25">
      <c r="B416">
        <f>502+2*(Table14[[#This Row],[min value (corrected)]])</f>
        <v>502</v>
      </c>
      <c r="C416">
        <f>MINUTE(Table14[[#This Row],[Corrected time]])</f>
        <v>0</v>
      </c>
      <c r="D416" s="1">
        <v>0.5002718981481481</v>
      </c>
      <c r="E416" s="1">
        <f>Table14[[#This Row],[Time]]-TIME(0,0,8)</f>
        <v>0.50017930555555545</v>
      </c>
      <c r="F416" t="s">
        <v>9</v>
      </c>
      <c r="G416" t="s">
        <v>31</v>
      </c>
      <c r="H416">
        <f t="shared" si="7"/>
        <v>-127.5</v>
      </c>
      <c r="I416">
        <v>-7.2</v>
      </c>
      <c r="L416">
        <f>502+2*(Table25[[#This Row],[min value (corrected)]])</f>
        <v>502</v>
      </c>
      <c r="M416">
        <f>MINUTE(Table25[[#This Row],[Corrected time]])</f>
        <v>0</v>
      </c>
      <c r="N416" s="1">
        <v>0.66683706018518518</v>
      </c>
      <c r="O416" s="1">
        <f>Table25[[#This Row],[Time]]-TIME(0,0,4)</f>
        <v>0.66679076388888892</v>
      </c>
      <c r="P416" t="s">
        <v>9</v>
      </c>
      <c r="Q416">
        <v>-127.5</v>
      </c>
      <c r="R416">
        <f>Table25[[#This Row],[RSSI]]</f>
        <v>-127.5</v>
      </c>
      <c r="S416">
        <v>-6.5</v>
      </c>
    </row>
    <row r="417" spans="2:19" x14ac:dyDescent="0.25">
      <c r="B417">
        <f>502+2*(Table14[[#This Row],[min value (corrected)]])</f>
        <v>502</v>
      </c>
      <c r="C417">
        <f>MINUTE(Table14[[#This Row],[Corrected time]])</f>
        <v>0</v>
      </c>
      <c r="D417" s="1">
        <v>0.50029174768518525</v>
      </c>
      <c r="E417" s="1">
        <f>Table14[[#This Row],[Time]]-TIME(0,0,8)</f>
        <v>0.50019915509259261</v>
      </c>
      <c r="F417" t="s">
        <v>9</v>
      </c>
      <c r="G417" t="s">
        <v>31</v>
      </c>
      <c r="H417">
        <f t="shared" si="7"/>
        <v>-127.5</v>
      </c>
      <c r="I417">
        <v>-7</v>
      </c>
      <c r="L417">
        <f>502+2*(Table25[[#This Row],[min value (corrected)]])</f>
        <v>502</v>
      </c>
      <c r="M417">
        <f>MINUTE(Table25[[#This Row],[Corrected time]])</f>
        <v>0</v>
      </c>
      <c r="N417" s="1">
        <v>0.66685689814814819</v>
      </c>
      <c r="O417" s="1">
        <f>Table25[[#This Row],[Time]]-TIME(0,0,4)</f>
        <v>0.66681060185185193</v>
      </c>
      <c r="P417" t="s">
        <v>9</v>
      </c>
      <c r="Q417">
        <v>-127.5</v>
      </c>
      <c r="R417">
        <f>Table25[[#This Row],[RSSI]]</f>
        <v>-127.5</v>
      </c>
      <c r="S417">
        <v>-6.7</v>
      </c>
    </row>
    <row r="418" spans="2:19" x14ac:dyDescent="0.25">
      <c r="B418">
        <f>502+2*(Table14[[#This Row],[min value (corrected)]])</f>
        <v>502</v>
      </c>
      <c r="C418">
        <f>MINUTE(Table14[[#This Row],[Corrected time]])</f>
        <v>0</v>
      </c>
      <c r="D418" s="1">
        <v>0.50031158564814815</v>
      </c>
      <c r="E418" s="1">
        <f>Table14[[#This Row],[Time]]-TIME(0,0,8)</f>
        <v>0.50021899305555551</v>
      </c>
      <c r="F418" t="s">
        <v>9</v>
      </c>
      <c r="G418" t="s">
        <v>31</v>
      </c>
      <c r="H418">
        <f t="shared" si="7"/>
        <v>-127.5</v>
      </c>
      <c r="I418">
        <v>-7.5</v>
      </c>
      <c r="L418">
        <f>502+2*(Table25[[#This Row],[min value (corrected)]])</f>
        <v>502</v>
      </c>
      <c r="M418">
        <f>MINUTE(Table25[[#This Row],[Corrected time]])</f>
        <v>0</v>
      </c>
      <c r="N418" s="1">
        <v>0.66687673611111109</v>
      </c>
      <c r="O418" s="1">
        <f>Table25[[#This Row],[Time]]-TIME(0,0,4)</f>
        <v>0.66683043981481482</v>
      </c>
      <c r="P418" t="s">
        <v>9</v>
      </c>
      <c r="Q418">
        <v>-127.5</v>
      </c>
      <c r="R418">
        <f>Table25[[#This Row],[RSSI]]</f>
        <v>-127.5</v>
      </c>
      <c r="S418">
        <v>-6.2</v>
      </c>
    </row>
    <row r="419" spans="2:19" x14ac:dyDescent="0.25">
      <c r="B419">
        <f>502+2*(Table14[[#This Row],[min value (corrected)]])</f>
        <v>502</v>
      </c>
      <c r="C419">
        <f>MINUTE(Table14[[#This Row],[Corrected time]])</f>
        <v>0</v>
      </c>
      <c r="D419" s="1">
        <v>0.50033142361111116</v>
      </c>
      <c r="E419" s="1">
        <f>Table14[[#This Row],[Time]]-TIME(0,0,8)</f>
        <v>0.50023883101851851</v>
      </c>
      <c r="F419" t="s">
        <v>9</v>
      </c>
      <c r="G419" t="s">
        <v>31</v>
      </c>
      <c r="H419">
        <f t="shared" si="7"/>
        <v>-127.5</v>
      </c>
      <c r="I419">
        <v>-6.7</v>
      </c>
      <c r="L419">
        <f>502+2*(Table25[[#This Row],[min value (corrected)]])</f>
        <v>502</v>
      </c>
      <c r="M419">
        <f>MINUTE(Table25[[#This Row],[Corrected time]])</f>
        <v>0</v>
      </c>
      <c r="N419" s="1">
        <v>0.66689656249999996</v>
      </c>
      <c r="O419" s="1">
        <f>Table25[[#This Row],[Time]]-TIME(0,0,4)</f>
        <v>0.66685026620370369</v>
      </c>
      <c r="P419" t="s">
        <v>9</v>
      </c>
      <c r="Q419">
        <v>-127.5</v>
      </c>
      <c r="R419">
        <f>Table25[[#This Row],[RSSI]]</f>
        <v>-127.5</v>
      </c>
      <c r="S419">
        <v>-7.2</v>
      </c>
    </row>
    <row r="420" spans="2:19" x14ac:dyDescent="0.25">
      <c r="B420">
        <f>502+2*(Table14[[#This Row],[min value (corrected)]])</f>
        <v>502</v>
      </c>
      <c r="C420">
        <f>MINUTE(Table14[[#This Row],[Corrected time]])</f>
        <v>0</v>
      </c>
      <c r="D420" s="1">
        <v>0.50035125000000003</v>
      </c>
      <c r="E420" s="1">
        <f>Table14[[#This Row],[Time]]-TIME(0,0,8)</f>
        <v>0.50025865740740738</v>
      </c>
      <c r="F420" t="s">
        <v>9</v>
      </c>
      <c r="G420" t="s">
        <v>31</v>
      </c>
      <c r="H420">
        <f t="shared" si="7"/>
        <v>-127.5</v>
      </c>
      <c r="I420">
        <v>-7.5</v>
      </c>
      <c r="L420">
        <f>502+2*(Table25[[#This Row],[min value (corrected)]])</f>
        <v>502</v>
      </c>
      <c r="M420">
        <f>MINUTE(Table25[[#This Row],[Corrected time]])</f>
        <v>0</v>
      </c>
      <c r="N420" s="1">
        <v>0.666916412037037</v>
      </c>
      <c r="O420" s="1">
        <f>Table25[[#This Row],[Time]]-TIME(0,0,4)</f>
        <v>0.66687011574074073</v>
      </c>
      <c r="P420" t="s">
        <v>9</v>
      </c>
      <c r="Q420">
        <v>-127.5</v>
      </c>
      <c r="R420">
        <f>Table25[[#This Row],[RSSI]]</f>
        <v>-127.5</v>
      </c>
      <c r="S420">
        <v>-6.7</v>
      </c>
    </row>
    <row r="421" spans="2:19" x14ac:dyDescent="0.25">
      <c r="B421">
        <f>502+2*(Table14[[#This Row],[min value (corrected)]])</f>
        <v>502</v>
      </c>
      <c r="C421">
        <f>MINUTE(Table14[[#This Row],[Corrected time]])</f>
        <v>0</v>
      </c>
      <c r="D421" s="1">
        <v>0.50037108796296292</v>
      </c>
      <c r="E421" s="1">
        <f>Table14[[#This Row],[Time]]-TIME(0,0,8)</f>
        <v>0.50027849537037028</v>
      </c>
      <c r="F421" t="s">
        <v>9</v>
      </c>
      <c r="G421" t="s">
        <v>31</v>
      </c>
      <c r="H421">
        <f t="shared" si="7"/>
        <v>-127.5</v>
      </c>
      <c r="I421">
        <v>-7.5</v>
      </c>
      <c r="L421">
        <f>502+2*(Table25[[#This Row],[min value (corrected)]])</f>
        <v>502</v>
      </c>
      <c r="M421">
        <f>MINUTE(Table25[[#This Row],[Corrected time]])</f>
        <v>0</v>
      </c>
      <c r="N421" s="1">
        <v>0.66693623842592586</v>
      </c>
      <c r="O421" s="1">
        <f>Table25[[#This Row],[Time]]-TIME(0,0,4)</f>
        <v>0.6668899421296296</v>
      </c>
      <c r="P421" t="s">
        <v>9</v>
      </c>
      <c r="Q421">
        <v>-127.5</v>
      </c>
      <c r="R421">
        <f>Table25[[#This Row],[RSSI]]</f>
        <v>-127.5</v>
      </c>
      <c r="S421">
        <v>-6.7</v>
      </c>
    </row>
    <row r="422" spans="2:19" x14ac:dyDescent="0.25">
      <c r="B422">
        <f>502+2*(Table14[[#This Row],[min value (corrected)]])</f>
        <v>502</v>
      </c>
      <c r="C422">
        <f>MINUTE(Table14[[#This Row],[Corrected time]])</f>
        <v>0</v>
      </c>
      <c r="D422" s="1">
        <v>0.50039092592592593</v>
      </c>
      <c r="E422" s="1">
        <f>Table14[[#This Row],[Time]]-TIME(0,0,8)</f>
        <v>0.50029833333333329</v>
      </c>
      <c r="F422" t="s">
        <v>9</v>
      </c>
      <c r="G422" t="s">
        <v>31</v>
      </c>
      <c r="H422">
        <f t="shared" si="7"/>
        <v>-127.5</v>
      </c>
      <c r="I422">
        <v>-7.7</v>
      </c>
      <c r="L422">
        <f>502+2*(Table25[[#This Row],[min value (corrected)]])</f>
        <v>502</v>
      </c>
      <c r="M422">
        <f>MINUTE(Table25[[#This Row],[Corrected time]])</f>
        <v>0</v>
      </c>
      <c r="N422" s="1">
        <v>0.66695607638888887</v>
      </c>
      <c r="O422" s="1">
        <f>Table25[[#This Row],[Time]]-TIME(0,0,4)</f>
        <v>0.66690978009259261</v>
      </c>
      <c r="P422" t="s">
        <v>9</v>
      </c>
      <c r="Q422">
        <v>-127.5</v>
      </c>
      <c r="R422">
        <f>Table25[[#This Row],[RSSI]]</f>
        <v>-127.5</v>
      </c>
      <c r="S422">
        <v>-7</v>
      </c>
    </row>
    <row r="423" spans="2:19" x14ac:dyDescent="0.25">
      <c r="B423">
        <f>502+2*(Table14[[#This Row],[min value (corrected)]])</f>
        <v>502</v>
      </c>
      <c r="C423">
        <f>MINUTE(Table14[[#This Row],[Corrected time]])</f>
        <v>0</v>
      </c>
      <c r="D423" s="1">
        <v>0.50041076388888883</v>
      </c>
      <c r="E423" s="1">
        <f>Table14[[#This Row],[Time]]-TIME(0,0,8)</f>
        <v>0.50031817129629619</v>
      </c>
      <c r="F423" t="s">
        <v>9</v>
      </c>
      <c r="G423" t="s">
        <v>31</v>
      </c>
      <c r="H423">
        <f t="shared" si="7"/>
        <v>-127.5</v>
      </c>
      <c r="I423">
        <v>-7.7</v>
      </c>
      <c r="L423">
        <f>502+2*(Table25[[#This Row],[min value (corrected)]])</f>
        <v>502</v>
      </c>
      <c r="M423">
        <f>MINUTE(Table25[[#This Row],[Corrected time]])</f>
        <v>0</v>
      </c>
      <c r="N423" s="1">
        <v>0.66697590277777774</v>
      </c>
      <c r="O423" s="1">
        <f>Table25[[#This Row],[Time]]-TIME(0,0,4)</f>
        <v>0.66692960648148147</v>
      </c>
      <c r="P423" t="s">
        <v>9</v>
      </c>
      <c r="Q423">
        <v>-127.5</v>
      </c>
      <c r="R423">
        <f>Table25[[#This Row],[RSSI]]</f>
        <v>-127.5</v>
      </c>
      <c r="S423">
        <v>-7</v>
      </c>
    </row>
    <row r="424" spans="2:19" x14ac:dyDescent="0.25">
      <c r="B424">
        <f>502+2*(Table14[[#This Row],[min value (corrected)]])</f>
        <v>502</v>
      </c>
      <c r="C424">
        <f>MINUTE(Table14[[#This Row],[Corrected time]])</f>
        <v>0</v>
      </c>
      <c r="D424" s="1">
        <v>0.50043061342592599</v>
      </c>
      <c r="E424" s="1">
        <f>Table14[[#This Row],[Time]]-TIME(0,0,8)</f>
        <v>0.50033802083333334</v>
      </c>
      <c r="F424" t="s">
        <v>9</v>
      </c>
      <c r="G424" t="s">
        <v>31</v>
      </c>
      <c r="H424">
        <f t="shared" si="7"/>
        <v>-127.5</v>
      </c>
      <c r="I424">
        <v>-7</v>
      </c>
      <c r="L424">
        <f>502+2*(Table25[[#This Row],[min value (corrected)]])</f>
        <v>502</v>
      </c>
      <c r="M424">
        <f>MINUTE(Table25[[#This Row],[Corrected time]])</f>
        <v>0</v>
      </c>
      <c r="N424" s="1">
        <v>0.66699575231481478</v>
      </c>
      <c r="O424" s="1">
        <f>Table25[[#This Row],[Time]]-TIME(0,0,4)</f>
        <v>0.66694945601851852</v>
      </c>
      <c r="P424" t="s">
        <v>9</v>
      </c>
      <c r="Q424">
        <v>-127.5</v>
      </c>
      <c r="R424">
        <f>Table25[[#This Row],[RSSI]]</f>
        <v>-127.5</v>
      </c>
      <c r="S424">
        <v>-6.2</v>
      </c>
    </row>
    <row r="425" spans="2:19" x14ac:dyDescent="0.25">
      <c r="B425">
        <f>502+2*(Table14[[#This Row],[min value (corrected)]])</f>
        <v>502</v>
      </c>
      <c r="C425">
        <f>MINUTE(Table14[[#This Row],[Corrected time]])</f>
        <v>0</v>
      </c>
      <c r="D425" s="1">
        <v>0.50045045138888888</v>
      </c>
      <c r="E425" s="1">
        <f>Table14[[#This Row],[Time]]-TIME(0,0,8)</f>
        <v>0.50035785879629624</v>
      </c>
      <c r="F425" t="s">
        <v>9</v>
      </c>
      <c r="G425" t="s">
        <v>31</v>
      </c>
      <c r="H425">
        <f t="shared" si="7"/>
        <v>-127.5</v>
      </c>
      <c r="I425">
        <v>-7.5</v>
      </c>
      <c r="L425">
        <f>502+2*(Table25[[#This Row],[min value (corrected)]])</f>
        <v>502</v>
      </c>
      <c r="M425">
        <f>MINUTE(Table25[[#This Row],[Corrected time]])</f>
        <v>0</v>
      </c>
      <c r="N425" s="1">
        <v>0.66701559027777779</v>
      </c>
      <c r="O425" s="1">
        <f>Table25[[#This Row],[Time]]-TIME(0,0,4)</f>
        <v>0.66696929398148153</v>
      </c>
      <c r="P425" t="s">
        <v>9</v>
      </c>
      <c r="Q425">
        <v>-127.5</v>
      </c>
      <c r="R425">
        <f>Table25[[#This Row],[RSSI]]</f>
        <v>-127.5</v>
      </c>
      <c r="S425">
        <v>-8</v>
      </c>
    </row>
    <row r="426" spans="2:19" x14ac:dyDescent="0.25">
      <c r="B426">
        <f>502+2*(Table14[[#This Row],[min value (corrected)]])</f>
        <v>502</v>
      </c>
      <c r="C426">
        <f>MINUTE(Table14[[#This Row],[Corrected time]])</f>
        <v>0</v>
      </c>
      <c r="D426" s="1">
        <v>0.50047028935185189</v>
      </c>
      <c r="E426" s="1">
        <f>Table14[[#This Row],[Time]]-TIME(0,0,8)</f>
        <v>0.50037769675925925</v>
      </c>
      <c r="F426" t="s">
        <v>9</v>
      </c>
      <c r="G426" t="s">
        <v>31</v>
      </c>
      <c r="H426">
        <f t="shared" si="7"/>
        <v>-127.5</v>
      </c>
      <c r="I426">
        <v>-7.5</v>
      </c>
      <c r="L426">
        <f>502+2*(Table25[[#This Row],[min value (corrected)]])</f>
        <v>502</v>
      </c>
      <c r="M426">
        <f>MINUTE(Table25[[#This Row],[Corrected time]])</f>
        <v>0</v>
      </c>
      <c r="N426" s="1">
        <v>0.66703542824074069</v>
      </c>
      <c r="O426" s="1">
        <f>Table25[[#This Row],[Time]]-TIME(0,0,4)</f>
        <v>0.66698913194444442</v>
      </c>
      <c r="P426" t="s">
        <v>9</v>
      </c>
      <c r="Q426">
        <v>-127.5</v>
      </c>
      <c r="R426">
        <f>Table25[[#This Row],[RSSI]]</f>
        <v>-127.5</v>
      </c>
      <c r="S426">
        <v>-7</v>
      </c>
    </row>
    <row r="427" spans="2:19" x14ac:dyDescent="0.25">
      <c r="B427">
        <f>502+2*(Table14[[#This Row],[min value (corrected)]])</f>
        <v>502</v>
      </c>
      <c r="C427">
        <f>MINUTE(Table14[[#This Row],[Corrected time]])</f>
        <v>0</v>
      </c>
      <c r="D427" s="1">
        <v>0.50049012731481479</v>
      </c>
      <c r="E427" s="1">
        <f>Table14[[#This Row],[Time]]-TIME(0,0,8)</f>
        <v>0.50039753472222215</v>
      </c>
      <c r="F427" t="s">
        <v>9</v>
      </c>
      <c r="G427" t="s">
        <v>31</v>
      </c>
      <c r="H427">
        <f t="shared" si="7"/>
        <v>-127.5</v>
      </c>
      <c r="I427">
        <v>-7</v>
      </c>
      <c r="L427">
        <f>502+2*(Table25[[#This Row],[min value (corrected)]])</f>
        <v>502</v>
      </c>
      <c r="M427">
        <f>MINUTE(Table25[[#This Row],[Corrected time]])</f>
        <v>0</v>
      </c>
      <c r="N427" s="1">
        <v>0.66705527777777773</v>
      </c>
      <c r="O427" s="1">
        <f>Table25[[#This Row],[Time]]-TIME(0,0,4)</f>
        <v>0.66700898148148147</v>
      </c>
      <c r="P427" t="s">
        <v>13</v>
      </c>
      <c r="Q427">
        <f t="shared" ref="Q427:Q428" si="8">Q426</f>
        <v>-127.5</v>
      </c>
      <c r="R427">
        <f>Table25[[#This Row],[RSSI]]</f>
        <v>-127.5</v>
      </c>
    </row>
    <row r="428" spans="2:19" x14ac:dyDescent="0.25">
      <c r="B428">
        <f>502+2*(Table14[[#This Row],[min value (corrected)]])</f>
        <v>502</v>
      </c>
      <c r="C428">
        <f>MINUTE(Table14[[#This Row],[Corrected time]])</f>
        <v>0</v>
      </c>
      <c r="D428" s="1">
        <v>0.5005099652777778</v>
      </c>
      <c r="E428" s="1">
        <f>Table14[[#This Row],[Time]]-TIME(0,0,8)</f>
        <v>0.50041737268518516</v>
      </c>
      <c r="F428" t="s">
        <v>9</v>
      </c>
      <c r="G428" t="s">
        <v>31</v>
      </c>
      <c r="H428">
        <f t="shared" si="7"/>
        <v>-127.5</v>
      </c>
      <c r="I428">
        <v>-7</v>
      </c>
      <c r="L428">
        <f>502+2*(Table25[[#This Row],[min value (corrected)]])</f>
        <v>502</v>
      </c>
      <c r="M428">
        <f>MINUTE(Table25[[#This Row],[Corrected time]])</f>
        <v>0</v>
      </c>
      <c r="N428" s="1">
        <v>0.66707511574074074</v>
      </c>
      <c r="O428" s="1">
        <f>Table25[[#This Row],[Time]]-TIME(0,0,4)</f>
        <v>0.66702881944444448</v>
      </c>
      <c r="P428" t="s">
        <v>13</v>
      </c>
      <c r="Q428">
        <f t="shared" si="8"/>
        <v>-127.5</v>
      </c>
      <c r="R428">
        <f>Table25[[#This Row],[RSSI]]</f>
        <v>-127.5</v>
      </c>
    </row>
    <row r="429" spans="2:19" x14ac:dyDescent="0.25">
      <c r="B429">
        <f>502+2*(Table14[[#This Row],[min value (corrected)]])</f>
        <v>502</v>
      </c>
      <c r="C429">
        <f>MINUTE(Table14[[#This Row],[Corrected time]])</f>
        <v>0</v>
      </c>
      <c r="D429" s="1">
        <v>0.50052980324074081</v>
      </c>
      <c r="E429" s="1">
        <f>Table14[[#This Row],[Time]]-TIME(0,0,8)</f>
        <v>0.50043721064814817</v>
      </c>
      <c r="F429" t="s">
        <v>9</v>
      </c>
      <c r="G429" t="s">
        <v>31</v>
      </c>
      <c r="H429">
        <f t="shared" si="7"/>
        <v>-127.5</v>
      </c>
      <c r="I429">
        <v>-7.2</v>
      </c>
      <c r="L429">
        <f>502+2*(Table25[[#This Row],[min value (corrected)]])</f>
        <v>502</v>
      </c>
      <c r="M429">
        <f>MINUTE(Table25[[#This Row],[Corrected time]])</f>
        <v>0</v>
      </c>
      <c r="N429" s="1">
        <v>0.66709495370370375</v>
      </c>
      <c r="O429" s="1">
        <f>Table25[[#This Row],[Time]]-TIME(0,0,4)</f>
        <v>0.66704865740740749</v>
      </c>
      <c r="P429" t="s">
        <v>9</v>
      </c>
      <c r="Q429">
        <v>-127.5</v>
      </c>
      <c r="R429">
        <f>Table25[[#This Row],[RSSI]]</f>
        <v>-127.5</v>
      </c>
      <c r="S429">
        <v>-6.7</v>
      </c>
    </row>
    <row r="430" spans="2:19" x14ac:dyDescent="0.25">
      <c r="B430">
        <f>502+2*(Table14[[#This Row],[min value (corrected)]])</f>
        <v>502</v>
      </c>
      <c r="C430">
        <f>MINUTE(Table14[[#This Row],[Corrected time]])</f>
        <v>0</v>
      </c>
      <c r="D430" s="1">
        <v>0.50054964120370371</v>
      </c>
      <c r="E430" s="1">
        <f>Table14[[#This Row],[Time]]-TIME(0,0,8)</f>
        <v>0.50045704861111107</v>
      </c>
      <c r="F430" t="s">
        <v>9</v>
      </c>
      <c r="G430" t="s">
        <v>31</v>
      </c>
      <c r="H430">
        <f t="shared" si="7"/>
        <v>-127.5</v>
      </c>
      <c r="I430">
        <v>-7</v>
      </c>
      <c r="L430">
        <f>502+2*(Table25[[#This Row],[min value (corrected)]])</f>
        <v>502</v>
      </c>
      <c r="M430">
        <f>MINUTE(Table25[[#This Row],[Corrected time]])</f>
        <v>0</v>
      </c>
      <c r="N430" s="1">
        <v>0.66711478009259251</v>
      </c>
      <c r="O430" s="1">
        <f>Table25[[#This Row],[Time]]-TIME(0,0,4)</f>
        <v>0.66706848379629624</v>
      </c>
      <c r="P430" t="s">
        <v>9</v>
      </c>
      <c r="Q430">
        <v>-127</v>
      </c>
      <c r="R430">
        <f>Table25[[#This Row],[RSSI]]</f>
        <v>-127</v>
      </c>
      <c r="S430">
        <v>-6.2</v>
      </c>
    </row>
    <row r="431" spans="2:19" x14ac:dyDescent="0.25">
      <c r="B431">
        <f>502+2*(Table14[[#This Row],[min value (corrected)]])</f>
        <v>502</v>
      </c>
      <c r="C431">
        <f>MINUTE(Table14[[#This Row],[Corrected time]])</f>
        <v>0</v>
      </c>
      <c r="D431" s="1">
        <v>0.50056947916666672</v>
      </c>
      <c r="E431" s="1">
        <f>Table14[[#This Row],[Time]]-TIME(0,0,8)</f>
        <v>0.50047688657407408</v>
      </c>
      <c r="F431" t="s">
        <v>9</v>
      </c>
      <c r="G431" t="s">
        <v>31</v>
      </c>
      <c r="H431">
        <f t="shared" si="7"/>
        <v>-127.5</v>
      </c>
      <c r="I431">
        <v>-7</v>
      </c>
      <c r="L431">
        <f>502+2*(Table25[[#This Row],[min value (corrected)]])</f>
        <v>502</v>
      </c>
      <c r="M431">
        <f>MINUTE(Table25[[#This Row],[Corrected time]])</f>
        <v>0</v>
      </c>
      <c r="N431" s="1">
        <v>0.66713461805555552</v>
      </c>
      <c r="O431" s="1">
        <f>Table25[[#This Row],[Time]]-TIME(0,0,4)</f>
        <v>0.66708832175925925</v>
      </c>
      <c r="P431" t="s">
        <v>9</v>
      </c>
      <c r="Q431">
        <v>-127.5</v>
      </c>
      <c r="R431">
        <f>Table25[[#This Row],[RSSI]]</f>
        <v>-127.5</v>
      </c>
      <c r="S431">
        <v>-6.7</v>
      </c>
    </row>
    <row r="432" spans="2:19" x14ac:dyDescent="0.25">
      <c r="B432">
        <f>502+2*(Table14[[#This Row],[min value (corrected)]])</f>
        <v>502</v>
      </c>
      <c r="C432">
        <f>MINUTE(Table14[[#This Row],[Corrected time]])</f>
        <v>0</v>
      </c>
      <c r="D432" s="1">
        <v>0.50058931712962962</v>
      </c>
      <c r="E432" s="1">
        <f>Table14[[#This Row],[Time]]-TIME(0,0,8)</f>
        <v>0.50049672453703697</v>
      </c>
      <c r="F432" t="s">
        <v>9</v>
      </c>
      <c r="G432" t="s">
        <v>31</v>
      </c>
      <c r="H432">
        <f t="shared" si="7"/>
        <v>-127.5</v>
      </c>
      <c r="I432">
        <v>-7.2</v>
      </c>
      <c r="L432">
        <f>502+2*(Table25[[#This Row],[min value (corrected)]])</f>
        <v>502</v>
      </c>
      <c r="M432">
        <f>MINUTE(Table25[[#This Row],[Corrected time]])</f>
        <v>0</v>
      </c>
      <c r="N432" s="1">
        <v>0.66715446759259256</v>
      </c>
      <c r="O432" s="1">
        <f>Table25[[#This Row],[Time]]-TIME(0,0,4)</f>
        <v>0.66710817129629629</v>
      </c>
      <c r="P432" t="s">
        <v>9</v>
      </c>
      <c r="Q432">
        <v>-127.5</v>
      </c>
      <c r="R432">
        <f>Table25[[#This Row],[RSSI]]</f>
        <v>-127.5</v>
      </c>
      <c r="S432">
        <v>-7</v>
      </c>
    </row>
    <row r="433" spans="2:19" x14ac:dyDescent="0.25">
      <c r="B433">
        <f>502+2*(Table14[[#This Row],[min value (corrected)]])</f>
        <v>502</v>
      </c>
      <c r="C433">
        <f>MINUTE(Table14[[#This Row],[Corrected time]])</f>
        <v>0</v>
      </c>
      <c r="D433" s="1">
        <v>0.50060915509259263</v>
      </c>
      <c r="E433" s="1">
        <f>Table14[[#This Row],[Time]]-TIME(0,0,8)</f>
        <v>0.50051656249999998</v>
      </c>
      <c r="F433" t="s">
        <v>9</v>
      </c>
      <c r="G433" t="s">
        <v>31</v>
      </c>
      <c r="H433">
        <f t="shared" si="7"/>
        <v>-127.5</v>
      </c>
      <c r="I433">
        <v>-8</v>
      </c>
      <c r="L433">
        <f>502+2*(Table25[[#This Row],[min value (corrected)]])</f>
        <v>502</v>
      </c>
      <c r="M433">
        <f>MINUTE(Table25[[#This Row],[Corrected time]])</f>
        <v>0</v>
      </c>
      <c r="N433" s="1">
        <v>0.66717430555555557</v>
      </c>
      <c r="O433" s="1">
        <f>Table25[[#This Row],[Time]]-TIME(0,0,4)</f>
        <v>0.6671280092592593</v>
      </c>
      <c r="P433" t="s">
        <v>9</v>
      </c>
      <c r="Q433">
        <v>-127.5</v>
      </c>
      <c r="R433">
        <f>Table25[[#This Row],[RSSI]]</f>
        <v>-127.5</v>
      </c>
      <c r="S433">
        <v>-7</v>
      </c>
    </row>
    <row r="434" spans="2:19" x14ac:dyDescent="0.25">
      <c r="B434">
        <f>502+2*(Table14[[#This Row],[min value (corrected)]])</f>
        <v>502</v>
      </c>
      <c r="C434">
        <f>MINUTE(Table14[[#This Row],[Corrected time]])</f>
        <v>0</v>
      </c>
      <c r="D434" s="1">
        <v>0.50062898148148149</v>
      </c>
      <c r="E434" s="1">
        <f>Table14[[#This Row],[Time]]-TIME(0,0,8)</f>
        <v>0.50053638888888885</v>
      </c>
      <c r="F434" t="s">
        <v>9</v>
      </c>
      <c r="G434" t="s">
        <v>31</v>
      </c>
      <c r="H434">
        <f t="shared" si="7"/>
        <v>-127.5</v>
      </c>
      <c r="I434">
        <v>-7.7</v>
      </c>
      <c r="L434">
        <f>502+2*(Table25[[#This Row],[min value (corrected)]])</f>
        <v>502</v>
      </c>
      <c r="M434">
        <f>MINUTE(Table25[[#This Row],[Corrected time]])</f>
        <v>0</v>
      </c>
      <c r="N434" s="1">
        <v>0.66719414351851858</v>
      </c>
      <c r="O434" s="1">
        <f>Table25[[#This Row],[Time]]-TIME(0,0,4)</f>
        <v>0.66714784722222231</v>
      </c>
      <c r="P434" t="s">
        <v>9</v>
      </c>
      <c r="Q434">
        <v>-127.5</v>
      </c>
      <c r="R434">
        <f>Table25[[#This Row],[RSSI]]</f>
        <v>-127.5</v>
      </c>
      <c r="S434">
        <v>-7.5</v>
      </c>
    </row>
    <row r="435" spans="2:19" x14ac:dyDescent="0.25">
      <c r="B435">
        <f>502+2*(Table14[[#This Row],[min value (corrected)]])</f>
        <v>502</v>
      </c>
      <c r="C435">
        <f>MINUTE(Table14[[#This Row],[Corrected time]])</f>
        <v>0</v>
      </c>
      <c r="D435" s="1">
        <v>0.50064883101851854</v>
      </c>
      <c r="E435" s="1">
        <f>Table14[[#This Row],[Time]]-TIME(0,0,8)</f>
        <v>0.50055623842592589</v>
      </c>
      <c r="F435" t="s">
        <v>9</v>
      </c>
      <c r="G435" t="s">
        <v>31</v>
      </c>
      <c r="H435">
        <f t="shared" si="7"/>
        <v>-127.5</v>
      </c>
      <c r="I435">
        <v>-7.2</v>
      </c>
      <c r="L435">
        <f>502+2*(Table25[[#This Row],[min value (corrected)]])</f>
        <v>502</v>
      </c>
      <c r="M435">
        <f>MINUTE(Table25[[#This Row],[Corrected time]])</f>
        <v>0</v>
      </c>
      <c r="N435" s="1">
        <v>0.6672139583333333</v>
      </c>
      <c r="O435" s="1">
        <f>Table25[[#This Row],[Time]]-TIME(0,0,4)</f>
        <v>0.66716766203703703</v>
      </c>
      <c r="P435" t="s">
        <v>9</v>
      </c>
      <c r="Q435">
        <v>-127.5</v>
      </c>
      <c r="R435">
        <f>Table25[[#This Row],[RSSI]]</f>
        <v>-127.5</v>
      </c>
      <c r="S435">
        <v>-7.2</v>
      </c>
    </row>
    <row r="436" spans="2:19" x14ac:dyDescent="0.25">
      <c r="B436">
        <f>502+2*(Table14[[#This Row],[min value (corrected)]])</f>
        <v>502</v>
      </c>
      <c r="C436">
        <f>MINUTE(Table14[[#This Row],[Corrected time]])</f>
        <v>0</v>
      </c>
      <c r="D436" s="1">
        <v>0.50066864583333337</v>
      </c>
      <c r="E436" s="1">
        <f>Table14[[#This Row],[Time]]-TIME(0,0,8)</f>
        <v>0.50057605324074073</v>
      </c>
      <c r="F436" t="s">
        <v>9</v>
      </c>
      <c r="G436" t="s">
        <v>31</v>
      </c>
      <c r="H436">
        <f t="shared" si="7"/>
        <v>-127.5</v>
      </c>
      <c r="I436">
        <v>-7.2</v>
      </c>
      <c r="L436">
        <f>502+2*(Table25[[#This Row],[min value (corrected)]])</f>
        <v>502</v>
      </c>
      <c r="M436">
        <f>MINUTE(Table25[[#This Row],[Corrected time]])</f>
        <v>0</v>
      </c>
      <c r="N436" s="1">
        <v>0.66723379629629631</v>
      </c>
      <c r="O436" s="1">
        <f>Table25[[#This Row],[Time]]-TIME(0,0,4)</f>
        <v>0.66718750000000004</v>
      </c>
      <c r="P436" t="s">
        <v>9</v>
      </c>
      <c r="Q436">
        <v>-127.5</v>
      </c>
      <c r="R436">
        <f>Table25[[#This Row],[RSSI]]</f>
        <v>-127.5</v>
      </c>
      <c r="S436">
        <v>-7.7</v>
      </c>
    </row>
    <row r="437" spans="2:19" x14ac:dyDescent="0.25">
      <c r="B437">
        <f>502+2*(Table14[[#This Row],[min value (corrected)]])</f>
        <v>502</v>
      </c>
      <c r="C437">
        <f>MINUTE(Table14[[#This Row],[Corrected time]])</f>
        <v>0</v>
      </c>
      <c r="D437" s="1">
        <v>0.50068850694444444</v>
      </c>
      <c r="E437" s="1">
        <f>Table14[[#This Row],[Time]]-TIME(0,0,8)</f>
        <v>0.5005959143518518</v>
      </c>
      <c r="F437" t="s">
        <v>9</v>
      </c>
      <c r="G437" t="s">
        <v>31</v>
      </c>
      <c r="H437">
        <f t="shared" si="7"/>
        <v>-127.5</v>
      </c>
      <c r="I437">
        <v>-7.2</v>
      </c>
      <c r="L437">
        <f>502+2*(Table25[[#This Row],[min value (corrected)]])</f>
        <v>502</v>
      </c>
      <c r="M437">
        <f>MINUTE(Table25[[#This Row],[Corrected time]])</f>
        <v>0</v>
      </c>
      <c r="N437" s="1">
        <v>0.66725364583333324</v>
      </c>
      <c r="O437" s="1">
        <f>Table25[[#This Row],[Time]]-TIME(0,0,4)</f>
        <v>0.66720734953703698</v>
      </c>
      <c r="P437" t="s">
        <v>9</v>
      </c>
      <c r="Q437">
        <v>-127.5</v>
      </c>
      <c r="R437">
        <f>Table25[[#This Row],[RSSI]]</f>
        <v>-127.5</v>
      </c>
      <c r="S437">
        <v>-7.2</v>
      </c>
    </row>
    <row r="438" spans="2:19" x14ac:dyDescent="0.25">
      <c r="B438">
        <f>502+2*(Table14[[#This Row],[min value (corrected)]])</f>
        <v>502</v>
      </c>
      <c r="C438">
        <f>MINUTE(Table14[[#This Row],[Corrected time]])</f>
        <v>0</v>
      </c>
      <c r="D438" s="1">
        <v>0.50070834490740745</v>
      </c>
      <c r="E438" s="1">
        <f>Table14[[#This Row],[Time]]-TIME(0,0,8)</f>
        <v>0.50061575231481481</v>
      </c>
      <c r="F438" t="s">
        <v>9</v>
      </c>
      <c r="G438" t="s">
        <v>31</v>
      </c>
      <c r="H438">
        <f t="shared" si="7"/>
        <v>-127.5</v>
      </c>
      <c r="I438">
        <v>-7</v>
      </c>
      <c r="L438">
        <f>502+2*(Table25[[#This Row],[min value (corrected)]])</f>
        <v>502</v>
      </c>
      <c r="M438">
        <f>MINUTE(Table25[[#This Row],[Corrected time]])</f>
        <v>0</v>
      </c>
      <c r="N438" s="1">
        <v>0.6672734953703704</v>
      </c>
      <c r="O438" s="1">
        <f>Table25[[#This Row],[Time]]-TIME(0,0,4)</f>
        <v>0.66722719907407413</v>
      </c>
      <c r="P438" t="s">
        <v>9</v>
      </c>
      <c r="Q438">
        <v>-127.5</v>
      </c>
      <c r="R438">
        <f>Table25[[#This Row],[RSSI]]</f>
        <v>-127.5</v>
      </c>
      <c r="S438">
        <v>-7.2</v>
      </c>
    </row>
    <row r="439" spans="2:19" x14ac:dyDescent="0.25">
      <c r="B439">
        <f>502+2*(Table14[[#This Row],[min value (corrected)]])</f>
        <v>502</v>
      </c>
      <c r="C439">
        <f>MINUTE(Table14[[#This Row],[Corrected time]])</f>
        <v>0</v>
      </c>
      <c r="D439" s="1">
        <v>0.50072818287037035</v>
      </c>
      <c r="E439" s="1">
        <f>Table14[[#This Row],[Time]]-TIME(0,0,8)</f>
        <v>0.50063559027777771</v>
      </c>
      <c r="F439" t="s">
        <v>9</v>
      </c>
      <c r="G439" t="s">
        <v>31</v>
      </c>
      <c r="H439">
        <f t="shared" si="7"/>
        <v>-127.5</v>
      </c>
      <c r="I439">
        <v>-7.5</v>
      </c>
      <c r="L439">
        <f>502+2*(Table25[[#This Row],[min value (corrected)]])</f>
        <v>502</v>
      </c>
      <c r="M439">
        <f>MINUTE(Table25[[#This Row],[Corrected time]])</f>
        <v>0</v>
      </c>
      <c r="N439" s="1">
        <v>0.66729332175925926</v>
      </c>
      <c r="O439" s="1">
        <f>Table25[[#This Row],[Time]]-TIME(0,0,4)</f>
        <v>0.66724702546296299</v>
      </c>
      <c r="P439" t="s">
        <v>9</v>
      </c>
      <c r="Q439">
        <v>-127.5</v>
      </c>
      <c r="R439">
        <f>Table25[[#This Row],[RSSI]]</f>
        <v>-127.5</v>
      </c>
      <c r="S439">
        <v>-7</v>
      </c>
    </row>
    <row r="440" spans="2:19" x14ac:dyDescent="0.25">
      <c r="B440">
        <f>502+2*(Table14[[#This Row],[min value (corrected)]])</f>
        <v>502</v>
      </c>
      <c r="C440">
        <f>MINUTE(Table14[[#This Row],[Corrected time]])</f>
        <v>0</v>
      </c>
      <c r="D440" s="1">
        <v>0.50074802083333336</v>
      </c>
      <c r="E440" s="1">
        <f>Table14[[#This Row],[Time]]-TIME(0,0,8)</f>
        <v>0.50065542824074072</v>
      </c>
      <c r="F440" t="s">
        <v>9</v>
      </c>
      <c r="G440" t="s">
        <v>31</v>
      </c>
      <c r="H440">
        <f t="shared" si="7"/>
        <v>-127.5</v>
      </c>
      <c r="I440">
        <v>-6.5</v>
      </c>
      <c r="L440">
        <f>502+2*(Table25[[#This Row],[min value (corrected)]])</f>
        <v>502</v>
      </c>
      <c r="M440">
        <f>MINUTE(Table25[[#This Row],[Corrected time]])</f>
        <v>0</v>
      </c>
      <c r="N440" s="1">
        <v>0.66731315972222227</v>
      </c>
      <c r="O440" s="1">
        <f>Table25[[#This Row],[Time]]-TIME(0,0,4)</f>
        <v>0.667266863425926</v>
      </c>
      <c r="P440" t="s">
        <v>9</v>
      </c>
      <c r="Q440">
        <v>-127.5</v>
      </c>
      <c r="R440">
        <f>Table25[[#This Row],[RSSI]]</f>
        <v>-127.5</v>
      </c>
      <c r="S440">
        <v>-7</v>
      </c>
    </row>
    <row r="441" spans="2:19" x14ac:dyDescent="0.25">
      <c r="B441">
        <f>502+2*(Table14[[#This Row],[min value (corrected)]])</f>
        <v>502</v>
      </c>
      <c r="C441">
        <f>MINUTE(Table14[[#This Row],[Corrected time]])</f>
        <v>0</v>
      </c>
      <c r="D441" s="1">
        <v>0.50076785879629626</v>
      </c>
      <c r="E441" s="1">
        <f>Table14[[#This Row],[Time]]-TIME(0,0,8)</f>
        <v>0.50067526620370362</v>
      </c>
      <c r="F441" t="s">
        <v>9</v>
      </c>
      <c r="G441" t="s">
        <v>31</v>
      </c>
      <c r="H441">
        <f t="shared" si="7"/>
        <v>-127.5</v>
      </c>
      <c r="I441">
        <v>-8.3000000000000007</v>
      </c>
      <c r="L441">
        <f>502+2*(Table25[[#This Row],[min value (corrected)]])</f>
        <v>502</v>
      </c>
      <c r="M441">
        <f>MINUTE(Table25[[#This Row],[Corrected time]])</f>
        <v>0</v>
      </c>
      <c r="N441" s="1">
        <v>0.66733299768518528</v>
      </c>
      <c r="O441" s="1">
        <f>Table25[[#This Row],[Time]]-TIME(0,0,4)</f>
        <v>0.66728670138888901</v>
      </c>
      <c r="P441" t="s">
        <v>13</v>
      </c>
      <c r="Q441">
        <f>Q440</f>
        <v>-127.5</v>
      </c>
      <c r="R441">
        <f>Table25[[#This Row],[RSSI]]</f>
        <v>-127.5</v>
      </c>
    </row>
    <row r="442" spans="2:19" x14ac:dyDescent="0.25">
      <c r="B442">
        <f>502+2*(Table14[[#This Row],[min value (corrected)]])</f>
        <v>504</v>
      </c>
      <c r="C442">
        <f>MINUTE(Table14[[#This Row],[Corrected time]])</f>
        <v>1</v>
      </c>
      <c r="D442" s="1">
        <v>0.50078703703703709</v>
      </c>
      <c r="E442" s="1">
        <f>Table14[[#This Row],[Time]]-TIME(0,0,8)</f>
        <v>0.50069444444444444</v>
      </c>
      <c r="F442" t="s">
        <v>13</v>
      </c>
      <c r="G442" t="str">
        <f t="shared" ref="G442:G454" si="9">G441</f>
        <v>-127.5,</v>
      </c>
      <c r="H442">
        <f t="shared" ref="H442:H454" si="10">H441-0.5</f>
        <v>-128</v>
      </c>
      <c r="I442">
        <f t="shared" ref="I442:I454" si="11">I441-0.5</f>
        <v>-8.8000000000000007</v>
      </c>
      <c r="L442">
        <f>502+2*(Table25[[#This Row],[min value (corrected)]])</f>
        <v>502</v>
      </c>
      <c r="M442">
        <f>MINUTE(Table25[[#This Row],[Corrected time]])</f>
        <v>0</v>
      </c>
      <c r="N442" s="1">
        <v>0.66735284722222221</v>
      </c>
      <c r="O442" s="1">
        <f>Table25[[#This Row],[Time]]-TIME(0,0,4)</f>
        <v>0.66730655092592595</v>
      </c>
      <c r="P442" t="s">
        <v>9</v>
      </c>
      <c r="Q442">
        <v>-127.5</v>
      </c>
      <c r="R442">
        <f>Table25[[#This Row],[RSSI]]</f>
        <v>-127.5</v>
      </c>
      <c r="S442">
        <v>-7.5</v>
      </c>
    </row>
    <row r="443" spans="2:19" x14ac:dyDescent="0.25">
      <c r="B443">
        <f>502+2*(Table14[[#This Row],[min value (corrected)]])</f>
        <v>504</v>
      </c>
      <c r="C443">
        <f>MINUTE(Table14[[#This Row],[Corrected time]])</f>
        <v>1</v>
      </c>
      <c r="D443" s="1">
        <v>0.50080753472222228</v>
      </c>
      <c r="E443" s="1">
        <f>Table14[[#This Row],[Time]]-TIME(0,0,8)</f>
        <v>0.50071494212962964</v>
      </c>
      <c r="F443" t="s">
        <v>27</v>
      </c>
      <c r="G443" t="str">
        <f t="shared" si="9"/>
        <v>-127.5,</v>
      </c>
      <c r="H443">
        <f t="shared" si="10"/>
        <v>-128.5</v>
      </c>
      <c r="I443">
        <f t="shared" si="11"/>
        <v>-9.3000000000000007</v>
      </c>
      <c r="L443">
        <f>502+2*(Table25[[#This Row],[min value (corrected)]])</f>
        <v>502</v>
      </c>
      <c r="M443">
        <f>MINUTE(Table25[[#This Row],[Corrected time]])</f>
        <v>0</v>
      </c>
      <c r="N443" s="1">
        <v>0.66737268518518522</v>
      </c>
      <c r="O443" s="1">
        <f>Table25[[#This Row],[Time]]-TIME(0,0,4)</f>
        <v>0.66732638888888896</v>
      </c>
      <c r="P443" t="s">
        <v>9</v>
      </c>
      <c r="Q443">
        <v>-127.5</v>
      </c>
      <c r="R443">
        <f>Table25[[#This Row],[RSSI]]</f>
        <v>-127.5</v>
      </c>
      <c r="S443">
        <v>-7</v>
      </c>
    </row>
    <row r="444" spans="2:19" x14ac:dyDescent="0.25">
      <c r="B444">
        <f>502+2*(Table14[[#This Row],[min value (corrected)]])</f>
        <v>504</v>
      </c>
      <c r="C444">
        <f>MINUTE(Table14[[#This Row],[Corrected time]])</f>
        <v>1</v>
      </c>
      <c r="D444" s="1">
        <v>0.50080753472222228</v>
      </c>
      <c r="E444" s="1">
        <f>Table14[[#This Row],[Time]]-TIME(0,0,8)</f>
        <v>0.50071494212962964</v>
      </c>
      <c r="F444" t="s">
        <v>13</v>
      </c>
      <c r="G444" t="str">
        <f t="shared" si="9"/>
        <v>-127.5,</v>
      </c>
      <c r="H444">
        <f t="shared" si="10"/>
        <v>-129</v>
      </c>
      <c r="I444">
        <f t="shared" si="11"/>
        <v>-9.8000000000000007</v>
      </c>
      <c r="L444">
        <f>502+2*(Table25[[#This Row],[min value (corrected)]])</f>
        <v>502</v>
      </c>
      <c r="M444">
        <f>MINUTE(Table25[[#This Row],[Corrected time]])</f>
        <v>0</v>
      </c>
      <c r="N444" s="1">
        <v>0.66739251157407409</v>
      </c>
      <c r="O444" s="1">
        <f>Table25[[#This Row],[Time]]-TIME(0,0,4)</f>
        <v>0.66734621527777782</v>
      </c>
      <c r="P444" t="s">
        <v>9</v>
      </c>
      <c r="Q444">
        <v>-127.5</v>
      </c>
      <c r="R444">
        <f>Table25[[#This Row],[RSSI]]</f>
        <v>-127.5</v>
      </c>
      <c r="S444">
        <v>-7</v>
      </c>
    </row>
    <row r="445" spans="2:19" x14ac:dyDescent="0.25">
      <c r="B445">
        <f>502+2*(Table14[[#This Row],[min value (corrected)]])</f>
        <v>504</v>
      </c>
      <c r="C445">
        <f>MINUTE(Table14[[#This Row],[Corrected time]])</f>
        <v>1</v>
      </c>
      <c r="D445" s="1">
        <v>0.50084719907407405</v>
      </c>
      <c r="E445" s="1">
        <f>Table14[[#This Row],[Time]]-TIME(0,0,8)</f>
        <v>0.5007546064814814</v>
      </c>
      <c r="F445" t="s">
        <v>13</v>
      </c>
      <c r="G445" t="str">
        <f t="shared" si="9"/>
        <v>-127.5,</v>
      </c>
      <c r="H445">
        <f t="shared" si="10"/>
        <v>-129.5</v>
      </c>
      <c r="I445">
        <f t="shared" si="11"/>
        <v>-10.3</v>
      </c>
      <c r="L445">
        <f>502+2*(Table25[[#This Row],[min value (corrected)]])</f>
        <v>504</v>
      </c>
      <c r="M445">
        <f>MINUTE(Table25[[#This Row],[Corrected time]])</f>
        <v>1</v>
      </c>
      <c r="N445" s="1">
        <v>0.6674123495370371</v>
      </c>
      <c r="O445" s="1">
        <f>Table25[[#This Row],[Time]]-TIME(0,0,4)</f>
        <v>0.66736605324074083</v>
      </c>
      <c r="P445" t="s">
        <v>13</v>
      </c>
      <c r="Q445">
        <f t="shared" ref="Q445:Q456" si="12">Q444</f>
        <v>-127.5</v>
      </c>
      <c r="R445">
        <f>Table25[[#This Row],[RSSI]]</f>
        <v>-127.5</v>
      </c>
    </row>
    <row r="446" spans="2:19" x14ac:dyDescent="0.25">
      <c r="B446">
        <f>502+2*(Table14[[#This Row],[min value (corrected)]])</f>
        <v>504</v>
      </c>
      <c r="C446">
        <f>MINUTE(Table14[[#This Row],[Corrected time]])</f>
        <v>1</v>
      </c>
      <c r="D446" s="1">
        <v>0.50086704861111109</v>
      </c>
      <c r="E446" s="1">
        <f>Table14[[#This Row],[Time]]-TIME(0,0,8)</f>
        <v>0.50077445601851844</v>
      </c>
      <c r="F446" t="s">
        <v>13</v>
      </c>
      <c r="G446" t="str">
        <f t="shared" si="9"/>
        <v>-127.5,</v>
      </c>
      <c r="H446">
        <f t="shared" si="10"/>
        <v>-130</v>
      </c>
      <c r="I446">
        <f t="shared" si="11"/>
        <v>-10.8</v>
      </c>
      <c r="L446">
        <f>502+2*(Table25[[#This Row],[min value (corrected)]])</f>
        <v>504</v>
      </c>
      <c r="M446">
        <f>MINUTE(Table25[[#This Row],[Corrected time]])</f>
        <v>1</v>
      </c>
      <c r="N446" s="1">
        <v>0.6674321875</v>
      </c>
      <c r="O446" s="1">
        <f>Table25[[#This Row],[Time]]-TIME(0,0,4)</f>
        <v>0.66738589120370373</v>
      </c>
      <c r="P446" t="s">
        <v>13</v>
      </c>
      <c r="Q446">
        <f t="shared" si="12"/>
        <v>-127.5</v>
      </c>
      <c r="R446">
        <f>Table25[[#This Row],[RSSI]]</f>
        <v>-127.5</v>
      </c>
    </row>
    <row r="447" spans="2:19" x14ac:dyDescent="0.25">
      <c r="B447">
        <f>502+2*(Table14[[#This Row],[min value (corrected)]])</f>
        <v>504</v>
      </c>
      <c r="C447">
        <f>MINUTE(Table14[[#This Row],[Corrected time]])</f>
        <v>1</v>
      </c>
      <c r="D447" s="1">
        <v>0.50088687499999995</v>
      </c>
      <c r="E447" s="1">
        <f>Table14[[#This Row],[Time]]-TIME(0,0,8)</f>
        <v>0.50079428240740731</v>
      </c>
      <c r="F447" t="s">
        <v>13</v>
      </c>
      <c r="G447" t="str">
        <f t="shared" si="9"/>
        <v>-127.5,</v>
      </c>
      <c r="H447">
        <f t="shared" si="10"/>
        <v>-130.5</v>
      </c>
      <c r="I447">
        <f t="shared" si="11"/>
        <v>-11.3</v>
      </c>
      <c r="L447">
        <f>502+2*(Table25[[#This Row],[min value (corrected)]])</f>
        <v>504</v>
      </c>
      <c r="M447">
        <f>MINUTE(Table25[[#This Row],[Corrected time]])</f>
        <v>1</v>
      </c>
      <c r="N447" s="1">
        <v>0.66745202546296301</v>
      </c>
      <c r="O447" s="1">
        <f>Table25[[#This Row],[Time]]-TIME(0,0,4)</f>
        <v>0.66740572916666674</v>
      </c>
      <c r="P447" t="s">
        <v>13</v>
      </c>
      <c r="Q447">
        <f t="shared" si="12"/>
        <v>-127.5</v>
      </c>
      <c r="R447">
        <f>Table25[[#This Row],[RSSI]]</f>
        <v>-127.5</v>
      </c>
    </row>
    <row r="448" spans="2:19" x14ac:dyDescent="0.25">
      <c r="B448">
        <f>502+2*(Table14[[#This Row],[min value (corrected)]])</f>
        <v>504</v>
      </c>
      <c r="C448">
        <f>MINUTE(Table14[[#This Row],[Corrected time]])</f>
        <v>1</v>
      </c>
      <c r="D448" s="1">
        <v>0.50090671296296296</v>
      </c>
      <c r="E448" s="1">
        <f>Table14[[#This Row],[Time]]-TIME(0,0,8)</f>
        <v>0.50081412037037032</v>
      </c>
      <c r="F448" t="s">
        <v>13</v>
      </c>
      <c r="G448" t="str">
        <f t="shared" si="9"/>
        <v>-127.5,</v>
      </c>
      <c r="H448">
        <f t="shared" si="10"/>
        <v>-131</v>
      </c>
      <c r="I448">
        <f t="shared" si="11"/>
        <v>-11.8</v>
      </c>
      <c r="L448">
        <f>502+2*(Table25[[#This Row],[min value (corrected)]])</f>
        <v>504</v>
      </c>
      <c r="M448">
        <f>MINUTE(Table25[[#This Row],[Corrected time]])</f>
        <v>1</v>
      </c>
      <c r="N448" s="1">
        <v>0.66747186342592602</v>
      </c>
      <c r="O448" s="1">
        <f>Table25[[#This Row],[Time]]-TIME(0,0,4)</f>
        <v>0.66742556712962975</v>
      </c>
      <c r="P448" t="s">
        <v>13</v>
      </c>
      <c r="Q448">
        <f t="shared" si="12"/>
        <v>-127.5</v>
      </c>
      <c r="R448">
        <f>Table25[[#This Row],[RSSI]]</f>
        <v>-127.5</v>
      </c>
    </row>
    <row r="449" spans="2:19" x14ac:dyDescent="0.25">
      <c r="B449">
        <f>502+2*(Table14[[#This Row],[min value (corrected)]])</f>
        <v>504</v>
      </c>
      <c r="C449">
        <f>MINUTE(Table14[[#This Row],[Corrected time]])</f>
        <v>1</v>
      </c>
      <c r="D449" s="1">
        <v>0.50092653935185183</v>
      </c>
      <c r="E449" s="1">
        <f>Table14[[#This Row],[Time]]-TIME(0,0,8)</f>
        <v>0.50083394675925919</v>
      </c>
      <c r="F449" t="s">
        <v>13</v>
      </c>
      <c r="G449" t="str">
        <f t="shared" si="9"/>
        <v>-127.5,</v>
      </c>
      <c r="H449">
        <f t="shared" si="10"/>
        <v>-131.5</v>
      </c>
      <c r="I449">
        <f t="shared" si="11"/>
        <v>-12.3</v>
      </c>
      <c r="L449">
        <f>502+2*(Table25[[#This Row],[min value (corrected)]])</f>
        <v>504</v>
      </c>
      <c r="M449">
        <f>MINUTE(Table25[[#This Row],[Corrected time]])</f>
        <v>1</v>
      </c>
      <c r="N449" s="1">
        <v>0.66749170138888891</v>
      </c>
      <c r="O449" s="1">
        <f>Table25[[#This Row],[Time]]-TIME(0,0,4)</f>
        <v>0.66744540509259265</v>
      </c>
      <c r="P449" t="s">
        <v>13</v>
      </c>
      <c r="Q449">
        <f t="shared" si="12"/>
        <v>-127.5</v>
      </c>
      <c r="R449">
        <f>Table25[[#This Row],[RSSI]]</f>
        <v>-127.5</v>
      </c>
    </row>
    <row r="450" spans="2:19" x14ac:dyDescent="0.25">
      <c r="B450">
        <f>502+2*(Table14[[#This Row],[min value (corrected)]])</f>
        <v>504</v>
      </c>
      <c r="C450">
        <f>MINUTE(Table14[[#This Row],[Corrected time]])</f>
        <v>1</v>
      </c>
      <c r="D450" s="1">
        <v>0.50094638888888887</v>
      </c>
      <c r="E450" s="1">
        <f>Table14[[#This Row],[Time]]-TIME(0,0,8)</f>
        <v>0.50085379629629623</v>
      </c>
      <c r="F450" t="s">
        <v>13</v>
      </c>
      <c r="G450" t="str">
        <f t="shared" si="9"/>
        <v>-127.5,</v>
      </c>
      <c r="H450">
        <f t="shared" si="10"/>
        <v>-132</v>
      </c>
      <c r="I450">
        <f t="shared" si="11"/>
        <v>-12.8</v>
      </c>
      <c r="L450">
        <f>502+2*(Table25[[#This Row],[min value (corrected)]])</f>
        <v>504</v>
      </c>
      <c r="M450">
        <f>MINUTE(Table25[[#This Row],[Corrected time]])</f>
        <v>1</v>
      </c>
      <c r="N450" s="1">
        <v>0.66751152777777778</v>
      </c>
      <c r="O450" s="1">
        <f>Table25[[#This Row],[Time]]-TIME(0,0,4)</f>
        <v>0.66746523148148151</v>
      </c>
      <c r="P450" t="s">
        <v>13</v>
      </c>
      <c r="Q450">
        <f t="shared" si="12"/>
        <v>-127.5</v>
      </c>
      <c r="R450">
        <f>Table25[[#This Row],[RSSI]]</f>
        <v>-127.5</v>
      </c>
    </row>
    <row r="451" spans="2:19" x14ac:dyDescent="0.25">
      <c r="B451">
        <f>502+2*(Table14[[#This Row],[min value (corrected)]])</f>
        <v>504</v>
      </c>
      <c r="C451">
        <f>MINUTE(Table14[[#This Row],[Corrected time]])</f>
        <v>1</v>
      </c>
      <c r="D451" s="1">
        <v>0.50096622685185188</v>
      </c>
      <c r="E451" s="1">
        <f>Table14[[#This Row],[Time]]-TIME(0,0,8)</f>
        <v>0.50087363425925924</v>
      </c>
      <c r="F451" t="s">
        <v>13</v>
      </c>
      <c r="G451" t="str">
        <f t="shared" si="9"/>
        <v>-127.5,</v>
      </c>
      <c r="H451">
        <f t="shared" si="10"/>
        <v>-132.5</v>
      </c>
      <c r="I451">
        <f t="shared" si="11"/>
        <v>-13.3</v>
      </c>
      <c r="L451">
        <f>502+2*(Table25[[#This Row],[min value (corrected)]])</f>
        <v>504</v>
      </c>
      <c r="M451">
        <f>MINUTE(Table25[[#This Row],[Corrected time]])</f>
        <v>1</v>
      </c>
      <c r="N451" s="1">
        <v>0.66753137731481482</v>
      </c>
      <c r="O451" s="1">
        <f>Table25[[#This Row],[Time]]-TIME(0,0,4)</f>
        <v>0.66748508101851856</v>
      </c>
      <c r="P451" t="s">
        <v>13</v>
      </c>
      <c r="Q451">
        <f t="shared" si="12"/>
        <v>-127.5</v>
      </c>
      <c r="R451">
        <f>Table25[[#This Row],[RSSI]]</f>
        <v>-127.5</v>
      </c>
    </row>
    <row r="452" spans="2:19" x14ac:dyDescent="0.25">
      <c r="B452">
        <f>502+2*(Table14[[#This Row],[min value (corrected)]])</f>
        <v>504</v>
      </c>
      <c r="C452">
        <f>MINUTE(Table14[[#This Row],[Corrected time]])</f>
        <v>1</v>
      </c>
      <c r="D452" s="1">
        <v>0.50098606481481489</v>
      </c>
      <c r="E452" s="1">
        <f>Table14[[#This Row],[Time]]-TIME(0,0,8)</f>
        <v>0.50089347222222225</v>
      </c>
      <c r="F452" t="s">
        <v>13</v>
      </c>
      <c r="G452" t="str">
        <f t="shared" si="9"/>
        <v>-127.5,</v>
      </c>
      <c r="H452">
        <f t="shared" si="10"/>
        <v>-133</v>
      </c>
      <c r="I452">
        <f t="shared" si="11"/>
        <v>-13.8</v>
      </c>
      <c r="L452">
        <f>502+2*(Table25[[#This Row],[min value (corrected)]])</f>
        <v>504</v>
      </c>
      <c r="M452">
        <f>MINUTE(Table25[[#This Row],[Corrected time]])</f>
        <v>1</v>
      </c>
      <c r="N452" s="1">
        <v>0.66755121527777783</v>
      </c>
      <c r="O452" s="1">
        <f>Table25[[#This Row],[Time]]-TIME(0,0,4)</f>
        <v>0.66750491898148157</v>
      </c>
      <c r="P452" t="s">
        <v>13</v>
      </c>
      <c r="Q452">
        <f t="shared" si="12"/>
        <v>-127.5</v>
      </c>
      <c r="R452">
        <f>Table25[[#This Row],[RSSI]]</f>
        <v>-127.5</v>
      </c>
    </row>
    <row r="453" spans="2:19" x14ac:dyDescent="0.25">
      <c r="B453">
        <f>502+2*(Table14[[#This Row],[min value (corrected)]])</f>
        <v>504</v>
      </c>
      <c r="C453">
        <f>MINUTE(Table14[[#This Row],[Corrected time]])</f>
        <v>1</v>
      </c>
      <c r="D453" s="1">
        <v>0.50100590277777779</v>
      </c>
      <c r="E453" s="1">
        <f>Table14[[#This Row],[Time]]-TIME(0,0,8)</f>
        <v>0.50091331018518515</v>
      </c>
      <c r="F453" t="s">
        <v>13</v>
      </c>
      <c r="G453" t="str">
        <f t="shared" si="9"/>
        <v>-127.5,</v>
      </c>
      <c r="H453">
        <f t="shared" si="10"/>
        <v>-133.5</v>
      </c>
      <c r="I453">
        <f t="shared" si="11"/>
        <v>-14.3</v>
      </c>
      <c r="L453">
        <f>502+2*(Table25[[#This Row],[min value (corrected)]])</f>
        <v>504</v>
      </c>
      <c r="M453">
        <f>MINUTE(Table25[[#This Row],[Corrected time]])</f>
        <v>1</v>
      </c>
      <c r="N453" s="1">
        <v>0.66757105324074073</v>
      </c>
      <c r="O453" s="1">
        <f>Table25[[#This Row],[Time]]-TIME(0,0,4)</f>
        <v>0.66752475694444446</v>
      </c>
      <c r="P453" t="s">
        <v>13</v>
      </c>
      <c r="Q453">
        <f t="shared" si="12"/>
        <v>-127.5</v>
      </c>
      <c r="R453">
        <f>Table25[[#This Row],[RSSI]]</f>
        <v>-127.5</v>
      </c>
    </row>
    <row r="454" spans="2:19" x14ac:dyDescent="0.25">
      <c r="B454">
        <f>502+2*(Table14[[#This Row],[min value (corrected)]])</f>
        <v>504</v>
      </c>
      <c r="C454">
        <f>MINUTE(Table14[[#This Row],[Corrected time]])</f>
        <v>1</v>
      </c>
      <c r="D454" s="1">
        <v>0.50102575231481483</v>
      </c>
      <c r="E454" s="1">
        <f>Table14[[#This Row],[Time]]-TIME(0,0,8)</f>
        <v>0.50093315972222219</v>
      </c>
      <c r="F454" t="s">
        <v>13</v>
      </c>
      <c r="G454" t="str">
        <f t="shared" si="9"/>
        <v>-127.5,</v>
      </c>
      <c r="H454">
        <f t="shared" si="10"/>
        <v>-134</v>
      </c>
      <c r="I454">
        <f t="shared" si="11"/>
        <v>-14.8</v>
      </c>
      <c r="L454">
        <f>502+2*(Table25[[#This Row],[min value (corrected)]])</f>
        <v>504</v>
      </c>
      <c r="M454">
        <f>MINUTE(Table25[[#This Row],[Corrected time]])</f>
        <v>1</v>
      </c>
      <c r="N454" s="1">
        <v>0.66759089120370374</v>
      </c>
      <c r="O454" s="1">
        <f>Table25[[#This Row],[Time]]-TIME(0,0,4)</f>
        <v>0.66754459490740747</v>
      </c>
      <c r="P454" t="s">
        <v>13</v>
      </c>
      <c r="Q454">
        <f t="shared" si="12"/>
        <v>-127.5</v>
      </c>
      <c r="R454">
        <f>Table25[[#This Row],[RSSI]]</f>
        <v>-127.5</v>
      </c>
    </row>
    <row r="455" spans="2:19" x14ac:dyDescent="0.25">
      <c r="D455" s="1"/>
      <c r="E455" s="1">
        <f>Table14[[#This Row],[Time]]-TIME(0,0,8)</f>
        <v>-9.2592592592592588E-5</v>
      </c>
      <c r="H455" t="e">
        <f t="shared" ref="H452:H515" si="13">VALUE(LEFT(G455,LEN(G455)-1))</f>
        <v>#VALUE!</v>
      </c>
      <c r="L455">
        <f>502+2*(Table25[[#This Row],[min value (corrected)]])</f>
        <v>504</v>
      </c>
      <c r="M455">
        <f>MINUTE(Table25[[#This Row],[Corrected time]])</f>
        <v>1</v>
      </c>
      <c r="N455" s="1">
        <v>0.66761072916666675</v>
      </c>
      <c r="O455" s="1">
        <f>Table25[[#This Row],[Time]]-TIME(0,0,4)</f>
        <v>0.66756443287037048</v>
      </c>
      <c r="P455" t="s">
        <v>13</v>
      </c>
      <c r="Q455">
        <f t="shared" si="12"/>
        <v>-127.5</v>
      </c>
      <c r="R455">
        <f>Table25[[#This Row],[RSSI]]</f>
        <v>-127.5</v>
      </c>
    </row>
    <row r="456" spans="2:19" x14ac:dyDescent="0.25">
      <c r="D456" s="1"/>
      <c r="E456" s="1">
        <f>Table14[[#This Row],[Time]]-TIME(0,0,8)</f>
        <v>-9.2592592592592588E-5</v>
      </c>
      <c r="H456" t="e">
        <f t="shared" si="13"/>
        <v>#VALUE!</v>
      </c>
      <c r="L456">
        <f>502+2*(Table25[[#This Row],[min value (corrected)]])</f>
        <v>504</v>
      </c>
      <c r="M456">
        <f>MINUTE(Table25[[#This Row],[Corrected time]])</f>
        <v>1</v>
      </c>
      <c r="N456" s="1">
        <v>0.66763056712962965</v>
      </c>
      <c r="O456" s="1">
        <f>Table25[[#This Row],[Time]]-TIME(0,0,4)</f>
        <v>0.66758427083333338</v>
      </c>
      <c r="P456" t="s">
        <v>13</v>
      </c>
      <c r="Q456">
        <f t="shared" si="12"/>
        <v>-127.5</v>
      </c>
      <c r="R456">
        <f>Table25[[#This Row],[RSSI]]</f>
        <v>-127.5</v>
      </c>
    </row>
    <row r="457" spans="2:19" x14ac:dyDescent="0.25">
      <c r="D457" s="1"/>
      <c r="E457" s="1">
        <f>Table14[[#This Row],[Time]]-TIME(0,0,8)</f>
        <v>-9.2592592592592588E-5</v>
      </c>
      <c r="H457" t="e">
        <f t="shared" si="13"/>
        <v>#VALUE!</v>
      </c>
      <c r="L457">
        <f>502+2*(Table25[[#This Row],[min value (corrected)]])</f>
        <v>504</v>
      </c>
      <c r="M457">
        <f>MINUTE(Table25[[#This Row],[Corrected time]])</f>
        <v>1</v>
      </c>
      <c r="N457" s="1">
        <v>0.66765040509259266</v>
      </c>
      <c r="O457" s="1">
        <f>Table25[[#This Row],[Time]]-TIME(0,0,4)</f>
        <v>0.66760410879629639</v>
      </c>
      <c r="P457" t="s">
        <v>9</v>
      </c>
      <c r="Q457">
        <v>-127.5</v>
      </c>
      <c r="R457">
        <f>Table25[[#This Row],[RSSI]]</f>
        <v>-127.5</v>
      </c>
      <c r="S457">
        <v>-9</v>
      </c>
    </row>
    <row r="458" spans="2:19" x14ac:dyDescent="0.25">
      <c r="D458" s="1"/>
      <c r="E458" s="1">
        <f>Table14[[#This Row],[Time]]-TIME(0,0,8)</f>
        <v>-9.2592592592592588E-5</v>
      </c>
      <c r="H458" t="e">
        <f t="shared" si="13"/>
        <v>#VALUE!</v>
      </c>
      <c r="L458">
        <f>502+2*(Table25[[#This Row],[min value (corrected)]])</f>
        <v>504</v>
      </c>
      <c r="M458">
        <f>MINUTE(Table25[[#This Row],[Corrected time]])</f>
        <v>1</v>
      </c>
      <c r="N458" s="1">
        <v>0.66767024305555556</v>
      </c>
      <c r="O458" s="1">
        <f>Table25[[#This Row],[Time]]-TIME(0,0,4)</f>
        <v>0.66762394675925929</v>
      </c>
      <c r="P458" t="s">
        <v>13</v>
      </c>
      <c r="Q458">
        <f t="shared" ref="Q458:Q471" si="14">Q457</f>
        <v>-127.5</v>
      </c>
      <c r="R458">
        <f>Table25[[#This Row],[RSSI]]</f>
        <v>-127.5</v>
      </c>
    </row>
    <row r="459" spans="2:19" x14ac:dyDescent="0.25">
      <c r="D459" s="1"/>
      <c r="E459" s="1">
        <f>Table14[[#This Row],[Time]]-TIME(0,0,8)</f>
        <v>-9.2592592592592588E-5</v>
      </c>
      <c r="H459" t="e">
        <f t="shared" si="13"/>
        <v>#VALUE!</v>
      </c>
      <c r="L459">
        <f>502+2*(Table25[[#This Row],[min value (corrected)]])</f>
        <v>504</v>
      </c>
      <c r="M459">
        <f>MINUTE(Table25[[#This Row],[Corrected time]])</f>
        <v>1</v>
      </c>
      <c r="N459" s="1">
        <v>0.66769008101851857</v>
      </c>
      <c r="O459" s="1">
        <f>Table25[[#This Row],[Time]]-TIME(0,0,4)</f>
        <v>0.6676437847222223</v>
      </c>
      <c r="P459" t="s">
        <v>13</v>
      </c>
      <c r="Q459">
        <f t="shared" si="14"/>
        <v>-127.5</v>
      </c>
      <c r="R459">
        <f>Table25[[#This Row],[RSSI]]</f>
        <v>-127.5</v>
      </c>
    </row>
    <row r="460" spans="2:19" x14ac:dyDescent="0.25">
      <c r="D460" s="1"/>
      <c r="E460" s="1">
        <f>Table14[[#This Row],[Time]]-TIME(0,0,8)</f>
        <v>-9.2592592592592588E-5</v>
      </c>
      <c r="H460" t="e">
        <f t="shared" si="13"/>
        <v>#VALUE!</v>
      </c>
      <c r="L460">
        <f>502+2*(Table25[[#This Row],[min value (corrected)]])</f>
        <v>504</v>
      </c>
      <c r="M460">
        <f>MINUTE(Table25[[#This Row],[Corrected time]])</f>
        <v>1</v>
      </c>
      <c r="N460" s="1">
        <v>0.66770991898148147</v>
      </c>
      <c r="O460" s="1">
        <f>Table25[[#This Row],[Time]]-TIME(0,0,4)</f>
        <v>0.6676636226851852</v>
      </c>
      <c r="P460" t="s">
        <v>13</v>
      </c>
      <c r="Q460">
        <f t="shared" si="14"/>
        <v>-127.5</v>
      </c>
      <c r="R460">
        <f>Table25[[#This Row],[RSSI]]</f>
        <v>-127.5</v>
      </c>
    </row>
    <row r="461" spans="2:19" x14ac:dyDescent="0.25">
      <c r="D461" s="1"/>
      <c r="E461" s="1">
        <f>Table14[[#This Row],[Time]]-TIME(0,0,8)</f>
        <v>-9.2592592592592588E-5</v>
      </c>
      <c r="H461" t="e">
        <f t="shared" si="13"/>
        <v>#VALUE!</v>
      </c>
      <c r="L461">
        <f>502+2*(Table25[[#This Row],[min value (corrected)]])</f>
        <v>504</v>
      </c>
      <c r="M461">
        <f>MINUTE(Table25[[#This Row],[Corrected time]])</f>
        <v>1</v>
      </c>
      <c r="N461" s="1">
        <v>0.66772975694444447</v>
      </c>
      <c r="O461" s="1">
        <f>Table25[[#This Row],[Time]]-TIME(0,0,4)</f>
        <v>0.66768346064814821</v>
      </c>
      <c r="P461" t="s">
        <v>13</v>
      </c>
      <c r="Q461">
        <f t="shared" si="14"/>
        <v>-127.5</v>
      </c>
      <c r="R461">
        <f>Table25[[#This Row],[RSSI]]</f>
        <v>-127.5</v>
      </c>
    </row>
    <row r="462" spans="2:19" x14ac:dyDescent="0.25">
      <c r="D462" s="1"/>
      <c r="E462" s="1">
        <f>Table14[[#This Row],[Time]]-TIME(0,0,8)</f>
        <v>-9.2592592592592588E-5</v>
      </c>
      <c r="H462" t="e">
        <f t="shared" si="13"/>
        <v>#VALUE!</v>
      </c>
      <c r="L462">
        <f>502+2*(Table25[[#This Row],[min value (corrected)]])</f>
        <v>504</v>
      </c>
      <c r="M462">
        <f>MINUTE(Table25[[#This Row],[Corrected time]])</f>
        <v>1</v>
      </c>
      <c r="N462" s="1">
        <v>0.66774959490740748</v>
      </c>
      <c r="O462" s="1">
        <f>Table25[[#This Row],[Time]]-TIME(0,0,4)</f>
        <v>0.66770329861111122</v>
      </c>
      <c r="P462" t="s">
        <v>13</v>
      </c>
      <c r="Q462">
        <f t="shared" si="14"/>
        <v>-127.5</v>
      </c>
      <c r="R462">
        <f>Table25[[#This Row],[RSSI]]</f>
        <v>-127.5</v>
      </c>
    </row>
    <row r="463" spans="2:19" x14ac:dyDescent="0.25">
      <c r="D463" s="1"/>
      <c r="E463" s="1">
        <f>Table14[[#This Row],[Time]]-TIME(0,0,8)</f>
        <v>-9.2592592592592588E-5</v>
      </c>
      <c r="H463" t="e">
        <f t="shared" si="13"/>
        <v>#VALUE!</v>
      </c>
      <c r="L463">
        <f>502+2*(Table25[[#This Row],[min value (corrected)]])</f>
        <v>504</v>
      </c>
      <c r="M463">
        <f>MINUTE(Table25[[#This Row],[Corrected time]])</f>
        <v>1</v>
      </c>
      <c r="N463" s="1">
        <v>0.66776942129629624</v>
      </c>
      <c r="O463" s="1">
        <f>Table25[[#This Row],[Time]]-TIME(0,0,4)</f>
        <v>0.66772312499999997</v>
      </c>
      <c r="P463" t="s">
        <v>13</v>
      </c>
      <c r="Q463">
        <f t="shared" si="14"/>
        <v>-127.5</v>
      </c>
      <c r="R463">
        <f>Table25[[#This Row],[RSSI]]</f>
        <v>-127.5</v>
      </c>
    </row>
    <row r="464" spans="2:19" x14ac:dyDescent="0.25">
      <c r="D464" s="1"/>
      <c r="E464" s="1">
        <f>Table14[[#This Row],[Time]]-TIME(0,0,8)</f>
        <v>-9.2592592592592588E-5</v>
      </c>
      <c r="H464" t="e">
        <f t="shared" si="13"/>
        <v>#VALUE!</v>
      </c>
      <c r="L464">
        <f>502+2*(Table25[[#This Row],[min value (corrected)]])</f>
        <v>504</v>
      </c>
      <c r="M464">
        <f>MINUTE(Table25[[#This Row],[Corrected time]])</f>
        <v>1</v>
      </c>
      <c r="N464" s="1">
        <v>0.66778927083333339</v>
      </c>
      <c r="O464" s="1">
        <f>Table25[[#This Row],[Time]]-TIME(0,0,4)</f>
        <v>0.66774297453703713</v>
      </c>
      <c r="P464" t="s">
        <v>13</v>
      </c>
      <c r="Q464">
        <f t="shared" si="14"/>
        <v>-127.5</v>
      </c>
      <c r="R464">
        <f>Table25[[#This Row],[RSSI]]</f>
        <v>-127.5</v>
      </c>
    </row>
    <row r="465" spans="4:18" x14ac:dyDescent="0.25">
      <c r="D465" s="1"/>
      <c r="E465" s="1">
        <f>Table14[[#This Row],[Time]]-TIME(0,0,8)</f>
        <v>-9.2592592592592588E-5</v>
      </c>
      <c r="H465" t="e">
        <f t="shared" si="13"/>
        <v>#VALUE!</v>
      </c>
      <c r="L465">
        <f>502+2*(Table25[[#This Row],[min value (corrected)]])</f>
        <v>504</v>
      </c>
      <c r="M465">
        <f>MINUTE(Table25[[#This Row],[Corrected time]])</f>
        <v>1</v>
      </c>
      <c r="N465" s="1">
        <v>0.66780910879629629</v>
      </c>
      <c r="O465" s="1">
        <f>Table25[[#This Row],[Time]]-TIME(0,0,4)</f>
        <v>0.66776281250000002</v>
      </c>
      <c r="P465" t="s">
        <v>13</v>
      </c>
      <c r="Q465">
        <f t="shared" si="14"/>
        <v>-127.5</v>
      </c>
      <c r="R465">
        <f>Table25[[#This Row],[RSSI]]</f>
        <v>-127.5</v>
      </c>
    </row>
    <row r="466" spans="4:18" x14ac:dyDescent="0.25">
      <c r="D466" s="1"/>
      <c r="E466" s="1">
        <f>Table14[[#This Row],[Time]]-TIME(0,0,8)</f>
        <v>-9.2592592592592588E-5</v>
      </c>
      <c r="H466" t="e">
        <f t="shared" si="13"/>
        <v>#VALUE!</v>
      </c>
      <c r="L466">
        <f>502+2*(Table25[[#This Row],[min value (corrected)]])</f>
        <v>504</v>
      </c>
      <c r="M466">
        <f>MINUTE(Table25[[#This Row],[Corrected time]])</f>
        <v>1</v>
      </c>
      <c r="N466" s="1">
        <v>0.6678289467592593</v>
      </c>
      <c r="O466" s="1">
        <f>Table25[[#This Row],[Time]]-TIME(0,0,4)</f>
        <v>0.66778265046296303</v>
      </c>
      <c r="P466" t="s">
        <v>13</v>
      </c>
      <c r="Q466">
        <f t="shared" si="14"/>
        <v>-127.5</v>
      </c>
      <c r="R466">
        <f>Table25[[#This Row],[RSSI]]</f>
        <v>-127.5</v>
      </c>
    </row>
    <row r="467" spans="4:18" x14ac:dyDescent="0.25">
      <c r="D467" s="1"/>
      <c r="E467" s="1">
        <f>Table14[[#This Row],[Time]]-TIME(0,0,8)</f>
        <v>-9.2592592592592588E-5</v>
      </c>
      <c r="H467" t="e">
        <f t="shared" si="13"/>
        <v>#VALUE!</v>
      </c>
      <c r="L467">
        <f>502+2*(Table25[[#This Row],[min value (corrected)]])</f>
        <v>504</v>
      </c>
      <c r="M467">
        <f>MINUTE(Table25[[#This Row],[Corrected time]])</f>
        <v>1</v>
      </c>
      <c r="N467" s="1">
        <v>0.6678487847222222</v>
      </c>
      <c r="O467" s="1">
        <f>Table25[[#This Row],[Time]]-TIME(0,0,4)</f>
        <v>0.66780248842592593</v>
      </c>
      <c r="P467" t="s">
        <v>13</v>
      </c>
      <c r="Q467">
        <f t="shared" si="14"/>
        <v>-127.5</v>
      </c>
      <c r="R467">
        <f>Table25[[#This Row],[RSSI]]</f>
        <v>-127.5</v>
      </c>
    </row>
    <row r="468" spans="4:18" x14ac:dyDescent="0.25">
      <c r="D468" s="1"/>
      <c r="E468" s="1">
        <f>Table14[[#This Row],[Time]]-TIME(0,0,8)</f>
        <v>-9.2592592592592588E-5</v>
      </c>
      <c r="H468" t="e">
        <f t="shared" si="13"/>
        <v>#VALUE!</v>
      </c>
      <c r="L468">
        <f>502+2*(Table25[[#This Row],[min value (corrected)]])</f>
        <v>504</v>
      </c>
      <c r="M468">
        <f>MINUTE(Table25[[#This Row],[Corrected time]])</f>
        <v>1</v>
      </c>
      <c r="N468" s="1">
        <v>0.66786862268518521</v>
      </c>
      <c r="O468" s="1">
        <f>Table25[[#This Row],[Time]]-TIME(0,0,4)</f>
        <v>0.66782232638888894</v>
      </c>
      <c r="P468" t="s">
        <v>13</v>
      </c>
      <c r="Q468">
        <f t="shared" si="14"/>
        <v>-127.5</v>
      </c>
      <c r="R468">
        <f>Table25[[#This Row],[RSSI]]</f>
        <v>-127.5</v>
      </c>
    </row>
    <row r="469" spans="4:18" x14ac:dyDescent="0.25">
      <c r="D469" s="1"/>
      <c r="E469" s="1">
        <f>Table14[[#This Row],[Time]]-TIME(0,0,8)</f>
        <v>-9.2592592592592588E-5</v>
      </c>
      <c r="H469" t="e">
        <f t="shared" si="13"/>
        <v>#VALUE!</v>
      </c>
      <c r="L469">
        <f>502+2*(Table25[[#This Row],[min value (corrected)]])</f>
        <v>504</v>
      </c>
      <c r="M469">
        <f>MINUTE(Table25[[#This Row],[Corrected time]])</f>
        <v>1</v>
      </c>
      <c r="N469" s="1">
        <v>0.66788846064814822</v>
      </c>
      <c r="O469" s="1">
        <f>Table25[[#This Row],[Time]]-TIME(0,0,4)</f>
        <v>0.66784216435185195</v>
      </c>
      <c r="P469" t="s">
        <v>27</v>
      </c>
      <c r="Q469">
        <f t="shared" si="14"/>
        <v>-127.5</v>
      </c>
      <c r="R469">
        <f>Table25[[#This Row],[RSSI]]</f>
        <v>-127.5</v>
      </c>
    </row>
    <row r="470" spans="4:18" x14ac:dyDescent="0.25">
      <c r="D470" s="1"/>
      <c r="E470" s="1">
        <f>Table14[[#This Row],[Time]]-TIME(0,0,8)</f>
        <v>-9.2592592592592588E-5</v>
      </c>
      <c r="H470" t="e">
        <f t="shared" si="13"/>
        <v>#VALUE!</v>
      </c>
      <c r="L470">
        <f>502+2*(Table25[[#This Row],[min value (corrected)]])</f>
        <v>504</v>
      </c>
      <c r="M470">
        <f>MINUTE(Table25[[#This Row],[Corrected time]])</f>
        <v>1</v>
      </c>
      <c r="N470" s="1">
        <v>0.66790828703703697</v>
      </c>
      <c r="O470" s="1">
        <f>Table25[[#This Row],[Time]]-TIME(0,0,4)</f>
        <v>0.66786199074074071</v>
      </c>
      <c r="P470" t="s">
        <v>13</v>
      </c>
      <c r="Q470">
        <f t="shared" si="14"/>
        <v>-127.5</v>
      </c>
      <c r="R470">
        <f>Table25[[#This Row],[RSSI]]</f>
        <v>-127.5</v>
      </c>
    </row>
    <row r="471" spans="4:18" x14ac:dyDescent="0.25">
      <c r="D471" s="1"/>
      <c r="E471" s="1">
        <f>Table14[[#This Row],[Time]]-TIME(0,0,8)</f>
        <v>-9.2592592592592588E-5</v>
      </c>
      <c r="H471" t="e">
        <f t="shared" si="13"/>
        <v>#VALUE!</v>
      </c>
      <c r="L471">
        <f>502+2*(Table25[[#This Row],[min value (corrected)]])</f>
        <v>504</v>
      </c>
      <c r="M471">
        <f>MINUTE(Table25[[#This Row],[Corrected time]])</f>
        <v>1</v>
      </c>
      <c r="N471" s="1">
        <v>0.66792813657407413</v>
      </c>
      <c r="O471" s="1">
        <f>Table25[[#This Row],[Time]]-TIME(0,0,4)</f>
        <v>0.66788184027777786</v>
      </c>
      <c r="P471" t="s">
        <v>13</v>
      </c>
      <c r="Q471">
        <f t="shared" si="14"/>
        <v>-127.5</v>
      </c>
      <c r="R471">
        <f>Table25[[#This Row],[RSSI]]</f>
        <v>-127.5</v>
      </c>
    </row>
    <row r="472" spans="4:18" x14ac:dyDescent="0.25">
      <c r="D472" s="1"/>
      <c r="E472" s="1">
        <f>Table14[[#This Row],[Time]]-TIME(0,0,8)</f>
        <v>-9.2592592592592588E-5</v>
      </c>
      <c r="H472" t="e">
        <f t="shared" si="13"/>
        <v>#VALUE!</v>
      </c>
      <c r="N472" s="1"/>
      <c r="O472" s="1">
        <f>Table25[[#This Row],[Time]]</f>
        <v>0</v>
      </c>
      <c r="R472">
        <f>Table25[[#This Row],[RSSI]]</f>
        <v>0</v>
      </c>
    </row>
    <row r="473" spans="4:18" x14ac:dyDescent="0.25">
      <c r="D473" s="1"/>
      <c r="E473" s="1">
        <f>Table14[[#This Row],[Time]]-TIME(0,0,8)</f>
        <v>-9.2592592592592588E-5</v>
      </c>
      <c r="H473" t="e">
        <f t="shared" si="13"/>
        <v>#VALUE!</v>
      </c>
      <c r="N473" s="1"/>
      <c r="O473" s="1">
        <f>Table25[[#This Row],[Time]]</f>
        <v>0</v>
      </c>
      <c r="R473">
        <f>Table25[[#This Row],[RSSI]]</f>
        <v>0</v>
      </c>
    </row>
    <row r="474" spans="4:18" x14ac:dyDescent="0.25">
      <c r="D474" s="1"/>
      <c r="E474" s="1">
        <f>Table14[[#This Row],[Time]]-TIME(0,0,8)</f>
        <v>-9.2592592592592588E-5</v>
      </c>
      <c r="H474" t="e">
        <f t="shared" si="13"/>
        <v>#VALUE!</v>
      </c>
      <c r="N474" s="1"/>
      <c r="O474" s="1">
        <f>Table25[[#This Row],[Time]]</f>
        <v>0</v>
      </c>
      <c r="R474">
        <f>Table25[[#This Row],[RSSI]]</f>
        <v>0</v>
      </c>
    </row>
    <row r="475" spans="4:18" x14ac:dyDescent="0.25">
      <c r="D475" s="1"/>
      <c r="E475" s="1">
        <f>Table14[[#This Row],[Time]]-TIME(0,0,8)</f>
        <v>-9.2592592592592588E-5</v>
      </c>
      <c r="H475" t="e">
        <f t="shared" si="13"/>
        <v>#VALUE!</v>
      </c>
      <c r="N475" s="1"/>
      <c r="O475" s="1">
        <f>Table25[[#This Row],[Time]]</f>
        <v>0</v>
      </c>
      <c r="R475">
        <f>Table25[[#This Row],[RSSI]]</f>
        <v>0</v>
      </c>
    </row>
    <row r="476" spans="4:18" x14ac:dyDescent="0.25">
      <c r="D476" s="1"/>
      <c r="E476" s="1">
        <f>Table14[[#This Row],[Time]]-TIME(0,0,8)</f>
        <v>-9.2592592592592588E-5</v>
      </c>
      <c r="H476" t="e">
        <f t="shared" si="13"/>
        <v>#VALUE!</v>
      </c>
      <c r="N476" s="1"/>
      <c r="O476" s="1">
        <f>Table25[[#This Row],[Time]]</f>
        <v>0</v>
      </c>
      <c r="R476">
        <f>Table25[[#This Row],[RSSI]]</f>
        <v>0</v>
      </c>
    </row>
    <row r="477" spans="4:18" x14ac:dyDescent="0.25">
      <c r="D477" s="1"/>
      <c r="E477" s="1">
        <f>Table14[[#This Row],[Time]]-TIME(0,0,8)</f>
        <v>-9.2592592592592588E-5</v>
      </c>
      <c r="H477" t="e">
        <f t="shared" si="13"/>
        <v>#VALUE!</v>
      </c>
      <c r="N477" s="1"/>
      <c r="O477" s="1">
        <f>Table25[[#This Row],[Time]]</f>
        <v>0</v>
      </c>
      <c r="R477">
        <f>Table25[[#This Row],[RSSI]]</f>
        <v>0</v>
      </c>
    </row>
    <row r="478" spans="4:18" x14ac:dyDescent="0.25">
      <c r="D478" s="1"/>
      <c r="E478" s="1">
        <f>Table14[[#This Row],[Time]]-TIME(0,0,8)</f>
        <v>-9.2592592592592588E-5</v>
      </c>
      <c r="H478" t="e">
        <f t="shared" si="13"/>
        <v>#VALUE!</v>
      </c>
      <c r="N478" s="1"/>
      <c r="O478" s="1">
        <f>Table25[[#This Row],[Time]]</f>
        <v>0</v>
      </c>
      <c r="R478">
        <f>Table25[[#This Row],[RSSI]]</f>
        <v>0</v>
      </c>
    </row>
    <row r="479" spans="4:18" x14ac:dyDescent="0.25">
      <c r="D479" s="1"/>
      <c r="E479" s="1">
        <f>Table14[[#This Row],[Time]]-TIME(0,0,8)</f>
        <v>-9.2592592592592588E-5</v>
      </c>
      <c r="H479" t="e">
        <f t="shared" si="13"/>
        <v>#VALUE!</v>
      </c>
      <c r="N479" s="1"/>
      <c r="O479" s="1">
        <f>Table25[[#This Row],[Time]]</f>
        <v>0</v>
      </c>
      <c r="R479">
        <f>Table25[[#This Row],[RSSI]]</f>
        <v>0</v>
      </c>
    </row>
    <row r="480" spans="4:18" x14ac:dyDescent="0.25">
      <c r="D480" s="1"/>
      <c r="E480" s="1">
        <f>Table14[[#This Row],[Time]]-TIME(0,0,8)</f>
        <v>-9.2592592592592588E-5</v>
      </c>
      <c r="H480" t="e">
        <f t="shared" si="13"/>
        <v>#VALUE!</v>
      </c>
      <c r="N480" s="1"/>
      <c r="O480" s="1">
        <f>Table25[[#This Row],[Time]]</f>
        <v>0</v>
      </c>
      <c r="R480">
        <f>Table25[[#This Row],[RSSI]]</f>
        <v>0</v>
      </c>
    </row>
    <row r="481" spans="4:18" x14ac:dyDescent="0.25">
      <c r="D481" s="1"/>
      <c r="E481" s="1">
        <f>Table14[[#This Row],[Time]]-TIME(0,0,8)</f>
        <v>-9.2592592592592588E-5</v>
      </c>
      <c r="H481" t="e">
        <f t="shared" si="13"/>
        <v>#VALUE!</v>
      </c>
      <c r="N481" s="1"/>
      <c r="O481" s="1">
        <f>Table25[[#This Row],[Time]]</f>
        <v>0</v>
      </c>
      <c r="R481">
        <f>Table25[[#This Row],[RSSI]]</f>
        <v>0</v>
      </c>
    </row>
    <row r="482" spans="4:18" x14ac:dyDescent="0.25">
      <c r="D482" s="1"/>
      <c r="E482" s="1">
        <f>Table14[[#This Row],[Time]]-TIME(0,0,8)</f>
        <v>-9.2592592592592588E-5</v>
      </c>
      <c r="H482" t="e">
        <f t="shared" si="13"/>
        <v>#VALUE!</v>
      </c>
      <c r="N482" s="1"/>
      <c r="O482" s="1">
        <f>Table25[[#This Row],[Time]]</f>
        <v>0</v>
      </c>
      <c r="R482">
        <f>Table25[[#This Row],[RSSI]]</f>
        <v>0</v>
      </c>
    </row>
    <row r="483" spans="4:18" x14ac:dyDescent="0.25">
      <c r="D483" s="1"/>
      <c r="E483" s="1">
        <f>Table14[[#This Row],[Time]]-TIME(0,0,8)</f>
        <v>-9.2592592592592588E-5</v>
      </c>
      <c r="H483" t="e">
        <f t="shared" si="13"/>
        <v>#VALUE!</v>
      </c>
      <c r="N483" s="1"/>
      <c r="O483" s="1">
        <f>Table25[[#This Row],[Time]]</f>
        <v>0</v>
      </c>
      <c r="R483">
        <f>Table25[[#This Row],[RSSI]]</f>
        <v>0</v>
      </c>
    </row>
    <row r="484" spans="4:18" x14ac:dyDescent="0.25">
      <c r="D484" s="1"/>
      <c r="E484" s="1">
        <f>Table14[[#This Row],[Time]]-TIME(0,0,8)</f>
        <v>-9.2592592592592588E-5</v>
      </c>
      <c r="H484" t="e">
        <f t="shared" si="13"/>
        <v>#VALUE!</v>
      </c>
      <c r="N484" s="1"/>
      <c r="O484" s="1">
        <f>Table25[[#This Row],[Time]]</f>
        <v>0</v>
      </c>
      <c r="R484">
        <f>Table25[[#This Row],[RSSI]]</f>
        <v>0</v>
      </c>
    </row>
    <row r="485" spans="4:18" x14ac:dyDescent="0.25">
      <c r="D485" s="1"/>
      <c r="E485" s="1">
        <f>Table14[[#This Row],[Time]]-TIME(0,0,8)</f>
        <v>-9.2592592592592588E-5</v>
      </c>
      <c r="H485" t="e">
        <f t="shared" si="13"/>
        <v>#VALUE!</v>
      </c>
      <c r="N485" s="1"/>
      <c r="O485" s="1">
        <f>Table25[[#This Row],[Time]]</f>
        <v>0</v>
      </c>
      <c r="R485">
        <f>Table25[[#This Row],[RSSI]]</f>
        <v>0</v>
      </c>
    </row>
    <row r="486" spans="4:18" x14ac:dyDescent="0.25">
      <c r="D486" s="1"/>
      <c r="E486" s="1">
        <f>Table14[[#This Row],[Time]]-TIME(0,0,8)</f>
        <v>-9.2592592592592588E-5</v>
      </c>
      <c r="H486" t="e">
        <f t="shared" si="13"/>
        <v>#VALUE!</v>
      </c>
      <c r="N486" s="1"/>
      <c r="O486" s="1">
        <f>Table25[[#This Row],[Time]]</f>
        <v>0</v>
      </c>
      <c r="R486">
        <f>Table25[[#This Row],[RSSI]]</f>
        <v>0</v>
      </c>
    </row>
    <row r="487" spans="4:18" x14ac:dyDescent="0.25">
      <c r="D487" s="1"/>
      <c r="E487" s="1">
        <f>Table14[[#This Row],[Time]]-TIME(0,0,8)</f>
        <v>-9.2592592592592588E-5</v>
      </c>
      <c r="H487" t="e">
        <f t="shared" si="13"/>
        <v>#VALUE!</v>
      </c>
      <c r="N487" s="1"/>
      <c r="O487" s="1">
        <f>Table25[[#This Row],[Time]]</f>
        <v>0</v>
      </c>
      <c r="R487">
        <f>Table25[[#This Row],[RSSI]]</f>
        <v>0</v>
      </c>
    </row>
    <row r="488" spans="4:18" x14ac:dyDescent="0.25">
      <c r="D488" s="1"/>
      <c r="E488" s="1">
        <f>Table14[[#This Row],[Time]]-TIME(0,0,8)</f>
        <v>-9.2592592592592588E-5</v>
      </c>
      <c r="H488" t="e">
        <f t="shared" si="13"/>
        <v>#VALUE!</v>
      </c>
      <c r="N488" s="1"/>
      <c r="O488" s="1">
        <f>Table25[[#This Row],[Time]]</f>
        <v>0</v>
      </c>
      <c r="R488">
        <f>Table25[[#This Row],[RSSI]]</f>
        <v>0</v>
      </c>
    </row>
    <row r="489" spans="4:18" x14ac:dyDescent="0.25">
      <c r="D489" s="1"/>
      <c r="E489" s="1">
        <f>Table14[[#This Row],[Time]]-TIME(0,0,8)</f>
        <v>-9.2592592592592588E-5</v>
      </c>
      <c r="H489" t="e">
        <f t="shared" si="13"/>
        <v>#VALUE!</v>
      </c>
      <c r="N489" s="1"/>
      <c r="O489" s="1">
        <f>Table25[[#This Row],[Time]]</f>
        <v>0</v>
      </c>
      <c r="R489">
        <f>Table25[[#This Row],[RSSI]]</f>
        <v>0</v>
      </c>
    </row>
    <row r="490" spans="4:18" x14ac:dyDescent="0.25">
      <c r="D490" s="1"/>
      <c r="E490" s="1">
        <f>Table14[[#This Row],[Time]]-TIME(0,0,8)</f>
        <v>-9.2592592592592588E-5</v>
      </c>
      <c r="H490" t="e">
        <f t="shared" si="13"/>
        <v>#VALUE!</v>
      </c>
      <c r="N490" s="1"/>
      <c r="O490" s="1">
        <f>Table25[[#This Row],[Time]]</f>
        <v>0</v>
      </c>
      <c r="R490">
        <f>Table25[[#This Row],[RSSI]]</f>
        <v>0</v>
      </c>
    </row>
    <row r="491" spans="4:18" x14ac:dyDescent="0.25">
      <c r="D491" s="1"/>
      <c r="E491" s="1">
        <f>Table14[[#This Row],[Time]]-TIME(0,0,8)</f>
        <v>-9.2592592592592588E-5</v>
      </c>
      <c r="H491" t="e">
        <f t="shared" si="13"/>
        <v>#VALUE!</v>
      </c>
      <c r="N491" s="1"/>
      <c r="O491" s="1">
        <f>Table25[[#This Row],[Time]]</f>
        <v>0</v>
      </c>
      <c r="R491">
        <f>Table25[[#This Row],[RSSI]]</f>
        <v>0</v>
      </c>
    </row>
    <row r="492" spans="4:18" x14ac:dyDescent="0.25">
      <c r="D492" s="1"/>
      <c r="E492" s="1">
        <f>Table14[[#This Row],[Time]]-TIME(0,0,8)</f>
        <v>-9.2592592592592588E-5</v>
      </c>
      <c r="H492" t="e">
        <f t="shared" si="13"/>
        <v>#VALUE!</v>
      </c>
      <c r="N492" s="1"/>
      <c r="O492" s="1">
        <f>Table25[[#This Row],[Time]]</f>
        <v>0</v>
      </c>
      <c r="R492">
        <f>Table25[[#This Row],[RSSI]]</f>
        <v>0</v>
      </c>
    </row>
    <row r="493" spans="4:18" x14ac:dyDescent="0.25">
      <c r="D493" s="1"/>
      <c r="E493" s="1">
        <f>Table14[[#This Row],[Time]]-TIME(0,0,8)</f>
        <v>-9.2592592592592588E-5</v>
      </c>
      <c r="H493" t="e">
        <f t="shared" si="13"/>
        <v>#VALUE!</v>
      </c>
      <c r="N493" s="1"/>
      <c r="O493" s="1">
        <f>Table25[[#This Row],[Time]]</f>
        <v>0</v>
      </c>
      <c r="R493">
        <f>Table25[[#This Row],[RSSI]]</f>
        <v>0</v>
      </c>
    </row>
    <row r="494" spans="4:18" x14ac:dyDescent="0.25">
      <c r="D494" s="1"/>
      <c r="E494" s="1">
        <f>Table14[[#This Row],[Time]]-TIME(0,0,8)</f>
        <v>-9.2592592592592588E-5</v>
      </c>
      <c r="H494" t="e">
        <f t="shared" si="13"/>
        <v>#VALUE!</v>
      </c>
      <c r="N494" s="1"/>
      <c r="O494" s="1">
        <f>Table25[[#This Row],[Time]]</f>
        <v>0</v>
      </c>
      <c r="R494">
        <f>Table25[[#This Row],[RSSI]]</f>
        <v>0</v>
      </c>
    </row>
    <row r="495" spans="4:18" x14ac:dyDescent="0.25">
      <c r="D495" s="1"/>
      <c r="E495" s="1">
        <f>Table14[[#This Row],[Time]]-TIME(0,0,8)</f>
        <v>-9.2592592592592588E-5</v>
      </c>
      <c r="H495" t="e">
        <f t="shared" si="13"/>
        <v>#VALUE!</v>
      </c>
      <c r="N495" s="1"/>
      <c r="O495" s="1">
        <f>Table25[[#This Row],[Time]]</f>
        <v>0</v>
      </c>
      <c r="R495">
        <f>Table25[[#This Row],[RSSI]]</f>
        <v>0</v>
      </c>
    </row>
    <row r="496" spans="4:18" x14ac:dyDescent="0.25">
      <c r="D496" s="1"/>
      <c r="E496" s="1">
        <f>Table14[[#This Row],[Time]]-TIME(0,0,8)</f>
        <v>-9.2592592592592588E-5</v>
      </c>
      <c r="H496" t="e">
        <f t="shared" si="13"/>
        <v>#VALUE!</v>
      </c>
      <c r="N496" s="1"/>
      <c r="O496" s="1">
        <f>Table25[[#This Row],[Time]]</f>
        <v>0</v>
      </c>
      <c r="R496">
        <f>Table25[[#This Row],[RSSI]]</f>
        <v>0</v>
      </c>
    </row>
    <row r="497" spans="4:18" x14ac:dyDescent="0.25">
      <c r="D497" s="1"/>
      <c r="E497" s="1">
        <f>Table14[[#This Row],[Time]]-TIME(0,0,8)</f>
        <v>-9.2592592592592588E-5</v>
      </c>
      <c r="H497" t="e">
        <f t="shared" si="13"/>
        <v>#VALUE!</v>
      </c>
      <c r="N497" s="1"/>
      <c r="O497" s="1">
        <f>Table25[[#This Row],[Time]]</f>
        <v>0</v>
      </c>
      <c r="R497">
        <f>Table25[[#This Row],[RSSI]]</f>
        <v>0</v>
      </c>
    </row>
    <row r="498" spans="4:18" x14ac:dyDescent="0.25">
      <c r="D498" s="1"/>
      <c r="E498" s="1">
        <f>Table14[[#This Row],[Time]]-TIME(0,0,8)</f>
        <v>-9.2592592592592588E-5</v>
      </c>
      <c r="H498" t="e">
        <f t="shared" si="13"/>
        <v>#VALUE!</v>
      </c>
      <c r="N498" s="1"/>
      <c r="O498" s="1">
        <f>Table25[[#This Row],[Time]]</f>
        <v>0</v>
      </c>
      <c r="R498">
        <f>Table25[[#This Row],[RSSI]]</f>
        <v>0</v>
      </c>
    </row>
    <row r="499" spans="4:18" x14ac:dyDescent="0.25">
      <c r="D499" s="1"/>
      <c r="E499" s="1">
        <f>Table14[[#This Row],[Time]]-TIME(0,0,8)</f>
        <v>-9.2592592592592588E-5</v>
      </c>
      <c r="H499" t="e">
        <f t="shared" si="13"/>
        <v>#VALUE!</v>
      </c>
      <c r="N499" s="1"/>
      <c r="O499" s="1">
        <f>Table25[[#This Row],[Time]]</f>
        <v>0</v>
      </c>
      <c r="R499">
        <f>Table25[[#This Row],[RSSI]]</f>
        <v>0</v>
      </c>
    </row>
    <row r="500" spans="4:18" x14ac:dyDescent="0.25">
      <c r="D500" s="1"/>
      <c r="E500" s="1">
        <f>Table14[[#This Row],[Time]]-TIME(0,0,8)</f>
        <v>-9.2592592592592588E-5</v>
      </c>
      <c r="H500" t="e">
        <f t="shared" si="13"/>
        <v>#VALUE!</v>
      </c>
      <c r="N500" s="1"/>
      <c r="O500" s="1">
        <f>Table25[[#This Row],[Time]]</f>
        <v>0</v>
      </c>
      <c r="R500">
        <f>Table25[[#This Row],[RSSI]]</f>
        <v>0</v>
      </c>
    </row>
    <row r="501" spans="4:18" x14ac:dyDescent="0.25">
      <c r="D501" s="1"/>
      <c r="E501" s="1">
        <f>Table14[[#This Row],[Time]]-TIME(0,0,8)</f>
        <v>-9.2592592592592588E-5</v>
      </c>
      <c r="H501" t="e">
        <f t="shared" si="13"/>
        <v>#VALUE!</v>
      </c>
      <c r="N501" s="1"/>
      <c r="O501" s="1">
        <f>Table25[[#This Row],[Time]]</f>
        <v>0</v>
      </c>
      <c r="R501">
        <f>Table25[[#This Row],[RSSI]]</f>
        <v>0</v>
      </c>
    </row>
    <row r="502" spans="4:18" x14ac:dyDescent="0.25">
      <c r="D502" s="1"/>
      <c r="E502" s="1">
        <f>Table14[[#This Row],[Time]]-TIME(0,0,8)</f>
        <v>-9.2592592592592588E-5</v>
      </c>
      <c r="H502" t="e">
        <f t="shared" si="13"/>
        <v>#VALUE!</v>
      </c>
      <c r="N502" s="1"/>
      <c r="O502" s="1">
        <f>Table25[[#This Row],[Time]]</f>
        <v>0</v>
      </c>
      <c r="R502">
        <f>Table25[[#This Row],[RSSI]]</f>
        <v>0</v>
      </c>
    </row>
    <row r="503" spans="4:18" x14ac:dyDescent="0.25">
      <c r="D503" s="1"/>
      <c r="E503" s="1">
        <f>Table14[[#This Row],[Time]]-TIME(0,0,8)</f>
        <v>-9.2592592592592588E-5</v>
      </c>
      <c r="H503" t="e">
        <f t="shared" si="13"/>
        <v>#VALUE!</v>
      </c>
      <c r="N503" s="1"/>
      <c r="O503" s="1">
        <f>Table25[[#This Row],[Time]]</f>
        <v>0</v>
      </c>
      <c r="R503">
        <f>Table25[[#This Row],[RSSI]]</f>
        <v>0</v>
      </c>
    </row>
    <row r="504" spans="4:18" x14ac:dyDescent="0.25">
      <c r="D504" s="1"/>
      <c r="E504" s="1">
        <f>Table14[[#This Row],[Time]]-TIME(0,0,8)</f>
        <v>-9.2592592592592588E-5</v>
      </c>
      <c r="H504" t="e">
        <f t="shared" si="13"/>
        <v>#VALUE!</v>
      </c>
      <c r="N504" s="1"/>
      <c r="O504" s="1">
        <f>Table25[[#This Row],[Time]]</f>
        <v>0</v>
      </c>
      <c r="R504">
        <f>Table25[[#This Row],[RSSI]]</f>
        <v>0</v>
      </c>
    </row>
    <row r="505" spans="4:18" x14ac:dyDescent="0.25">
      <c r="D505" s="1"/>
      <c r="E505" s="1">
        <f>Table14[[#This Row],[Time]]-TIME(0,0,8)</f>
        <v>-9.2592592592592588E-5</v>
      </c>
      <c r="H505" t="e">
        <f t="shared" si="13"/>
        <v>#VALUE!</v>
      </c>
      <c r="N505" s="1"/>
      <c r="O505" s="1">
        <f>Table25[[#This Row],[Time]]</f>
        <v>0</v>
      </c>
      <c r="R505">
        <f>Table25[[#This Row],[RSSI]]</f>
        <v>0</v>
      </c>
    </row>
    <row r="506" spans="4:18" x14ac:dyDescent="0.25">
      <c r="D506" s="1"/>
      <c r="E506" s="1">
        <f>Table14[[#This Row],[Time]]-TIME(0,0,8)</f>
        <v>-9.2592592592592588E-5</v>
      </c>
      <c r="H506" t="e">
        <f t="shared" si="13"/>
        <v>#VALUE!</v>
      </c>
      <c r="N506" s="1"/>
      <c r="O506" s="1">
        <f>Table25[[#This Row],[Time]]</f>
        <v>0</v>
      </c>
      <c r="R506">
        <f>Table25[[#This Row],[RSSI]]</f>
        <v>0</v>
      </c>
    </row>
    <row r="507" spans="4:18" x14ac:dyDescent="0.25">
      <c r="D507" s="1"/>
      <c r="E507" s="1">
        <f>Table14[[#This Row],[Time]]-TIME(0,0,8)</f>
        <v>-9.2592592592592588E-5</v>
      </c>
      <c r="H507" t="e">
        <f t="shared" si="13"/>
        <v>#VALUE!</v>
      </c>
      <c r="N507" s="1"/>
      <c r="O507" s="1">
        <f>Table25[[#This Row],[Time]]</f>
        <v>0</v>
      </c>
      <c r="R507">
        <f>Table25[[#This Row],[RSSI]]</f>
        <v>0</v>
      </c>
    </row>
    <row r="508" spans="4:18" x14ac:dyDescent="0.25">
      <c r="D508" s="1"/>
      <c r="E508" s="1">
        <f>Table14[[#This Row],[Time]]-TIME(0,0,8)</f>
        <v>-9.2592592592592588E-5</v>
      </c>
      <c r="H508" t="e">
        <f t="shared" si="13"/>
        <v>#VALUE!</v>
      </c>
      <c r="N508" s="1"/>
      <c r="O508" s="1">
        <f>Table25[[#This Row],[Time]]</f>
        <v>0</v>
      </c>
      <c r="R508">
        <f>Table25[[#This Row],[RSSI]]</f>
        <v>0</v>
      </c>
    </row>
    <row r="509" spans="4:18" x14ac:dyDescent="0.25">
      <c r="D509" s="1"/>
      <c r="E509" s="1">
        <f>Table14[[#This Row],[Time]]-TIME(0,0,8)</f>
        <v>-9.2592592592592588E-5</v>
      </c>
      <c r="H509" t="e">
        <f t="shared" si="13"/>
        <v>#VALUE!</v>
      </c>
      <c r="N509" s="1"/>
      <c r="O509" s="1">
        <f>Table25[[#This Row],[Time]]</f>
        <v>0</v>
      </c>
      <c r="R509">
        <f>Table25[[#This Row],[RSSI]]</f>
        <v>0</v>
      </c>
    </row>
    <row r="510" spans="4:18" x14ac:dyDescent="0.25">
      <c r="D510" s="1"/>
      <c r="E510" s="1">
        <f>Table14[[#This Row],[Time]]-TIME(0,0,8)</f>
        <v>-9.2592592592592588E-5</v>
      </c>
      <c r="H510" t="e">
        <f t="shared" si="13"/>
        <v>#VALUE!</v>
      </c>
      <c r="N510" s="1"/>
      <c r="O510" s="1">
        <f>Table25[[#This Row],[Time]]</f>
        <v>0</v>
      </c>
      <c r="R510">
        <f>Table25[[#This Row],[RSSI]]</f>
        <v>0</v>
      </c>
    </row>
    <row r="511" spans="4:18" x14ac:dyDescent="0.25">
      <c r="D511" s="1"/>
      <c r="E511" s="1">
        <f>Table14[[#This Row],[Time]]-TIME(0,0,8)</f>
        <v>-9.2592592592592588E-5</v>
      </c>
      <c r="H511" t="e">
        <f t="shared" si="13"/>
        <v>#VALUE!</v>
      </c>
      <c r="N511" s="1"/>
      <c r="O511" s="1">
        <f>Table25[[#This Row],[Time]]</f>
        <v>0</v>
      </c>
      <c r="R511">
        <f>Table25[[#This Row],[RSSI]]</f>
        <v>0</v>
      </c>
    </row>
    <row r="512" spans="4:18" x14ac:dyDescent="0.25">
      <c r="D512" s="1"/>
      <c r="E512" s="1">
        <f>Table14[[#This Row],[Time]]-TIME(0,0,8)</f>
        <v>-9.2592592592592588E-5</v>
      </c>
      <c r="H512" t="e">
        <f t="shared" si="13"/>
        <v>#VALUE!</v>
      </c>
      <c r="N512" s="1"/>
      <c r="O512" s="1">
        <f>Table25[[#This Row],[Time]]</f>
        <v>0</v>
      </c>
      <c r="R512">
        <f>Table25[[#This Row],[RSSI]]</f>
        <v>0</v>
      </c>
    </row>
    <row r="513" spans="4:18" x14ac:dyDescent="0.25">
      <c r="D513" s="1"/>
      <c r="E513" s="1">
        <f>Table14[[#This Row],[Time]]-TIME(0,0,8)</f>
        <v>-9.2592592592592588E-5</v>
      </c>
      <c r="H513" t="e">
        <f t="shared" si="13"/>
        <v>#VALUE!</v>
      </c>
      <c r="N513" s="1"/>
      <c r="O513" s="1">
        <f>Table25[[#This Row],[Time]]</f>
        <v>0</v>
      </c>
      <c r="R513">
        <f>Table25[[#This Row],[RSSI]]</f>
        <v>0</v>
      </c>
    </row>
    <row r="514" spans="4:18" x14ac:dyDescent="0.25">
      <c r="D514" s="1"/>
      <c r="E514" s="1">
        <f>Table14[[#This Row],[Time]]-TIME(0,0,8)</f>
        <v>-9.2592592592592588E-5</v>
      </c>
      <c r="H514" t="e">
        <f t="shared" si="13"/>
        <v>#VALUE!</v>
      </c>
      <c r="N514" s="1"/>
      <c r="O514" s="1">
        <f>Table25[[#This Row],[Time]]</f>
        <v>0</v>
      </c>
      <c r="R514">
        <f>Table25[[#This Row],[RSSI]]</f>
        <v>0</v>
      </c>
    </row>
    <row r="515" spans="4:18" x14ac:dyDescent="0.25">
      <c r="D515" s="1"/>
      <c r="E515" s="1">
        <f>Table14[[#This Row],[Time]]-TIME(0,0,8)</f>
        <v>-9.2592592592592588E-5</v>
      </c>
      <c r="H515" t="e">
        <f t="shared" si="13"/>
        <v>#VALUE!</v>
      </c>
      <c r="N515" s="1"/>
      <c r="O515" s="1">
        <f>Table25[[#This Row],[Time]]</f>
        <v>0</v>
      </c>
      <c r="R515">
        <f>Table25[[#This Row],[RSSI]]</f>
        <v>0</v>
      </c>
    </row>
    <row r="516" spans="4:18" x14ac:dyDescent="0.25">
      <c r="D516" s="1"/>
      <c r="E516" s="1">
        <f>Table14[[#This Row],[Time]]-TIME(0,0,8)</f>
        <v>-9.2592592592592588E-5</v>
      </c>
      <c r="H516" t="e">
        <f t="shared" ref="H516:H579" si="15">VALUE(LEFT(G516,LEN(G516)-1))</f>
        <v>#VALUE!</v>
      </c>
      <c r="N516" s="1"/>
      <c r="O516" s="1">
        <f>Table25[[#This Row],[Time]]</f>
        <v>0</v>
      </c>
      <c r="R516">
        <f>Table25[[#This Row],[RSSI]]</f>
        <v>0</v>
      </c>
    </row>
    <row r="517" spans="4:18" x14ac:dyDescent="0.25">
      <c r="D517" s="1"/>
      <c r="E517" s="1">
        <f>Table14[[#This Row],[Time]]-TIME(0,0,8)</f>
        <v>-9.2592592592592588E-5</v>
      </c>
      <c r="H517" t="e">
        <f t="shared" si="15"/>
        <v>#VALUE!</v>
      </c>
      <c r="N517" s="1"/>
      <c r="O517" s="1">
        <f>Table25[[#This Row],[Time]]</f>
        <v>0</v>
      </c>
      <c r="R517">
        <f>Table25[[#This Row],[RSSI]]</f>
        <v>0</v>
      </c>
    </row>
    <row r="518" spans="4:18" x14ac:dyDescent="0.25">
      <c r="D518" s="1"/>
      <c r="E518" s="1">
        <f>Table14[[#This Row],[Time]]-TIME(0,0,8)</f>
        <v>-9.2592592592592588E-5</v>
      </c>
      <c r="H518" t="e">
        <f t="shared" si="15"/>
        <v>#VALUE!</v>
      </c>
      <c r="N518" s="1"/>
      <c r="O518" s="1">
        <f>Table25[[#This Row],[Time]]</f>
        <v>0</v>
      </c>
      <c r="R518">
        <f>Table25[[#This Row],[RSSI]]</f>
        <v>0</v>
      </c>
    </row>
    <row r="519" spans="4:18" x14ac:dyDescent="0.25">
      <c r="D519" s="1"/>
      <c r="E519" s="1">
        <f>Table14[[#This Row],[Time]]-TIME(0,0,8)</f>
        <v>-9.2592592592592588E-5</v>
      </c>
      <c r="H519" t="e">
        <f t="shared" si="15"/>
        <v>#VALUE!</v>
      </c>
      <c r="N519" s="1"/>
      <c r="O519" s="1">
        <f>Table25[[#This Row],[Time]]</f>
        <v>0</v>
      </c>
      <c r="R519">
        <f>Table25[[#This Row],[RSSI]]</f>
        <v>0</v>
      </c>
    </row>
    <row r="520" spans="4:18" x14ac:dyDescent="0.25">
      <c r="D520" s="1"/>
      <c r="E520" s="1">
        <f>Table14[[#This Row],[Time]]-TIME(0,0,8)</f>
        <v>-9.2592592592592588E-5</v>
      </c>
      <c r="H520" t="e">
        <f t="shared" si="15"/>
        <v>#VALUE!</v>
      </c>
      <c r="N520" s="1"/>
      <c r="O520" s="1">
        <f>Table25[[#This Row],[Time]]</f>
        <v>0</v>
      </c>
      <c r="R520">
        <f>Table25[[#This Row],[RSSI]]</f>
        <v>0</v>
      </c>
    </row>
    <row r="521" spans="4:18" x14ac:dyDescent="0.25">
      <c r="D521" s="1"/>
      <c r="E521" s="1">
        <f>Table14[[#This Row],[Time]]-TIME(0,0,8)</f>
        <v>-9.2592592592592588E-5</v>
      </c>
      <c r="H521" t="e">
        <f t="shared" si="15"/>
        <v>#VALUE!</v>
      </c>
      <c r="N521" s="1"/>
      <c r="O521" s="1">
        <f>Table25[[#This Row],[Time]]</f>
        <v>0</v>
      </c>
      <c r="R521">
        <f>Table25[[#This Row],[RSSI]]</f>
        <v>0</v>
      </c>
    </row>
    <row r="522" spans="4:18" x14ac:dyDescent="0.25">
      <c r="D522" s="1"/>
      <c r="E522" s="1">
        <f>Table14[[#This Row],[Time]]-TIME(0,0,8)</f>
        <v>-9.2592592592592588E-5</v>
      </c>
      <c r="H522" t="e">
        <f t="shared" si="15"/>
        <v>#VALUE!</v>
      </c>
      <c r="N522" s="1"/>
      <c r="O522" s="1">
        <f>Table25[[#This Row],[Time]]</f>
        <v>0</v>
      </c>
      <c r="R522">
        <f>Table25[[#This Row],[RSSI]]</f>
        <v>0</v>
      </c>
    </row>
    <row r="523" spans="4:18" x14ac:dyDescent="0.25">
      <c r="D523" s="1"/>
      <c r="E523" s="1">
        <f>Table14[[#This Row],[Time]]-TIME(0,0,8)</f>
        <v>-9.2592592592592588E-5</v>
      </c>
      <c r="H523" t="e">
        <f t="shared" si="15"/>
        <v>#VALUE!</v>
      </c>
      <c r="N523" s="1"/>
      <c r="O523" s="1">
        <f>Table25[[#This Row],[Time]]</f>
        <v>0</v>
      </c>
      <c r="R523">
        <f>Table25[[#This Row],[RSSI]]</f>
        <v>0</v>
      </c>
    </row>
    <row r="524" spans="4:18" x14ac:dyDescent="0.25">
      <c r="D524" s="1"/>
      <c r="E524" s="1">
        <f>Table14[[#This Row],[Time]]-TIME(0,0,8)</f>
        <v>-9.2592592592592588E-5</v>
      </c>
      <c r="H524" t="e">
        <f t="shared" si="15"/>
        <v>#VALUE!</v>
      </c>
      <c r="N524" s="1"/>
      <c r="O524" s="1">
        <f>Table25[[#This Row],[Time]]</f>
        <v>0</v>
      </c>
      <c r="R524">
        <f>Table25[[#This Row],[RSSI]]</f>
        <v>0</v>
      </c>
    </row>
    <row r="525" spans="4:18" x14ac:dyDescent="0.25">
      <c r="D525" s="1"/>
      <c r="E525" s="1">
        <f>Table14[[#This Row],[Time]]-TIME(0,0,8)</f>
        <v>-9.2592592592592588E-5</v>
      </c>
      <c r="H525" t="e">
        <f t="shared" si="15"/>
        <v>#VALUE!</v>
      </c>
      <c r="N525" s="1"/>
      <c r="O525" s="1">
        <f>Table25[[#This Row],[Time]]</f>
        <v>0</v>
      </c>
      <c r="R525">
        <f>Table25[[#This Row],[RSSI]]</f>
        <v>0</v>
      </c>
    </row>
    <row r="526" spans="4:18" x14ac:dyDescent="0.25">
      <c r="D526" s="1"/>
      <c r="E526" s="1">
        <f>Table14[[#This Row],[Time]]-TIME(0,0,8)</f>
        <v>-9.2592592592592588E-5</v>
      </c>
      <c r="H526" t="e">
        <f t="shared" si="15"/>
        <v>#VALUE!</v>
      </c>
      <c r="N526" s="1"/>
      <c r="O526" s="1">
        <f>Table25[[#This Row],[Time]]</f>
        <v>0</v>
      </c>
      <c r="R526">
        <f>Table25[[#This Row],[RSSI]]</f>
        <v>0</v>
      </c>
    </row>
    <row r="527" spans="4:18" x14ac:dyDescent="0.25">
      <c r="D527" s="1"/>
      <c r="E527" s="1">
        <f>Table14[[#This Row],[Time]]-TIME(0,0,8)</f>
        <v>-9.2592592592592588E-5</v>
      </c>
      <c r="H527" t="e">
        <f t="shared" si="15"/>
        <v>#VALUE!</v>
      </c>
      <c r="N527" s="1"/>
      <c r="O527" s="1">
        <f>Table25[[#This Row],[Time]]</f>
        <v>0</v>
      </c>
      <c r="R527">
        <f>Table25[[#This Row],[RSSI]]</f>
        <v>0</v>
      </c>
    </row>
    <row r="528" spans="4:18" x14ac:dyDescent="0.25">
      <c r="D528" s="1"/>
      <c r="E528" s="1">
        <f>Table14[[#This Row],[Time]]-TIME(0,0,8)</f>
        <v>-9.2592592592592588E-5</v>
      </c>
      <c r="H528" t="e">
        <f t="shared" si="15"/>
        <v>#VALUE!</v>
      </c>
      <c r="N528" s="1"/>
      <c r="O528" s="1">
        <f>Table25[[#This Row],[Time]]</f>
        <v>0</v>
      </c>
      <c r="R528">
        <f>Table25[[#This Row],[RSSI]]</f>
        <v>0</v>
      </c>
    </row>
    <row r="529" spans="4:18" x14ac:dyDescent="0.25">
      <c r="D529" s="1"/>
      <c r="E529" s="1">
        <f>Table14[[#This Row],[Time]]-TIME(0,0,8)</f>
        <v>-9.2592592592592588E-5</v>
      </c>
      <c r="H529" t="e">
        <f t="shared" si="15"/>
        <v>#VALUE!</v>
      </c>
      <c r="N529" s="1"/>
      <c r="O529" s="1">
        <f>Table25[[#This Row],[Time]]</f>
        <v>0</v>
      </c>
      <c r="R529">
        <f>Table25[[#This Row],[RSSI]]</f>
        <v>0</v>
      </c>
    </row>
    <row r="530" spans="4:18" x14ac:dyDescent="0.25">
      <c r="D530" s="1"/>
      <c r="E530" s="1">
        <f>Table14[[#This Row],[Time]]-TIME(0,0,8)</f>
        <v>-9.2592592592592588E-5</v>
      </c>
      <c r="H530" t="e">
        <f t="shared" si="15"/>
        <v>#VALUE!</v>
      </c>
      <c r="N530" s="1"/>
      <c r="O530" s="1">
        <f>Table25[[#This Row],[Time]]</f>
        <v>0</v>
      </c>
      <c r="R530">
        <f>Table25[[#This Row],[RSSI]]</f>
        <v>0</v>
      </c>
    </row>
    <row r="531" spans="4:18" x14ac:dyDescent="0.25">
      <c r="D531" s="1"/>
      <c r="E531" s="1">
        <f>Table14[[#This Row],[Time]]-TIME(0,0,8)</f>
        <v>-9.2592592592592588E-5</v>
      </c>
      <c r="H531" t="e">
        <f t="shared" si="15"/>
        <v>#VALUE!</v>
      </c>
      <c r="N531" s="1"/>
      <c r="O531" s="1">
        <f>Table25[[#This Row],[Time]]</f>
        <v>0</v>
      </c>
      <c r="R531">
        <f>Table25[[#This Row],[RSSI]]</f>
        <v>0</v>
      </c>
    </row>
    <row r="532" spans="4:18" x14ac:dyDescent="0.25">
      <c r="D532" s="1"/>
      <c r="E532" s="1">
        <f>Table14[[#This Row],[Time]]-TIME(0,0,8)</f>
        <v>-9.2592592592592588E-5</v>
      </c>
      <c r="H532" t="e">
        <f t="shared" si="15"/>
        <v>#VALUE!</v>
      </c>
      <c r="N532" s="1"/>
      <c r="O532" s="1">
        <f>Table25[[#This Row],[Time]]</f>
        <v>0</v>
      </c>
      <c r="R532">
        <f>Table25[[#This Row],[RSSI]]</f>
        <v>0</v>
      </c>
    </row>
    <row r="533" spans="4:18" x14ac:dyDescent="0.25">
      <c r="D533" s="1"/>
      <c r="E533" s="1">
        <f>Table14[[#This Row],[Time]]-TIME(0,0,8)</f>
        <v>-9.2592592592592588E-5</v>
      </c>
      <c r="H533" t="e">
        <f t="shared" si="15"/>
        <v>#VALUE!</v>
      </c>
      <c r="N533" s="1"/>
      <c r="O533" s="1">
        <f>Table25[[#This Row],[Time]]</f>
        <v>0</v>
      </c>
      <c r="R533">
        <f>Table25[[#This Row],[RSSI]]</f>
        <v>0</v>
      </c>
    </row>
    <row r="534" spans="4:18" x14ac:dyDescent="0.25">
      <c r="D534" s="1"/>
      <c r="E534" s="1">
        <f>Table14[[#This Row],[Time]]-TIME(0,0,8)</f>
        <v>-9.2592592592592588E-5</v>
      </c>
      <c r="H534" t="e">
        <f t="shared" si="15"/>
        <v>#VALUE!</v>
      </c>
      <c r="N534" s="1"/>
      <c r="O534" s="1">
        <f>Table25[[#This Row],[Time]]</f>
        <v>0</v>
      </c>
      <c r="R534">
        <f>Table25[[#This Row],[RSSI]]</f>
        <v>0</v>
      </c>
    </row>
    <row r="535" spans="4:18" x14ac:dyDescent="0.25">
      <c r="D535" s="1"/>
      <c r="E535" s="1">
        <f>Table14[[#This Row],[Time]]-TIME(0,0,8)</f>
        <v>-9.2592592592592588E-5</v>
      </c>
      <c r="H535" t="e">
        <f t="shared" si="15"/>
        <v>#VALUE!</v>
      </c>
      <c r="N535" s="1"/>
      <c r="O535" s="1">
        <f>Table25[[#This Row],[Time]]</f>
        <v>0</v>
      </c>
      <c r="R535">
        <f>Table25[[#This Row],[RSSI]]</f>
        <v>0</v>
      </c>
    </row>
    <row r="536" spans="4:18" x14ac:dyDescent="0.25">
      <c r="D536" s="1"/>
      <c r="E536" s="1">
        <f>Table14[[#This Row],[Time]]-TIME(0,0,8)</f>
        <v>-9.2592592592592588E-5</v>
      </c>
      <c r="H536" t="e">
        <f t="shared" si="15"/>
        <v>#VALUE!</v>
      </c>
      <c r="N536" s="1"/>
      <c r="O536" s="1">
        <f>Table25[[#This Row],[Time]]</f>
        <v>0</v>
      </c>
      <c r="R536">
        <f>Table25[[#This Row],[RSSI]]</f>
        <v>0</v>
      </c>
    </row>
    <row r="537" spans="4:18" x14ac:dyDescent="0.25">
      <c r="D537" s="1"/>
      <c r="E537" s="1">
        <f>Table14[[#This Row],[Time]]-TIME(0,0,8)</f>
        <v>-9.2592592592592588E-5</v>
      </c>
      <c r="H537" t="e">
        <f t="shared" si="15"/>
        <v>#VALUE!</v>
      </c>
      <c r="N537" s="1"/>
      <c r="O537" s="1">
        <f>Table25[[#This Row],[Time]]</f>
        <v>0</v>
      </c>
      <c r="R537">
        <f>Table25[[#This Row],[RSSI]]</f>
        <v>0</v>
      </c>
    </row>
    <row r="538" spans="4:18" x14ac:dyDescent="0.25">
      <c r="D538" s="1"/>
      <c r="E538" s="1">
        <f>Table14[[#This Row],[Time]]-TIME(0,0,8)</f>
        <v>-9.2592592592592588E-5</v>
      </c>
      <c r="H538" t="e">
        <f t="shared" si="15"/>
        <v>#VALUE!</v>
      </c>
      <c r="N538" s="1"/>
      <c r="O538" s="1">
        <f>Table25[[#This Row],[Time]]</f>
        <v>0</v>
      </c>
      <c r="R538">
        <f>Table25[[#This Row],[RSSI]]</f>
        <v>0</v>
      </c>
    </row>
    <row r="539" spans="4:18" x14ac:dyDescent="0.25">
      <c r="D539" s="1"/>
      <c r="E539" s="1">
        <f>Table14[[#This Row],[Time]]-TIME(0,0,8)</f>
        <v>-9.2592592592592588E-5</v>
      </c>
      <c r="H539" t="e">
        <f t="shared" si="15"/>
        <v>#VALUE!</v>
      </c>
      <c r="N539" s="1"/>
      <c r="O539" s="1">
        <f>Table25[[#This Row],[Time]]</f>
        <v>0</v>
      </c>
      <c r="R539">
        <f>Table25[[#This Row],[RSSI]]</f>
        <v>0</v>
      </c>
    </row>
    <row r="540" spans="4:18" x14ac:dyDescent="0.25">
      <c r="D540" s="1"/>
      <c r="E540" s="1">
        <f>Table14[[#This Row],[Time]]-TIME(0,0,8)</f>
        <v>-9.2592592592592588E-5</v>
      </c>
      <c r="H540" t="e">
        <f t="shared" si="15"/>
        <v>#VALUE!</v>
      </c>
      <c r="N540" s="1"/>
      <c r="O540" s="1">
        <f>Table25[[#This Row],[Time]]</f>
        <v>0</v>
      </c>
      <c r="R540">
        <f>Table25[[#This Row],[RSSI]]</f>
        <v>0</v>
      </c>
    </row>
    <row r="541" spans="4:18" x14ac:dyDescent="0.25">
      <c r="D541" s="1"/>
      <c r="E541" s="1">
        <f>Table14[[#This Row],[Time]]-TIME(0,0,8)</f>
        <v>-9.2592592592592588E-5</v>
      </c>
      <c r="H541" t="e">
        <f t="shared" si="15"/>
        <v>#VALUE!</v>
      </c>
      <c r="N541" s="1"/>
      <c r="O541" s="1">
        <f>Table25[[#This Row],[Time]]</f>
        <v>0</v>
      </c>
      <c r="R541">
        <f>Table25[[#This Row],[RSSI]]</f>
        <v>0</v>
      </c>
    </row>
    <row r="542" spans="4:18" x14ac:dyDescent="0.25">
      <c r="D542" s="1"/>
      <c r="E542" s="1">
        <f>Table14[[#This Row],[Time]]-TIME(0,0,8)</f>
        <v>-9.2592592592592588E-5</v>
      </c>
      <c r="H542" t="e">
        <f t="shared" si="15"/>
        <v>#VALUE!</v>
      </c>
      <c r="N542" s="1"/>
      <c r="O542" s="1">
        <f>Table25[[#This Row],[Time]]</f>
        <v>0</v>
      </c>
      <c r="R542">
        <f>Table25[[#This Row],[RSSI]]</f>
        <v>0</v>
      </c>
    </row>
    <row r="543" spans="4:18" x14ac:dyDescent="0.25">
      <c r="D543" s="1"/>
      <c r="E543" s="1">
        <f>Table14[[#This Row],[Time]]-TIME(0,0,8)</f>
        <v>-9.2592592592592588E-5</v>
      </c>
      <c r="H543" t="e">
        <f t="shared" si="15"/>
        <v>#VALUE!</v>
      </c>
      <c r="N543" s="1"/>
      <c r="O543" s="1">
        <f>Table25[[#This Row],[Time]]</f>
        <v>0</v>
      </c>
      <c r="R543">
        <f>Table25[[#This Row],[RSSI]]</f>
        <v>0</v>
      </c>
    </row>
    <row r="544" spans="4:18" x14ac:dyDescent="0.25">
      <c r="D544" s="1"/>
      <c r="E544" s="1">
        <f>Table14[[#This Row],[Time]]-TIME(0,0,8)</f>
        <v>-9.2592592592592588E-5</v>
      </c>
      <c r="H544" t="e">
        <f t="shared" si="15"/>
        <v>#VALUE!</v>
      </c>
      <c r="N544" s="1"/>
      <c r="O544" s="1">
        <f>Table25[[#This Row],[Time]]</f>
        <v>0</v>
      </c>
      <c r="R544">
        <f>Table25[[#This Row],[RSSI]]</f>
        <v>0</v>
      </c>
    </row>
    <row r="545" spans="4:18" x14ac:dyDescent="0.25">
      <c r="D545" s="1"/>
      <c r="E545" s="1">
        <f>Table14[[#This Row],[Time]]-TIME(0,0,8)</f>
        <v>-9.2592592592592588E-5</v>
      </c>
      <c r="H545" t="e">
        <f t="shared" si="15"/>
        <v>#VALUE!</v>
      </c>
      <c r="N545" s="1"/>
      <c r="O545" s="1">
        <f>Table25[[#This Row],[Time]]</f>
        <v>0</v>
      </c>
      <c r="R545">
        <f>Table25[[#This Row],[RSSI]]</f>
        <v>0</v>
      </c>
    </row>
    <row r="546" spans="4:18" x14ac:dyDescent="0.25">
      <c r="D546" s="1"/>
      <c r="E546" s="1">
        <f>Table14[[#This Row],[Time]]-TIME(0,0,8)</f>
        <v>-9.2592592592592588E-5</v>
      </c>
      <c r="H546" t="e">
        <f t="shared" si="15"/>
        <v>#VALUE!</v>
      </c>
      <c r="N546" s="1"/>
      <c r="O546" s="1">
        <f>Table25[[#This Row],[Time]]</f>
        <v>0</v>
      </c>
      <c r="R546">
        <f>Table25[[#This Row],[RSSI]]</f>
        <v>0</v>
      </c>
    </row>
    <row r="547" spans="4:18" x14ac:dyDescent="0.25">
      <c r="D547" s="1"/>
      <c r="E547" s="1">
        <f>Table14[[#This Row],[Time]]-TIME(0,0,8)</f>
        <v>-9.2592592592592588E-5</v>
      </c>
      <c r="H547" t="e">
        <f t="shared" si="15"/>
        <v>#VALUE!</v>
      </c>
      <c r="N547" s="1"/>
      <c r="O547" s="1">
        <f>Table25[[#This Row],[Time]]</f>
        <v>0</v>
      </c>
      <c r="R547">
        <f>Table25[[#This Row],[RSSI]]</f>
        <v>0</v>
      </c>
    </row>
    <row r="548" spans="4:18" x14ac:dyDescent="0.25">
      <c r="D548" s="1"/>
      <c r="E548" s="1">
        <f>Table14[[#This Row],[Time]]-TIME(0,0,8)</f>
        <v>-9.2592592592592588E-5</v>
      </c>
      <c r="H548" t="e">
        <f t="shared" si="15"/>
        <v>#VALUE!</v>
      </c>
      <c r="N548" s="1"/>
      <c r="O548" s="1">
        <f>Table25[[#This Row],[Time]]</f>
        <v>0</v>
      </c>
      <c r="R548">
        <f>Table25[[#This Row],[RSSI]]</f>
        <v>0</v>
      </c>
    </row>
    <row r="549" spans="4:18" x14ac:dyDescent="0.25">
      <c r="D549" s="1"/>
      <c r="E549" s="1">
        <f>Table14[[#This Row],[Time]]-TIME(0,0,8)</f>
        <v>-9.2592592592592588E-5</v>
      </c>
      <c r="H549" t="e">
        <f t="shared" si="15"/>
        <v>#VALUE!</v>
      </c>
      <c r="N549" s="1"/>
      <c r="O549" s="1">
        <f>Table25[[#This Row],[Time]]</f>
        <v>0</v>
      </c>
      <c r="R549">
        <f>Table25[[#This Row],[RSSI]]</f>
        <v>0</v>
      </c>
    </row>
    <row r="550" spans="4:18" x14ac:dyDescent="0.25">
      <c r="D550" s="1"/>
      <c r="E550" s="1">
        <f>Table14[[#This Row],[Time]]-TIME(0,0,8)</f>
        <v>-9.2592592592592588E-5</v>
      </c>
      <c r="H550" t="e">
        <f t="shared" si="15"/>
        <v>#VALUE!</v>
      </c>
      <c r="N550" s="1"/>
      <c r="O550" s="1">
        <f>Table25[[#This Row],[Time]]</f>
        <v>0</v>
      </c>
      <c r="R550">
        <f>Table25[[#This Row],[RSSI]]</f>
        <v>0</v>
      </c>
    </row>
    <row r="551" spans="4:18" x14ac:dyDescent="0.25">
      <c r="D551" s="1"/>
      <c r="E551" s="1">
        <f>Table14[[#This Row],[Time]]-TIME(0,0,8)</f>
        <v>-9.2592592592592588E-5</v>
      </c>
      <c r="H551" t="e">
        <f t="shared" si="15"/>
        <v>#VALUE!</v>
      </c>
      <c r="N551" s="1"/>
      <c r="O551" s="1">
        <f>Table25[[#This Row],[Time]]</f>
        <v>0</v>
      </c>
      <c r="R551">
        <f>Table25[[#This Row],[RSSI]]</f>
        <v>0</v>
      </c>
    </row>
    <row r="552" spans="4:18" x14ac:dyDescent="0.25">
      <c r="D552" s="1"/>
      <c r="E552" s="1">
        <f>Table14[[#This Row],[Time]]-TIME(0,0,8)</f>
        <v>-9.2592592592592588E-5</v>
      </c>
      <c r="H552" t="e">
        <f t="shared" si="15"/>
        <v>#VALUE!</v>
      </c>
      <c r="N552" s="1"/>
      <c r="O552" s="1">
        <f>Table25[[#This Row],[Time]]</f>
        <v>0</v>
      </c>
      <c r="R552">
        <f>Table25[[#This Row],[RSSI]]</f>
        <v>0</v>
      </c>
    </row>
    <row r="553" spans="4:18" x14ac:dyDescent="0.25">
      <c r="D553" s="1"/>
      <c r="E553" s="1">
        <f>Table14[[#This Row],[Time]]-TIME(0,0,8)</f>
        <v>-9.2592592592592588E-5</v>
      </c>
      <c r="H553" t="e">
        <f t="shared" si="15"/>
        <v>#VALUE!</v>
      </c>
      <c r="N553" s="1"/>
      <c r="O553" s="1">
        <f>Table25[[#This Row],[Time]]</f>
        <v>0</v>
      </c>
      <c r="R553">
        <f>Table25[[#This Row],[RSSI]]</f>
        <v>0</v>
      </c>
    </row>
    <row r="554" spans="4:18" x14ac:dyDescent="0.25">
      <c r="D554" s="1"/>
      <c r="E554" s="1">
        <f>Table14[[#This Row],[Time]]-TIME(0,0,8)</f>
        <v>-9.2592592592592588E-5</v>
      </c>
      <c r="H554" t="e">
        <f t="shared" si="15"/>
        <v>#VALUE!</v>
      </c>
      <c r="N554" s="1"/>
      <c r="O554" s="1">
        <f>Table25[[#This Row],[Time]]</f>
        <v>0</v>
      </c>
      <c r="R554">
        <f>Table25[[#This Row],[RSSI]]</f>
        <v>0</v>
      </c>
    </row>
    <row r="555" spans="4:18" x14ac:dyDescent="0.25">
      <c r="D555" s="1"/>
      <c r="E555" s="1">
        <f>Table14[[#This Row],[Time]]-TIME(0,0,8)</f>
        <v>-9.2592592592592588E-5</v>
      </c>
      <c r="H555" t="e">
        <f t="shared" si="15"/>
        <v>#VALUE!</v>
      </c>
      <c r="N555" s="1"/>
      <c r="O555" s="1">
        <f>Table25[[#This Row],[Time]]</f>
        <v>0</v>
      </c>
      <c r="R555">
        <f>Table25[[#This Row],[RSSI]]</f>
        <v>0</v>
      </c>
    </row>
    <row r="556" spans="4:18" x14ac:dyDescent="0.25">
      <c r="D556" s="1"/>
      <c r="E556" s="1">
        <f>Table14[[#This Row],[Time]]-TIME(0,0,8)</f>
        <v>-9.2592592592592588E-5</v>
      </c>
      <c r="H556" t="e">
        <f t="shared" si="15"/>
        <v>#VALUE!</v>
      </c>
      <c r="N556" s="1"/>
      <c r="O556" s="1">
        <f>Table25[[#This Row],[Time]]</f>
        <v>0</v>
      </c>
      <c r="R556">
        <f>Table25[[#This Row],[RSSI]]</f>
        <v>0</v>
      </c>
    </row>
    <row r="557" spans="4:18" x14ac:dyDescent="0.25">
      <c r="D557" s="1"/>
      <c r="E557" s="1">
        <f>Table14[[#This Row],[Time]]-TIME(0,0,8)</f>
        <v>-9.2592592592592588E-5</v>
      </c>
      <c r="H557" t="e">
        <f t="shared" si="15"/>
        <v>#VALUE!</v>
      </c>
      <c r="N557" s="1"/>
      <c r="O557" s="1">
        <f>Table25[[#This Row],[Time]]</f>
        <v>0</v>
      </c>
      <c r="R557">
        <f>Table25[[#This Row],[RSSI]]</f>
        <v>0</v>
      </c>
    </row>
    <row r="558" spans="4:18" x14ac:dyDescent="0.25">
      <c r="D558" s="1"/>
      <c r="E558" s="1">
        <f>Table14[[#This Row],[Time]]-TIME(0,0,8)</f>
        <v>-9.2592592592592588E-5</v>
      </c>
      <c r="H558" t="e">
        <f t="shared" si="15"/>
        <v>#VALUE!</v>
      </c>
      <c r="N558" s="1"/>
      <c r="O558" s="1">
        <f>Table25[[#This Row],[Time]]</f>
        <v>0</v>
      </c>
      <c r="R558">
        <f>Table25[[#This Row],[RSSI]]</f>
        <v>0</v>
      </c>
    </row>
    <row r="559" spans="4:18" x14ac:dyDescent="0.25">
      <c r="D559" s="1"/>
      <c r="E559" s="1">
        <f>Table14[[#This Row],[Time]]-TIME(0,0,8)</f>
        <v>-9.2592592592592588E-5</v>
      </c>
      <c r="H559" t="e">
        <f t="shared" si="15"/>
        <v>#VALUE!</v>
      </c>
      <c r="N559" s="1"/>
      <c r="O559" s="1">
        <f>Table25[[#This Row],[Time]]</f>
        <v>0</v>
      </c>
      <c r="R559">
        <f>Table25[[#This Row],[RSSI]]</f>
        <v>0</v>
      </c>
    </row>
    <row r="560" spans="4:18" x14ac:dyDescent="0.25">
      <c r="D560" s="1"/>
      <c r="E560" s="1">
        <f>Table14[[#This Row],[Time]]-TIME(0,0,8)</f>
        <v>-9.2592592592592588E-5</v>
      </c>
      <c r="H560" t="e">
        <f t="shared" si="15"/>
        <v>#VALUE!</v>
      </c>
      <c r="N560" s="1"/>
      <c r="O560" s="1">
        <f>Table25[[#This Row],[Time]]</f>
        <v>0</v>
      </c>
      <c r="R560">
        <f>Table25[[#This Row],[RSSI]]</f>
        <v>0</v>
      </c>
    </row>
    <row r="561" spans="4:18" x14ac:dyDescent="0.25">
      <c r="D561" s="1"/>
      <c r="E561" s="1">
        <f>Table14[[#This Row],[Time]]-TIME(0,0,8)</f>
        <v>-9.2592592592592588E-5</v>
      </c>
      <c r="H561" t="e">
        <f t="shared" si="15"/>
        <v>#VALUE!</v>
      </c>
      <c r="N561" s="1"/>
      <c r="O561" s="1">
        <f>Table25[[#This Row],[Time]]</f>
        <v>0</v>
      </c>
      <c r="R561">
        <f>Table25[[#This Row],[RSSI]]</f>
        <v>0</v>
      </c>
    </row>
    <row r="562" spans="4:18" x14ac:dyDescent="0.25">
      <c r="D562" s="1"/>
      <c r="E562" s="1">
        <f>Table14[[#This Row],[Time]]-TIME(0,0,8)</f>
        <v>-9.2592592592592588E-5</v>
      </c>
      <c r="H562" t="e">
        <f t="shared" si="15"/>
        <v>#VALUE!</v>
      </c>
      <c r="N562" s="1"/>
      <c r="O562" s="1">
        <f>Table25[[#This Row],[Time]]</f>
        <v>0</v>
      </c>
      <c r="R562">
        <f>Table25[[#This Row],[RSSI]]</f>
        <v>0</v>
      </c>
    </row>
    <row r="563" spans="4:18" x14ac:dyDescent="0.25">
      <c r="D563" s="1"/>
      <c r="E563" s="1">
        <f>Table14[[#This Row],[Time]]-TIME(0,0,8)</f>
        <v>-9.2592592592592588E-5</v>
      </c>
      <c r="H563" t="e">
        <f t="shared" si="15"/>
        <v>#VALUE!</v>
      </c>
      <c r="N563" s="1"/>
      <c r="O563" s="1">
        <f>Table25[[#This Row],[Time]]</f>
        <v>0</v>
      </c>
      <c r="R563">
        <f>Table25[[#This Row],[RSSI]]</f>
        <v>0</v>
      </c>
    </row>
    <row r="564" spans="4:18" x14ac:dyDescent="0.25">
      <c r="D564" s="1"/>
      <c r="E564" s="1">
        <f>Table14[[#This Row],[Time]]-TIME(0,0,8)</f>
        <v>-9.2592592592592588E-5</v>
      </c>
      <c r="H564" t="e">
        <f t="shared" si="15"/>
        <v>#VALUE!</v>
      </c>
      <c r="N564" s="1"/>
      <c r="O564" s="1">
        <f>Table25[[#This Row],[Time]]</f>
        <v>0</v>
      </c>
      <c r="R564">
        <f>Table25[[#This Row],[RSSI]]</f>
        <v>0</v>
      </c>
    </row>
    <row r="565" spans="4:18" x14ac:dyDescent="0.25">
      <c r="D565" s="1"/>
      <c r="E565" s="1">
        <f>Table14[[#This Row],[Time]]-TIME(0,0,8)</f>
        <v>-9.2592592592592588E-5</v>
      </c>
      <c r="H565" t="e">
        <f t="shared" si="15"/>
        <v>#VALUE!</v>
      </c>
      <c r="N565" s="1"/>
      <c r="O565" s="1">
        <f>Table25[[#This Row],[Time]]</f>
        <v>0</v>
      </c>
      <c r="R565">
        <f>Table25[[#This Row],[RSSI]]</f>
        <v>0</v>
      </c>
    </row>
    <row r="566" spans="4:18" x14ac:dyDescent="0.25">
      <c r="D566" s="1"/>
      <c r="E566" s="1">
        <f>Table14[[#This Row],[Time]]-TIME(0,0,8)</f>
        <v>-9.2592592592592588E-5</v>
      </c>
      <c r="H566" t="e">
        <f t="shared" si="15"/>
        <v>#VALUE!</v>
      </c>
      <c r="N566" s="1"/>
      <c r="O566" s="1">
        <f>Table25[[#This Row],[Time]]</f>
        <v>0</v>
      </c>
      <c r="R566">
        <f>Table25[[#This Row],[RSSI]]</f>
        <v>0</v>
      </c>
    </row>
    <row r="567" spans="4:18" x14ac:dyDescent="0.25">
      <c r="D567" s="1"/>
      <c r="E567" s="1">
        <f>Table14[[#This Row],[Time]]-TIME(0,0,8)</f>
        <v>-9.2592592592592588E-5</v>
      </c>
      <c r="H567" t="e">
        <f t="shared" si="15"/>
        <v>#VALUE!</v>
      </c>
      <c r="N567" s="1"/>
      <c r="O567" s="1">
        <f>Table25[[#This Row],[Time]]</f>
        <v>0</v>
      </c>
      <c r="R567">
        <f>Table25[[#This Row],[RSSI]]</f>
        <v>0</v>
      </c>
    </row>
    <row r="568" spans="4:18" x14ac:dyDescent="0.25">
      <c r="D568" s="1"/>
      <c r="E568" s="1">
        <f>Table14[[#This Row],[Time]]-TIME(0,0,8)</f>
        <v>-9.2592592592592588E-5</v>
      </c>
      <c r="H568" t="e">
        <f t="shared" si="15"/>
        <v>#VALUE!</v>
      </c>
      <c r="N568" s="1"/>
      <c r="O568" s="1">
        <f>Table25[[#This Row],[Time]]</f>
        <v>0</v>
      </c>
      <c r="R568">
        <f>Table25[[#This Row],[RSSI]]</f>
        <v>0</v>
      </c>
    </row>
    <row r="569" spans="4:18" x14ac:dyDescent="0.25">
      <c r="D569" s="1"/>
      <c r="E569" s="1">
        <f>Table14[[#This Row],[Time]]-TIME(0,0,8)</f>
        <v>-9.2592592592592588E-5</v>
      </c>
      <c r="H569" t="e">
        <f t="shared" si="15"/>
        <v>#VALUE!</v>
      </c>
      <c r="N569" s="1"/>
      <c r="O569" s="1">
        <f>Table25[[#This Row],[Time]]</f>
        <v>0</v>
      </c>
      <c r="R569">
        <f>Table25[[#This Row],[RSSI]]</f>
        <v>0</v>
      </c>
    </row>
    <row r="570" spans="4:18" x14ac:dyDescent="0.25">
      <c r="D570" s="1"/>
      <c r="E570" s="1">
        <f>Table14[[#This Row],[Time]]-TIME(0,0,8)</f>
        <v>-9.2592592592592588E-5</v>
      </c>
      <c r="H570" t="e">
        <f t="shared" si="15"/>
        <v>#VALUE!</v>
      </c>
      <c r="N570" s="1"/>
      <c r="O570" s="1">
        <f>Table25[[#This Row],[Time]]</f>
        <v>0</v>
      </c>
      <c r="R570">
        <f>Table25[[#This Row],[RSSI]]</f>
        <v>0</v>
      </c>
    </row>
    <row r="571" spans="4:18" x14ac:dyDescent="0.25">
      <c r="D571" s="1"/>
      <c r="E571" s="1">
        <f>Table14[[#This Row],[Time]]-TIME(0,0,8)</f>
        <v>-9.2592592592592588E-5</v>
      </c>
      <c r="H571" t="e">
        <f t="shared" si="15"/>
        <v>#VALUE!</v>
      </c>
      <c r="N571" s="1"/>
      <c r="O571" s="1">
        <f>Table25[[#This Row],[Time]]</f>
        <v>0</v>
      </c>
      <c r="R571">
        <f>Table25[[#This Row],[RSSI]]</f>
        <v>0</v>
      </c>
    </row>
    <row r="572" spans="4:18" x14ac:dyDescent="0.25">
      <c r="D572" s="1"/>
      <c r="E572" s="1">
        <f>Table14[[#This Row],[Time]]-TIME(0,0,8)</f>
        <v>-9.2592592592592588E-5</v>
      </c>
      <c r="H572" t="e">
        <f t="shared" si="15"/>
        <v>#VALUE!</v>
      </c>
      <c r="N572" s="1"/>
      <c r="O572" s="1">
        <f>Table25[[#This Row],[Time]]</f>
        <v>0</v>
      </c>
      <c r="R572">
        <f>Table25[[#This Row],[RSSI]]</f>
        <v>0</v>
      </c>
    </row>
    <row r="573" spans="4:18" x14ac:dyDescent="0.25">
      <c r="D573" s="1"/>
      <c r="E573" s="1">
        <f>Table14[[#This Row],[Time]]-TIME(0,0,8)</f>
        <v>-9.2592592592592588E-5</v>
      </c>
      <c r="H573" t="e">
        <f t="shared" si="15"/>
        <v>#VALUE!</v>
      </c>
      <c r="N573" s="1"/>
      <c r="O573" s="1">
        <f>Table25[[#This Row],[Time]]</f>
        <v>0</v>
      </c>
      <c r="R573">
        <f>Table25[[#This Row],[RSSI]]</f>
        <v>0</v>
      </c>
    </row>
    <row r="574" spans="4:18" x14ac:dyDescent="0.25">
      <c r="D574" s="1"/>
      <c r="E574" s="1">
        <f>Table14[[#This Row],[Time]]-TIME(0,0,8)</f>
        <v>-9.2592592592592588E-5</v>
      </c>
      <c r="H574" t="e">
        <f t="shared" si="15"/>
        <v>#VALUE!</v>
      </c>
      <c r="N574" s="1"/>
      <c r="O574" s="1">
        <f>Table25[[#This Row],[Time]]</f>
        <v>0</v>
      </c>
      <c r="R574">
        <f>Table25[[#This Row],[RSSI]]</f>
        <v>0</v>
      </c>
    </row>
    <row r="575" spans="4:18" x14ac:dyDescent="0.25">
      <c r="D575" s="1"/>
      <c r="E575" s="1">
        <f>Table14[[#This Row],[Time]]-TIME(0,0,8)</f>
        <v>-9.2592592592592588E-5</v>
      </c>
      <c r="H575" t="e">
        <f t="shared" si="15"/>
        <v>#VALUE!</v>
      </c>
      <c r="N575" s="1"/>
      <c r="O575" s="1">
        <f>Table25[[#This Row],[Time]]</f>
        <v>0</v>
      </c>
      <c r="R575">
        <f>Table25[[#This Row],[RSSI]]</f>
        <v>0</v>
      </c>
    </row>
    <row r="576" spans="4:18" x14ac:dyDescent="0.25">
      <c r="D576" s="1"/>
      <c r="E576" s="1">
        <f>Table14[[#This Row],[Time]]-TIME(0,0,8)</f>
        <v>-9.2592592592592588E-5</v>
      </c>
      <c r="H576" t="e">
        <f t="shared" si="15"/>
        <v>#VALUE!</v>
      </c>
      <c r="N576" s="1"/>
      <c r="O576" s="1">
        <f>Table25[[#This Row],[Time]]</f>
        <v>0</v>
      </c>
      <c r="R576">
        <f>Table25[[#This Row],[RSSI]]</f>
        <v>0</v>
      </c>
    </row>
    <row r="577" spans="4:18" x14ac:dyDescent="0.25">
      <c r="D577" s="1"/>
      <c r="E577" s="1">
        <f>Table14[[#This Row],[Time]]-TIME(0,0,8)</f>
        <v>-9.2592592592592588E-5</v>
      </c>
      <c r="H577" t="e">
        <f t="shared" si="15"/>
        <v>#VALUE!</v>
      </c>
      <c r="N577" s="1"/>
      <c r="O577" s="1">
        <f>Table25[[#This Row],[Time]]</f>
        <v>0</v>
      </c>
      <c r="R577">
        <f>Table25[[#This Row],[RSSI]]</f>
        <v>0</v>
      </c>
    </row>
    <row r="578" spans="4:18" x14ac:dyDescent="0.25">
      <c r="D578" s="1"/>
      <c r="E578" s="1">
        <f>Table14[[#This Row],[Time]]-TIME(0,0,8)</f>
        <v>-9.2592592592592588E-5</v>
      </c>
      <c r="H578" t="e">
        <f t="shared" si="15"/>
        <v>#VALUE!</v>
      </c>
      <c r="N578" s="1"/>
      <c r="O578" s="1">
        <f>Table25[[#This Row],[Time]]</f>
        <v>0</v>
      </c>
      <c r="R578">
        <f>Table25[[#This Row],[RSSI]]</f>
        <v>0</v>
      </c>
    </row>
    <row r="579" spans="4:18" x14ac:dyDescent="0.25">
      <c r="D579" s="1"/>
      <c r="E579" s="1">
        <f>Table14[[#This Row],[Time]]-TIME(0,0,8)</f>
        <v>-9.2592592592592588E-5</v>
      </c>
      <c r="H579" t="e">
        <f t="shared" si="15"/>
        <v>#VALUE!</v>
      </c>
      <c r="N579" s="1"/>
      <c r="O579" s="1">
        <f>Table25[[#This Row],[Time]]</f>
        <v>0</v>
      </c>
      <c r="R579">
        <f>Table25[[#This Row],[RSSI]]</f>
        <v>0</v>
      </c>
    </row>
    <row r="580" spans="4:18" x14ac:dyDescent="0.25">
      <c r="D580" s="1"/>
      <c r="E580" s="1">
        <f>Table14[[#This Row],[Time]]-TIME(0,0,8)</f>
        <v>-9.2592592592592588E-5</v>
      </c>
      <c r="H580" t="e">
        <f t="shared" ref="H580:H643" si="16">VALUE(LEFT(G580,LEN(G580)-1))</f>
        <v>#VALUE!</v>
      </c>
      <c r="N580" s="1"/>
      <c r="O580" s="1">
        <f>Table25[[#This Row],[Time]]</f>
        <v>0</v>
      </c>
      <c r="R580">
        <f>Table25[[#This Row],[RSSI]]</f>
        <v>0</v>
      </c>
    </row>
    <row r="581" spans="4:18" x14ac:dyDescent="0.25">
      <c r="D581" s="1"/>
      <c r="E581" s="1">
        <f>Table14[[#This Row],[Time]]-TIME(0,0,8)</f>
        <v>-9.2592592592592588E-5</v>
      </c>
      <c r="H581" t="e">
        <f t="shared" si="16"/>
        <v>#VALUE!</v>
      </c>
      <c r="N581" s="1"/>
      <c r="O581" s="1">
        <f>Table25[[#This Row],[Time]]</f>
        <v>0</v>
      </c>
      <c r="R581">
        <f>Table25[[#This Row],[RSSI]]</f>
        <v>0</v>
      </c>
    </row>
    <row r="582" spans="4:18" x14ac:dyDescent="0.25">
      <c r="D582" s="1"/>
      <c r="E582" s="1">
        <f>Table14[[#This Row],[Time]]-TIME(0,0,8)</f>
        <v>-9.2592592592592588E-5</v>
      </c>
      <c r="H582" t="e">
        <f t="shared" si="16"/>
        <v>#VALUE!</v>
      </c>
      <c r="N582" s="1"/>
      <c r="O582" s="1">
        <f>Table25[[#This Row],[Time]]</f>
        <v>0</v>
      </c>
      <c r="R582">
        <f>Table25[[#This Row],[RSSI]]</f>
        <v>0</v>
      </c>
    </row>
    <row r="583" spans="4:18" x14ac:dyDescent="0.25">
      <c r="D583" s="1"/>
      <c r="E583" s="1">
        <f>Table14[[#This Row],[Time]]-TIME(0,0,8)</f>
        <v>-9.2592592592592588E-5</v>
      </c>
      <c r="H583" t="e">
        <f t="shared" si="16"/>
        <v>#VALUE!</v>
      </c>
      <c r="N583" s="1"/>
      <c r="O583" s="1">
        <f>Table25[[#This Row],[Time]]</f>
        <v>0</v>
      </c>
      <c r="R583">
        <f>Table25[[#This Row],[RSSI]]</f>
        <v>0</v>
      </c>
    </row>
    <row r="584" spans="4:18" x14ac:dyDescent="0.25">
      <c r="D584" s="1"/>
      <c r="E584" s="1">
        <f>Table14[[#This Row],[Time]]-TIME(0,0,8)</f>
        <v>-9.2592592592592588E-5</v>
      </c>
      <c r="H584" t="e">
        <f t="shared" si="16"/>
        <v>#VALUE!</v>
      </c>
      <c r="N584" s="1"/>
      <c r="O584" s="1">
        <f>Table25[[#This Row],[Time]]</f>
        <v>0</v>
      </c>
      <c r="R584">
        <f>Table25[[#This Row],[RSSI]]</f>
        <v>0</v>
      </c>
    </row>
    <row r="585" spans="4:18" x14ac:dyDescent="0.25">
      <c r="D585" s="1"/>
      <c r="E585" s="1">
        <f>Table14[[#This Row],[Time]]-TIME(0,0,8)</f>
        <v>-9.2592592592592588E-5</v>
      </c>
      <c r="H585" t="e">
        <f t="shared" si="16"/>
        <v>#VALUE!</v>
      </c>
      <c r="N585" s="1"/>
      <c r="O585" s="1">
        <f>Table25[[#This Row],[Time]]</f>
        <v>0</v>
      </c>
      <c r="R585">
        <f>Table25[[#This Row],[RSSI]]</f>
        <v>0</v>
      </c>
    </row>
    <row r="586" spans="4:18" x14ac:dyDescent="0.25">
      <c r="D586" s="1"/>
      <c r="E586" s="1">
        <f>Table14[[#This Row],[Time]]-TIME(0,0,8)</f>
        <v>-9.2592592592592588E-5</v>
      </c>
      <c r="H586" t="e">
        <f t="shared" si="16"/>
        <v>#VALUE!</v>
      </c>
      <c r="N586" s="1"/>
      <c r="O586" s="1">
        <f>Table25[[#This Row],[Time]]</f>
        <v>0</v>
      </c>
      <c r="R586">
        <f>Table25[[#This Row],[RSSI]]</f>
        <v>0</v>
      </c>
    </row>
    <row r="587" spans="4:18" x14ac:dyDescent="0.25">
      <c r="D587" s="1"/>
      <c r="E587" s="1">
        <f>Table14[[#This Row],[Time]]-TIME(0,0,8)</f>
        <v>-9.2592592592592588E-5</v>
      </c>
      <c r="H587" t="e">
        <f t="shared" si="16"/>
        <v>#VALUE!</v>
      </c>
      <c r="N587" s="1"/>
      <c r="O587" s="1">
        <f>Table25[[#This Row],[Time]]</f>
        <v>0</v>
      </c>
      <c r="R587">
        <f>Table25[[#This Row],[RSSI]]</f>
        <v>0</v>
      </c>
    </row>
    <row r="588" spans="4:18" x14ac:dyDescent="0.25">
      <c r="D588" s="1"/>
      <c r="E588" s="1">
        <f>Table14[[#This Row],[Time]]-TIME(0,0,8)</f>
        <v>-9.2592592592592588E-5</v>
      </c>
      <c r="H588" t="e">
        <f t="shared" si="16"/>
        <v>#VALUE!</v>
      </c>
      <c r="N588" s="1"/>
      <c r="O588" s="1">
        <f>Table25[[#This Row],[Time]]</f>
        <v>0</v>
      </c>
      <c r="R588">
        <f>Table25[[#This Row],[RSSI]]</f>
        <v>0</v>
      </c>
    </row>
    <row r="589" spans="4:18" x14ac:dyDescent="0.25">
      <c r="D589" s="1"/>
      <c r="E589" s="1">
        <f>Table14[[#This Row],[Time]]-TIME(0,0,8)</f>
        <v>-9.2592592592592588E-5</v>
      </c>
      <c r="H589" t="e">
        <f t="shared" si="16"/>
        <v>#VALUE!</v>
      </c>
      <c r="N589" s="1"/>
      <c r="O589" s="1">
        <f>Table25[[#This Row],[Time]]</f>
        <v>0</v>
      </c>
      <c r="R589">
        <f>Table25[[#This Row],[RSSI]]</f>
        <v>0</v>
      </c>
    </row>
    <row r="590" spans="4:18" x14ac:dyDescent="0.25">
      <c r="D590" s="1"/>
      <c r="E590" s="1">
        <f>Table14[[#This Row],[Time]]-TIME(0,0,8)</f>
        <v>-9.2592592592592588E-5</v>
      </c>
      <c r="H590" t="e">
        <f t="shared" si="16"/>
        <v>#VALUE!</v>
      </c>
      <c r="N590" s="1"/>
      <c r="O590" s="1">
        <f>Table25[[#This Row],[Time]]</f>
        <v>0</v>
      </c>
      <c r="R590">
        <f>Table25[[#This Row],[RSSI]]</f>
        <v>0</v>
      </c>
    </row>
    <row r="591" spans="4:18" x14ac:dyDescent="0.25">
      <c r="D591" s="1"/>
      <c r="E591" s="1">
        <f>Table14[[#This Row],[Time]]-TIME(0,0,8)</f>
        <v>-9.2592592592592588E-5</v>
      </c>
      <c r="H591" t="e">
        <f t="shared" si="16"/>
        <v>#VALUE!</v>
      </c>
      <c r="N591" s="1"/>
      <c r="O591" s="1">
        <f>Table25[[#This Row],[Time]]</f>
        <v>0</v>
      </c>
      <c r="R591">
        <f>Table25[[#This Row],[RSSI]]</f>
        <v>0</v>
      </c>
    </row>
    <row r="592" spans="4:18" x14ac:dyDescent="0.25">
      <c r="D592" s="1"/>
      <c r="E592" s="1">
        <f>Table14[[#This Row],[Time]]-TIME(0,0,8)</f>
        <v>-9.2592592592592588E-5</v>
      </c>
      <c r="H592" t="e">
        <f t="shared" si="16"/>
        <v>#VALUE!</v>
      </c>
      <c r="N592" s="1"/>
      <c r="O592" s="1">
        <f>Table25[[#This Row],[Time]]</f>
        <v>0</v>
      </c>
      <c r="R592">
        <f>Table25[[#This Row],[RSSI]]</f>
        <v>0</v>
      </c>
    </row>
    <row r="593" spans="4:18" x14ac:dyDescent="0.25">
      <c r="D593" s="1"/>
      <c r="E593" s="1">
        <f>Table14[[#This Row],[Time]]-TIME(0,0,8)</f>
        <v>-9.2592592592592588E-5</v>
      </c>
      <c r="H593" t="e">
        <f t="shared" si="16"/>
        <v>#VALUE!</v>
      </c>
      <c r="N593" s="1"/>
      <c r="O593" s="1">
        <f>Table25[[#This Row],[Time]]</f>
        <v>0</v>
      </c>
      <c r="R593">
        <f>Table25[[#This Row],[RSSI]]</f>
        <v>0</v>
      </c>
    </row>
    <row r="594" spans="4:18" x14ac:dyDescent="0.25">
      <c r="D594" s="1"/>
      <c r="E594" s="1">
        <f>Table14[[#This Row],[Time]]-TIME(0,0,8)</f>
        <v>-9.2592592592592588E-5</v>
      </c>
      <c r="H594" t="e">
        <f t="shared" si="16"/>
        <v>#VALUE!</v>
      </c>
      <c r="N594" s="1"/>
      <c r="O594" s="1">
        <f>Table25[[#This Row],[Time]]</f>
        <v>0</v>
      </c>
      <c r="R594">
        <f>Table25[[#This Row],[RSSI]]</f>
        <v>0</v>
      </c>
    </row>
    <row r="595" spans="4:18" x14ac:dyDescent="0.25">
      <c r="D595" s="1"/>
      <c r="E595" s="1">
        <f>Table14[[#This Row],[Time]]-TIME(0,0,8)</f>
        <v>-9.2592592592592588E-5</v>
      </c>
      <c r="H595" t="e">
        <f t="shared" si="16"/>
        <v>#VALUE!</v>
      </c>
      <c r="N595" s="1"/>
      <c r="O595" s="1">
        <f>Table25[[#This Row],[Time]]</f>
        <v>0</v>
      </c>
      <c r="R595">
        <f>Table25[[#This Row],[RSSI]]</f>
        <v>0</v>
      </c>
    </row>
    <row r="596" spans="4:18" x14ac:dyDescent="0.25">
      <c r="D596" s="1"/>
      <c r="E596" s="1">
        <f>Table14[[#This Row],[Time]]-TIME(0,0,8)</f>
        <v>-9.2592592592592588E-5</v>
      </c>
      <c r="H596" t="e">
        <f t="shared" si="16"/>
        <v>#VALUE!</v>
      </c>
      <c r="N596" s="1"/>
      <c r="O596" s="1">
        <f>Table25[[#This Row],[Time]]</f>
        <v>0</v>
      </c>
      <c r="R596">
        <f>Table25[[#This Row],[RSSI]]</f>
        <v>0</v>
      </c>
    </row>
    <row r="597" spans="4:18" x14ac:dyDescent="0.25">
      <c r="D597" s="1"/>
      <c r="E597" s="1">
        <f>Table14[[#This Row],[Time]]-TIME(0,0,8)</f>
        <v>-9.2592592592592588E-5</v>
      </c>
      <c r="H597" t="e">
        <f t="shared" si="16"/>
        <v>#VALUE!</v>
      </c>
      <c r="N597" s="1"/>
      <c r="O597" s="1">
        <f>Table25[[#This Row],[Time]]</f>
        <v>0</v>
      </c>
      <c r="R597">
        <f>Table25[[#This Row],[RSSI]]</f>
        <v>0</v>
      </c>
    </row>
    <row r="598" spans="4:18" x14ac:dyDescent="0.25">
      <c r="D598" s="1"/>
      <c r="E598" s="1">
        <f>Table14[[#This Row],[Time]]-TIME(0,0,8)</f>
        <v>-9.2592592592592588E-5</v>
      </c>
      <c r="H598" t="e">
        <f t="shared" si="16"/>
        <v>#VALUE!</v>
      </c>
      <c r="N598" s="1"/>
      <c r="O598" s="1">
        <f>Table25[[#This Row],[Time]]</f>
        <v>0</v>
      </c>
      <c r="R598">
        <f>Table25[[#This Row],[RSSI]]</f>
        <v>0</v>
      </c>
    </row>
    <row r="599" spans="4:18" x14ac:dyDescent="0.25">
      <c r="D599" s="1"/>
      <c r="E599" s="1">
        <f>Table14[[#This Row],[Time]]-TIME(0,0,8)</f>
        <v>-9.2592592592592588E-5</v>
      </c>
      <c r="H599" t="e">
        <f t="shared" si="16"/>
        <v>#VALUE!</v>
      </c>
      <c r="N599" s="1"/>
      <c r="O599" s="1">
        <f>Table25[[#This Row],[Time]]</f>
        <v>0</v>
      </c>
      <c r="R599">
        <f>Table25[[#This Row],[RSSI]]</f>
        <v>0</v>
      </c>
    </row>
    <row r="600" spans="4:18" x14ac:dyDescent="0.25">
      <c r="D600" s="1"/>
      <c r="E600" s="1">
        <f>Table14[[#This Row],[Time]]-TIME(0,0,8)</f>
        <v>-9.2592592592592588E-5</v>
      </c>
      <c r="H600" t="e">
        <f t="shared" si="16"/>
        <v>#VALUE!</v>
      </c>
      <c r="N600" s="1"/>
      <c r="O600" s="1">
        <f>Table25[[#This Row],[Time]]</f>
        <v>0</v>
      </c>
      <c r="R600">
        <f>Table25[[#This Row],[RSSI]]</f>
        <v>0</v>
      </c>
    </row>
    <row r="601" spans="4:18" x14ac:dyDescent="0.25">
      <c r="D601" s="1"/>
      <c r="E601" s="1">
        <f>Table14[[#This Row],[Time]]-TIME(0,0,8)</f>
        <v>-9.2592592592592588E-5</v>
      </c>
      <c r="H601" t="e">
        <f t="shared" si="16"/>
        <v>#VALUE!</v>
      </c>
      <c r="N601" s="1"/>
      <c r="O601" s="1">
        <f>Table25[[#This Row],[Time]]</f>
        <v>0</v>
      </c>
      <c r="R601">
        <f>Table25[[#This Row],[RSSI]]</f>
        <v>0</v>
      </c>
    </row>
    <row r="602" spans="4:18" x14ac:dyDescent="0.25">
      <c r="D602" s="1"/>
      <c r="E602" s="1">
        <f>Table14[[#This Row],[Time]]-TIME(0,0,8)</f>
        <v>-9.2592592592592588E-5</v>
      </c>
      <c r="H602" t="e">
        <f t="shared" si="16"/>
        <v>#VALUE!</v>
      </c>
      <c r="N602" s="1"/>
      <c r="O602" s="1">
        <f>Table25[[#This Row],[Time]]</f>
        <v>0</v>
      </c>
      <c r="R602">
        <f>Table25[[#This Row],[RSSI]]</f>
        <v>0</v>
      </c>
    </row>
    <row r="603" spans="4:18" x14ac:dyDescent="0.25">
      <c r="D603" s="1"/>
      <c r="E603" s="1">
        <f>Table14[[#This Row],[Time]]-TIME(0,0,8)</f>
        <v>-9.2592592592592588E-5</v>
      </c>
      <c r="H603" t="e">
        <f t="shared" si="16"/>
        <v>#VALUE!</v>
      </c>
      <c r="N603" s="1"/>
      <c r="O603" s="1">
        <f>Table25[[#This Row],[Time]]</f>
        <v>0</v>
      </c>
      <c r="R603">
        <f>Table25[[#This Row],[RSSI]]</f>
        <v>0</v>
      </c>
    </row>
    <row r="604" spans="4:18" x14ac:dyDescent="0.25">
      <c r="D604" s="1"/>
      <c r="E604" s="1">
        <f>Table14[[#This Row],[Time]]-TIME(0,0,8)</f>
        <v>-9.2592592592592588E-5</v>
      </c>
      <c r="H604" t="e">
        <f t="shared" si="16"/>
        <v>#VALUE!</v>
      </c>
      <c r="N604" s="1"/>
      <c r="O604" s="1">
        <f>Table25[[#This Row],[Time]]</f>
        <v>0</v>
      </c>
      <c r="R604">
        <f>Table25[[#This Row],[RSSI]]</f>
        <v>0</v>
      </c>
    </row>
    <row r="605" spans="4:18" x14ac:dyDescent="0.25">
      <c r="D605" s="1"/>
      <c r="E605" s="1">
        <f>Table14[[#This Row],[Time]]-TIME(0,0,8)</f>
        <v>-9.2592592592592588E-5</v>
      </c>
      <c r="H605" t="e">
        <f t="shared" si="16"/>
        <v>#VALUE!</v>
      </c>
      <c r="N605" s="1"/>
      <c r="O605" s="1">
        <f>Table25[[#This Row],[Time]]</f>
        <v>0</v>
      </c>
      <c r="R605">
        <f>Table25[[#This Row],[RSSI]]</f>
        <v>0</v>
      </c>
    </row>
    <row r="606" spans="4:18" x14ac:dyDescent="0.25">
      <c r="D606" s="1"/>
      <c r="E606" s="1">
        <f>Table14[[#This Row],[Time]]-TIME(0,0,8)</f>
        <v>-9.2592592592592588E-5</v>
      </c>
      <c r="H606" t="e">
        <f t="shared" si="16"/>
        <v>#VALUE!</v>
      </c>
      <c r="N606" s="1"/>
      <c r="O606" s="1">
        <f>Table25[[#This Row],[Time]]</f>
        <v>0</v>
      </c>
      <c r="R606">
        <f>Table25[[#This Row],[RSSI]]</f>
        <v>0</v>
      </c>
    </row>
    <row r="607" spans="4:18" x14ac:dyDescent="0.25">
      <c r="D607" s="1"/>
      <c r="E607" s="1">
        <f>Table14[[#This Row],[Time]]-TIME(0,0,8)</f>
        <v>-9.2592592592592588E-5</v>
      </c>
      <c r="H607" t="e">
        <f t="shared" si="16"/>
        <v>#VALUE!</v>
      </c>
      <c r="N607" s="1"/>
      <c r="O607" s="1">
        <f>Table25[[#This Row],[Time]]</f>
        <v>0</v>
      </c>
      <c r="R607">
        <f>Table25[[#This Row],[RSSI]]</f>
        <v>0</v>
      </c>
    </row>
    <row r="608" spans="4:18" x14ac:dyDescent="0.25">
      <c r="D608" s="1"/>
      <c r="E608" s="1">
        <f>Table14[[#This Row],[Time]]-TIME(0,0,8)</f>
        <v>-9.2592592592592588E-5</v>
      </c>
      <c r="H608" t="e">
        <f t="shared" si="16"/>
        <v>#VALUE!</v>
      </c>
      <c r="N608" s="1"/>
      <c r="O608" s="1">
        <f>Table25[[#This Row],[Time]]</f>
        <v>0</v>
      </c>
      <c r="R608">
        <f>Table25[[#This Row],[RSSI]]</f>
        <v>0</v>
      </c>
    </row>
    <row r="609" spans="4:18" x14ac:dyDescent="0.25">
      <c r="D609" s="1"/>
      <c r="E609" s="1">
        <f>Table14[[#This Row],[Time]]-TIME(0,0,8)</f>
        <v>-9.2592592592592588E-5</v>
      </c>
      <c r="H609" t="e">
        <f t="shared" si="16"/>
        <v>#VALUE!</v>
      </c>
      <c r="N609" s="1"/>
      <c r="O609" s="1">
        <f>Table25[[#This Row],[Time]]</f>
        <v>0</v>
      </c>
      <c r="R609">
        <f>Table25[[#This Row],[RSSI]]</f>
        <v>0</v>
      </c>
    </row>
    <row r="610" spans="4:18" x14ac:dyDescent="0.25">
      <c r="D610" s="1"/>
      <c r="E610" s="1">
        <f>Table14[[#This Row],[Time]]-TIME(0,0,8)</f>
        <v>-9.2592592592592588E-5</v>
      </c>
      <c r="H610" t="e">
        <f t="shared" si="16"/>
        <v>#VALUE!</v>
      </c>
      <c r="N610" s="1"/>
      <c r="O610" s="1">
        <f>Table25[[#This Row],[Time]]</f>
        <v>0</v>
      </c>
      <c r="R610">
        <f>Table25[[#This Row],[RSSI]]</f>
        <v>0</v>
      </c>
    </row>
    <row r="611" spans="4:18" x14ac:dyDescent="0.25">
      <c r="D611" s="1"/>
      <c r="E611" s="1">
        <f>Table14[[#This Row],[Time]]-TIME(0,0,8)</f>
        <v>-9.2592592592592588E-5</v>
      </c>
      <c r="H611" t="e">
        <f t="shared" si="16"/>
        <v>#VALUE!</v>
      </c>
      <c r="N611" s="1"/>
      <c r="O611" s="1">
        <f>Table25[[#This Row],[Time]]</f>
        <v>0</v>
      </c>
      <c r="R611">
        <f>Table25[[#This Row],[RSSI]]</f>
        <v>0</v>
      </c>
    </row>
    <row r="612" spans="4:18" x14ac:dyDescent="0.25">
      <c r="D612" s="1"/>
      <c r="E612" s="1">
        <f>Table14[[#This Row],[Time]]-TIME(0,0,8)</f>
        <v>-9.2592592592592588E-5</v>
      </c>
      <c r="H612" t="e">
        <f t="shared" si="16"/>
        <v>#VALUE!</v>
      </c>
      <c r="N612" s="1"/>
      <c r="O612" s="1">
        <f>Table25[[#This Row],[Time]]</f>
        <v>0</v>
      </c>
      <c r="R612">
        <f>Table25[[#This Row],[RSSI]]</f>
        <v>0</v>
      </c>
    </row>
    <row r="613" spans="4:18" x14ac:dyDescent="0.25">
      <c r="D613" s="1"/>
      <c r="E613" s="1">
        <f>Table14[[#This Row],[Time]]-TIME(0,0,8)</f>
        <v>-9.2592592592592588E-5</v>
      </c>
      <c r="H613" t="e">
        <f t="shared" si="16"/>
        <v>#VALUE!</v>
      </c>
      <c r="N613" s="1"/>
      <c r="O613" s="1">
        <f>Table25[[#This Row],[Time]]</f>
        <v>0</v>
      </c>
      <c r="R613">
        <f>Table25[[#This Row],[RSSI]]</f>
        <v>0</v>
      </c>
    </row>
    <row r="614" spans="4:18" x14ac:dyDescent="0.25">
      <c r="D614" s="1"/>
      <c r="E614" s="1">
        <f>Table14[[#This Row],[Time]]-TIME(0,0,8)</f>
        <v>-9.2592592592592588E-5</v>
      </c>
      <c r="H614" t="e">
        <f t="shared" si="16"/>
        <v>#VALUE!</v>
      </c>
      <c r="N614" s="1"/>
      <c r="O614" s="1">
        <f>Table25[[#This Row],[Time]]</f>
        <v>0</v>
      </c>
      <c r="R614">
        <f>Table25[[#This Row],[RSSI]]</f>
        <v>0</v>
      </c>
    </row>
    <row r="615" spans="4:18" x14ac:dyDescent="0.25">
      <c r="D615" s="1"/>
      <c r="E615" s="1">
        <f>Table14[[#This Row],[Time]]-TIME(0,0,8)</f>
        <v>-9.2592592592592588E-5</v>
      </c>
      <c r="H615" t="e">
        <f t="shared" si="16"/>
        <v>#VALUE!</v>
      </c>
      <c r="N615" s="1"/>
      <c r="O615" s="1">
        <f>Table25[[#This Row],[Time]]</f>
        <v>0</v>
      </c>
      <c r="R615">
        <f>Table25[[#This Row],[RSSI]]</f>
        <v>0</v>
      </c>
    </row>
    <row r="616" spans="4:18" x14ac:dyDescent="0.25">
      <c r="D616" s="1"/>
      <c r="E616" s="1">
        <f>Table14[[#This Row],[Time]]-TIME(0,0,8)</f>
        <v>-9.2592592592592588E-5</v>
      </c>
      <c r="H616" t="e">
        <f t="shared" si="16"/>
        <v>#VALUE!</v>
      </c>
      <c r="N616" s="1"/>
      <c r="O616" s="1">
        <f>Table25[[#This Row],[Time]]</f>
        <v>0</v>
      </c>
      <c r="R616">
        <f>Table25[[#This Row],[RSSI]]</f>
        <v>0</v>
      </c>
    </row>
    <row r="617" spans="4:18" x14ac:dyDescent="0.25">
      <c r="D617" s="1"/>
      <c r="E617" s="1">
        <f>Table14[[#This Row],[Time]]-TIME(0,0,8)</f>
        <v>-9.2592592592592588E-5</v>
      </c>
      <c r="H617" t="e">
        <f t="shared" si="16"/>
        <v>#VALUE!</v>
      </c>
      <c r="N617" s="1"/>
      <c r="O617" s="1">
        <f>Table25[[#This Row],[Time]]</f>
        <v>0</v>
      </c>
      <c r="R617">
        <f>Table25[[#This Row],[RSSI]]</f>
        <v>0</v>
      </c>
    </row>
    <row r="618" spans="4:18" x14ac:dyDescent="0.25">
      <c r="D618" s="1"/>
      <c r="E618" s="1">
        <f>Table14[[#This Row],[Time]]-TIME(0,0,8)</f>
        <v>-9.2592592592592588E-5</v>
      </c>
      <c r="H618" t="e">
        <f t="shared" si="16"/>
        <v>#VALUE!</v>
      </c>
      <c r="N618" s="1"/>
      <c r="O618" s="1">
        <f>Table25[[#This Row],[Time]]</f>
        <v>0</v>
      </c>
      <c r="R618">
        <f>Table25[[#This Row],[RSSI]]</f>
        <v>0</v>
      </c>
    </row>
    <row r="619" spans="4:18" x14ac:dyDescent="0.25">
      <c r="D619" s="1"/>
      <c r="E619" s="1">
        <f>Table14[[#This Row],[Time]]-TIME(0,0,8)</f>
        <v>-9.2592592592592588E-5</v>
      </c>
      <c r="H619" t="e">
        <f t="shared" si="16"/>
        <v>#VALUE!</v>
      </c>
      <c r="N619" s="1"/>
      <c r="O619" s="1">
        <f>Table25[[#This Row],[Time]]</f>
        <v>0</v>
      </c>
      <c r="R619">
        <f>Table25[[#This Row],[RSSI]]</f>
        <v>0</v>
      </c>
    </row>
    <row r="620" spans="4:18" x14ac:dyDescent="0.25">
      <c r="D620" s="1"/>
      <c r="E620" s="1">
        <f>Table14[[#This Row],[Time]]-TIME(0,0,8)</f>
        <v>-9.2592592592592588E-5</v>
      </c>
      <c r="H620" t="e">
        <f t="shared" si="16"/>
        <v>#VALUE!</v>
      </c>
      <c r="N620" s="1"/>
      <c r="O620" s="1">
        <f>Table25[[#This Row],[Time]]</f>
        <v>0</v>
      </c>
      <c r="R620">
        <f>Table25[[#This Row],[RSSI]]</f>
        <v>0</v>
      </c>
    </row>
    <row r="621" spans="4:18" x14ac:dyDescent="0.25">
      <c r="D621" s="1"/>
      <c r="E621" s="1">
        <f>Table14[[#This Row],[Time]]-TIME(0,0,8)</f>
        <v>-9.2592592592592588E-5</v>
      </c>
      <c r="H621" t="e">
        <f t="shared" si="16"/>
        <v>#VALUE!</v>
      </c>
      <c r="N621" s="1"/>
      <c r="O621" s="1">
        <f>Table25[[#This Row],[Time]]</f>
        <v>0</v>
      </c>
      <c r="R621">
        <f>Table25[[#This Row],[RSSI]]</f>
        <v>0</v>
      </c>
    </row>
    <row r="622" spans="4:18" x14ac:dyDescent="0.25">
      <c r="D622" s="1"/>
      <c r="E622" s="1">
        <f>Table14[[#This Row],[Time]]-TIME(0,0,8)</f>
        <v>-9.2592592592592588E-5</v>
      </c>
      <c r="H622" t="e">
        <f t="shared" si="16"/>
        <v>#VALUE!</v>
      </c>
      <c r="N622" s="1"/>
      <c r="O622" s="1">
        <f>Table25[[#This Row],[Time]]</f>
        <v>0</v>
      </c>
      <c r="R622">
        <f>Table25[[#This Row],[RSSI]]</f>
        <v>0</v>
      </c>
    </row>
    <row r="623" spans="4:18" x14ac:dyDescent="0.25">
      <c r="D623" s="1"/>
      <c r="E623" s="1">
        <f>Table14[[#This Row],[Time]]-TIME(0,0,8)</f>
        <v>-9.2592592592592588E-5</v>
      </c>
      <c r="H623" t="e">
        <f t="shared" si="16"/>
        <v>#VALUE!</v>
      </c>
      <c r="N623" s="1"/>
      <c r="O623" s="1">
        <f>Table25[[#This Row],[Time]]</f>
        <v>0</v>
      </c>
      <c r="R623">
        <f>Table25[[#This Row],[RSSI]]</f>
        <v>0</v>
      </c>
    </row>
    <row r="624" spans="4:18" x14ac:dyDescent="0.25">
      <c r="D624" s="1"/>
      <c r="E624" s="1">
        <f>Table14[[#This Row],[Time]]-TIME(0,0,8)</f>
        <v>-9.2592592592592588E-5</v>
      </c>
      <c r="H624" t="e">
        <f t="shared" si="16"/>
        <v>#VALUE!</v>
      </c>
      <c r="N624" s="1"/>
      <c r="O624" s="1">
        <f>Table25[[#This Row],[Time]]</f>
        <v>0</v>
      </c>
      <c r="R624">
        <f>Table25[[#This Row],[RSSI]]</f>
        <v>0</v>
      </c>
    </row>
    <row r="625" spans="4:18" x14ac:dyDescent="0.25">
      <c r="D625" s="1"/>
      <c r="E625" s="1">
        <f>Table14[[#This Row],[Time]]-TIME(0,0,8)</f>
        <v>-9.2592592592592588E-5</v>
      </c>
      <c r="H625" t="e">
        <f t="shared" si="16"/>
        <v>#VALUE!</v>
      </c>
      <c r="N625" s="1"/>
      <c r="O625" s="1">
        <f>Table25[[#This Row],[Time]]</f>
        <v>0</v>
      </c>
      <c r="R625">
        <f>Table25[[#This Row],[RSSI]]</f>
        <v>0</v>
      </c>
    </row>
    <row r="626" spans="4:18" x14ac:dyDescent="0.25">
      <c r="D626" s="1"/>
      <c r="E626" s="1">
        <f>Table14[[#This Row],[Time]]-TIME(0,0,8)</f>
        <v>-9.2592592592592588E-5</v>
      </c>
      <c r="H626" t="e">
        <f t="shared" si="16"/>
        <v>#VALUE!</v>
      </c>
      <c r="N626" s="1"/>
      <c r="O626" s="1">
        <f>Table25[[#This Row],[Time]]</f>
        <v>0</v>
      </c>
      <c r="R626">
        <f>Table25[[#This Row],[RSSI]]</f>
        <v>0</v>
      </c>
    </row>
    <row r="627" spans="4:18" x14ac:dyDescent="0.25">
      <c r="D627" s="1"/>
      <c r="E627" s="1">
        <f>Table14[[#This Row],[Time]]-TIME(0,0,8)</f>
        <v>-9.2592592592592588E-5</v>
      </c>
      <c r="H627" t="e">
        <f t="shared" si="16"/>
        <v>#VALUE!</v>
      </c>
      <c r="N627" s="1"/>
      <c r="O627" s="1">
        <f>Table25[[#This Row],[Time]]</f>
        <v>0</v>
      </c>
      <c r="R627">
        <f>Table25[[#This Row],[RSSI]]</f>
        <v>0</v>
      </c>
    </row>
    <row r="628" spans="4:18" x14ac:dyDescent="0.25">
      <c r="D628" s="1"/>
      <c r="E628" s="1">
        <f>Table14[[#This Row],[Time]]-TIME(0,0,8)</f>
        <v>-9.2592592592592588E-5</v>
      </c>
      <c r="H628" t="e">
        <f t="shared" si="16"/>
        <v>#VALUE!</v>
      </c>
      <c r="N628" s="1"/>
      <c r="O628" s="1">
        <f>Table25[[#This Row],[Time]]</f>
        <v>0</v>
      </c>
      <c r="R628">
        <f>Table25[[#This Row],[RSSI]]</f>
        <v>0</v>
      </c>
    </row>
    <row r="629" spans="4:18" x14ac:dyDescent="0.25">
      <c r="D629" s="1"/>
      <c r="E629" s="1">
        <f>Table14[[#This Row],[Time]]-TIME(0,0,8)</f>
        <v>-9.2592592592592588E-5</v>
      </c>
      <c r="H629" t="e">
        <f t="shared" si="16"/>
        <v>#VALUE!</v>
      </c>
      <c r="N629" s="1"/>
      <c r="O629" s="1">
        <f>Table25[[#This Row],[Time]]</f>
        <v>0</v>
      </c>
      <c r="R629">
        <f>Table25[[#This Row],[RSSI]]</f>
        <v>0</v>
      </c>
    </row>
    <row r="630" spans="4:18" x14ac:dyDescent="0.25">
      <c r="D630" s="1"/>
      <c r="E630" s="1">
        <f>Table14[[#This Row],[Time]]-TIME(0,0,8)</f>
        <v>-9.2592592592592588E-5</v>
      </c>
      <c r="H630" t="e">
        <f t="shared" si="16"/>
        <v>#VALUE!</v>
      </c>
      <c r="N630" s="1"/>
      <c r="O630" s="1">
        <f>Table25[[#This Row],[Time]]</f>
        <v>0</v>
      </c>
      <c r="R630">
        <f>Table25[[#This Row],[RSSI]]</f>
        <v>0</v>
      </c>
    </row>
    <row r="631" spans="4:18" x14ac:dyDescent="0.25">
      <c r="D631" s="1"/>
      <c r="E631" s="1">
        <f>Table14[[#This Row],[Time]]-TIME(0,0,8)</f>
        <v>-9.2592592592592588E-5</v>
      </c>
      <c r="H631" t="e">
        <f t="shared" si="16"/>
        <v>#VALUE!</v>
      </c>
      <c r="N631" s="1"/>
      <c r="O631" s="1">
        <f>Table25[[#This Row],[Time]]</f>
        <v>0</v>
      </c>
      <c r="R631">
        <f>Table25[[#This Row],[RSSI]]</f>
        <v>0</v>
      </c>
    </row>
    <row r="632" spans="4:18" x14ac:dyDescent="0.25">
      <c r="D632" s="1"/>
      <c r="E632" s="1">
        <f>Table14[[#This Row],[Time]]-TIME(0,0,8)</f>
        <v>-9.2592592592592588E-5</v>
      </c>
      <c r="H632" t="e">
        <f t="shared" si="16"/>
        <v>#VALUE!</v>
      </c>
      <c r="N632" s="1"/>
      <c r="O632" s="1">
        <f>Table25[[#This Row],[Time]]</f>
        <v>0</v>
      </c>
      <c r="R632">
        <f>Table25[[#This Row],[RSSI]]</f>
        <v>0</v>
      </c>
    </row>
    <row r="633" spans="4:18" x14ac:dyDescent="0.25">
      <c r="D633" s="1"/>
      <c r="E633" s="1">
        <f>Table14[[#This Row],[Time]]-TIME(0,0,8)</f>
        <v>-9.2592592592592588E-5</v>
      </c>
      <c r="H633" t="e">
        <f t="shared" si="16"/>
        <v>#VALUE!</v>
      </c>
      <c r="N633" s="1"/>
      <c r="O633" s="1">
        <f>Table25[[#This Row],[Time]]</f>
        <v>0</v>
      </c>
      <c r="R633">
        <f>Table25[[#This Row],[RSSI]]</f>
        <v>0</v>
      </c>
    </row>
    <row r="634" spans="4:18" x14ac:dyDescent="0.25">
      <c r="D634" s="1"/>
      <c r="E634" s="1">
        <f>Table14[[#This Row],[Time]]-TIME(0,0,8)</f>
        <v>-9.2592592592592588E-5</v>
      </c>
      <c r="H634" t="e">
        <f t="shared" si="16"/>
        <v>#VALUE!</v>
      </c>
      <c r="N634" s="1"/>
      <c r="O634" s="1">
        <f>Table25[[#This Row],[Time]]</f>
        <v>0</v>
      </c>
      <c r="R634">
        <f>Table25[[#This Row],[RSSI]]</f>
        <v>0</v>
      </c>
    </row>
    <row r="635" spans="4:18" x14ac:dyDescent="0.25">
      <c r="D635" s="1"/>
      <c r="E635" s="1">
        <f>Table14[[#This Row],[Time]]-TIME(0,0,8)</f>
        <v>-9.2592592592592588E-5</v>
      </c>
      <c r="H635" t="e">
        <f t="shared" si="16"/>
        <v>#VALUE!</v>
      </c>
      <c r="N635" s="1"/>
      <c r="O635" s="1">
        <f>Table25[[#This Row],[Time]]</f>
        <v>0</v>
      </c>
      <c r="R635">
        <f>Table25[[#This Row],[RSSI]]</f>
        <v>0</v>
      </c>
    </row>
    <row r="636" spans="4:18" x14ac:dyDescent="0.25">
      <c r="D636" s="1"/>
      <c r="E636" s="1">
        <f>Table14[[#This Row],[Time]]-TIME(0,0,8)</f>
        <v>-9.2592592592592588E-5</v>
      </c>
      <c r="H636" t="e">
        <f t="shared" si="16"/>
        <v>#VALUE!</v>
      </c>
      <c r="N636" s="1"/>
      <c r="O636" s="1">
        <f>Table25[[#This Row],[Time]]</f>
        <v>0</v>
      </c>
      <c r="R636">
        <f>Table25[[#This Row],[RSSI]]</f>
        <v>0</v>
      </c>
    </row>
    <row r="637" spans="4:18" x14ac:dyDescent="0.25">
      <c r="D637" s="1"/>
      <c r="E637" s="1">
        <f>Table14[[#This Row],[Time]]-TIME(0,0,8)</f>
        <v>-9.2592592592592588E-5</v>
      </c>
      <c r="H637" t="e">
        <f t="shared" si="16"/>
        <v>#VALUE!</v>
      </c>
      <c r="N637" s="1"/>
      <c r="O637" s="1">
        <f>Table25[[#This Row],[Time]]</f>
        <v>0</v>
      </c>
      <c r="R637">
        <f>Table25[[#This Row],[RSSI]]</f>
        <v>0</v>
      </c>
    </row>
    <row r="638" spans="4:18" x14ac:dyDescent="0.25">
      <c r="D638" s="1"/>
      <c r="E638" s="1">
        <f>Table14[[#This Row],[Time]]-TIME(0,0,8)</f>
        <v>-9.2592592592592588E-5</v>
      </c>
      <c r="H638" t="e">
        <f t="shared" si="16"/>
        <v>#VALUE!</v>
      </c>
      <c r="N638" s="1"/>
      <c r="O638" s="1">
        <f>Table25[[#This Row],[Time]]</f>
        <v>0</v>
      </c>
      <c r="R638">
        <f>Table25[[#This Row],[RSSI]]</f>
        <v>0</v>
      </c>
    </row>
    <row r="639" spans="4:18" x14ac:dyDescent="0.25">
      <c r="D639" s="1"/>
      <c r="E639" s="1">
        <f>Table14[[#This Row],[Time]]-TIME(0,0,8)</f>
        <v>-9.2592592592592588E-5</v>
      </c>
      <c r="H639" t="e">
        <f t="shared" si="16"/>
        <v>#VALUE!</v>
      </c>
      <c r="N639" s="1"/>
      <c r="O639" s="1">
        <f>Table25[[#This Row],[Time]]</f>
        <v>0</v>
      </c>
      <c r="R639">
        <f>Table25[[#This Row],[RSSI]]</f>
        <v>0</v>
      </c>
    </row>
    <row r="640" spans="4:18" x14ac:dyDescent="0.25">
      <c r="D640" s="1"/>
      <c r="E640" s="1">
        <f>Table14[[#This Row],[Time]]-TIME(0,0,8)</f>
        <v>-9.2592592592592588E-5</v>
      </c>
      <c r="H640" t="e">
        <f t="shared" si="16"/>
        <v>#VALUE!</v>
      </c>
      <c r="N640" s="1"/>
      <c r="O640" s="1">
        <f>Table25[[#This Row],[Time]]</f>
        <v>0</v>
      </c>
      <c r="R640">
        <f>Table25[[#This Row],[RSSI]]</f>
        <v>0</v>
      </c>
    </row>
    <row r="641" spans="4:18" x14ac:dyDescent="0.25">
      <c r="D641" s="1"/>
      <c r="E641" s="1">
        <f>Table14[[#This Row],[Time]]-TIME(0,0,8)</f>
        <v>-9.2592592592592588E-5</v>
      </c>
      <c r="H641" t="e">
        <f t="shared" si="16"/>
        <v>#VALUE!</v>
      </c>
      <c r="N641" s="1"/>
      <c r="O641" s="1">
        <f>Table25[[#This Row],[Time]]</f>
        <v>0</v>
      </c>
      <c r="R641">
        <f>Table25[[#This Row],[RSSI]]</f>
        <v>0</v>
      </c>
    </row>
    <row r="642" spans="4:18" x14ac:dyDescent="0.25">
      <c r="D642" s="1"/>
      <c r="E642" s="1">
        <f>Table14[[#This Row],[Time]]-TIME(0,0,8)</f>
        <v>-9.2592592592592588E-5</v>
      </c>
      <c r="H642" t="e">
        <f t="shared" si="16"/>
        <v>#VALUE!</v>
      </c>
      <c r="N642" s="1"/>
      <c r="O642" s="1">
        <f>Table25[[#This Row],[Time]]</f>
        <v>0</v>
      </c>
      <c r="R642">
        <f>Table25[[#This Row],[RSSI]]</f>
        <v>0</v>
      </c>
    </row>
    <row r="643" spans="4:18" x14ac:dyDescent="0.25">
      <c r="D643" s="1"/>
      <c r="E643" s="1">
        <f>Table14[[#This Row],[Time]]-TIME(0,0,8)</f>
        <v>-9.2592592592592588E-5</v>
      </c>
      <c r="H643" t="e">
        <f t="shared" si="16"/>
        <v>#VALUE!</v>
      </c>
      <c r="N643" s="1"/>
      <c r="O643" s="1">
        <f>Table25[[#This Row],[Time]]</f>
        <v>0</v>
      </c>
      <c r="R643">
        <f>Table25[[#This Row],[RSSI]]</f>
        <v>0</v>
      </c>
    </row>
    <row r="644" spans="4:18" x14ac:dyDescent="0.25">
      <c r="D644" s="1"/>
      <c r="E644" s="1">
        <f>Table14[[#This Row],[Time]]-TIME(0,0,8)</f>
        <v>-9.2592592592592588E-5</v>
      </c>
      <c r="H644" t="e">
        <f t="shared" ref="H644:H667" si="17">VALUE(LEFT(G644,LEN(G644)-1))</f>
        <v>#VALUE!</v>
      </c>
      <c r="N644" s="1"/>
      <c r="O644" s="1">
        <f>Table25[[#This Row],[Time]]</f>
        <v>0</v>
      </c>
      <c r="R644">
        <f>Table25[[#This Row],[RSSI]]</f>
        <v>0</v>
      </c>
    </row>
    <row r="645" spans="4:18" x14ac:dyDescent="0.25">
      <c r="D645" s="1"/>
      <c r="E645" s="1">
        <f>Table14[[#This Row],[Time]]-TIME(0,0,8)</f>
        <v>-9.2592592592592588E-5</v>
      </c>
      <c r="H645" t="e">
        <f t="shared" si="17"/>
        <v>#VALUE!</v>
      </c>
      <c r="N645" s="1"/>
      <c r="O645" s="1">
        <f>Table25[[#This Row],[Time]]</f>
        <v>0</v>
      </c>
      <c r="R645">
        <f>Table25[[#This Row],[RSSI]]</f>
        <v>0</v>
      </c>
    </row>
    <row r="646" spans="4:18" x14ac:dyDescent="0.25">
      <c r="D646" s="1"/>
      <c r="E646" s="1">
        <f>Table14[[#This Row],[Time]]-TIME(0,0,8)</f>
        <v>-9.2592592592592588E-5</v>
      </c>
      <c r="H646" t="e">
        <f t="shared" si="17"/>
        <v>#VALUE!</v>
      </c>
      <c r="N646" s="1"/>
      <c r="O646" s="1">
        <f>Table25[[#This Row],[Time]]</f>
        <v>0</v>
      </c>
      <c r="R646">
        <f>Table25[[#This Row],[RSSI]]</f>
        <v>0</v>
      </c>
    </row>
    <row r="647" spans="4:18" x14ac:dyDescent="0.25">
      <c r="D647" s="1"/>
      <c r="E647" s="1">
        <f>Table14[[#This Row],[Time]]-TIME(0,0,8)</f>
        <v>-9.2592592592592588E-5</v>
      </c>
      <c r="H647" t="e">
        <f t="shared" si="17"/>
        <v>#VALUE!</v>
      </c>
      <c r="N647" s="1"/>
      <c r="O647" s="1">
        <f>Table25[[#This Row],[Time]]</f>
        <v>0</v>
      </c>
      <c r="R647">
        <f>Table25[[#This Row],[RSSI]]</f>
        <v>0</v>
      </c>
    </row>
    <row r="648" spans="4:18" x14ac:dyDescent="0.25">
      <c r="D648" s="1"/>
      <c r="E648" s="1">
        <f>Table14[[#This Row],[Time]]-TIME(0,0,8)</f>
        <v>-9.2592592592592588E-5</v>
      </c>
      <c r="H648" t="e">
        <f t="shared" si="17"/>
        <v>#VALUE!</v>
      </c>
      <c r="N648" s="1"/>
      <c r="O648" s="1">
        <f>Table25[[#This Row],[Time]]</f>
        <v>0</v>
      </c>
      <c r="R648">
        <f>Table25[[#This Row],[RSSI]]</f>
        <v>0</v>
      </c>
    </row>
    <row r="649" spans="4:18" x14ac:dyDescent="0.25">
      <c r="D649" s="1"/>
      <c r="E649" s="1">
        <f>Table14[[#This Row],[Time]]-TIME(0,0,8)</f>
        <v>-9.2592592592592588E-5</v>
      </c>
      <c r="H649" t="e">
        <f t="shared" si="17"/>
        <v>#VALUE!</v>
      </c>
      <c r="N649" s="1"/>
      <c r="O649" s="1">
        <f>Table25[[#This Row],[Time]]</f>
        <v>0</v>
      </c>
      <c r="R649">
        <f>Table25[[#This Row],[RSSI]]</f>
        <v>0</v>
      </c>
    </row>
    <row r="650" spans="4:18" x14ac:dyDescent="0.25">
      <c r="D650" s="1"/>
      <c r="E650" s="1">
        <f>Table14[[#This Row],[Time]]-TIME(0,0,8)</f>
        <v>-9.2592592592592588E-5</v>
      </c>
      <c r="H650" t="e">
        <f t="shared" si="17"/>
        <v>#VALUE!</v>
      </c>
      <c r="N650" s="1"/>
      <c r="O650" s="1">
        <f>Table25[[#This Row],[Time]]</f>
        <v>0</v>
      </c>
      <c r="R650">
        <f>Table25[[#This Row],[RSSI]]</f>
        <v>0</v>
      </c>
    </row>
    <row r="651" spans="4:18" x14ac:dyDescent="0.25">
      <c r="D651" s="1"/>
      <c r="E651" s="1">
        <f>Table14[[#This Row],[Time]]-TIME(0,0,8)</f>
        <v>-9.2592592592592588E-5</v>
      </c>
      <c r="H651" t="e">
        <f t="shared" si="17"/>
        <v>#VALUE!</v>
      </c>
      <c r="N651" s="1"/>
      <c r="O651" s="1">
        <f>Table25[[#This Row],[Time]]</f>
        <v>0</v>
      </c>
      <c r="R651">
        <f>Table25[[#This Row],[RSSI]]</f>
        <v>0</v>
      </c>
    </row>
    <row r="652" spans="4:18" x14ac:dyDescent="0.25">
      <c r="D652" s="1"/>
      <c r="E652" s="1">
        <f>Table14[[#This Row],[Time]]-TIME(0,0,8)</f>
        <v>-9.2592592592592588E-5</v>
      </c>
      <c r="H652" t="e">
        <f t="shared" si="17"/>
        <v>#VALUE!</v>
      </c>
      <c r="N652" s="1"/>
      <c r="O652" s="1">
        <f>Table25[[#This Row],[Time]]</f>
        <v>0</v>
      </c>
      <c r="R652">
        <f>Table25[[#This Row],[RSSI]]</f>
        <v>0</v>
      </c>
    </row>
    <row r="653" spans="4:18" x14ac:dyDescent="0.25">
      <c r="D653" s="1"/>
      <c r="E653" s="1">
        <f>Table14[[#This Row],[Time]]-TIME(0,0,8)</f>
        <v>-9.2592592592592588E-5</v>
      </c>
      <c r="H653" t="e">
        <f t="shared" si="17"/>
        <v>#VALUE!</v>
      </c>
      <c r="N653" s="1"/>
      <c r="O653" s="1">
        <f>Table25[[#This Row],[Time]]</f>
        <v>0</v>
      </c>
      <c r="R653">
        <f>Table25[[#This Row],[RSSI]]</f>
        <v>0</v>
      </c>
    </row>
    <row r="654" spans="4:18" x14ac:dyDescent="0.25">
      <c r="D654" s="1"/>
      <c r="E654" s="1">
        <f>Table14[[#This Row],[Time]]-TIME(0,0,8)</f>
        <v>-9.2592592592592588E-5</v>
      </c>
      <c r="H654" t="e">
        <f t="shared" si="17"/>
        <v>#VALUE!</v>
      </c>
      <c r="N654" s="1"/>
      <c r="O654" s="1">
        <f>Table25[[#This Row],[Time]]</f>
        <v>0</v>
      </c>
      <c r="R654">
        <f>Table25[[#This Row],[RSSI]]</f>
        <v>0</v>
      </c>
    </row>
    <row r="655" spans="4:18" x14ac:dyDescent="0.25">
      <c r="D655" s="1"/>
      <c r="E655" s="1">
        <f>Table14[[#This Row],[Time]]-TIME(0,0,8)</f>
        <v>-9.2592592592592588E-5</v>
      </c>
      <c r="H655" t="e">
        <f t="shared" si="17"/>
        <v>#VALUE!</v>
      </c>
      <c r="N655" s="1"/>
      <c r="O655" s="1">
        <f>Table25[[#This Row],[Time]]</f>
        <v>0</v>
      </c>
      <c r="R655">
        <f>Table25[[#This Row],[RSSI]]</f>
        <v>0</v>
      </c>
    </row>
    <row r="656" spans="4:18" x14ac:dyDescent="0.25">
      <c r="D656" s="1"/>
      <c r="E656" s="1">
        <f>Table14[[#This Row],[Time]]-TIME(0,0,8)</f>
        <v>-9.2592592592592588E-5</v>
      </c>
      <c r="H656" t="e">
        <f t="shared" si="17"/>
        <v>#VALUE!</v>
      </c>
      <c r="N656" s="1"/>
      <c r="O656" s="1">
        <f>Table25[[#This Row],[Time]]</f>
        <v>0</v>
      </c>
      <c r="R656">
        <f>Table25[[#This Row],[RSSI]]</f>
        <v>0</v>
      </c>
    </row>
    <row r="657" spans="4:18" x14ac:dyDescent="0.25">
      <c r="D657" s="1"/>
      <c r="E657" s="1">
        <f>Table14[[#This Row],[Time]]-TIME(0,0,8)</f>
        <v>-9.2592592592592588E-5</v>
      </c>
      <c r="H657" t="e">
        <f t="shared" si="17"/>
        <v>#VALUE!</v>
      </c>
      <c r="N657" s="1"/>
      <c r="O657" s="1">
        <f>Table25[[#This Row],[Time]]</f>
        <v>0</v>
      </c>
      <c r="R657">
        <f>Table25[[#This Row],[RSSI]]</f>
        <v>0</v>
      </c>
    </row>
    <row r="658" spans="4:18" x14ac:dyDescent="0.25">
      <c r="D658" s="1"/>
      <c r="E658" s="1">
        <f>Table14[[#This Row],[Time]]-TIME(0,0,8)</f>
        <v>-9.2592592592592588E-5</v>
      </c>
      <c r="H658" t="e">
        <f t="shared" si="17"/>
        <v>#VALUE!</v>
      </c>
      <c r="N658" s="1"/>
      <c r="O658" s="1">
        <f>Table25[[#This Row],[Time]]</f>
        <v>0</v>
      </c>
      <c r="R658">
        <f>Table25[[#This Row],[RSSI]]</f>
        <v>0</v>
      </c>
    </row>
    <row r="659" spans="4:18" x14ac:dyDescent="0.25">
      <c r="D659" s="1"/>
      <c r="E659" s="1">
        <f>Table14[[#This Row],[Time]]-TIME(0,0,8)</f>
        <v>-9.2592592592592588E-5</v>
      </c>
      <c r="H659" t="e">
        <f t="shared" si="17"/>
        <v>#VALUE!</v>
      </c>
      <c r="N659" s="1"/>
      <c r="O659" s="1">
        <f>Table25[[#This Row],[Time]]</f>
        <v>0</v>
      </c>
      <c r="R659">
        <f>Table25[[#This Row],[RSSI]]</f>
        <v>0</v>
      </c>
    </row>
    <row r="660" spans="4:18" x14ac:dyDescent="0.25">
      <c r="D660" s="1"/>
      <c r="E660" s="1">
        <f>Table14[[#This Row],[Time]]-TIME(0,0,8)</f>
        <v>-9.2592592592592588E-5</v>
      </c>
      <c r="H660" t="e">
        <f t="shared" si="17"/>
        <v>#VALUE!</v>
      </c>
      <c r="N660" s="1"/>
      <c r="O660" s="1">
        <f>Table25[[#This Row],[Time]]</f>
        <v>0</v>
      </c>
      <c r="R660">
        <f>Table25[[#This Row],[RSSI]]</f>
        <v>0</v>
      </c>
    </row>
    <row r="661" spans="4:18" x14ac:dyDescent="0.25">
      <c r="D661" s="1"/>
      <c r="E661" s="1">
        <f>Table14[[#This Row],[Time]]-TIME(0,0,8)</f>
        <v>-9.2592592592592588E-5</v>
      </c>
      <c r="H661" t="e">
        <f t="shared" si="17"/>
        <v>#VALUE!</v>
      </c>
      <c r="N661" s="1"/>
      <c r="O661" s="1">
        <f>Table25[[#This Row],[Time]]</f>
        <v>0</v>
      </c>
      <c r="R661">
        <f>Table25[[#This Row],[RSSI]]</f>
        <v>0</v>
      </c>
    </row>
    <row r="662" spans="4:18" x14ac:dyDescent="0.25">
      <c r="D662" s="1"/>
      <c r="E662" s="1">
        <f>Table14[[#This Row],[Time]]-TIME(0,0,8)</f>
        <v>-9.2592592592592588E-5</v>
      </c>
      <c r="H662" t="e">
        <f t="shared" si="17"/>
        <v>#VALUE!</v>
      </c>
      <c r="N662" s="1"/>
      <c r="O662" s="1">
        <f>Table25[[#This Row],[Time]]</f>
        <v>0</v>
      </c>
      <c r="R662">
        <f>Table25[[#This Row],[RSSI]]</f>
        <v>0</v>
      </c>
    </row>
    <row r="663" spans="4:18" x14ac:dyDescent="0.25">
      <c r="D663" s="1"/>
      <c r="E663" s="1">
        <f>Table14[[#This Row],[Time]]-TIME(0,0,8)</f>
        <v>-9.2592592592592588E-5</v>
      </c>
      <c r="H663" t="e">
        <f t="shared" si="17"/>
        <v>#VALUE!</v>
      </c>
      <c r="N663" s="1"/>
      <c r="O663" s="1">
        <f>Table25[[#This Row],[Time]]</f>
        <v>0</v>
      </c>
      <c r="R663">
        <f>Table25[[#This Row],[RSSI]]</f>
        <v>0</v>
      </c>
    </row>
    <row r="664" spans="4:18" x14ac:dyDescent="0.25">
      <c r="D664" s="1"/>
      <c r="E664" s="1">
        <f>Table14[[#This Row],[Time]]-TIME(0,0,8)</f>
        <v>-9.2592592592592588E-5</v>
      </c>
      <c r="H664" t="e">
        <f t="shared" si="17"/>
        <v>#VALUE!</v>
      </c>
      <c r="N664" s="1"/>
      <c r="O664" s="1">
        <f>Table25[[#This Row],[Time]]</f>
        <v>0</v>
      </c>
      <c r="R664">
        <f>Table25[[#This Row],[RSSI]]</f>
        <v>0</v>
      </c>
    </row>
    <row r="665" spans="4:18" x14ac:dyDescent="0.25">
      <c r="D665" s="1"/>
      <c r="E665" s="1">
        <f>Table14[[#This Row],[Time]]-TIME(0,0,8)</f>
        <v>-9.2592592592592588E-5</v>
      </c>
      <c r="H665" t="e">
        <f t="shared" si="17"/>
        <v>#VALUE!</v>
      </c>
      <c r="N665" s="1"/>
      <c r="O665" s="1">
        <f>Table25[[#This Row],[Time]]</f>
        <v>0</v>
      </c>
      <c r="R665">
        <f>Table25[[#This Row],[RSSI]]</f>
        <v>0</v>
      </c>
    </row>
    <row r="666" spans="4:18" x14ac:dyDescent="0.25">
      <c r="D666" s="1"/>
      <c r="E666" s="1">
        <f>Table14[[#This Row],[Time]]-TIME(0,0,8)</f>
        <v>-9.2592592592592588E-5</v>
      </c>
      <c r="H666" t="e">
        <f t="shared" si="17"/>
        <v>#VALUE!</v>
      </c>
      <c r="N666" s="1"/>
      <c r="O666" s="1">
        <f>Table25[[#This Row],[Time]]</f>
        <v>0</v>
      </c>
      <c r="R666">
        <f>Table25[[#This Row],[RSSI]]</f>
        <v>0</v>
      </c>
    </row>
    <row r="667" spans="4:18" x14ac:dyDescent="0.25">
      <c r="D667" s="1"/>
      <c r="E667" s="1">
        <f>Table14[[#This Row],[Time]]-TIME(0,0,8)</f>
        <v>-9.2592592592592588E-5</v>
      </c>
      <c r="H667" t="e">
        <f t="shared" si="17"/>
        <v>#VALUE!</v>
      </c>
      <c r="N667" s="1"/>
      <c r="O667" s="1">
        <f>Table25[[#This Row],[Time]]</f>
        <v>0</v>
      </c>
      <c r="R667">
        <f>Table25[[#This Row],[RSSI]]</f>
        <v>0</v>
      </c>
    </row>
  </sheetData>
  <mergeCells count="2">
    <mergeCell ref="W2:Z2"/>
    <mergeCell ref="AA2:AD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C6CB-5D42-4205-9E35-E537CEEAA465}">
  <dimension ref="B1:AD1690"/>
  <sheetViews>
    <sheetView topLeftCell="T1" workbookViewId="0">
      <selection activeCell="AA47" sqref="AA47"/>
    </sheetView>
  </sheetViews>
  <sheetFormatPr defaultRowHeight="15" x14ac:dyDescent="0.25"/>
  <cols>
    <col min="2" max="2" width="13" customWidth="1"/>
    <col min="3" max="3" width="22.85546875" bestFit="1" customWidth="1"/>
    <col min="5" max="5" width="17.140625" bestFit="1" customWidth="1"/>
    <col min="8" max="8" width="17.140625" bestFit="1" customWidth="1"/>
    <col min="12" max="12" width="13" customWidth="1"/>
    <col min="13" max="13" width="22.85546875" bestFit="1" customWidth="1"/>
    <col min="15" max="15" width="17.140625" bestFit="1" customWidth="1"/>
    <col min="18" max="18" width="17.140625" bestFit="1" customWidth="1"/>
    <col min="23" max="23" width="10.85546875" bestFit="1" customWidth="1"/>
    <col min="27" max="27" width="10.85546875" bestFit="1" customWidth="1"/>
  </cols>
  <sheetData>
    <row r="1" spans="2:30" ht="15.75" thickBot="1" x14ac:dyDescent="0.3"/>
    <row r="2" spans="2:30" ht="15.75" thickBot="1" x14ac:dyDescent="0.3">
      <c r="B2" t="s">
        <v>0</v>
      </c>
      <c r="E2" s="16">
        <v>-1</v>
      </c>
      <c r="L2" t="s">
        <v>8</v>
      </c>
      <c r="O2" s="16">
        <v>-3</v>
      </c>
      <c r="V2" s="12" t="s">
        <v>21</v>
      </c>
      <c r="W2" s="18" t="s">
        <v>23</v>
      </c>
      <c r="X2" s="19"/>
      <c r="Y2" s="19"/>
      <c r="Z2" s="20"/>
      <c r="AA2" s="18" t="s">
        <v>22</v>
      </c>
      <c r="AB2" s="19"/>
      <c r="AC2" s="19"/>
      <c r="AD2" s="20"/>
    </row>
    <row r="3" spans="2:30" ht="15.75" thickBot="1" x14ac:dyDescent="0.3">
      <c r="B3" t="s">
        <v>7</v>
      </c>
      <c r="C3" t="s">
        <v>35</v>
      </c>
      <c r="D3" t="s">
        <v>2</v>
      </c>
      <c r="E3" t="s">
        <v>32</v>
      </c>
      <c r="F3" t="s">
        <v>3</v>
      </c>
      <c r="G3" t="s">
        <v>4</v>
      </c>
      <c r="H3" t="s">
        <v>33</v>
      </c>
      <c r="I3" t="s">
        <v>5</v>
      </c>
      <c r="L3" t="s">
        <v>7</v>
      </c>
      <c r="M3" t="s">
        <v>35</v>
      </c>
      <c r="N3" t="s">
        <v>2</v>
      </c>
      <c r="O3" t="s">
        <v>32</v>
      </c>
      <c r="P3" t="s">
        <v>3</v>
      </c>
      <c r="Q3" t="s">
        <v>4</v>
      </c>
      <c r="R3" t="s">
        <v>33</v>
      </c>
      <c r="S3" t="s">
        <v>5</v>
      </c>
      <c r="V3" s="12" t="s">
        <v>1</v>
      </c>
      <c r="W3" s="13" t="s">
        <v>25</v>
      </c>
      <c r="X3" s="14" t="s">
        <v>26</v>
      </c>
      <c r="Y3" s="14" t="s">
        <v>4</v>
      </c>
      <c r="Z3" s="15" t="s">
        <v>5</v>
      </c>
      <c r="AA3" s="13" t="s">
        <v>25</v>
      </c>
      <c r="AB3" s="14" t="s">
        <v>26</v>
      </c>
      <c r="AC3" s="14" t="s">
        <v>4</v>
      </c>
      <c r="AD3" s="15" t="s">
        <v>5</v>
      </c>
    </row>
    <row r="4" spans="2:30" x14ac:dyDescent="0.25">
      <c r="B4" t="e">
        <f>390+2*(Table146[[#This Row],[min value (corrected)]]-36)</f>
        <v>#NUM!</v>
      </c>
      <c r="C4" t="e">
        <f>MINUTE(Table146[[#This Row],[Corrected time]])</f>
        <v>#NUM!</v>
      </c>
      <c r="D4" s="1"/>
      <c r="E4" s="1">
        <f>Table146[[#This Row],[Time]]-TIME(0,0,1)</f>
        <v>-1.1574074074074073E-5</v>
      </c>
      <c r="H4">
        <f>Table146[[#This Row],[RSSI]]</f>
        <v>0</v>
      </c>
      <c r="M4" t="e">
        <f>MINUTE(Table257[[#This Row],[Corrected time]])</f>
        <v>#NUM!</v>
      </c>
      <c r="N4" s="1"/>
      <c r="O4" s="1">
        <f>Table257[[#This Row],[Time]]-TIME(0,0,3)</f>
        <v>-3.4722222222222222E-5</v>
      </c>
      <c r="R4">
        <f>Table257[[#This Row],[RSSI]]</f>
        <v>0</v>
      </c>
      <c r="V4" s="10">
        <v>390</v>
      </c>
      <c r="W4" s="4">
        <f>COUNTIFS(Table146[Range(nm)], $V4, Table146[Type], "ACK")/COUNTIFS(Table146[Range(nm)], $V4)</f>
        <v>0.90566037735849059</v>
      </c>
      <c r="X4" s="5">
        <f>COUNTIFS(Table146[Range(nm)], $V4, Table146[Type], "SUT Rx Error")/COUNTIFS(Table146[Range(nm)], $V4)</f>
        <v>0</v>
      </c>
      <c r="Y4">
        <f>AVERAGEIF(Table146[Range(nm)], V4, Table146[Corrected RSSI])</f>
        <v>-121.20754716981132</v>
      </c>
      <c r="Z4" s="3">
        <f>AVERAGEIF(Table146[Range(nm)], V4, Table146[SNR])</f>
        <v>-7.8566037735849044</v>
      </c>
      <c r="AA4" s="4">
        <f>COUNTIFS(Table257[Range(nm)], V4, Table257[Type], "ACK")/COUNTIFS(Table257[Range(nm)], V4)</f>
        <v>0.96226415094339623</v>
      </c>
      <c r="AB4" s="5">
        <f>COUNTIFS(Table257[Range(nm)], $V4, Table257[Type], "SUT Rx Error")/COUNTIFS(Table257[Range(nm)], $V4)</f>
        <v>0</v>
      </c>
      <c r="AC4">
        <f>AVERAGEIF(Table257[Range(nm)], V4, Table257[Corrected RSSI])</f>
        <v>-121.0377358490566</v>
      </c>
      <c r="AD4" s="3">
        <f>AVERAGEIF(Table257[Range(nm)], V4, Table257[SNR])</f>
        <v>-7.6113207547169779</v>
      </c>
    </row>
    <row r="5" spans="2:30" x14ac:dyDescent="0.25">
      <c r="B5" t="e">
        <f>390+2*(Table146[[#This Row],[min value (corrected)]]-36)</f>
        <v>#NUM!</v>
      </c>
      <c r="C5" t="e">
        <f>MINUTE(Table146[[#This Row],[Corrected time]])</f>
        <v>#NUM!</v>
      </c>
      <c r="D5" s="1"/>
      <c r="E5" s="1">
        <f>Table146[[#This Row],[Time]]-TIME(0,0,1)</f>
        <v>-1.1574074074074073E-5</v>
      </c>
      <c r="H5">
        <f>Table146[[#This Row],[RSSI]]</f>
        <v>0</v>
      </c>
      <c r="M5" t="e">
        <f>MINUTE(Table257[[#This Row],[Corrected time]])</f>
        <v>#NUM!</v>
      </c>
      <c r="N5" s="1"/>
      <c r="O5" s="1">
        <f>Table257[[#This Row],[Time]]-TIME(0,0,3)</f>
        <v>-3.4722222222222222E-5</v>
      </c>
      <c r="R5">
        <f>Table257[[#This Row],[RSSI]]</f>
        <v>0</v>
      </c>
      <c r="V5" s="10">
        <f>V4+2</f>
        <v>392</v>
      </c>
      <c r="W5" s="4">
        <f>COUNTIFS(Table146[Range(nm)], V5, Table146[Type], "ACK")/COUNTIFS(Table146[Range(nm)], V5)</f>
        <v>0.90566037735849059</v>
      </c>
      <c r="X5" s="5">
        <f>COUNTIFS(Table146[Range(nm)], $V5, Table146[Type], "SUT Rx Error")/COUNTIFS(Table146[Range(nm)], $V5)</f>
        <v>0</v>
      </c>
      <c r="Y5">
        <f>AVERAGEIF(Table146[Range(nm)], V5, Table146[Corrected RSSI])</f>
        <v>-121.35849056603773</v>
      </c>
      <c r="Z5" s="3">
        <f>AVERAGEIF(Table146[Range(nm)], V5, Table146[SNR])</f>
        <v>-7.8490566037735841</v>
      </c>
      <c r="AA5" s="4">
        <f>COUNTIFS(Table257[Range(nm)], V5, Table257[Type], "ACK")/COUNTIFS(Table257[Range(nm)], V5)</f>
        <v>0.92452830188679247</v>
      </c>
      <c r="AB5" s="5">
        <f>COUNTIFS(Table257[Range(nm)], $V5, Table257[Type], "SUT Rx Error")/COUNTIFS(Table257[Range(nm)], $V5)</f>
        <v>0</v>
      </c>
      <c r="AC5">
        <f>AVERAGEIF(Table257[Range(nm)], V5, Table257[Corrected RSSI])</f>
        <v>-121.11320754716981</v>
      </c>
      <c r="AD5" s="3">
        <f>AVERAGEIF(Table257[Range(nm)], V5, Table257[SNR])</f>
        <v>-7.6132075471698091</v>
      </c>
    </row>
    <row r="6" spans="2:30" x14ac:dyDescent="0.25">
      <c r="B6" t="e">
        <f>390+2*(Table146[[#This Row],[min value (corrected)]]-36)</f>
        <v>#NUM!</v>
      </c>
      <c r="C6" t="e">
        <f>MINUTE(Table146[[#This Row],[Corrected time]])</f>
        <v>#NUM!</v>
      </c>
      <c r="D6" s="1"/>
      <c r="E6" s="1">
        <f>Table146[[#This Row],[Time]]-TIME(0,0,1)</f>
        <v>-1.1574074074074073E-5</v>
      </c>
      <c r="H6">
        <f>Table146[[#This Row],[RSSI]]</f>
        <v>0</v>
      </c>
      <c r="M6" t="e">
        <f>MINUTE(Table257[[#This Row],[Corrected time]])</f>
        <v>#NUM!</v>
      </c>
      <c r="N6" s="1"/>
      <c r="O6" s="1">
        <f>Table257[[#This Row],[Time]]-TIME(0,0,3)</f>
        <v>-3.4722222222222222E-5</v>
      </c>
      <c r="R6">
        <f>Table257[[#This Row],[RSSI]]</f>
        <v>0</v>
      </c>
      <c r="V6" s="10">
        <f t="shared" ref="V6:V34" si="0">V5+2</f>
        <v>394</v>
      </c>
      <c r="W6" s="4">
        <f>COUNTIFS(Table146[Range(nm)], V6, Table146[Type], "ACK")/COUNTIFS(Table146[Range(nm)], V6)</f>
        <v>0.88888888888888884</v>
      </c>
      <c r="X6" s="5">
        <f>COUNTIFS(Table146[Range(nm)], $V6, Table146[Type], "SUT Rx Error")/COUNTIFS(Table146[Range(nm)], $V6)</f>
        <v>0</v>
      </c>
      <c r="Y6">
        <f>AVERAGEIF(Table146[Range(nm)], V6, Table146[Corrected RSSI])</f>
        <v>-121.29629629629629</v>
      </c>
      <c r="Z6" s="3">
        <f>AVERAGEIF(Table146[Range(nm)], V6, Table146[SNR])</f>
        <v>-7.8055555555555545</v>
      </c>
      <c r="AA6" s="4">
        <f>COUNTIFS(Table257[Range(nm)], V6, Table257[Type], "ACK")/COUNTIFS(Table257[Range(nm)], V6)</f>
        <v>0.92452830188679247</v>
      </c>
      <c r="AB6" s="5">
        <f>COUNTIFS(Table257[Range(nm)], $V6, Table257[Type], "SUT Rx Error")/COUNTIFS(Table257[Range(nm)], $V6)</f>
        <v>0</v>
      </c>
      <c r="AC6">
        <f>AVERAGEIF(Table257[Range(nm)], V6, Table257[Corrected RSSI])</f>
        <v>-121.0754716981132</v>
      </c>
      <c r="AD6" s="3">
        <f>AVERAGEIF(Table257[Range(nm)], V6, Table257[SNR])</f>
        <v>-7.5867924528301858</v>
      </c>
    </row>
    <row r="7" spans="2:30" x14ac:dyDescent="0.25">
      <c r="B7" t="e">
        <f>390+2*(Table146[[#This Row],[min value (corrected)]]-36)</f>
        <v>#NUM!</v>
      </c>
      <c r="C7" t="e">
        <f>MINUTE(Table146[[#This Row],[Corrected time]])</f>
        <v>#NUM!</v>
      </c>
      <c r="D7" s="1"/>
      <c r="E7" s="1">
        <f>Table146[[#This Row],[Time]]-TIME(0,0,1)</f>
        <v>-1.1574074074074073E-5</v>
      </c>
      <c r="H7">
        <f>Table146[[#This Row],[RSSI]]</f>
        <v>0</v>
      </c>
      <c r="M7" t="e">
        <f>MINUTE(Table257[[#This Row],[Corrected time]])</f>
        <v>#NUM!</v>
      </c>
      <c r="N7" s="1"/>
      <c r="O7" s="1">
        <f>Table257[[#This Row],[Time]]-TIME(0,0,3)</f>
        <v>-3.4722222222222222E-5</v>
      </c>
      <c r="R7">
        <f>Table257[[#This Row],[RSSI]]</f>
        <v>0</v>
      </c>
      <c r="V7" s="10">
        <f t="shared" si="0"/>
        <v>396</v>
      </c>
      <c r="W7" s="4">
        <f>COUNTIFS(Table146[Range(nm)], V7, Table146[Type], "ACK")/COUNTIFS(Table146[Range(nm)], V7)</f>
        <v>0.90566037735849059</v>
      </c>
      <c r="X7" s="5">
        <f>COUNTIFS(Table146[Range(nm)], $V7, Table146[Type], "SUT Rx Error")/COUNTIFS(Table146[Range(nm)], $V7)</f>
        <v>0</v>
      </c>
      <c r="Y7">
        <f>AVERAGEIF(Table146[Range(nm)], V7, Table146[Corrected RSSI])</f>
        <v>-121.35849056603773</v>
      </c>
      <c r="Z7" s="3">
        <f>AVERAGEIF(Table146[Range(nm)], V7, Table146[SNR])</f>
        <v>-8.0735849056603772</v>
      </c>
      <c r="AA7" s="4">
        <f>COUNTIFS(Table257[Range(nm)], V7, Table257[Type], "ACK")/COUNTIFS(Table257[Range(nm)], V7)</f>
        <v>0.92592592592592593</v>
      </c>
      <c r="AB7" s="5">
        <f>COUNTIFS(Table257[Range(nm)], $V7, Table257[Type], "SUT Rx Error")/COUNTIFS(Table257[Range(nm)], $V7)</f>
        <v>0</v>
      </c>
      <c r="AC7">
        <f>AVERAGEIF(Table257[Range(nm)], V7, Table257[Corrected RSSI])</f>
        <v>-121.12962962962963</v>
      </c>
      <c r="AD7" s="3">
        <f>AVERAGEIF(Table257[Range(nm)], V7, Table257[SNR])</f>
        <v>-7.6277777777777755</v>
      </c>
    </row>
    <row r="8" spans="2:30" x14ac:dyDescent="0.25">
      <c r="B8" t="e">
        <f>390+2*(Table146[[#This Row],[min value (corrected)]]-36)</f>
        <v>#NUM!</v>
      </c>
      <c r="C8" t="e">
        <f>MINUTE(Table146[[#This Row],[Corrected time]])</f>
        <v>#NUM!</v>
      </c>
      <c r="D8" s="1"/>
      <c r="E8" s="1">
        <f>Table146[[#This Row],[Time]]-TIME(0,0,1)</f>
        <v>-1.1574074074074073E-5</v>
      </c>
      <c r="H8">
        <f>Table146[[#This Row],[RSSI]]</f>
        <v>0</v>
      </c>
      <c r="M8" t="e">
        <f>MINUTE(Table257[[#This Row],[Corrected time]])</f>
        <v>#NUM!</v>
      </c>
      <c r="N8" s="1"/>
      <c r="O8" s="1">
        <f>Table257[[#This Row],[Time]]-TIME(0,0,3)</f>
        <v>-3.4722222222222222E-5</v>
      </c>
      <c r="R8">
        <f>Table257[[#This Row],[RSSI]]</f>
        <v>0</v>
      </c>
      <c r="V8" s="10">
        <f t="shared" si="0"/>
        <v>398</v>
      </c>
      <c r="W8" s="4">
        <f>COUNTIFS(Table146[Range(nm)], V8, Table146[Type], "ACK")/COUNTIFS(Table146[Range(nm)], V8)</f>
        <v>0.96226415094339623</v>
      </c>
      <c r="X8" s="5">
        <f>COUNTIFS(Table146[Range(nm)], $V8, Table146[Type], "SUT Rx Error")/COUNTIFS(Table146[Range(nm)], $V8)</f>
        <v>0</v>
      </c>
      <c r="Y8">
        <f>AVERAGEIF(Table146[Range(nm)], V8, Table146[Corrected RSSI])</f>
        <v>-121.49056603773585</v>
      </c>
      <c r="Z8" s="3">
        <f>AVERAGEIF(Table146[Range(nm)], V8, Table146[SNR])</f>
        <v>-8.0283018867924536</v>
      </c>
      <c r="AA8" s="4">
        <f>COUNTIFS(Table257[Range(nm)], V8, Table257[Type], "ACK")/COUNTIFS(Table257[Range(nm)], V8)</f>
        <v>0.92452830188679247</v>
      </c>
      <c r="AB8" s="5">
        <f>COUNTIFS(Table257[Range(nm)], $V8, Table257[Type], "SUT Rx Error")/COUNTIFS(Table257[Range(nm)], $V8)</f>
        <v>1.8867924528301886E-2</v>
      </c>
      <c r="AC8">
        <f>AVERAGEIF(Table257[Range(nm)], V8, Table257[Corrected RSSI])</f>
        <v>-121</v>
      </c>
      <c r="AD8" s="3">
        <f>AVERAGEIF(Table257[Range(nm)], V8, Table257[SNR])</f>
        <v>-7.6037735849056585</v>
      </c>
    </row>
    <row r="9" spans="2:30" x14ac:dyDescent="0.25">
      <c r="B9" t="e">
        <f>390+2*(Table146[[#This Row],[min value (corrected)]]-36)</f>
        <v>#NUM!</v>
      </c>
      <c r="C9" t="e">
        <f>MINUTE(Table146[[#This Row],[Corrected time]])</f>
        <v>#NUM!</v>
      </c>
      <c r="D9" s="1"/>
      <c r="E9" s="1">
        <f>Table146[[#This Row],[Time]]-TIME(0,0,1)</f>
        <v>-1.1574074074074073E-5</v>
      </c>
      <c r="H9">
        <f>Table146[[#This Row],[RSSI]]</f>
        <v>0</v>
      </c>
      <c r="M9" t="e">
        <f>MINUTE(Table257[[#This Row],[Corrected time]])</f>
        <v>#NUM!</v>
      </c>
      <c r="N9" s="1"/>
      <c r="O9" s="1">
        <f>Table257[[#This Row],[Time]]-TIME(0,0,3)</f>
        <v>-3.4722222222222222E-5</v>
      </c>
      <c r="R9">
        <f>Table257[[#This Row],[RSSI]]</f>
        <v>0</v>
      </c>
      <c r="V9" s="10">
        <f t="shared" si="0"/>
        <v>400</v>
      </c>
      <c r="W9" s="4">
        <f>COUNTIFS(Table146[Range(nm)], V9, Table146[Type], "ACK")/COUNTIFS(Table146[Range(nm)], V9)</f>
        <v>0.87037037037037035</v>
      </c>
      <c r="X9" s="5">
        <f>COUNTIFS(Table146[Range(nm)], $V9, Table146[Type], "SUT Rx Error")/COUNTIFS(Table146[Range(nm)], $V9)</f>
        <v>0</v>
      </c>
      <c r="Y9">
        <f>AVERAGEIF(Table146[Range(nm)], V9, Table146[Corrected RSSI])</f>
        <v>-121.42592592592592</v>
      </c>
      <c r="Z9" s="3">
        <f>AVERAGEIF(Table146[Range(nm)], V9, Table146[SNR])</f>
        <v>-7.9259259259259247</v>
      </c>
      <c r="AA9" s="4">
        <f>COUNTIFS(Table257[Range(nm)], V9, Table257[Type], "ACK")/COUNTIFS(Table257[Range(nm)], V9)</f>
        <v>0.98113207547169812</v>
      </c>
      <c r="AB9" s="5">
        <f>COUNTIFS(Table257[Range(nm)], $V9, Table257[Type], "SUT Rx Error")/COUNTIFS(Table257[Range(nm)], $V9)</f>
        <v>0</v>
      </c>
      <c r="AC9">
        <f>AVERAGEIF(Table257[Range(nm)], V9, Table257[Corrected RSSI])</f>
        <v>-121.11320754716981</v>
      </c>
      <c r="AD9" s="3">
        <f>AVERAGEIF(Table257[Range(nm)], V9, Table257[SNR])</f>
        <v>-7.6943396226415066</v>
      </c>
    </row>
    <row r="10" spans="2:30" x14ac:dyDescent="0.25">
      <c r="B10" t="e">
        <f>390+2*(Table146[[#This Row],[min value (corrected)]]-36)</f>
        <v>#NUM!</v>
      </c>
      <c r="C10" t="e">
        <f>MINUTE(Table146[[#This Row],[Corrected time]])</f>
        <v>#NUM!</v>
      </c>
      <c r="D10" s="1"/>
      <c r="E10" s="1">
        <f>Table146[[#This Row],[Time]]-TIME(0,0,1)</f>
        <v>-1.1574074074074073E-5</v>
      </c>
      <c r="H10">
        <f>Table146[[#This Row],[RSSI]]</f>
        <v>0</v>
      </c>
      <c r="M10" t="e">
        <f>MINUTE(Table257[[#This Row],[Corrected time]])</f>
        <v>#NUM!</v>
      </c>
      <c r="N10" s="1"/>
      <c r="O10" s="1">
        <f>Table257[[#This Row],[Time]]-TIME(0,0,3)</f>
        <v>-3.4722222222222222E-5</v>
      </c>
      <c r="R10">
        <f>Table257[[#This Row],[RSSI]]</f>
        <v>0</v>
      </c>
      <c r="V10" s="10">
        <f t="shared" si="0"/>
        <v>402</v>
      </c>
      <c r="W10" s="4">
        <f>COUNTIFS(Table146[Range(nm)], V10, Table146[Type], "ACK")/COUNTIFS(Table146[Range(nm)], V10)</f>
        <v>0.92452830188679247</v>
      </c>
      <c r="X10" s="5">
        <f>COUNTIFS(Table146[Range(nm)], $V10, Table146[Type], "SUT Rx Error")/COUNTIFS(Table146[Range(nm)], $V10)</f>
        <v>1.8867924528301886E-2</v>
      </c>
      <c r="Y10">
        <f>AVERAGEIF(Table146[Range(nm)], V10, Table146[Corrected RSSI])</f>
        <v>-121.50943396226415</v>
      </c>
      <c r="Z10" s="3">
        <f>AVERAGEIF(Table146[Range(nm)], V10, Table146[SNR])</f>
        <v>-7.9849056603773558</v>
      </c>
      <c r="AA10" s="4">
        <f>COUNTIFS(Table257[Range(nm)], V10, Table257[Type], "ACK")/COUNTIFS(Table257[Range(nm)], V10)</f>
        <v>0.98148148148148151</v>
      </c>
      <c r="AB10" s="5">
        <f>COUNTIFS(Table257[Range(nm)], $V10, Table257[Type], "SUT Rx Error")/COUNTIFS(Table257[Range(nm)], $V10)</f>
        <v>0</v>
      </c>
      <c r="AC10">
        <f>AVERAGEIF(Table257[Range(nm)], V10, Table257[Corrected RSSI])</f>
        <v>-121.20370370370371</v>
      </c>
      <c r="AD10" s="3">
        <f>AVERAGEIF(Table257[Range(nm)], V10, Table257[SNR])</f>
        <v>-7.6166666666666645</v>
      </c>
    </row>
    <row r="11" spans="2:30" x14ac:dyDescent="0.25">
      <c r="B11" t="e">
        <f>390+2*(Table146[[#This Row],[min value (corrected)]]-36)</f>
        <v>#NUM!</v>
      </c>
      <c r="C11" t="e">
        <f>MINUTE(Table146[[#This Row],[Corrected time]])</f>
        <v>#NUM!</v>
      </c>
      <c r="D11" s="1"/>
      <c r="E11" s="1">
        <f>Table146[[#This Row],[Time]]-TIME(0,0,1)</f>
        <v>-1.1574074074074073E-5</v>
      </c>
      <c r="H11">
        <f>Table146[[#This Row],[RSSI]]</f>
        <v>0</v>
      </c>
      <c r="M11" t="e">
        <f>MINUTE(Table257[[#This Row],[Corrected time]])</f>
        <v>#NUM!</v>
      </c>
      <c r="N11" s="1"/>
      <c r="O11" s="1">
        <f>Table257[[#This Row],[Time]]-TIME(0,0,3)</f>
        <v>-3.4722222222222222E-5</v>
      </c>
      <c r="R11">
        <f>Table257[[#This Row],[RSSI]]</f>
        <v>0</v>
      </c>
      <c r="V11" s="10">
        <f t="shared" si="0"/>
        <v>404</v>
      </c>
      <c r="W11" s="4">
        <f>COUNTIFS(Table146[Range(nm)], V11, Table146[Type], "ACK")/COUNTIFS(Table146[Range(nm)], V11)</f>
        <v>0.94339622641509435</v>
      </c>
      <c r="X11" s="5">
        <f>COUNTIFS(Table146[Range(nm)], $V11, Table146[Type], "SUT Rx Error")/COUNTIFS(Table146[Range(nm)], $V11)</f>
        <v>0</v>
      </c>
      <c r="Y11">
        <f>AVERAGEIF(Table146[Range(nm)], V11, Table146[Corrected RSSI])</f>
        <v>-121.41509433962264</v>
      </c>
      <c r="Z11" s="3">
        <f>AVERAGEIF(Table146[Range(nm)], V11, Table146[SNR])</f>
        <v>-7.9169811320754704</v>
      </c>
      <c r="AA11" s="4">
        <f>COUNTIFS(Table257[Range(nm)], V11, Table257[Type], "ACK")/COUNTIFS(Table257[Range(nm)], V11)</f>
        <v>0.98113207547169812</v>
      </c>
      <c r="AB11" s="5">
        <f>COUNTIFS(Table257[Range(nm)], $V11, Table257[Type], "SUT Rx Error")/COUNTIFS(Table257[Range(nm)], $V11)</f>
        <v>1.8867924528301886E-2</v>
      </c>
      <c r="AC11">
        <f>AVERAGEIF(Table257[Range(nm)], V11, Table257[Corrected RSSI])</f>
        <v>-121.13207547169812</v>
      </c>
      <c r="AD11" s="3">
        <f>AVERAGEIF(Table257[Range(nm)], V11, Table257[SNR])</f>
        <v>-7.673584905660376</v>
      </c>
    </row>
    <row r="12" spans="2:30" x14ac:dyDescent="0.25">
      <c r="B12" t="e">
        <f>390+2*(Table146[[#This Row],[min value (corrected)]]-36)</f>
        <v>#NUM!</v>
      </c>
      <c r="C12" t="e">
        <f>MINUTE(Table146[[#This Row],[Corrected time]])</f>
        <v>#NUM!</v>
      </c>
      <c r="D12" s="1"/>
      <c r="E12" s="1">
        <f>Table146[[#This Row],[Time]]-TIME(0,0,1)</f>
        <v>-1.1574074074074073E-5</v>
      </c>
      <c r="H12">
        <f>Table146[[#This Row],[RSSI]]</f>
        <v>0</v>
      </c>
      <c r="M12" t="e">
        <f>MINUTE(Table257[[#This Row],[Corrected time]])</f>
        <v>#NUM!</v>
      </c>
      <c r="N12" s="1"/>
      <c r="O12" s="1">
        <f>Table257[[#This Row],[Time]]-TIME(0,0,3)</f>
        <v>-3.4722222222222222E-5</v>
      </c>
      <c r="R12">
        <f>Table257[[#This Row],[RSSI]]</f>
        <v>0</v>
      </c>
      <c r="V12" s="10">
        <f t="shared" si="0"/>
        <v>406</v>
      </c>
      <c r="W12" s="4">
        <f>COUNTIFS(Table146[Range(nm)], V12, Table146[Type], "ACK")/COUNTIFS(Table146[Range(nm)], V12)</f>
        <v>0.90566037735849059</v>
      </c>
      <c r="X12" s="5">
        <f>COUNTIFS(Table146[Range(nm)], $V12, Table146[Type], "SUT Rx Error")/COUNTIFS(Table146[Range(nm)], $V12)</f>
        <v>0</v>
      </c>
      <c r="Y12">
        <f>AVERAGEIF(Table146[Range(nm)], V12, Table146[Corrected RSSI])</f>
        <v>-121.49056603773585</v>
      </c>
      <c r="Z12" s="3">
        <f>AVERAGEIF(Table146[Range(nm)], V12, Table146[SNR])</f>
        <v>-8.0867924528301884</v>
      </c>
      <c r="AA12" s="4">
        <f>COUNTIFS(Table257[Range(nm)], V12, Table257[Type], "ACK")/COUNTIFS(Table257[Range(nm)], V12)</f>
        <v>0.96226415094339623</v>
      </c>
      <c r="AB12" s="5">
        <f>COUNTIFS(Table257[Range(nm)], $V12, Table257[Type], "SUT Rx Error")/COUNTIFS(Table257[Range(nm)], $V12)</f>
        <v>0</v>
      </c>
      <c r="AC12">
        <f>AVERAGEIF(Table257[Range(nm)], V12, Table257[Corrected RSSI])</f>
        <v>-121.28301886792453</v>
      </c>
      <c r="AD12" s="3">
        <f>AVERAGEIF(Table257[Range(nm)], V12, Table257[SNR])</f>
        <v>-7.7415094339622623</v>
      </c>
    </row>
    <row r="13" spans="2:30" x14ac:dyDescent="0.25">
      <c r="B13" t="e">
        <f>390+2*(Table146[[#This Row],[min value (corrected)]]-36)</f>
        <v>#NUM!</v>
      </c>
      <c r="C13" t="e">
        <f>MINUTE(Table146[[#This Row],[Corrected time]])</f>
        <v>#NUM!</v>
      </c>
      <c r="D13" s="1"/>
      <c r="E13" s="1">
        <f>Table146[[#This Row],[Time]]-TIME(0,0,1)</f>
        <v>-1.1574074074074073E-5</v>
      </c>
      <c r="H13">
        <f>Table146[[#This Row],[RSSI]]</f>
        <v>0</v>
      </c>
      <c r="M13" t="e">
        <f>MINUTE(Table257[[#This Row],[Corrected time]])</f>
        <v>#NUM!</v>
      </c>
      <c r="N13" s="1"/>
      <c r="O13" s="1">
        <f>Table257[[#This Row],[Time]]-TIME(0,0,3)</f>
        <v>-3.4722222222222222E-5</v>
      </c>
      <c r="R13">
        <f>Table257[[#This Row],[RSSI]]</f>
        <v>0</v>
      </c>
      <c r="V13" s="10">
        <f t="shared" si="0"/>
        <v>408</v>
      </c>
      <c r="W13" s="4">
        <f>COUNTIFS(Table146[Range(nm)], V13, Table146[Type], "ACK")/COUNTIFS(Table146[Range(nm)], V13)</f>
        <v>0.94444444444444442</v>
      </c>
      <c r="X13" s="5">
        <f>COUNTIFS(Table146[Range(nm)], $V13, Table146[Type], "SUT Rx Error")/COUNTIFS(Table146[Range(nm)], $V13)</f>
        <v>3.7037037037037035E-2</v>
      </c>
      <c r="Y13">
        <f>AVERAGEIF(Table146[Range(nm)], V13, Table146[Corrected RSSI])</f>
        <v>-121.55555555555556</v>
      </c>
      <c r="Z13" s="3">
        <f>AVERAGEIF(Table146[Range(nm)], V13, Table146[SNR])</f>
        <v>-7.9962962962962951</v>
      </c>
      <c r="AA13" s="4">
        <f>COUNTIFS(Table257[Range(nm)], V13, Table257[Type], "ACK")/COUNTIFS(Table257[Range(nm)], V13)</f>
        <v>0.92452830188679247</v>
      </c>
      <c r="AB13" s="5">
        <f>COUNTIFS(Table257[Range(nm)], $V13, Table257[Type], "SUT Rx Error")/COUNTIFS(Table257[Range(nm)], $V13)</f>
        <v>1.8867924528301886E-2</v>
      </c>
      <c r="AC13">
        <f>AVERAGEIF(Table257[Range(nm)], V13, Table257[Corrected RSSI])</f>
        <v>-121.16981132075472</v>
      </c>
      <c r="AD13" s="3">
        <f>AVERAGEIF(Table257[Range(nm)], V13, Table257[SNR])</f>
        <v>-7.7037735849056581</v>
      </c>
    </row>
    <row r="14" spans="2:30" x14ac:dyDescent="0.25">
      <c r="B14" t="e">
        <f>390+2*(Table146[[#This Row],[min value (corrected)]]-36)</f>
        <v>#NUM!</v>
      </c>
      <c r="C14" t="e">
        <f>MINUTE(Table146[[#This Row],[Corrected time]])</f>
        <v>#NUM!</v>
      </c>
      <c r="D14" s="1"/>
      <c r="E14" s="1">
        <f>Table146[[#This Row],[Time]]-TIME(0,0,1)</f>
        <v>-1.1574074074074073E-5</v>
      </c>
      <c r="H14">
        <f>Table146[[#This Row],[RSSI]]</f>
        <v>0</v>
      </c>
      <c r="M14" t="e">
        <f>MINUTE(Table257[[#This Row],[Corrected time]])</f>
        <v>#NUM!</v>
      </c>
      <c r="N14" s="1"/>
      <c r="O14" s="1">
        <f>Table257[[#This Row],[Time]]-TIME(0,0,3)</f>
        <v>-3.4722222222222222E-5</v>
      </c>
      <c r="R14">
        <f>Table257[[#This Row],[RSSI]]</f>
        <v>0</v>
      </c>
      <c r="V14" s="10">
        <f t="shared" si="0"/>
        <v>410</v>
      </c>
      <c r="W14" s="4">
        <f>COUNTIFS(Table146[Range(nm)], V14, Table146[Type], "ACK")/COUNTIFS(Table146[Range(nm)], V14)</f>
        <v>0.77358490566037741</v>
      </c>
      <c r="X14" s="5">
        <f>COUNTIFS(Table146[Range(nm)], $V14, Table146[Type], "SUT Rx Error")/COUNTIFS(Table146[Range(nm)], $V14)</f>
        <v>1.8867924528301886E-2</v>
      </c>
      <c r="Y14">
        <f>AVERAGEIF(Table146[Range(nm)], V14, Table146[Corrected RSSI])</f>
        <v>-121.98113207547169</v>
      </c>
      <c r="Z14" s="3">
        <f>AVERAGEIF(Table146[Range(nm)], V14, Table146[SNR])</f>
        <v>-8.5830188679245314</v>
      </c>
      <c r="AA14" s="4">
        <f>COUNTIFS(Table257[Range(nm)], V14, Table257[Type], "ACK")/COUNTIFS(Table257[Range(nm)], V14)</f>
        <v>0.79629629629629628</v>
      </c>
      <c r="AB14" s="5">
        <f>COUNTIFS(Table257[Range(nm)], $V14, Table257[Type], "SUT Rx Error")/COUNTIFS(Table257[Range(nm)], $V14)</f>
        <v>5.5555555555555552E-2</v>
      </c>
      <c r="AC14">
        <f>AVERAGEIF(Table257[Range(nm)], V14, Table257[Corrected RSSI])</f>
        <v>-121.83333333333333</v>
      </c>
      <c r="AD14" s="3">
        <f>AVERAGEIF(Table257[Range(nm)], V14, Table257[SNR])</f>
        <v>-8.3722222222222253</v>
      </c>
    </row>
    <row r="15" spans="2:30" x14ac:dyDescent="0.25">
      <c r="B15" t="e">
        <f>390+2*(Table146[[#This Row],[min value (corrected)]]-36)</f>
        <v>#NUM!</v>
      </c>
      <c r="C15" t="e">
        <f>MINUTE(Table146[[#This Row],[Corrected time]])</f>
        <v>#NUM!</v>
      </c>
      <c r="D15" s="1"/>
      <c r="E15" s="1">
        <f>Table146[[#This Row],[Time]]-TIME(0,0,1)</f>
        <v>-1.1574074074074073E-5</v>
      </c>
      <c r="H15">
        <f>Table146[[#This Row],[RSSI]]</f>
        <v>0</v>
      </c>
      <c r="M15" t="e">
        <f>MINUTE(Table257[[#This Row],[Corrected time]])</f>
        <v>#NUM!</v>
      </c>
      <c r="N15" s="1"/>
      <c r="O15" s="1">
        <f>Table257[[#This Row],[Time]]-TIME(0,0,3)</f>
        <v>-3.4722222222222222E-5</v>
      </c>
      <c r="R15">
        <f>Table257[[#This Row],[RSSI]]</f>
        <v>0</v>
      </c>
      <c r="V15" s="10">
        <f t="shared" si="0"/>
        <v>412</v>
      </c>
      <c r="W15" s="4">
        <f>COUNTIFS(Table146[Range(nm)], V15, Table146[Type], "ACK")/COUNTIFS(Table146[Range(nm)], V15)</f>
        <v>0.62264150943396224</v>
      </c>
      <c r="X15" s="5">
        <f>COUNTIFS(Table146[Range(nm)], $V15, Table146[Type], "SUT Rx Error")/COUNTIFS(Table146[Range(nm)], $V15)</f>
        <v>0</v>
      </c>
      <c r="Y15">
        <f>AVERAGEIF(Table146[Range(nm)], V15, Table146[Corrected RSSI])</f>
        <v>-122.43396226415095</v>
      </c>
      <c r="Z15" s="3">
        <f>AVERAGEIF(Table146[Range(nm)], V15, Table146[SNR])</f>
        <v>-8.8905660377358533</v>
      </c>
      <c r="AA15" s="4">
        <f>COUNTIFS(Table257[Range(nm)], V15, Table257[Type], "ACK")/COUNTIFS(Table257[Range(nm)], V15)</f>
        <v>0.81132075471698117</v>
      </c>
      <c r="AB15" s="5">
        <f>COUNTIFS(Table257[Range(nm)], $V15, Table257[Type], "SUT Rx Error")/COUNTIFS(Table257[Range(nm)], $V15)</f>
        <v>0</v>
      </c>
      <c r="AC15">
        <f>AVERAGEIF(Table257[Range(nm)], V15, Table257[Corrected RSSI])</f>
        <v>-122.01886792452831</v>
      </c>
      <c r="AD15" s="3">
        <f>AVERAGEIF(Table257[Range(nm)], V15, Table257[SNR])</f>
        <v>-8.507547169811323</v>
      </c>
    </row>
    <row r="16" spans="2:30" x14ac:dyDescent="0.25">
      <c r="B16" t="e">
        <f>390+2*(Table146[[#This Row],[min value (corrected)]]-36)</f>
        <v>#NUM!</v>
      </c>
      <c r="C16" t="e">
        <f>MINUTE(Table146[[#This Row],[Corrected time]])</f>
        <v>#NUM!</v>
      </c>
      <c r="D16" s="1"/>
      <c r="E16" s="1">
        <f>Table146[[#This Row],[Time]]-TIME(0,0,1)</f>
        <v>-1.1574074074074073E-5</v>
      </c>
      <c r="H16">
        <f>Table146[[#This Row],[RSSI]]</f>
        <v>0</v>
      </c>
      <c r="M16" t="e">
        <f>MINUTE(Table257[[#This Row],[Corrected time]])</f>
        <v>#NUM!</v>
      </c>
      <c r="N16" s="1"/>
      <c r="O16" s="1">
        <f>Table257[[#This Row],[Time]]-TIME(0,0,3)</f>
        <v>-3.4722222222222222E-5</v>
      </c>
      <c r="R16">
        <f>Table257[[#This Row],[RSSI]]</f>
        <v>0</v>
      </c>
      <c r="V16" s="10">
        <f t="shared" si="0"/>
        <v>414</v>
      </c>
      <c r="W16" s="4">
        <f>COUNTIFS(Table146[Range(nm)], V16, Table146[Type], "ACK")/COUNTIFS(Table146[Range(nm)], V16)</f>
        <v>0.55555555555555558</v>
      </c>
      <c r="X16" s="5">
        <f>COUNTIFS(Table146[Range(nm)], $V16, Table146[Type], "SUT Rx Error")/COUNTIFS(Table146[Range(nm)], $V16)</f>
        <v>0</v>
      </c>
      <c r="Y16">
        <f>AVERAGEIF(Table146[Range(nm)], V16, Table146[Corrected RSSI])</f>
        <v>-122.0925925925926</v>
      </c>
      <c r="Z16" s="3">
        <f>AVERAGEIF(Table146[Range(nm)], V16, Table146[SNR])</f>
        <v>-8.7037037037037059</v>
      </c>
      <c r="AA16" s="4">
        <f>COUNTIFS(Table257[Range(nm)], V16, Table257[Type], "ACK")/COUNTIFS(Table257[Range(nm)], V16)</f>
        <v>0.81132075471698117</v>
      </c>
      <c r="AB16" s="5">
        <f>COUNTIFS(Table257[Range(nm)], $V16, Table257[Type], "SUT Rx Error")/COUNTIFS(Table257[Range(nm)], $V16)</f>
        <v>0</v>
      </c>
      <c r="AC16">
        <f>AVERAGEIF(Table257[Range(nm)], V16, Table257[Corrected RSSI])</f>
        <v>-122.0377358490566</v>
      </c>
      <c r="AD16" s="3">
        <f>AVERAGEIF(Table257[Range(nm)], V16, Table257[SNR])</f>
        <v>-8.550943396226419</v>
      </c>
    </row>
    <row r="17" spans="2:30" x14ac:dyDescent="0.25">
      <c r="B17" t="e">
        <f>390+2*(Table146[[#This Row],[min value (corrected)]]-36)</f>
        <v>#NUM!</v>
      </c>
      <c r="C17" t="e">
        <f>MINUTE(Table146[[#This Row],[Corrected time]])</f>
        <v>#NUM!</v>
      </c>
      <c r="D17" s="1"/>
      <c r="E17" s="1">
        <f>Table146[[#This Row],[Time]]-TIME(0,0,1)</f>
        <v>-1.1574074074074073E-5</v>
      </c>
      <c r="H17">
        <f>Table146[[#This Row],[RSSI]]</f>
        <v>0</v>
      </c>
      <c r="M17" t="e">
        <f>MINUTE(Table257[[#This Row],[Corrected time]])</f>
        <v>#NUM!</v>
      </c>
      <c r="N17" s="1"/>
      <c r="O17" s="1">
        <f>Table257[[#This Row],[Time]]-TIME(0,0,3)</f>
        <v>-3.4722222222222222E-5</v>
      </c>
      <c r="R17">
        <f>Table257[[#This Row],[RSSI]]</f>
        <v>0</v>
      </c>
      <c r="V17" s="10">
        <f t="shared" si="0"/>
        <v>416</v>
      </c>
      <c r="W17" s="4">
        <f>COUNTIFS(Table146[Range(nm)], V17, Table146[Type], "ACK")/COUNTIFS(Table146[Range(nm)], V17)</f>
        <v>0.62264150943396224</v>
      </c>
      <c r="X17" s="5">
        <f>COUNTIFS(Table146[Range(nm)], $V17, Table146[Type], "SUT Rx Error")/COUNTIFS(Table146[Range(nm)], $V17)</f>
        <v>0</v>
      </c>
      <c r="Y17">
        <f>AVERAGEIF(Table146[Range(nm)], V17, Table146[Corrected RSSI])</f>
        <v>-122.0377358490566</v>
      </c>
      <c r="Z17" s="3">
        <f>AVERAGEIF(Table146[Range(nm)], V17, Table146[SNR])</f>
        <v>-8.6452830188679268</v>
      </c>
      <c r="AA17" s="4">
        <f>COUNTIFS(Table257[Range(nm)], V17, Table257[Type], "ACK")/COUNTIFS(Table257[Range(nm)], V17)</f>
        <v>0.68518518518518523</v>
      </c>
      <c r="AB17" s="5">
        <f>COUNTIFS(Table257[Range(nm)], $V17, Table257[Type], "SUT Rx Error")/COUNTIFS(Table257[Range(nm)], $V17)</f>
        <v>1.8518518518518517E-2</v>
      </c>
      <c r="AC17">
        <f>AVERAGEIF(Table257[Range(nm)], V17, Table257[Corrected RSSI])</f>
        <v>-121.96296296296296</v>
      </c>
      <c r="AD17" s="3">
        <f>AVERAGEIF(Table257[Range(nm)], V17, Table257[SNR])</f>
        <v>-8.5425925925925981</v>
      </c>
    </row>
    <row r="18" spans="2:30" x14ac:dyDescent="0.25">
      <c r="B18" t="e">
        <f>390+2*(Table146[[#This Row],[min value (corrected)]]-36)</f>
        <v>#NUM!</v>
      </c>
      <c r="C18" t="e">
        <f>MINUTE(Table146[[#This Row],[Corrected time]])</f>
        <v>#NUM!</v>
      </c>
      <c r="D18" s="1"/>
      <c r="E18" s="1">
        <f>Table146[[#This Row],[Time]]-TIME(0,0,1)</f>
        <v>-1.1574074074074073E-5</v>
      </c>
      <c r="H18">
        <f>Table146[[#This Row],[RSSI]]</f>
        <v>0</v>
      </c>
      <c r="M18" t="e">
        <f>MINUTE(Table257[[#This Row],[Corrected time]])</f>
        <v>#NUM!</v>
      </c>
      <c r="N18" s="1"/>
      <c r="O18" s="1">
        <f>Table257[[#This Row],[Time]]-TIME(0,0,3)</f>
        <v>-3.4722222222222222E-5</v>
      </c>
      <c r="R18">
        <f>Table257[[#This Row],[RSSI]]</f>
        <v>0</v>
      </c>
      <c r="V18" s="10">
        <f t="shared" si="0"/>
        <v>418</v>
      </c>
      <c r="W18" s="4">
        <f>COUNTIFS(Table146[Range(nm)], V18, Table146[Type], "ACK")/COUNTIFS(Table146[Range(nm)], V18)</f>
        <v>0.73584905660377353</v>
      </c>
      <c r="X18" s="5">
        <f>COUNTIFS(Table146[Range(nm)], $V18, Table146[Type], "SUT Rx Error")/COUNTIFS(Table146[Range(nm)], $V18)</f>
        <v>0</v>
      </c>
      <c r="Y18">
        <f>AVERAGEIF(Table146[Range(nm)], V18, Table146[Corrected RSSI])</f>
        <v>-122.41509433962264</v>
      </c>
      <c r="Z18" s="3">
        <f>AVERAGEIF(Table146[Range(nm)], V18, Table146[SNR])</f>
        <v>-8.7849056603773601</v>
      </c>
      <c r="AA18" s="4">
        <f>COUNTIFS(Table257[Range(nm)], V18, Table257[Type], "ACK")/COUNTIFS(Table257[Range(nm)], V18)</f>
        <v>0.73584905660377353</v>
      </c>
      <c r="AB18" s="5">
        <f>COUNTIFS(Table257[Range(nm)], $V18, Table257[Type], "SUT Rx Error")/COUNTIFS(Table257[Range(nm)], $V18)</f>
        <v>5.6603773584905662E-2</v>
      </c>
      <c r="AC18">
        <f>AVERAGEIF(Table257[Range(nm)], V18, Table257[Corrected RSSI])</f>
        <v>-122.0377358490566</v>
      </c>
      <c r="AD18" s="3">
        <f>AVERAGEIF(Table257[Range(nm)], V18, Table257[SNR])</f>
        <v>-8.5962264150943426</v>
      </c>
    </row>
    <row r="19" spans="2:30" x14ac:dyDescent="0.25">
      <c r="B19" t="e">
        <f>390+2*(Table146[[#This Row],[min value (corrected)]]-36)</f>
        <v>#NUM!</v>
      </c>
      <c r="C19" t="e">
        <f>MINUTE(Table146[[#This Row],[Corrected time]])</f>
        <v>#NUM!</v>
      </c>
      <c r="D19" s="1"/>
      <c r="E19" s="1">
        <f>Table146[[#This Row],[Time]]-TIME(0,0,1)</f>
        <v>-1.1574074074074073E-5</v>
      </c>
      <c r="H19">
        <f>Table146[[#This Row],[RSSI]]</f>
        <v>0</v>
      </c>
      <c r="M19" t="e">
        <f>MINUTE(Table257[[#This Row],[Corrected time]])</f>
        <v>#NUM!</v>
      </c>
      <c r="N19" s="1"/>
      <c r="O19" s="1">
        <f>Table257[[#This Row],[Time]]-TIME(0,0,3)</f>
        <v>-3.4722222222222222E-5</v>
      </c>
      <c r="R19">
        <f>Table257[[#This Row],[RSSI]]</f>
        <v>0</v>
      </c>
      <c r="V19" s="10">
        <f t="shared" si="0"/>
        <v>420</v>
      </c>
      <c r="W19" s="4">
        <f>COUNTIFS(Table146[Range(nm)], V19, Table146[Type], "ACK")/COUNTIFS(Table146[Range(nm)], V19)</f>
        <v>0.69811320754716977</v>
      </c>
      <c r="X19" s="5">
        <f>COUNTIFS(Table146[Range(nm)], $V19, Table146[Type], "SUT Rx Error")/COUNTIFS(Table146[Range(nm)], $V19)</f>
        <v>0</v>
      </c>
      <c r="Y19">
        <f>AVERAGEIF(Table146[Range(nm)], V19, Table146[Corrected RSSI])</f>
        <v>-122.18867924528301</v>
      </c>
      <c r="Z19" s="3">
        <f>AVERAGEIF(Table146[Range(nm)], V19, Table146[SNR])</f>
        <v>-8.7358490566037776</v>
      </c>
      <c r="AA19" s="4">
        <f>COUNTIFS(Table257[Range(nm)], V19, Table257[Type], "ACK")/COUNTIFS(Table257[Range(nm)], V19)</f>
        <v>0.81132075471698117</v>
      </c>
      <c r="AB19" s="5">
        <f>COUNTIFS(Table257[Range(nm)], $V19, Table257[Type], "SUT Rx Error")/COUNTIFS(Table257[Range(nm)], $V19)</f>
        <v>3.7735849056603772E-2</v>
      </c>
      <c r="AC19">
        <f>AVERAGEIF(Table257[Range(nm)], V19, Table257[Corrected RSSI])</f>
        <v>-121.94339622641509</v>
      </c>
      <c r="AD19" s="3">
        <f>AVERAGEIF(Table257[Range(nm)], V19, Table257[SNR])</f>
        <v>-8.4867924528301923</v>
      </c>
    </row>
    <row r="20" spans="2:30" x14ac:dyDescent="0.25">
      <c r="B20" t="e">
        <f>390+2*(Table146[[#This Row],[min value (corrected)]]-36)</f>
        <v>#NUM!</v>
      </c>
      <c r="C20" t="e">
        <f>MINUTE(Table146[[#This Row],[Corrected time]])</f>
        <v>#NUM!</v>
      </c>
      <c r="D20" s="1"/>
      <c r="E20" s="1">
        <f>Table146[[#This Row],[Time]]-TIME(0,0,1)</f>
        <v>-1.1574074074074073E-5</v>
      </c>
      <c r="H20">
        <f>Table146[[#This Row],[RSSI]]</f>
        <v>0</v>
      </c>
      <c r="M20" t="e">
        <f>MINUTE(Table257[[#This Row],[Corrected time]])</f>
        <v>#NUM!</v>
      </c>
      <c r="N20" s="1"/>
      <c r="O20" s="1">
        <f>Table257[[#This Row],[Time]]-TIME(0,0,3)</f>
        <v>-3.4722222222222222E-5</v>
      </c>
      <c r="R20">
        <f>Table257[[#This Row],[RSSI]]</f>
        <v>0</v>
      </c>
      <c r="V20" s="10">
        <f t="shared" si="0"/>
        <v>422</v>
      </c>
      <c r="W20" s="4">
        <f>COUNTIFS(Table146[Range(nm)], V20, Table146[Type], "ACK")/COUNTIFS(Table146[Range(nm)], V20)</f>
        <v>0.68518518518518523</v>
      </c>
      <c r="X20" s="5">
        <f>COUNTIFS(Table146[Range(nm)], $V20, Table146[Type], "SUT Rx Error")/COUNTIFS(Table146[Range(nm)], $V20)</f>
        <v>1.8518518518518517E-2</v>
      </c>
      <c r="Y20">
        <f>AVERAGEIF(Table146[Range(nm)], V20, Table146[Corrected RSSI])</f>
        <v>-122.07407407407408</v>
      </c>
      <c r="Z20" s="3">
        <f>AVERAGEIF(Table146[Range(nm)], V20, Table146[SNR])</f>
        <v>-8.6444444444444475</v>
      </c>
      <c r="AA20" s="4">
        <f>COUNTIFS(Table257[Range(nm)], V20, Table257[Type], "ACK")/COUNTIFS(Table257[Range(nm)], V20)</f>
        <v>0.71698113207547165</v>
      </c>
      <c r="AB20" s="5">
        <f>COUNTIFS(Table257[Range(nm)], $V20, Table257[Type], "SUT Rx Error")/COUNTIFS(Table257[Range(nm)], $V20)</f>
        <v>0</v>
      </c>
      <c r="AC20">
        <f>AVERAGEIF(Table257[Range(nm)], V20, Table257[Corrected RSSI])</f>
        <v>-122.32075471698113</v>
      </c>
      <c r="AD20" s="3">
        <f>AVERAGEIF(Table257[Range(nm)], V20, Table257[SNR])</f>
        <v>-8.7773584905660424</v>
      </c>
    </row>
    <row r="21" spans="2:30" x14ac:dyDescent="0.25">
      <c r="B21" t="e">
        <f>390+2*(Table146[[#This Row],[min value (corrected)]]-36)</f>
        <v>#NUM!</v>
      </c>
      <c r="C21" t="e">
        <f>MINUTE(Table146[[#This Row],[Corrected time]])</f>
        <v>#NUM!</v>
      </c>
      <c r="D21" s="1"/>
      <c r="E21" s="1">
        <f>Table146[[#This Row],[Time]]-TIME(0,0,1)</f>
        <v>-1.1574074074074073E-5</v>
      </c>
      <c r="H21">
        <f>Table146[[#This Row],[RSSI]]</f>
        <v>0</v>
      </c>
      <c r="M21" t="e">
        <f>MINUTE(Table257[[#This Row],[Corrected time]])</f>
        <v>#NUM!</v>
      </c>
      <c r="N21" s="1"/>
      <c r="O21" s="1">
        <f>Table257[[#This Row],[Time]]-TIME(0,0,3)</f>
        <v>-3.4722222222222222E-5</v>
      </c>
      <c r="R21">
        <f>Table257[[#This Row],[RSSI]]</f>
        <v>0</v>
      </c>
      <c r="V21" s="10">
        <f t="shared" si="0"/>
        <v>424</v>
      </c>
      <c r="W21" s="4">
        <f>COUNTIFS(Table146[Range(nm)], V21, Table146[Type], "ACK")/COUNTIFS(Table146[Range(nm)], V21)</f>
        <v>0.64150943396226412</v>
      </c>
      <c r="X21" s="5">
        <f>COUNTIFS(Table146[Range(nm)], $V21, Table146[Type], "SUT Rx Error")/COUNTIFS(Table146[Range(nm)], $V21)</f>
        <v>0</v>
      </c>
      <c r="Y21">
        <f>AVERAGEIF(Table146[Range(nm)], V21, Table146[Corrected RSSI])</f>
        <v>-122.32075471698113</v>
      </c>
      <c r="Z21" s="3">
        <f>AVERAGEIF(Table146[Range(nm)], V21, Table146[SNR])</f>
        <v>-8.7622641509434001</v>
      </c>
      <c r="AA21" s="4">
        <f>COUNTIFS(Table257[Range(nm)], V21, Table257[Type], "ACK")/COUNTIFS(Table257[Range(nm)], V21)</f>
        <v>0.61111111111111116</v>
      </c>
      <c r="AB21" s="5">
        <f>COUNTIFS(Table257[Range(nm)], $V21, Table257[Type], "SUT Rx Error")/COUNTIFS(Table257[Range(nm)], $V21)</f>
        <v>0</v>
      </c>
      <c r="AC21">
        <f>AVERAGEIF(Table257[Range(nm)], V21, Table257[Corrected RSSI])</f>
        <v>-122.18518518518519</v>
      </c>
      <c r="AD21" s="3">
        <f>AVERAGEIF(Table257[Range(nm)], V21, Table257[SNR])</f>
        <v>-8.7777777777777839</v>
      </c>
    </row>
    <row r="22" spans="2:30" x14ac:dyDescent="0.25">
      <c r="B22" t="e">
        <f>390+2*(Table146[[#This Row],[min value (corrected)]]-36)</f>
        <v>#NUM!</v>
      </c>
      <c r="C22" t="e">
        <f>MINUTE(Table146[[#This Row],[Corrected time]])</f>
        <v>#NUM!</v>
      </c>
      <c r="D22" s="1"/>
      <c r="E22" s="1">
        <f>Table146[[#This Row],[Time]]-TIME(0,0,1)</f>
        <v>-1.1574074074074073E-5</v>
      </c>
      <c r="H22">
        <f>Table146[[#This Row],[RSSI]]</f>
        <v>0</v>
      </c>
      <c r="M22" t="e">
        <f>MINUTE(Table257[[#This Row],[Corrected time]])</f>
        <v>#NUM!</v>
      </c>
      <c r="N22" s="1"/>
      <c r="O22" s="1">
        <f>Table257[[#This Row],[Time]]-TIME(0,0,3)</f>
        <v>-3.4722222222222222E-5</v>
      </c>
      <c r="R22">
        <f>Table257[[#This Row],[RSSI]]</f>
        <v>0</v>
      </c>
      <c r="V22" s="10">
        <f t="shared" si="0"/>
        <v>426</v>
      </c>
      <c r="W22" s="4">
        <f>COUNTIFS(Table146[Range(nm)], V22, Table146[Type], "ACK")/COUNTIFS(Table146[Range(nm)], V22)</f>
        <v>0.64150943396226412</v>
      </c>
      <c r="X22" s="5">
        <f>COUNTIFS(Table146[Range(nm)], $V22, Table146[Type], "SUT Rx Error")/COUNTIFS(Table146[Range(nm)], $V22)</f>
        <v>3.7735849056603772E-2</v>
      </c>
      <c r="Y22">
        <f>AVERAGEIF(Table146[Range(nm)], V22, Table146[Corrected RSSI])</f>
        <v>-122.49056603773585</v>
      </c>
      <c r="Z22" s="3">
        <f>AVERAGEIF(Table146[Range(nm)], V22, Table146[SNR])</f>
        <v>-8.9622641509433993</v>
      </c>
      <c r="AA22" s="4">
        <f>COUNTIFS(Table257[Range(nm)], V22, Table257[Type], "ACK")/COUNTIFS(Table257[Range(nm)], V22)</f>
        <v>0.62264150943396224</v>
      </c>
      <c r="AB22" s="5">
        <f>COUNTIFS(Table257[Range(nm)], $V22, Table257[Type], "SUT Rx Error")/COUNTIFS(Table257[Range(nm)], $V22)</f>
        <v>1.8867924528301886E-2</v>
      </c>
      <c r="AC22">
        <f>AVERAGEIF(Table257[Range(nm)], V22, Table257[Corrected RSSI])</f>
        <v>-122.0754716981132</v>
      </c>
      <c r="AD22" s="3">
        <f>AVERAGEIF(Table257[Range(nm)], V22, Table257[SNR])</f>
        <v>-8.7113207547169846</v>
      </c>
    </row>
    <row r="23" spans="2:30" x14ac:dyDescent="0.25">
      <c r="B23" t="e">
        <f>390+2*(Table146[[#This Row],[min value (corrected)]]-36)</f>
        <v>#NUM!</v>
      </c>
      <c r="C23" t="e">
        <f>MINUTE(Table146[[#This Row],[Corrected time]])</f>
        <v>#NUM!</v>
      </c>
      <c r="D23" s="1"/>
      <c r="E23" s="1">
        <f>Table146[[#This Row],[Time]]-TIME(0,0,1)</f>
        <v>-1.1574074074074073E-5</v>
      </c>
      <c r="H23">
        <f>Table146[[#This Row],[RSSI]]</f>
        <v>0</v>
      </c>
      <c r="M23" t="e">
        <f>MINUTE(Table257[[#This Row],[Corrected time]])</f>
        <v>#NUM!</v>
      </c>
      <c r="N23" s="1"/>
      <c r="O23" s="1">
        <f>Table257[[#This Row],[Time]]-TIME(0,0,3)</f>
        <v>-3.4722222222222222E-5</v>
      </c>
      <c r="R23">
        <f>Table257[[#This Row],[RSSI]]</f>
        <v>0</v>
      </c>
      <c r="V23" s="10">
        <f t="shared" si="0"/>
        <v>428</v>
      </c>
      <c r="W23" s="4">
        <f>COUNTIFS(Table146[Range(nm)], V23, Table146[Type], "ACK")/COUNTIFS(Table146[Range(nm)], V23)</f>
        <v>0.64814814814814814</v>
      </c>
      <c r="X23" s="5">
        <f>COUNTIFS(Table146[Range(nm)], $V23, Table146[Type], "SUT Rx Error")/COUNTIFS(Table146[Range(nm)], $V23)</f>
        <v>1.8518518518518517E-2</v>
      </c>
      <c r="Y23">
        <f>AVERAGEIF(Table146[Range(nm)], V23, Table146[Corrected RSSI])</f>
        <v>-122.4074074074074</v>
      </c>
      <c r="Z23" s="3">
        <f>AVERAGEIF(Table146[Range(nm)], V23, Table146[SNR])</f>
        <v>-8.8111111111111136</v>
      </c>
      <c r="AA23" s="4">
        <f>COUNTIFS(Table257[Range(nm)], V23, Table257[Type], "ACK")/COUNTIFS(Table257[Range(nm)], V23)</f>
        <v>0.81132075471698117</v>
      </c>
      <c r="AB23" s="5">
        <f>COUNTIFS(Table257[Range(nm)], $V23, Table257[Type], "SUT Rx Error")/COUNTIFS(Table257[Range(nm)], $V23)</f>
        <v>0</v>
      </c>
      <c r="AC23">
        <f>AVERAGEIF(Table257[Range(nm)], V23, Table257[Corrected RSSI])</f>
        <v>-122.26415094339623</v>
      </c>
      <c r="AD23" s="3">
        <f>AVERAGEIF(Table257[Range(nm)], V23, Table257[SNR])</f>
        <v>-8.7584905660377377</v>
      </c>
    </row>
    <row r="24" spans="2:30" x14ac:dyDescent="0.25">
      <c r="B24" t="e">
        <f>390+2*(Table146[[#This Row],[min value (corrected)]]-36)</f>
        <v>#NUM!</v>
      </c>
      <c r="C24" t="e">
        <f>MINUTE(Table146[[#This Row],[Corrected time]])</f>
        <v>#NUM!</v>
      </c>
      <c r="D24" s="1"/>
      <c r="E24" s="1">
        <f>Table146[[#This Row],[Time]]-TIME(0,0,1)</f>
        <v>-1.1574074074074073E-5</v>
      </c>
      <c r="H24">
        <f>Table146[[#This Row],[RSSI]]</f>
        <v>0</v>
      </c>
      <c r="M24" t="e">
        <f>MINUTE(Table257[[#This Row],[Corrected time]])</f>
        <v>#NUM!</v>
      </c>
      <c r="N24" s="1"/>
      <c r="O24" s="1">
        <f>Table257[[#This Row],[Time]]-TIME(0,0,3)</f>
        <v>-3.4722222222222222E-5</v>
      </c>
      <c r="R24">
        <f>Table257[[#This Row],[RSSI]]</f>
        <v>0</v>
      </c>
      <c r="V24" s="10">
        <f t="shared" si="0"/>
        <v>430</v>
      </c>
      <c r="W24" s="4">
        <f>COUNTIFS(Table146[Range(nm)], V24, Table146[Type], "ACK")/COUNTIFS(Table146[Range(nm)], V24)</f>
        <v>0.660377358490566</v>
      </c>
      <c r="X24" s="5">
        <f>COUNTIFS(Table146[Range(nm)], $V24, Table146[Type], "SUT Rx Error")/COUNTIFS(Table146[Range(nm)], $V24)</f>
        <v>0</v>
      </c>
      <c r="Y24">
        <f>AVERAGEIF(Table146[Range(nm)], V24, Table146[Corrected RSSI])</f>
        <v>-122.30188679245283</v>
      </c>
      <c r="Z24" s="3">
        <f>AVERAGEIF(Table146[Range(nm)], V24, Table146[SNR])</f>
        <v>-8.8886792452830239</v>
      </c>
      <c r="AA24" s="4">
        <f>COUNTIFS(Table257[Range(nm)], V24, Table257[Type], "ACK")/COUNTIFS(Table257[Range(nm)], V24)</f>
        <v>0.79629629629629628</v>
      </c>
      <c r="AB24" s="5">
        <f>COUNTIFS(Table257[Range(nm)], $V24, Table257[Type], "SUT Rx Error")/COUNTIFS(Table257[Range(nm)], $V24)</f>
        <v>0</v>
      </c>
      <c r="AC24">
        <f>AVERAGEIF(Table257[Range(nm)], V24, Table257[Corrected RSSI])</f>
        <v>-122.20370370370371</v>
      </c>
      <c r="AD24" s="3">
        <f>AVERAGEIF(Table257[Range(nm)], V24, Table257[SNR])</f>
        <v>-8.8037037037037056</v>
      </c>
    </row>
    <row r="25" spans="2:30" x14ac:dyDescent="0.25">
      <c r="B25" t="e">
        <f>390+2*(Table146[[#This Row],[min value (corrected)]]-36)</f>
        <v>#NUM!</v>
      </c>
      <c r="C25" t="e">
        <f>MINUTE(Table146[[#This Row],[Corrected time]])</f>
        <v>#NUM!</v>
      </c>
      <c r="D25" s="1"/>
      <c r="E25" s="1">
        <f>Table146[[#This Row],[Time]]-TIME(0,0,1)</f>
        <v>-1.1574074074074073E-5</v>
      </c>
      <c r="H25">
        <f>Table146[[#This Row],[RSSI]]</f>
        <v>0</v>
      </c>
      <c r="M25" t="e">
        <f>MINUTE(Table257[[#This Row],[Corrected time]])</f>
        <v>#NUM!</v>
      </c>
      <c r="N25" s="1"/>
      <c r="O25" s="1">
        <f>Table257[[#This Row],[Time]]-TIME(0,0,3)</f>
        <v>-3.4722222222222222E-5</v>
      </c>
      <c r="R25">
        <f>Table257[[#This Row],[RSSI]]</f>
        <v>0</v>
      </c>
      <c r="V25" s="10">
        <f t="shared" si="0"/>
        <v>432</v>
      </c>
      <c r="W25" s="4">
        <f>COUNTIFS(Table146[Range(nm)], V25, Table146[Type], "ACK")/COUNTIFS(Table146[Range(nm)], V25)</f>
        <v>0.73584905660377353</v>
      </c>
      <c r="X25" s="5">
        <f>COUNTIFS(Table146[Range(nm)], $V25, Table146[Type], "SUT Rx Error")/COUNTIFS(Table146[Range(nm)], $V25)</f>
        <v>0</v>
      </c>
      <c r="Y25">
        <f>AVERAGEIF(Table146[Range(nm)], V25, Table146[Corrected RSSI])</f>
        <v>-122</v>
      </c>
      <c r="Z25" s="3">
        <f>AVERAGEIF(Table146[Range(nm)], V25, Table146[SNR])</f>
        <v>-8.6679245283018904</v>
      </c>
      <c r="AA25" s="4">
        <f>COUNTIFS(Table257[Range(nm)], V25, Table257[Type], "ACK")/COUNTIFS(Table257[Range(nm)], V25)</f>
        <v>0.79245283018867929</v>
      </c>
      <c r="AB25" s="5">
        <f>COUNTIFS(Table257[Range(nm)], $V25, Table257[Type], "SUT Rx Error")/COUNTIFS(Table257[Range(nm)], $V25)</f>
        <v>1.8867924528301886E-2</v>
      </c>
      <c r="AC25">
        <f>AVERAGEIF(Table257[Range(nm)], V25, Table257[Corrected RSSI])</f>
        <v>-122.18867924528301</v>
      </c>
      <c r="AD25" s="3">
        <f>AVERAGEIF(Table257[Range(nm)], V25, Table257[SNR])</f>
        <v>-8.6622641509433986</v>
      </c>
    </row>
    <row r="26" spans="2:30" x14ac:dyDescent="0.25">
      <c r="B26" t="e">
        <f>390+2*(Table146[[#This Row],[min value (corrected)]]-36)</f>
        <v>#NUM!</v>
      </c>
      <c r="C26" t="e">
        <f>MINUTE(Table146[[#This Row],[Corrected time]])</f>
        <v>#NUM!</v>
      </c>
      <c r="D26" s="1"/>
      <c r="E26" s="1">
        <f>Table146[[#This Row],[Time]]-TIME(0,0,1)</f>
        <v>-1.1574074074074073E-5</v>
      </c>
      <c r="H26">
        <f>Table146[[#This Row],[RSSI]]</f>
        <v>0</v>
      </c>
      <c r="M26" t="e">
        <f>MINUTE(Table257[[#This Row],[Corrected time]])</f>
        <v>#NUM!</v>
      </c>
      <c r="N26" s="1"/>
      <c r="O26" s="1">
        <f>Table257[[#This Row],[Time]]-TIME(0,0,3)</f>
        <v>-3.4722222222222222E-5</v>
      </c>
      <c r="R26">
        <f>Table257[[#This Row],[RSSI]]</f>
        <v>0</v>
      </c>
      <c r="V26" s="10">
        <f t="shared" si="0"/>
        <v>434</v>
      </c>
      <c r="W26" s="4">
        <f>COUNTIFS(Table146[Range(nm)], V26, Table146[Type], "ACK")/COUNTIFS(Table146[Range(nm)], V26)</f>
        <v>0.71698113207547165</v>
      </c>
      <c r="X26" s="5">
        <f>COUNTIFS(Table146[Range(nm)], $V26, Table146[Type], "SUT Rx Error")/COUNTIFS(Table146[Range(nm)], $V26)</f>
        <v>0</v>
      </c>
      <c r="Y26">
        <f>AVERAGEIF(Table146[Range(nm)], V26, Table146[Corrected RSSI])</f>
        <v>-121.98113207547169</v>
      </c>
      <c r="Z26" s="3">
        <f>AVERAGEIF(Table146[Range(nm)], V26, Table146[SNR])</f>
        <v>-8.5226415094339636</v>
      </c>
      <c r="AA26" s="4">
        <f>COUNTIFS(Table257[Range(nm)], V26, Table257[Type], "ACK")/COUNTIFS(Table257[Range(nm)], V26)</f>
        <v>0.73584905660377353</v>
      </c>
      <c r="AB26" s="5">
        <f>COUNTIFS(Table257[Range(nm)], $V26, Table257[Type], "SUT Rx Error")/COUNTIFS(Table257[Range(nm)], $V26)</f>
        <v>0</v>
      </c>
      <c r="AC26">
        <f>AVERAGEIF(Table257[Range(nm)], V26, Table257[Corrected RSSI])</f>
        <v>-122.22641509433963</v>
      </c>
      <c r="AD26" s="3">
        <f>AVERAGEIF(Table257[Range(nm)], V26, Table257[SNR])</f>
        <v>-8.7660377358490607</v>
      </c>
    </row>
    <row r="27" spans="2:30" x14ac:dyDescent="0.25">
      <c r="B27" t="e">
        <f>390+2*(Table146[[#This Row],[min value (corrected)]]-37)</f>
        <v>#NUM!</v>
      </c>
      <c r="C27" t="e">
        <f>MINUTE(Table146[[#This Row],[Corrected time]])</f>
        <v>#NUM!</v>
      </c>
      <c r="D27" s="17"/>
      <c r="E27" s="1">
        <f>Table146[[#This Row],[Time]]-TIME(0,0,1)</f>
        <v>-1.1574074074074073E-5</v>
      </c>
      <c r="H27">
        <f>Table146[[#This Row],[RSSI]]</f>
        <v>0</v>
      </c>
      <c r="M27" t="e">
        <f>MINUTE(Table257[[#This Row],[Corrected time]])</f>
        <v>#NUM!</v>
      </c>
      <c r="N27" s="1"/>
      <c r="O27" s="1">
        <f>Table257[[#This Row],[Time]]-TIME(0,0,3)</f>
        <v>-3.4722222222222222E-5</v>
      </c>
      <c r="R27">
        <f>Table257[[#This Row],[RSSI]]</f>
        <v>0</v>
      </c>
      <c r="V27" s="10">
        <f t="shared" si="0"/>
        <v>436</v>
      </c>
      <c r="W27" s="4">
        <f>COUNTIFS(Table146[Range(nm)], V27, Table146[Type], "ACK")/COUNTIFS(Table146[Range(nm)], V27)</f>
        <v>0.68518518518518523</v>
      </c>
      <c r="X27" s="5">
        <f>COUNTIFS(Table146[Range(nm)], $V27, Table146[Type], "SUT Rx Error")/COUNTIFS(Table146[Range(nm)], $V27)</f>
        <v>3.7037037037037035E-2</v>
      </c>
      <c r="Y27">
        <f>AVERAGEIF(Table146[Range(nm)], V27, Table146[Corrected RSSI])</f>
        <v>-122.20370370370371</v>
      </c>
      <c r="Z27" s="3">
        <f>AVERAGEIF(Table146[Range(nm)], V27, Table146[SNR])</f>
        <v>-8.7462962962963005</v>
      </c>
      <c r="AA27" s="4">
        <f>COUNTIFS(Table257[Range(nm)], V27, Table257[Type], "ACK")/COUNTIFS(Table257[Range(nm)], V27)</f>
        <v>0.660377358490566</v>
      </c>
      <c r="AB27" s="5">
        <f>COUNTIFS(Table257[Range(nm)], $V27, Table257[Type], "SUT Rx Error")/COUNTIFS(Table257[Range(nm)], $V27)</f>
        <v>1.8867924528301886E-2</v>
      </c>
      <c r="AC27">
        <f>AVERAGEIF(Table257[Range(nm)], V27, Table257[Corrected RSSI])</f>
        <v>-122.30188679245283</v>
      </c>
      <c r="AD27" s="3">
        <f>AVERAGEIF(Table257[Range(nm)], V27, Table257[SNR])</f>
        <v>-8.7716981132075524</v>
      </c>
    </row>
    <row r="28" spans="2:30" x14ac:dyDescent="0.25">
      <c r="B28">
        <f>390+2*(Table146[[#This Row],[min value (corrected)]]-37)</f>
        <v>390</v>
      </c>
      <c r="C28">
        <f>MINUTE(Table146[[#This Row],[Corrected time]])</f>
        <v>37</v>
      </c>
      <c r="D28" s="1">
        <v>0.48404269675925921</v>
      </c>
      <c r="E28" s="2">
        <f>Table146[[#This Row],[Time]]-TIME(0,0,1)</f>
        <v>0.48403112268518511</v>
      </c>
      <c r="F28" t="s">
        <v>9</v>
      </c>
      <c r="G28">
        <v>-121</v>
      </c>
      <c r="H28">
        <f>Table146[[#This Row],[RSSI]]</f>
        <v>-121</v>
      </c>
      <c r="I28">
        <v>-7.7</v>
      </c>
      <c r="M28" t="e">
        <f>MINUTE(Table257[[#This Row],[Corrected time]])</f>
        <v>#NUM!</v>
      </c>
      <c r="N28" s="1"/>
      <c r="O28" s="1">
        <f>Table257[[#This Row],[Time]]-TIME(0,0,3)</f>
        <v>-3.4722222222222222E-5</v>
      </c>
      <c r="R28">
        <f>Table257[[#This Row],[RSSI]]</f>
        <v>0</v>
      </c>
      <c r="V28" s="10">
        <f t="shared" si="0"/>
        <v>438</v>
      </c>
      <c r="W28" s="4">
        <f>COUNTIFS(Table146[Range(nm)], V28, Table146[Type], "ACK")/COUNTIFS(Table146[Range(nm)], V28)</f>
        <v>0.67924528301886788</v>
      </c>
      <c r="X28" s="5">
        <f>COUNTIFS(Table146[Range(nm)], $V28, Table146[Type], "SUT Rx Error")/COUNTIFS(Table146[Range(nm)], $V28)</f>
        <v>0</v>
      </c>
      <c r="Y28">
        <f>AVERAGEIF(Table146[Range(nm)], V28, Table146[Corrected RSSI])</f>
        <v>-122.13207547169812</v>
      </c>
      <c r="Z28" s="3">
        <f>AVERAGEIF(Table146[Range(nm)], V28, Table146[SNR])</f>
        <v>-8.7188679245283058</v>
      </c>
      <c r="AA28" s="4">
        <f>COUNTIFS(Table257[Range(nm)], V28, Table257[Type], "ACK")/COUNTIFS(Table257[Range(nm)], V28)</f>
        <v>0.77777777777777779</v>
      </c>
      <c r="AB28" s="5">
        <f>COUNTIFS(Table257[Range(nm)], $V28, Table257[Type], "SUT Rx Error")/COUNTIFS(Table257[Range(nm)], $V28)</f>
        <v>0</v>
      </c>
      <c r="AC28">
        <f>AVERAGEIF(Table257[Range(nm)], V28, Table257[Corrected RSSI])</f>
        <v>-121.98148148148148</v>
      </c>
      <c r="AD28" s="3">
        <f>AVERAGEIF(Table257[Range(nm)], V28, Table257[SNR])</f>
        <v>-8.5814814814814859</v>
      </c>
    </row>
    <row r="29" spans="2:30" x14ac:dyDescent="0.25">
      <c r="B29">
        <f>390+2*(Table146[[#This Row],[min value (corrected)]]-37)</f>
        <v>390</v>
      </c>
      <c r="C29">
        <f>MINUTE(Table146[[#This Row],[Corrected time]])</f>
        <v>37</v>
      </c>
      <c r="D29" s="1">
        <v>0.48405571759259258</v>
      </c>
      <c r="E29" s="1">
        <f>Table146[[#This Row],[Time]]-TIME(0,0,1)</f>
        <v>0.48404414351851849</v>
      </c>
      <c r="F29" t="s">
        <v>9</v>
      </c>
      <c r="G29">
        <v>-122</v>
      </c>
      <c r="H29">
        <f>Table146[[#This Row],[RSSI]]</f>
        <v>-122</v>
      </c>
      <c r="I29">
        <v>-8</v>
      </c>
      <c r="M29" t="e">
        <f>MINUTE(Table257[[#This Row],[Corrected time]])</f>
        <v>#NUM!</v>
      </c>
      <c r="N29" s="1"/>
      <c r="O29" s="1">
        <f>Table257[[#This Row],[Time]]-TIME(0,0,3)</f>
        <v>-3.4722222222222222E-5</v>
      </c>
      <c r="R29">
        <f>Table257[[#This Row],[RSSI]]</f>
        <v>0</v>
      </c>
      <c r="V29" s="10">
        <f t="shared" si="0"/>
        <v>440</v>
      </c>
      <c r="W29" s="4">
        <f>COUNTIFS(Table146[Range(nm)], V29, Table146[Type], "ACK")/COUNTIFS(Table146[Range(nm)], V29)</f>
        <v>0.69811320754716977</v>
      </c>
      <c r="X29" s="5">
        <f>COUNTIFS(Table146[Range(nm)], $V29, Table146[Type], "SUT Rx Error")/COUNTIFS(Table146[Range(nm)], $V29)</f>
        <v>1.8867924528301886E-2</v>
      </c>
      <c r="Y29">
        <f>AVERAGEIF(Table146[Range(nm)], V29, Table146[Corrected RSSI])</f>
        <v>-121.9245283018868</v>
      </c>
      <c r="Z29" s="3">
        <f>AVERAGEIF(Table146[Range(nm)], V29, Table146[SNR])</f>
        <v>-8.8000000000000043</v>
      </c>
      <c r="AA29" s="4">
        <f>COUNTIFS(Table257[Range(nm)], V29, Table257[Type], "ACK")/COUNTIFS(Table257[Range(nm)], V29)</f>
        <v>0.75471698113207553</v>
      </c>
      <c r="AB29" s="5">
        <f>COUNTIFS(Table257[Range(nm)], $V29, Table257[Type], "SUT Rx Error")/COUNTIFS(Table257[Range(nm)], $V29)</f>
        <v>5.6603773584905662E-2</v>
      </c>
      <c r="AC29">
        <f>AVERAGEIF(Table257[Range(nm)], V29, Table257[Corrected RSSI])</f>
        <v>-121.9622641509434</v>
      </c>
      <c r="AD29" s="3">
        <f>AVERAGEIF(Table257[Range(nm)], V29, Table257[SNR])</f>
        <v>-8.5962264150943426</v>
      </c>
    </row>
    <row r="30" spans="2:30" x14ac:dyDescent="0.25">
      <c r="B30">
        <f>390+2*(Table146[[#This Row],[min value (corrected)]]-37)</f>
        <v>390</v>
      </c>
      <c r="C30">
        <f>MINUTE(Table146[[#This Row],[Corrected time]])</f>
        <v>37</v>
      </c>
      <c r="D30" s="1">
        <v>0.48406876157407402</v>
      </c>
      <c r="E30" s="1">
        <f>Table146[[#This Row],[Time]]-TIME(0,0,1)</f>
        <v>0.48405718749999993</v>
      </c>
      <c r="F30" t="s">
        <v>9</v>
      </c>
      <c r="G30">
        <v>-121</v>
      </c>
      <c r="H30">
        <f>Table146[[#This Row],[RSSI]]</f>
        <v>-121</v>
      </c>
      <c r="I30">
        <v>-8</v>
      </c>
      <c r="M30" t="e">
        <f>MINUTE(Table257[[#This Row],[Corrected time]])</f>
        <v>#NUM!</v>
      </c>
      <c r="N30" s="1"/>
      <c r="O30" s="1">
        <f>Table257[[#This Row],[Time]]-TIME(0,0,3)</f>
        <v>-3.4722222222222222E-5</v>
      </c>
      <c r="R30">
        <f>Table257[[#This Row],[RSSI]]</f>
        <v>0</v>
      </c>
      <c r="V30" s="10">
        <f t="shared" si="0"/>
        <v>442</v>
      </c>
      <c r="W30" s="4">
        <f>COUNTIFS(Table146[Range(nm)], V30, Table146[Type], "ACK")/COUNTIFS(Table146[Range(nm)], V30)</f>
        <v>0.70370370370370372</v>
      </c>
      <c r="X30" s="5">
        <f>COUNTIFS(Table146[Range(nm)], $V30, Table146[Type], "SUT Rx Error")/COUNTIFS(Table146[Range(nm)], $V30)</f>
        <v>1.8518518518518517E-2</v>
      </c>
      <c r="Y30">
        <f>AVERAGEIF(Table146[Range(nm)], V30, Table146[Corrected RSSI])</f>
        <v>-122.24074074074075</v>
      </c>
      <c r="Z30" s="3">
        <f>AVERAGEIF(Table146[Range(nm)], V30, Table146[SNR])</f>
        <v>-8.8851851851851897</v>
      </c>
      <c r="AA30" s="4">
        <f>COUNTIFS(Table257[Range(nm)], V30, Table257[Type], "ACK")/COUNTIFS(Table257[Range(nm)], V30)</f>
        <v>0.69811320754716977</v>
      </c>
      <c r="AB30" s="5">
        <f>COUNTIFS(Table257[Range(nm)], $V30, Table257[Type], "SUT Rx Error")/COUNTIFS(Table257[Range(nm)], $V30)</f>
        <v>0</v>
      </c>
      <c r="AC30">
        <f>AVERAGEIF(Table257[Range(nm)], V30, Table257[Corrected RSSI])</f>
        <v>-122.13207547169812</v>
      </c>
      <c r="AD30" s="3">
        <f>AVERAGEIF(Table257[Range(nm)], V30, Table257[SNR])</f>
        <v>-8.713207547169814</v>
      </c>
    </row>
    <row r="31" spans="2:30" x14ac:dyDescent="0.25">
      <c r="B31">
        <f>390+2*(Table146[[#This Row],[min value (corrected)]]-37)</f>
        <v>390</v>
      </c>
      <c r="C31">
        <f>MINUTE(Table146[[#This Row],[Corrected time]])</f>
        <v>37</v>
      </c>
      <c r="D31" s="1">
        <v>0.4840817824074074</v>
      </c>
      <c r="E31" s="1">
        <f>Table146[[#This Row],[Time]]-TIME(0,0,1)</f>
        <v>0.48407020833333331</v>
      </c>
      <c r="F31" t="s">
        <v>13</v>
      </c>
      <c r="G31">
        <f>G30</f>
        <v>-121</v>
      </c>
      <c r="H31">
        <f>Table146[[#This Row],[RSSI]]</f>
        <v>-121</v>
      </c>
      <c r="I31">
        <f>I30</f>
        <v>-8</v>
      </c>
      <c r="M31" t="e">
        <f>MINUTE(Table257[[#This Row],[Corrected time]])</f>
        <v>#NUM!</v>
      </c>
      <c r="N31" s="1"/>
      <c r="O31" s="1">
        <f>Table257[[#This Row],[Time]]-TIME(0,0,3)</f>
        <v>-3.4722222222222222E-5</v>
      </c>
      <c r="R31">
        <f>Table257[[#This Row],[RSSI]]</f>
        <v>0</v>
      </c>
      <c r="V31" s="10">
        <f t="shared" si="0"/>
        <v>444</v>
      </c>
      <c r="W31" s="4">
        <f>COUNTIFS(Table146[Range(nm)], V31, Table146[Type], "ACK")/COUNTIFS(Table146[Range(nm)], V31)</f>
        <v>0.660377358490566</v>
      </c>
      <c r="X31" s="5">
        <f>COUNTIFS(Table146[Range(nm)], $V31, Table146[Type], "SUT Rx Error")/COUNTIFS(Table146[Range(nm)], $V31)</f>
        <v>0</v>
      </c>
      <c r="Y31">
        <f>AVERAGEIF(Table146[Range(nm)], V31, Table146[Corrected RSSI])</f>
        <v>-122.01886792452831</v>
      </c>
      <c r="Z31" s="3">
        <f>AVERAGEIF(Table146[Range(nm)], V31, Table146[SNR])</f>
        <v>-8.7056603773584946</v>
      </c>
      <c r="AA31" s="4">
        <f>COUNTIFS(Table257[Range(nm)], V31, Table257[Type], "ACK")/COUNTIFS(Table257[Range(nm)], V31)</f>
        <v>0.7592592592592593</v>
      </c>
      <c r="AB31" s="5">
        <f>COUNTIFS(Table257[Range(nm)], $V31, Table257[Type], "SUT Rx Error")/COUNTIFS(Table257[Range(nm)], $V31)</f>
        <v>0</v>
      </c>
      <c r="AC31">
        <f>AVERAGEIF(Table257[Range(nm)], V31, Table257[Corrected RSSI])</f>
        <v>-121.98148148148148</v>
      </c>
      <c r="AD31" s="3">
        <f>AVERAGEIF(Table257[Range(nm)], V31, Table257[SNR])</f>
        <v>-8.6629629629629665</v>
      </c>
    </row>
    <row r="32" spans="2:30" x14ac:dyDescent="0.25">
      <c r="B32">
        <f>390+2*(Table146[[#This Row],[min value (corrected)]]-37)</f>
        <v>390</v>
      </c>
      <c r="C32">
        <f>MINUTE(Table146[[#This Row],[Corrected time]])</f>
        <v>37</v>
      </c>
      <c r="D32" s="1">
        <v>0.48409481481481481</v>
      </c>
      <c r="E32" s="1">
        <f>Table146[[#This Row],[Time]]-TIME(0,0,1)</f>
        <v>0.48408324074074072</v>
      </c>
      <c r="F32" t="s">
        <v>9</v>
      </c>
      <c r="G32">
        <v>-121</v>
      </c>
      <c r="H32">
        <f>Table146[[#This Row],[RSSI]]</f>
        <v>-121</v>
      </c>
      <c r="I32">
        <v>-7</v>
      </c>
      <c r="M32" t="e">
        <f>MINUTE(Table257[[#This Row],[Corrected time]])</f>
        <v>#NUM!</v>
      </c>
      <c r="N32" s="1"/>
      <c r="O32" s="1">
        <f>Table257[[#This Row],[Time]]-TIME(0,0,3)</f>
        <v>-3.4722222222222222E-5</v>
      </c>
      <c r="R32">
        <f>Table257[[#This Row],[RSSI]]</f>
        <v>0</v>
      </c>
      <c r="V32" s="10">
        <f t="shared" si="0"/>
        <v>446</v>
      </c>
      <c r="W32" s="4">
        <f>COUNTIFS(Table146[Range(nm)], V32, Table146[Type], "ACK")/COUNTIFS(Table146[Range(nm)], V32)</f>
        <v>0.660377358490566</v>
      </c>
      <c r="X32" s="5">
        <f>COUNTIFS(Table146[Range(nm)], $V32, Table146[Type], "SUT Rx Error")/COUNTIFS(Table146[Range(nm)], $V32)</f>
        <v>1.8867924528301886E-2</v>
      </c>
      <c r="Y32">
        <f>AVERAGEIF(Table146[Range(nm)], V32, Table146[Corrected RSSI])</f>
        <v>-122.43396226415095</v>
      </c>
      <c r="Z32" s="3">
        <f>AVERAGEIF(Table146[Range(nm)], V32, Table146[SNR])</f>
        <v>-8.7773584905660407</v>
      </c>
      <c r="AA32" s="4">
        <f>COUNTIFS(Table257[Range(nm)], V32, Table257[Type], "ACK")/COUNTIFS(Table257[Range(nm)], V32)</f>
        <v>0.62264150943396224</v>
      </c>
      <c r="AB32" s="5">
        <f>COUNTIFS(Table257[Range(nm)], $V32, Table257[Type], "SUT Rx Error")/COUNTIFS(Table257[Range(nm)], $V32)</f>
        <v>0</v>
      </c>
      <c r="AC32">
        <f>AVERAGEIF(Table257[Range(nm)], V32, Table257[Corrected RSSI])</f>
        <v>-122.01886792452831</v>
      </c>
      <c r="AD32" s="3">
        <f>AVERAGEIF(Table257[Range(nm)], V32, Table257[SNR])</f>
        <v>-8.5264150943396242</v>
      </c>
    </row>
    <row r="33" spans="2:30" x14ac:dyDescent="0.25">
      <c r="B33">
        <f>390+2*(Table146[[#This Row],[min value (corrected)]]-37)</f>
        <v>390</v>
      </c>
      <c r="C33">
        <f>MINUTE(Table146[[#This Row],[Corrected time]])</f>
        <v>37</v>
      </c>
      <c r="D33" s="1">
        <v>0.48410785879629631</v>
      </c>
      <c r="E33" s="1">
        <f>Table146[[#This Row],[Time]]-TIME(0,0,1)</f>
        <v>0.48409628472222221</v>
      </c>
      <c r="F33" t="s">
        <v>9</v>
      </c>
      <c r="G33">
        <v>-121</v>
      </c>
      <c r="H33">
        <f>Table146[[#This Row],[RSSI]]</f>
        <v>-121</v>
      </c>
      <c r="I33">
        <v>-7.5</v>
      </c>
      <c r="M33" t="e">
        <f>MINUTE(Table257[[#This Row],[Corrected time]])</f>
        <v>#NUM!</v>
      </c>
      <c r="N33" s="1"/>
      <c r="O33" s="1">
        <f>Table257[[#This Row],[Time]]-TIME(0,0,3)</f>
        <v>-3.4722222222222222E-5</v>
      </c>
      <c r="R33">
        <f>Table257[[#This Row],[RSSI]]</f>
        <v>0</v>
      </c>
      <c r="V33" s="10">
        <f t="shared" si="0"/>
        <v>448</v>
      </c>
      <c r="W33" s="4">
        <f>COUNTIFS(Table146[Range(nm)], V33, Table146[Type], "ACK")/COUNTIFS(Table146[Range(nm)], V33)</f>
        <v>0.67924528301886788</v>
      </c>
      <c r="X33" s="5">
        <f>COUNTIFS(Table146[Range(nm)], $V33, Table146[Type], "SUT Rx Error")/COUNTIFS(Table146[Range(nm)], $V33)</f>
        <v>0</v>
      </c>
      <c r="Y33">
        <f>AVERAGEIF(Table146[Range(nm)], V33, Table146[Corrected RSSI])</f>
        <v>-122.20754716981132</v>
      </c>
      <c r="Z33" s="3">
        <f>AVERAGEIF(Table146[Range(nm)], V33, Table146[SNR])</f>
        <v>-8.7339622641509465</v>
      </c>
      <c r="AA33" s="4">
        <f>COUNTIFS(Table257[Range(nm)], V33, Table257[Type], "ACK")/COUNTIFS(Table257[Range(nm)], V33)</f>
        <v>0.81132075471698117</v>
      </c>
      <c r="AB33" s="5">
        <f>COUNTIFS(Table257[Range(nm)], $V33, Table257[Type], "SUT Rx Error")/COUNTIFS(Table257[Range(nm)], $V33)</f>
        <v>0</v>
      </c>
      <c r="AC33">
        <f>AVERAGEIF(Table257[Range(nm)], V33, Table257[Corrected RSSI])</f>
        <v>-122.05660377358491</v>
      </c>
      <c r="AD33" s="3">
        <f>AVERAGEIF(Table257[Range(nm)], V33, Table257[SNR])</f>
        <v>-8.5490566037735878</v>
      </c>
    </row>
    <row r="34" spans="2:30" ht="15.75" thickBot="1" x14ac:dyDescent="0.3">
      <c r="B34">
        <f>390+2*(Table146[[#This Row],[min value (corrected)]]-37)</f>
        <v>390</v>
      </c>
      <c r="C34">
        <f>MINUTE(Table146[[#This Row],[Corrected time]])</f>
        <v>37</v>
      </c>
      <c r="D34" s="1">
        <v>0.48412087962962963</v>
      </c>
      <c r="E34" s="1">
        <f>Table146[[#This Row],[Time]]-TIME(0,0,1)</f>
        <v>0.48410930555555554</v>
      </c>
      <c r="F34" t="s">
        <v>9</v>
      </c>
      <c r="G34">
        <v>-121</v>
      </c>
      <c r="H34">
        <f>Table146[[#This Row],[RSSI]]</f>
        <v>-121</v>
      </c>
      <c r="I34">
        <v>-8</v>
      </c>
      <c r="M34" t="e">
        <f>MINUTE(Table257[[#This Row],[Corrected time]])</f>
        <v>#NUM!</v>
      </c>
      <c r="N34" s="17"/>
      <c r="O34" s="1">
        <f>Table257[[#This Row],[Time]]-TIME(0,0,3)</f>
        <v>-3.4722222222222222E-5</v>
      </c>
      <c r="R34">
        <f>Table257[[#This Row],[RSSI]]</f>
        <v>0</v>
      </c>
      <c r="V34" s="10">
        <f t="shared" si="0"/>
        <v>450</v>
      </c>
      <c r="W34" s="6">
        <f>COUNTIFS(Table146[Range(nm)], V34, Table146[Type], "ACK")/COUNTIFS(Table146[Range(nm)], V34)</f>
        <v>0.56521739130434778</v>
      </c>
      <c r="X34" s="7">
        <f>COUNTIFS(Table146[Range(nm)], $V34, Table146[Type], "SUT Rx Error")/COUNTIFS(Table146[Range(nm)], $V34)</f>
        <v>0</v>
      </c>
      <c r="Y34">
        <f>AVERAGEIF(Table146[Range(nm)], V34, Table146[Corrected RSSI])</f>
        <v>-122.08695652173913</v>
      </c>
      <c r="Z34" s="9">
        <f>AVERAGEIF(Table146[Range(nm)], V34, Table146[SNR])</f>
        <v>-8.7956521739130444</v>
      </c>
      <c r="AA34" s="6">
        <f>COUNTIFS(Table257[Range(nm)], V34, Table257[Type], "ACK")/COUNTIFS(Table257[Range(nm)], V34)</f>
        <v>0.71698113207547165</v>
      </c>
      <c r="AB34" s="7">
        <f>COUNTIFS(Table257[Range(nm)], $V34, Table257[Type], "SUT Rx Error")/COUNTIFS(Table257[Range(nm)], $V34)</f>
        <v>7.5471698113207544E-2</v>
      </c>
      <c r="AC34">
        <f>AVERAGEIF(Table257[Range(nm)], V34, Table257[Corrected RSSI])</f>
        <v>-121.98113207547169</v>
      </c>
      <c r="AD34" s="3">
        <f>AVERAGEIF(Table257[Range(nm)], V34, Table257[SNR])</f>
        <v>-8.5245283018867966</v>
      </c>
    </row>
    <row r="35" spans="2:30" x14ac:dyDescent="0.25">
      <c r="B35">
        <f>390+2*(Table146[[#This Row],[min value (corrected)]]-37)</f>
        <v>390</v>
      </c>
      <c r="C35">
        <f>MINUTE(Table146[[#This Row],[Corrected time]])</f>
        <v>37</v>
      </c>
      <c r="D35" s="1">
        <v>0.48413391203703704</v>
      </c>
      <c r="E35" s="1">
        <f>Table146[[#This Row],[Time]]-TIME(0,0,1)</f>
        <v>0.48412233796296295</v>
      </c>
      <c r="F35" t="s">
        <v>9</v>
      </c>
      <c r="G35">
        <v>-121</v>
      </c>
      <c r="H35">
        <f>Table146[[#This Row],[RSSI]]</f>
        <v>-121</v>
      </c>
      <c r="I35">
        <v>-8</v>
      </c>
      <c r="M35" t="e">
        <f>MINUTE(Table257[[#This Row],[Corrected time]])</f>
        <v>#NUM!</v>
      </c>
      <c r="N35" s="1"/>
      <c r="O35" s="1">
        <f>Table257[[#This Row],[Time]]-TIME(0,0,3)</f>
        <v>-3.4722222222222222E-5</v>
      </c>
      <c r="R35">
        <f>Table257[[#This Row],[RSSI]]</f>
        <v>0</v>
      </c>
    </row>
    <row r="36" spans="2:30" x14ac:dyDescent="0.25">
      <c r="B36">
        <f>390+2*(Table146[[#This Row],[min value (corrected)]]-37)</f>
        <v>390</v>
      </c>
      <c r="C36">
        <f>MINUTE(Table146[[#This Row],[Corrected time]])</f>
        <v>37</v>
      </c>
      <c r="D36" s="1">
        <v>0.48414694444444445</v>
      </c>
      <c r="E36" s="1">
        <f>Table146[[#This Row],[Time]]-TIME(0,0,1)</f>
        <v>0.48413537037037035</v>
      </c>
      <c r="F36" t="s">
        <v>9</v>
      </c>
      <c r="G36">
        <v>-121</v>
      </c>
      <c r="H36">
        <f>Table146[[#This Row],[RSSI]]</f>
        <v>-121</v>
      </c>
      <c r="I36">
        <v>-7.5</v>
      </c>
      <c r="M36" t="e">
        <f>MINUTE(Table257[[#This Row],[Corrected time]])</f>
        <v>#NUM!</v>
      </c>
      <c r="N36" s="1"/>
      <c r="O36" s="1">
        <f>Table257[[#This Row],[Time]]-TIME(0,0,3)</f>
        <v>-3.4722222222222222E-5</v>
      </c>
      <c r="R36">
        <f>Table257[[#This Row],[RSSI]]</f>
        <v>0</v>
      </c>
    </row>
    <row r="37" spans="2:30" x14ac:dyDescent="0.25">
      <c r="B37">
        <f>390+2*(Table146[[#This Row],[min value (corrected)]]-37)</f>
        <v>390</v>
      </c>
      <c r="C37">
        <f>MINUTE(Table146[[#This Row],[Corrected time]])</f>
        <v>37</v>
      </c>
      <c r="D37" s="1">
        <v>0.48415997685185186</v>
      </c>
      <c r="E37" s="1">
        <f>Table146[[#This Row],[Time]]-TIME(0,0,1)</f>
        <v>0.48414840277777776</v>
      </c>
      <c r="F37" t="s">
        <v>9</v>
      </c>
      <c r="G37">
        <v>-122</v>
      </c>
      <c r="H37">
        <f>Table146[[#This Row],[RSSI]]</f>
        <v>-122</v>
      </c>
      <c r="I37">
        <v>-7.7</v>
      </c>
      <c r="L37">
        <f>390+2*(Table257[[#This Row],[min value (corrected)]]-27)</f>
        <v>390</v>
      </c>
      <c r="M37">
        <f>MINUTE(Table257[[#This Row],[Corrected time]])</f>
        <v>27</v>
      </c>
      <c r="N37" s="1">
        <v>0.51879192129629637</v>
      </c>
      <c r="O37" s="2">
        <f>Table257[[#This Row],[Time]]-TIME(0,0,3)</f>
        <v>0.51875719907407414</v>
      </c>
      <c r="P37" t="s">
        <v>9</v>
      </c>
      <c r="Q37">
        <v>-122</v>
      </c>
      <c r="R37">
        <f>Table257[[#This Row],[RSSI]]</f>
        <v>-122</v>
      </c>
      <c r="S37">
        <v>-8</v>
      </c>
    </row>
    <row r="38" spans="2:30" x14ac:dyDescent="0.25">
      <c r="B38">
        <f>390+2*(Table146[[#This Row],[min value (corrected)]]-37)</f>
        <v>390</v>
      </c>
      <c r="C38">
        <f>MINUTE(Table146[[#This Row],[Corrected time]])</f>
        <v>37</v>
      </c>
      <c r="D38" s="1">
        <v>0.48417300925925927</v>
      </c>
      <c r="E38" s="1">
        <f>Table146[[#This Row],[Time]]-TIME(0,0,1)</f>
        <v>0.48416143518518517</v>
      </c>
      <c r="F38" t="s">
        <v>9</v>
      </c>
      <c r="G38">
        <v>-121</v>
      </c>
      <c r="H38">
        <f>Table146[[#This Row],[RSSI]]</f>
        <v>-121</v>
      </c>
      <c r="I38">
        <v>-8.5</v>
      </c>
      <c r="L38">
        <f>390+2*(Table257[[#This Row],[min value (corrected)]]-27)</f>
        <v>390</v>
      </c>
      <c r="M38">
        <f>MINUTE(Table257[[#This Row],[Corrected time]])</f>
        <v>27</v>
      </c>
      <c r="N38" s="1">
        <v>0.51880494212962969</v>
      </c>
      <c r="O38" s="1">
        <f>Table257[[#This Row],[Time]]-TIME(0,0,3)</f>
        <v>0.51877021990740746</v>
      </c>
      <c r="P38" t="s">
        <v>9</v>
      </c>
      <c r="Q38">
        <v>-121</v>
      </c>
      <c r="R38">
        <f>Table257[[#This Row],[RSSI]]</f>
        <v>-121</v>
      </c>
      <c r="S38">
        <v>-7.5</v>
      </c>
    </row>
    <row r="39" spans="2:30" x14ac:dyDescent="0.25">
      <c r="B39">
        <f>390+2*(Table146[[#This Row],[min value (corrected)]]-37)</f>
        <v>390</v>
      </c>
      <c r="C39">
        <f>MINUTE(Table146[[#This Row],[Corrected time]])</f>
        <v>37</v>
      </c>
      <c r="D39" s="1">
        <v>0.48418604166666668</v>
      </c>
      <c r="E39" s="1">
        <f>Table146[[#This Row],[Time]]-TIME(0,0,1)</f>
        <v>0.48417446759259258</v>
      </c>
      <c r="F39" t="s">
        <v>9</v>
      </c>
      <c r="G39">
        <v>-121</v>
      </c>
      <c r="H39">
        <f>Table146[[#This Row],[RSSI]]</f>
        <v>-121</v>
      </c>
      <c r="I39">
        <v>-8</v>
      </c>
      <c r="L39">
        <f>390+2*(Table257[[#This Row],[min value (corrected)]]-27)</f>
        <v>390</v>
      </c>
      <c r="M39">
        <f>MINUTE(Table257[[#This Row],[Corrected time]])</f>
        <v>27</v>
      </c>
      <c r="N39" s="1">
        <v>0.51881798611111118</v>
      </c>
      <c r="O39" s="1">
        <f>Table257[[#This Row],[Time]]-TIME(0,0,3)</f>
        <v>0.51878326388888896</v>
      </c>
      <c r="P39" t="s">
        <v>9</v>
      </c>
      <c r="Q39">
        <v>-122</v>
      </c>
      <c r="R39">
        <f>Table257[[#This Row],[RSSI]]</f>
        <v>-122</v>
      </c>
      <c r="S39">
        <v>-8.5</v>
      </c>
    </row>
    <row r="40" spans="2:30" x14ac:dyDescent="0.25">
      <c r="B40">
        <f>390+2*(Table146[[#This Row],[min value (corrected)]]-37)</f>
        <v>390</v>
      </c>
      <c r="C40">
        <f>MINUTE(Table146[[#This Row],[Corrected time]])</f>
        <v>37</v>
      </c>
      <c r="D40" s="1">
        <v>0.48419907407407409</v>
      </c>
      <c r="E40" s="1">
        <f>Table146[[#This Row],[Time]]-TIME(0,0,1)</f>
        <v>0.48418749999999999</v>
      </c>
      <c r="F40" t="s">
        <v>9</v>
      </c>
      <c r="G40">
        <v>-121</v>
      </c>
      <c r="H40">
        <f>Table146[[#This Row],[RSSI]]</f>
        <v>-121</v>
      </c>
      <c r="I40">
        <v>-7.7</v>
      </c>
      <c r="L40">
        <f>390+2*(Table257[[#This Row],[min value (corrected)]]-27)</f>
        <v>390</v>
      </c>
      <c r="M40">
        <f>MINUTE(Table257[[#This Row],[Corrected time]])</f>
        <v>27</v>
      </c>
      <c r="N40" s="1">
        <v>0.51883101851851854</v>
      </c>
      <c r="O40" s="1">
        <f>Table257[[#This Row],[Time]]-TIME(0,0,3)</f>
        <v>0.51879629629629631</v>
      </c>
      <c r="P40" t="s">
        <v>9</v>
      </c>
      <c r="Q40">
        <v>-121</v>
      </c>
      <c r="R40">
        <f>Table257[[#This Row],[RSSI]]</f>
        <v>-121</v>
      </c>
      <c r="S40">
        <v>-7.2</v>
      </c>
    </row>
    <row r="41" spans="2:30" x14ac:dyDescent="0.25">
      <c r="B41">
        <f>390+2*(Table146[[#This Row],[min value (corrected)]]-37)</f>
        <v>390</v>
      </c>
      <c r="C41">
        <f>MINUTE(Table146[[#This Row],[Corrected time]])</f>
        <v>37</v>
      </c>
      <c r="D41" s="1">
        <v>0.4842121064814815</v>
      </c>
      <c r="E41" s="1">
        <f>Table146[[#This Row],[Time]]-TIME(0,0,1)</f>
        <v>0.4842005324074074</v>
      </c>
      <c r="F41" t="s">
        <v>9</v>
      </c>
      <c r="G41">
        <v>-122</v>
      </c>
      <c r="H41">
        <f>Table146[[#This Row],[RSSI]]</f>
        <v>-122</v>
      </c>
      <c r="I41">
        <v>-8.3000000000000007</v>
      </c>
      <c r="L41">
        <f>390+2*(Table257[[#This Row],[min value (corrected)]]-27)</f>
        <v>390</v>
      </c>
      <c r="M41">
        <f>MINUTE(Table257[[#This Row],[Corrected time]])</f>
        <v>27</v>
      </c>
      <c r="N41" s="1">
        <v>0.51884405092592589</v>
      </c>
      <c r="O41" s="1">
        <f>Table257[[#This Row],[Time]]-TIME(0,0,3)</f>
        <v>0.51880932870370366</v>
      </c>
      <c r="P41" t="s">
        <v>9</v>
      </c>
      <c r="Q41">
        <v>-121</v>
      </c>
      <c r="R41">
        <f>Table257[[#This Row],[RSSI]]</f>
        <v>-121</v>
      </c>
      <c r="S41">
        <v>-7.5</v>
      </c>
    </row>
    <row r="42" spans="2:30" x14ac:dyDescent="0.25">
      <c r="B42">
        <f>390+2*(Table146[[#This Row],[min value (corrected)]]-37)</f>
        <v>390</v>
      </c>
      <c r="C42">
        <f>MINUTE(Table146[[#This Row],[Corrected time]])</f>
        <v>37</v>
      </c>
      <c r="D42" s="1">
        <v>0.48422513888888891</v>
      </c>
      <c r="E42" s="1">
        <f>Table146[[#This Row],[Time]]-TIME(0,0,1)</f>
        <v>0.48421356481481481</v>
      </c>
      <c r="F42" t="s">
        <v>9</v>
      </c>
      <c r="G42">
        <v>-121</v>
      </c>
      <c r="H42">
        <f>Table146[[#This Row],[RSSI]]</f>
        <v>-121</v>
      </c>
      <c r="I42">
        <v>-8</v>
      </c>
      <c r="L42">
        <f>390+2*(Table257[[#This Row],[min value (corrected)]]-27)</f>
        <v>390</v>
      </c>
      <c r="M42">
        <f>MINUTE(Table257[[#This Row],[Corrected time]])</f>
        <v>27</v>
      </c>
      <c r="N42" s="1">
        <v>0.51885708333333336</v>
      </c>
      <c r="O42" s="1">
        <f>Table257[[#This Row],[Time]]-TIME(0,0,3)</f>
        <v>0.51882236111111113</v>
      </c>
      <c r="P42" t="s">
        <v>9</v>
      </c>
      <c r="Q42">
        <v>-122</v>
      </c>
      <c r="R42">
        <f>Table257[[#This Row],[RSSI]]</f>
        <v>-122</v>
      </c>
      <c r="S42">
        <v>-7.7</v>
      </c>
    </row>
    <row r="43" spans="2:30" x14ac:dyDescent="0.25">
      <c r="B43">
        <f>390+2*(Table146[[#This Row],[min value (corrected)]]-37)</f>
        <v>390</v>
      </c>
      <c r="C43">
        <f>MINUTE(Table146[[#This Row],[Corrected time]])</f>
        <v>37</v>
      </c>
      <c r="D43" s="1">
        <v>0.48423817129629632</v>
      </c>
      <c r="E43" s="1">
        <f>Table146[[#This Row],[Time]]-TIME(0,0,1)</f>
        <v>0.48422659722222222</v>
      </c>
      <c r="F43" t="s">
        <v>13</v>
      </c>
      <c r="G43">
        <f>G42</f>
        <v>-121</v>
      </c>
      <c r="H43">
        <f>Table146[[#This Row],[RSSI]]</f>
        <v>-121</v>
      </c>
      <c r="I43">
        <f>I42</f>
        <v>-8</v>
      </c>
      <c r="L43">
        <f>390+2*(Table257[[#This Row],[min value (corrected)]]-27)</f>
        <v>390</v>
      </c>
      <c r="M43">
        <f>MINUTE(Table257[[#This Row],[Corrected time]])</f>
        <v>27</v>
      </c>
      <c r="N43" s="1">
        <v>0.51887010416666668</v>
      </c>
      <c r="O43" s="1">
        <f>Table257[[#This Row],[Time]]-TIME(0,0,3)</f>
        <v>0.51883538194444445</v>
      </c>
      <c r="P43" t="s">
        <v>9</v>
      </c>
      <c r="Q43">
        <v>-122</v>
      </c>
      <c r="R43">
        <f>Table257[[#This Row],[RSSI]]</f>
        <v>-122</v>
      </c>
      <c r="S43">
        <v>-8.3000000000000007</v>
      </c>
    </row>
    <row r="44" spans="2:30" x14ac:dyDescent="0.25">
      <c r="B44">
        <f>390+2*(Table146[[#This Row],[min value (corrected)]]-37)</f>
        <v>390</v>
      </c>
      <c r="C44">
        <f>MINUTE(Table146[[#This Row],[Corrected time]])</f>
        <v>37</v>
      </c>
      <c r="D44" s="1">
        <v>0.48425120370370367</v>
      </c>
      <c r="E44" s="1">
        <f>Table146[[#This Row],[Time]]-TIME(0,0,1)</f>
        <v>0.48423962962962958</v>
      </c>
      <c r="F44" t="s">
        <v>9</v>
      </c>
      <c r="G44">
        <v>-121</v>
      </c>
      <c r="H44">
        <f>Table146[[#This Row],[RSSI]]</f>
        <v>-121</v>
      </c>
      <c r="I44">
        <v>-7.5</v>
      </c>
      <c r="L44">
        <f>390+2*(Table257[[#This Row],[min value (corrected)]]-27)</f>
        <v>390</v>
      </c>
      <c r="M44">
        <f>MINUTE(Table257[[#This Row],[Corrected time]])</f>
        <v>27</v>
      </c>
      <c r="N44" s="1">
        <v>0.51888314814814818</v>
      </c>
      <c r="O44" s="1">
        <f>Table257[[#This Row],[Time]]-TIME(0,0,3)</f>
        <v>0.51884842592592595</v>
      </c>
      <c r="P44" t="s">
        <v>9</v>
      </c>
      <c r="Q44">
        <v>-121</v>
      </c>
      <c r="R44">
        <f>Table257[[#This Row],[RSSI]]</f>
        <v>-121</v>
      </c>
      <c r="S44">
        <v>-7.5</v>
      </c>
    </row>
    <row r="45" spans="2:30" x14ac:dyDescent="0.25">
      <c r="B45">
        <f>390+2*(Table146[[#This Row],[min value (corrected)]]-37)</f>
        <v>390</v>
      </c>
      <c r="C45">
        <f>MINUTE(Table146[[#This Row],[Corrected time]])</f>
        <v>37</v>
      </c>
      <c r="D45" s="1">
        <v>0.48426423611111113</v>
      </c>
      <c r="E45" s="1">
        <f>Table146[[#This Row],[Time]]-TIME(0,0,1)</f>
        <v>0.48425266203703704</v>
      </c>
      <c r="F45" t="s">
        <v>9</v>
      </c>
      <c r="G45">
        <v>-121</v>
      </c>
      <c r="H45">
        <f>Table146[[#This Row],[RSSI]]</f>
        <v>-121</v>
      </c>
      <c r="I45">
        <v>-8</v>
      </c>
      <c r="L45">
        <f>390+2*(Table257[[#This Row],[min value (corrected)]]-27)</f>
        <v>390</v>
      </c>
      <c r="M45">
        <f>MINUTE(Table257[[#This Row],[Corrected time]])</f>
        <v>27</v>
      </c>
      <c r="N45" s="1">
        <v>0.51889618055555553</v>
      </c>
      <c r="O45" s="1">
        <f>Table257[[#This Row],[Time]]-TIME(0,0,3)</f>
        <v>0.5188614583333333</v>
      </c>
      <c r="P45" t="s">
        <v>9</v>
      </c>
      <c r="Q45">
        <v>-121</v>
      </c>
      <c r="R45">
        <f>Table257[[#This Row],[RSSI]]</f>
        <v>-121</v>
      </c>
      <c r="S45">
        <v>-7.2</v>
      </c>
    </row>
    <row r="46" spans="2:30" x14ac:dyDescent="0.25">
      <c r="B46">
        <f>390+2*(Table146[[#This Row],[min value (corrected)]]-37)</f>
        <v>390</v>
      </c>
      <c r="C46">
        <f>MINUTE(Table146[[#This Row],[Corrected time]])</f>
        <v>37</v>
      </c>
      <c r="D46" s="1">
        <v>0.48427726851851849</v>
      </c>
      <c r="E46" s="1">
        <f>Table146[[#This Row],[Time]]-TIME(0,0,1)</f>
        <v>0.48426569444444439</v>
      </c>
      <c r="F46" t="s">
        <v>9</v>
      </c>
      <c r="G46">
        <v>-121</v>
      </c>
      <c r="H46">
        <f>Table146[[#This Row],[RSSI]]</f>
        <v>-121</v>
      </c>
      <c r="I46">
        <v>-8</v>
      </c>
      <c r="L46">
        <f>390+2*(Table257[[#This Row],[min value (corrected)]]-27)</f>
        <v>390</v>
      </c>
      <c r="M46">
        <f>MINUTE(Table257[[#This Row],[Corrected time]])</f>
        <v>27</v>
      </c>
      <c r="N46" s="1">
        <v>0.518909212962963</v>
      </c>
      <c r="O46" s="1">
        <f>Table257[[#This Row],[Time]]-TIME(0,0,3)</f>
        <v>0.51887449074074077</v>
      </c>
      <c r="P46" t="s">
        <v>9</v>
      </c>
      <c r="Q46">
        <v>-121</v>
      </c>
      <c r="R46">
        <f>Table257[[#This Row],[RSSI]]</f>
        <v>-121</v>
      </c>
      <c r="S46">
        <v>-7.2</v>
      </c>
    </row>
    <row r="47" spans="2:30" x14ac:dyDescent="0.25">
      <c r="B47">
        <f>390+2*(Table146[[#This Row],[min value (corrected)]]-37)</f>
        <v>390</v>
      </c>
      <c r="C47">
        <f>MINUTE(Table146[[#This Row],[Corrected time]])</f>
        <v>37</v>
      </c>
      <c r="D47" s="1">
        <v>0.48429030092592595</v>
      </c>
      <c r="E47" s="1">
        <f>Table146[[#This Row],[Time]]-TIME(0,0,1)</f>
        <v>0.48427872685185186</v>
      </c>
      <c r="F47" t="s">
        <v>9</v>
      </c>
      <c r="G47">
        <v>-121</v>
      </c>
      <c r="H47">
        <f>Table146[[#This Row],[RSSI]]</f>
        <v>-121</v>
      </c>
      <c r="I47">
        <v>-7.7</v>
      </c>
      <c r="L47">
        <f>390+2*(Table257[[#This Row],[min value (corrected)]]-27)</f>
        <v>390</v>
      </c>
      <c r="M47">
        <f>MINUTE(Table257[[#This Row],[Corrected time]])</f>
        <v>27</v>
      </c>
      <c r="N47" s="1">
        <v>0.51892224537037035</v>
      </c>
      <c r="O47" s="1">
        <f>Table257[[#This Row],[Time]]-TIME(0,0,3)</f>
        <v>0.51888752314814812</v>
      </c>
      <c r="P47" t="s">
        <v>9</v>
      </c>
      <c r="Q47">
        <v>-121</v>
      </c>
      <c r="R47">
        <f>Table257[[#This Row],[RSSI]]</f>
        <v>-121</v>
      </c>
      <c r="S47">
        <v>-7.7</v>
      </c>
    </row>
    <row r="48" spans="2:30" x14ac:dyDescent="0.25">
      <c r="B48">
        <f>390+2*(Table146[[#This Row],[min value (corrected)]]-37)</f>
        <v>390</v>
      </c>
      <c r="C48">
        <f>MINUTE(Table146[[#This Row],[Corrected time]])</f>
        <v>37</v>
      </c>
      <c r="D48" s="1">
        <v>0.48430333333333331</v>
      </c>
      <c r="E48" s="1">
        <f>Table146[[#This Row],[Time]]-TIME(0,0,1)</f>
        <v>0.48429175925925921</v>
      </c>
      <c r="F48" t="s">
        <v>9</v>
      </c>
      <c r="G48">
        <v>-121</v>
      </c>
      <c r="H48">
        <f>Table146[[#This Row],[RSSI]]</f>
        <v>-121</v>
      </c>
      <c r="I48">
        <v>-7.7</v>
      </c>
      <c r="L48">
        <f>390+2*(Table257[[#This Row],[min value (corrected)]]-27)</f>
        <v>390</v>
      </c>
      <c r="M48">
        <f>MINUTE(Table257[[#This Row],[Corrected time]])</f>
        <v>27</v>
      </c>
      <c r="N48" s="1">
        <v>0.51893527777777781</v>
      </c>
      <c r="O48" s="1">
        <f>Table257[[#This Row],[Time]]-TIME(0,0,3)</f>
        <v>0.51890055555555559</v>
      </c>
      <c r="P48" t="s">
        <v>9</v>
      </c>
      <c r="Q48">
        <v>-121</v>
      </c>
      <c r="R48">
        <f>Table257[[#This Row],[RSSI]]</f>
        <v>-121</v>
      </c>
      <c r="S48">
        <v>-7.5</v>
      </c>
    </row>
    <row r="49" spans="2:19" x14ac:dyDescent="0.25">
      <c r="B49">
        <f>390+2*(Table146[[#This Row],[min value (corrected)]]-37)</f>
        <v>390</v>
      </c>
      <c r="C49">
        <f>MINUTE(Table146[[#This Row],[Corrected time]])</f>
        <v>37</v>
      </c>
      <c r="D49" s="1">
        <v>0.48431636574074077</v>
      </c>
      <c r="E49" s="1">
        <f>Table146[[#This Row],[Time]]-TIME(0,0,1)</f>
        <v>0.48430479166666668</v>
      </c>
      <c r="F49" t="s">
        <v>9</v>
      </c>
      <c r="G49">
        <v>-121</v>
      </c>
      <c r="H49">
        <f>Table146[[#This Row],[RSSI]]</f>
        <v>-121</v>
      </c>
      <c r="I49">
        <v>-8.5</v>
      </c>
      <c r="L49">
        <f>390+2*(Table257[[#This Row],[min value (corrected)]]-27)</f>
        <v>390</v>
      </c>
      <c r="M49">
        <f>MINUTE(Table257[[#This Row],[Corrected time]])</f>
        <v>27</v>
      </c>
      <c r="N49" s="1">
        <v>0.51894831018518517</v>
      </c>
      <c r="O49" s="1">
        <f>Table257[[#This Row],[Time]]-TIME(0,0,3)</f>
        <v>0.51891358796296294</v>
      </c>
      <c r="P49" t="s">
        <v>9</v>
      </c>
      <c r="Q49">
        <v>-121</v>
      </c>
      <c r="R49">
        <f>Table257[[#This Row],[RSSI]]</f>
        <v>-121</v>
      </c>
      <c r="S49">
        <v>-7.5</v>
      </c>
    </row>
    <row r="50" spans="2:19" x14ac:dyDescent="0.25">
      <c r="B50">
        <f>390+2*(Table146[[#This Row],[min value (corrected)]]-37)</f>
        <v>390</v>
      </c>
      <c r="C50">
        <f>MINUTE(Table146[[#This Row],[Corrected time]])</f>
        <v>37</v>
      </c>
      <c r="D50" s="1">
        <v>0.48432939814814813</v>
      </c>
      <c r="E50" s="1">
        <f>Table146[[#This Row],[Time]]-TIME(0,0,1)</f>
        <v>0.48431782407407403</v>
      </c>
      <c r="F50" t="s">
        <v>9</v>
      </c>
      <c r="G50">
        <v>-121</v>
      </c>
      <c r="H50">
        <f>Table146[[#This Row],[RSSI]]</f>
        <v>-121</v>
      </c>
      <c r="I50">
        <v>-8</v>
      </c>
      <c r="L50">
        <f>390+2*(Table257[[#This Row],[min value (corrected)]]-27)</f>
        <v>390</v>
      </c>
      <c r="M50">
        <f>MINUTE(Table257[[#This Row],[Corrected time]])</f>
        <v>27</v>
      </c>
      <c r="N50" s="1">
        <v>0.51896134259259263</v>
      </c>
      <c r="O50" s="1">
        <f>Table257[[#This Row],[Time]]-TIME(0,0,3)</f>
        <v>0.51892662037037041</v>
      </c>
      <c r="P50" t="s">
        <v>9</v>
      </c>
      <c r="Q50">
        <v>-121</v>
      </c>
      <c r="R50">
        <f>Table257[[#This Row],[RSSI]]</f>
        <v>-121</v>
      </c>
      <c r="S50">
        <v>-7.5</v>
      </c>
    </row>
    <row r="51" spans="2:19" x14ac:dyDescent="0.25">
      <c r="B51">
        <f>390+2*(Table146[[#This Row],[min value (corrected)]]-37)</f>
        <v>390</v>
      </c>
      <c r="C51">
        <f>MINUTE(Table146[[#This Row],[Corrected time]])</f>
        <v>37</v>
      </c>
      <c r="D51" s="1">
        <v>0.48434241898148145</v>
      </c>
      <c r="E51" s="1">
        <f>Table146[[#This Row],[Time]]-TIME(0,0,1)</f>
        <v>0.48433084490740735</v>
      </c>
      <c r="F51" t="s">
        <v>13</v>
      </c>
      <c r="G51">
        <f>G50</f>
        <v>-121</v>
      </c>
      <c r="H51">
        <f>Table146[[#This Row],[RSSI]]</f>
        <v>-121</v>
      </c>
      <c r="I51">
        <f>I50</f>
        <v>-8</v>
      </c>
      <c r="L51">
        <f>390+2*(Table257[[#This Row],[min value (corrected)]]-27)</f>
        <v>390</v>
      </c>
      <c r="M51">
        <f>MINUTE(Table257[[#This Row],[Corrected time]])</f>
        <v>27</v>
      </c>
      <c r="N51" s="1">
        <v>0.51897437499999999</v>
      </c>
      <c r="O51" s="1">
        <f>Table257[[#This Row],[Time]]-TIME(0,0,3)</f>
        <v>0.51893965277777776</v>
      </c>
      <c r="P51" t="s">
        <v>9</v>
      </c>
      <c r="Q51">
        <v>-122</v>
      </c>
      <c r="R51">
        <f>Table257[[#This Row],[RSSI]]</f>
        <v>-122</v>
      </c>
      <c r="S51">
        <v>-7.7</v>
      </c>
    </row>
    <row r="52" spans="2:19" x14ac:dyDescent="0.25">
      <c r="B52">
        <f>390+2*(Table146[[#This Row],[min value (corrected)]]-37)</f>
        <v>390</v>
      </c>
      <c r="C52">
        <f>MINUTE(Table146[[#This Row],[Corrected time]])</f>
        <v>37</v>
      </c>
      <c r="D52" s="1">
        <v>0.48435546296296295</v>
      </c>
      <c r="E52" s="1">
        <f>Table146[[#This Row],[Time]]-TIME(0,0,1)</f>
        <v>0.48434388888888885</v>
      </c>
      <c r="F52" t="s">
        <v>9</v>
      </c>
      <c r="G52">
        <v>-121</v>
      </c>
      <c r="H52">
        <f>Table146[[#This Row],[RSSI]]</f>
        <v>-121</v>
      </c>
      <c r="I52">
        <v>-7</v>
      </c>
      <c r="L52">
        <f>390+2*(Table257[[#This Row],[min value (corrected)]]-27)</f>
        <v>390</v>
      </c>
      <c r="M52">
        <f>MINUTE(Table257[[#This Row],[Corrected time]])</f>
        <v>27</v>
      </c>
      <c r="N52" s="1">
        <v>0.51898740740740745</v>
      </c>
      <c r="O52" s="1">
        <f>Table257[[#This Row],[Time]]-TIME(0,0,3)</f>
        <v>0.51895268518518523</v>
      </c>
      <c r="P52" t="s">
        <v>9</v>
      </c>
      <c r="Q52">
        <v>-121</v>
      </c>
      <c r="R52">
        <f>Table257[[#This Row],[RSSI]]</f>
        <v>-121</v>
      </c>
      <c r="S52">
        <v>-7.5</v>
      </c>
    </row>
    <row r="53" spans="2:19" x14ac:dyDescent="0.25">
      <c r="B53">
        <f>390+2*(Table146[[#This Row],[min value (corrected)]]-37)</f>
        <v>390</v>
      </c>
      <c r="C53">
        <f>MINUTE(Table146[[#This Row],[Corrected time]])</f>
        <v>37</v>
      </c>
      <c r="D53" s="1">
        <v>0.48436849537037041</v>
      </c>
      <c r="E53" s="1">
        <f>Table146[[#This Row],[Time]]-TIME(0,0,1)</f>
        <v>0.48435692129629632</v>
      </c>
      <c r="F53" t="s">
        <v>9</v>
      </c>
      <c r="G53">
        <v>-118</v>
      </c>
      <c r="H53">
        <f>Table146[[#This Row],[RSSI]]</f>
        <v>-118</v>
      </c>
      <c r="I53">
        <v>-7.5</v>
      </c>
      <c r="L53">
        <f>390+2*(Table257[[#This Row],[min value (corrected)]]-27)</f>
        <v>390</v>
      </c>
      <c r="M53">
        <f>MINUTE(Table257[[#This Row],[Corrected time]])</f>
        <v>27</v>
      </c>
      <c r="N53" s="1">
        <v>0.51900042824074077</v>
      </c>
      <c r="O53" s="1">
        <f>Table257[[#This Row],[Time]]-TIME(0,0,3)</f>
        <v>0.51896570601851855</v>
      </c>
      <c r="P53" t="s">
        <v>13</v>
      </c>
      <c r="Q53">
        <f>Q52</f>
        <v>-121</v>
      </c>
      <c r="R53">
        <f>Table257[[#This Row],[RSSI]]</f>
        <v>-121</v>
      </c>
      <c r="S53">
        <f>S52</f>
        <v>-7.5</v>
      </c>
    </row>
    <row r="54" spans="2:19" x14ac:dyDescent="0.25">
      <c r="B54">
        <f>390+2*(Table146[[#This Row],[min value (corrected)]]-37)</f>
        <v>390</v>
      </c>
      <c r="C54">
        <f>MINUTE(Table146[[#This Row],[Corrected time]])</f>
        <v>37</v>
      </c>
      <c r="D54" s="1">
        <v>0.48438152777777777</v>
      </c>
      <c r="E54" s="1">
        <f>Table146[[#This Row],[Time]]-TIME(0,0,1)</f>
        <v>0.48436995370370367</v>
      </c>
      <c r="F54" t="s">
        <v>9</v>
      </c>
      <c r="G54">
        <v>-121</v>
      </c>
      <c r="H54">
        <f>Table146[[#This Row],[RSSI]]</f>
        <v>-121</v>
      </c>
      <c r="I54">
        <v>-8</v>
      </c>
      <c r="L54">
        <f>390+2*(Table257[[#This Row],[min value (corrected)]]-27)</f>
        <v>390</v>
      </c>
      <c r="M54">
        <f>MINUTE(Table257[[#This Row],[Corrected time]])</f>
        <v>27</v>
      </c>
      <c r="N54" s="1">
        <v>0.51901346064814813</v>
      </c>
      <c r="O54" s="1">
        <f>Table257[[#This Row],[Time]]-TIME(0,0,3)</f>
        <v>0.5189787384259259</v>
      </c>
      <c r="P54" t="s">
        <v>9</v>
      </c>
      <c r="Q54">
        <v>-121</v>
      </c>
      <c r="R54">
        <f>Table257[[#This Row],[RSSI]]</f>
        <v>-121</v>
      </c>
      <c r="S54">
        <v>-7.5</v>
      </c>
    </row>
    <row r="55" spans="2:19" x14ac:dyDescent="0.25">
      <c r="B55">
        <f>390+2*(Table146[[#This Row],[min value (corrected)]]-37)</f>
        <v>390</v>
      </c>
      <c r="C55">
        <f>MINUTE(Table146[[#This Row],[Corrected time]])</f>
        <v>37</v>
      </c>
      <c r="D55" s="1">
        <v>0.48439454861111109</v>
      </c>
      <c r="E55" s="1">
        <f>Table146[[#This Row],[Time]]-TIME(0,0,1)</f>
        <v>0.48438297453703699</v>
      </c>
      <c r="F55" t="s">
        <v>9</v>
      </c>
      <c r="G55">
        <v>-121</v>
      </c>
      <c r="H55">
        <f>Table146[[#This Row],[RSSI]]</f>
        <v>-121</v>
      </c>
      <c r="I55">
        <v>-8</v>
      </c>
      <c r="L55">
        <f>390+2*(Table257[[#This Row],[min value (corrected)]]-27)</f>
        <v>390</v>
      </c>
      <c r="M55">
        <f>MINUTE(Table257[[#This Row],[Corrected time]])</f>
        <v>27</v>
      </c>
      <c r="N55" s="1">
        <v>0.51902650462962963</v>
      </c>
      <c r="O55" s="1">
        <f>Table257[[#This Row],[Time]]-TIME(0,0,3)</f>
        <v>0.5189917824074074</v>
      </c>
      <c r="P55" t="s">
        <v>9</v>
      </c>
      <c r="Q55">
        <v>-121</v>
      </c>
      <c r="R55">
        <f>Table257[[#This Row],[RSSI]]</f>
        <v>-121</v>
      </c>
      <c r="S55">
        <v>-7.5</v>
      </c>
    </row>
    <row r="56" spans="2:19" x14ac:dyDescent="0.25">
      <c r="B56">
        <f>390+2*(Table146[[#This Row],[min value (corrected)]]-37)</f>
        <v>390</v>
      </c>
      <c r="C56">
        <f>MINUTE(Table146[[#This Row],[Corrected time]])</f>
        <v>37</v>
      </c>
      <c r="D56" s="1">
        <v>0.48440759259259258</v>
      </c>
      <c r="E56" s="1">
        <f>Table146[[#This Row],[Time]]-TIME(0,0,1)</f>
        <v>0.48439601851851849</v>
      </c>
      <c r="F56" t="s">
        <v>9</v>
      </c>
      <c r="G56">
        <v>-122</v>
      </c>
      <c r="H56">
        <f>Table146[[#This Row],[RSSI]]</f>
        <v>-122</v>
      </c>
      <c r="I56">
        <v>-7.7</v>
      </c>
      <c r="L56">
        <f>390+2*(Table257[[#This Row],[min value (corrected)]]-27)</f>
        <v>390</v>
      </c>
      <c r="M56">
        <f>MINUTE(Table257[[#This Row],[Corrected time]])</f>
        <v>27</v>
      </c>
      <c r="N56" s="1">
        <v>0.51903953703703709</v>
      </c>
      <c r="O56" s="1">
        <f>Table257[[#This Row],[Time]]-TIME(0,0,3)</f>
        <v>0.51900481481481486</v>
      </c>
      <c r="P56" t="s">
        <v>9</v>
      </c>
      <c r="Q56">
        <v>-118</v>
      </c>
      <c r="R56">
        <f>Table257[[#This Row],[RSSI]]</f>
        <v>-118</v>
      </c>
      <c r="S56">
        <v>-8</v>
      </c>
    </row>
    <row r="57" spans="2:19" x14ac:dyDescent="0.25">
      <c r="B57">
        <f>390+2*(Table146[[#This Row],[min value (corrected)]]-37)</f>
        <v>390</v>
      </c>
      <c r="C57">
        <f>MINUTE(Table146[[#This Row],[Corrected time]])</f>
        <v>37</v>
      </c>
      <c r="D57" s="1">
        <v>0.48442062500000005</v>
      </c>
      <c r="E57" s="1">
        <f>Table146[[#This Row],[Time]]-TIME(0,0,1)</f>
        <v>0.48440905092592595</v>
      </c>
      <c r="F57" t="s">
        <v>9</v>
      </c>
      <c r="G57">
        <v>-122</v>
      </c>
      <c r="H57">
        <f>Table146[[#This Row],[RSSI]]</f>
        <v>-122</v>
      </c>
      <c r="I57">
        <v>-8</v>
      </c>
      <c r="L57">
        <f>390+2*(Table257[[#This Row],[min value (corrected)]]-27)</f>
        <v>390</v>
      </c>
      <c r="M57">
        <f>MINUTE(Table257[[#This Row],[Corrected time]])</f>
        <v>27</v>
      </c>
      <c r="N57" s="1">
        <v>0.51905255787037041</v>
      </c>
      <c r="O57" s="1">
        <f>Table257[[#This Row],[Time]]-TIME(0,0,3)</f>
        <v>0.51901783564814818</v>
      </c>
      <c r="P57" t="s">
        <v>9</v>
      </c>
      <c r="Q57">
        <v>-122</v>
      </c>
      <c r="R57">
        <f>Table257[[#This Row],[RSSI]]</f>
        <v>-122</v>
      </c>
      <c r="S57">
        <v>-8.3000000000000007</v>
      </c>
    </row>
    <row r="58" spans="2:19" x14ac:dyDescent="0.25">
      <c r="B58">
        <f>390+2*(Table146[[#This Row],[min value (corrected)]]-37)</f>
        <v>390</v>
      </c>
      <c r="C58">
        <f>MINUTE(Table146[[#This Row],[Corrected time]])</f>
        <v>37</v>
      </c>
      <c r="D58" s="1">
        <v>0.4844336574074074</v>
      </c>
      <c r="E58" s="1">
        <f>Table146[[#This Row],[Time]]-TIME(0,0,1)</f>
        <v>0.48442208333333331</v>
      </c>
      <c r="F58" t="s">
        <v>9</v>
      </c>
      <c r="G58">
        <v>-122</v>
      </c>
      <c r="H58">
        <f>Table146[[#This Row],[RSSI]]</f>
        <v>-122</v>
      </c>
      <c r="I58">
        <v>-8</v>
      </c>
      <c r="L58">
        <f>390+2*(Table257[[#This Row],[min value (corrected)]]-27)</f>
        <v>390</v>
      </c>
      <c r="M58">
        <f>MINUTE(Table257[[#This Row],[Corrected time]])</f>
        <v>27</v>
      </c>
      <c r="N58" s="1">
        <v>0.51906559027777777</v>
      </c>
      <c r="O58" s="1">
        <f>Table257[[#This Row],[Time]]-TIME(0,0,3)</f>
        <v>0.51903086805555554</v>
      </c>
      <c r="P58" t="s">
        <v>9</v>
      </c>
      <c r="Q58">
        <v>-121</v>
      </c>
      <c r="R58">
        <f>Table257[[#This Row],[RSSI]]</f>
        <v>-121</v>
      </c>
      <c r="S58">
        <v>-7.5</v>
      </c>
    </row>
    <row r="59" spans="2:19" x14ac:dyDescent="0.25">
      <c r="B59">
        <f>390+2*(Table146[[#This Row],[min value (corrected)]]-37)</f>
        <v>390</v>
      </c>
      <c r="C59">
        <f>MINUTE(Table146[[#This Row],[Corrected time]])</f>
        <v>37</v>
      </c>
      <c r="D59" s="1">
        <v>0.48444668981481487</v>
      </c>
      <c r="E59" s="1">
        <f>Table146[[#This Row],[Time]]-TIME(0,0,1)</f>
        <v>0.48443511574074077</v>
      </c>
      <c r="F59" t="s">
        <v>9</v>
      </c>
      <c r="G59">
        <v>-122</v>
      </c>
      <c r="H59">
        <f>Table146[[#This Row],[RSSI]]</f>
        <v>-122</v>
      </c>
      <c r="I59">
        <v>-8</v>
      </c>
      <c r="L59">
        <f>390+2*(Table257[[#This Row],[min value (corrected)]]-27)</f>
        <v>390</v>
      </c>
      <c r="M59">
        <f>MINUTE(Table257[[#This Row],[Corrected time]])</f>
        <v>27</v>
      </c>
      <c r="N59" s="1">
        <v>0.51907863425925926</v>
      </c>
      <c r="O59" s="1">
        <f>Table257[[#This Row],[Time]]-TIME(0,0,3)</f>
        <v>0.51904391203703704</v>
      </c>
      <c r="P59" t="s">
        <v>9</v>
      </c>
      <c r="Q59">
        <v>-122</v>
      </c>
      <c r="R59">
        <f>Table257[[#This Row],[RSSI]]</f>
        <v>-122</v>
      </c>
      <c r="S59">
        <v>-7.7</v>
      </c>
    </row>
    <row r="60" spans="2:19" x14ac:dyDescent="0.25">
      <c r="B60">
        <f>390+2*(Table146[[#This Row],[min value (corrected)]]-37)</f>
        <v>390</v>
      </c>
      <c r="C60">
        <f>MINUTE(Table146[[#This Row],[Corrected time]])</f>
        <v>37</v>
      </c>
      <c r="D60" s="1">
        <v>0.48445972222222222</v>
      </c>
      <c r="E60" s="1">
        <f>Table146[[#This Row],[Time]]-TIME(0,0,1)</f>
        <v>0.48444814814814813</v>
      </c>
      <c r="F60" t="s">
        <v>9</v>
      </c>
      <c r="G60">
        <v>-122</v>
      </c>
      <c r="H60">
        <f>Table146[[#This Row],[RSSI]]</f>
        <v>-122</v>
      </c>
      <c r="I60">
        <v>-8</v>
      </c>
      <c r="L60">
        <f>390+2*(Table257[[#This Row],[min value (corrected)]]-27)</f>
        <v>390</v>
      </c>
      <c r="M60">
        <f>MINUTE(Table257[[#This Row],[Corrected time]])</f>
        <v>27</v>
      </c>
      <c r="N60" s="1">
        <v>0.51909166666666662</v>
      </c>
      <c r="O60" s="1">
        <f>Table257[[#This Row],[Time]]-TIME(0,0,3)</f>
        <v>0.51905694444444439</v>
      </c>
      <c r="P60" t="s">
        <v>9</v>
      </c>
      <c r="Q60">
        <v>-121</v>
      </c>
      <c r="R60">
        <f>Table257[[#This Row],[RSSI]]</f>
        <v>-121</v>
      </c>
      <c r="S60">
        <v>-7.7</v>
      </c>
    </row>
    <row r="61" spans="2:19" x14ac:dyDescent="0.25">
      <c r="B61">
        <f>390+2*(Table146[[#This Row],[min value (corrected)]]-37)</f>
        <v>390</v>
      </c>
      <c r="C61">
        <f>MINUTE(Table146[[#This Row],[Corrected time]])</f>
        <v>37</v>
      </c>
      <c r="D61" s="1">
        <v>0.48447275462962969</v>
      </c>
      <c r="E61" s="1">
        <f>Table146[[#This Row],[Time]]-TIME(0,0,1)</f>
        <v>0.48446118055555559</v>
      </c>
      <c r="F61" t="s">
        <v>9</v>
      </c>
      <c r="G61">
        <v>-122</v>
      </c>
      <c r="H61">
        <f>Table146[[#This Row],[RSSI]]</f>
        <v>-122</v>
      </c>
      <c r="I61">
        <v>-7.7</v>
      </c>
      <c r="L61">
        <f>390+2*(Table257[[#This Row],[min value (corrected)]]-27)</f>
        <v>390</v>
      </c>
      <c r="M61">
        <f>MINUTE(Table257[[#This Row],[Corrected time]])</f>
        <v>27</v>
      </c>
      <c r="N61" s="1">
        <v>0.51910469907407408</v>
      </c>
      <c r="O61" s="1">
        <f>Table257[[#This Row],[Time]]-TIME(0,0,3)</f>
        <v>0.51906997685185186</v>
      </c>
      <c r="P61" t="s">
        <v>9</v>
      </c>
      <c r="Q61">
        <v>-121</v>
      </c>
      <c r="R61">
        <f>Table257[[#This Row],[RSSI]]</f>
        <v>-121</v>
      </c>
      <c r="S61">
        <v>-7.2</v>
      </c>
    </row>
    <row r="62" spans="2:19" x14ac:dyDescent="0.25">
      <c r="B62">
        <f>390+2*(Table146[[#This Row],[min value (corrected)]]-37)</f>
        <v>390</v>
      </c>
      <c r="C62">
        <f>MINUTE(Table146[[#This Row],[Corrected time]])</f>
        <v>37</v>
      </c>
      <c r="D62" s="1">
        <v>0.48448578703703704</v>
      </c>
      <c r="E62" s="1">
        <f>Table146[[#This Row],[Time]]-TIME(0,0,1)</f>
        <v>0.48447421296296295</v>
      </c>
      <c r="F62" t="s">
        <v>9</v>
      </c>
      <c r="G62">
        <v>-121</v>
      </c>
      <c r="H62">
        <f>Table146[[#This Row],[RSSI]]</f>
        <v>-121</v>
      </c>
      <c r="I62">
        <v>-7.5</v>
      </c>
      <c r="L62">
        <f>390+2*(Table257[[#This Row],[min value (corrected)]]-27)</f>
        <v>390</v>
      </c>
      <c r="M62">
        <f>MINUTE(Table257[[#This Row],[Corrected time]])</f>
        <v>27</v>
      </c>
      <c r="N62" s="1">
        <v>0.51911773148148144</v>
      </c>
      <c r="O62" s="1">
        <f>Table257[[#This Row],[Time]]-TIME(0,0,3)</f>
        <v>0.51908300925925921</v>
      </c>
      <c r="P62" t="s">
        <v>9</v>
      </c>
      <c r="Q62">
        <v>-121</v>
      </c>
      <c r="R62">
        <f>Table257[[#This Row],[RSSI]]</f>
        <v>-121</v>
      </c>
      <c r="S62">
        <v>-7.7</v>
      </c>
    </row>
    <row r="63" spans="2:19" x14ac:dyDescent="0.25">
      <c r="B63">
        <f>390+2*(Table146[[#This Row],[min value (corrected)]]-37)</f>
        <v>390</v>
      </c>
      <c r="C63">
        <f>MINUTE(Table146[[#This Row],[Corrected time]])</f>
        <v>37</v>
      </c>
      <c r="D63" s="1">
        <v>0.4844988194444444</v>
      </c>
      <c r="E63" s="1">
        <f>Table146[[#This Row],[Time]]-TIME(0,0,1)</f>
        <v>0.4844872453703703</v>
      </c>
      <c r="F63" t="s">
        <v>9</v>
      </c>
      <c r="G63">
        <v>-121</v>
      </c>
      <c r="H63">
        <f>Table146[[#This Row],[RSSI]]</f>
        <v>-121</v>
      </c>
      <c r="I63">
        <v>-8</v>
      </c>
      <c r="L63">
        <f>390+2*(Table257[[#This Row],[min value (corrected)]]-27)</f>
        <v>390</v>
      </c>
      <c r="M63">
        <f>MINUTE(Table257[[#This Row],[Corrected time]])</f>
        <v>27</v>
      </c>
      <c r="N63" s="1">
        <v>0.51913075231481476</v>
      </c>
      <c r="O63" s="1">
        <f>Table257[[#This Row],[Time]]-TIME(0,0,3)</f>
        <v>0.51909603009259253</v>
      </c>
      <c r="P63" t="s">
        <v>9</v>
      </c>
      <c r="Q63">
        <v>-122</v>
      </c>
      <c r="R63">
        <f>Table257[[#This Row],[RSSI]]</f>
        <v>-122</v>
      </c>
      <c r="S63">
        <v>-8.3000000000000007</v>
      </c>
    </row>
    <row r="64" spans="2:19" x14ac:dyDescent="0.25">
      <c r="B64">
        <f>390+2*(Table146[[#This Row],[min value (corrected)]]-37)</f>
        <v>390</v>
      </c>
      <c r="C64">
        <f>MINUTE(Table146[[#This Row],[Corrected time]])</f>
        <v>37</v>
      </c>
      <c r="D64" s="1">
        <v>0.48451185185185186</v>
      </c>
      <c r="E64" s="1">
        <f>Table146[[#This Row],[Time]]-TIME(0,0,1)</f>
        <v>0.48450027777777777</v>
      </c>
      <c r="F64" t="s">
        <v>9</v>
      </c>
      <c r="G64">
        <v>-121</v>
      </c>
      <c r="H64">
        <f>Table146[[#This Row],[RSSI]]</f>
        <v>-121</v>
      </c>
      <c r="I64">
        <v>-7.7</v>
      </c>
      <c r="L64">
        <f>390+2*(Table257[[#This Row],[min value (corrected)]]-27)</f>
        <v>390</v>
      </c>
      <c r="M64">
        <f>MINUTE(Table257[[#This Row],[Corrected time]])</f>
        <v>27</v>
      </c>
      <c r="N64" s="1">
        <v>0.51914379629629626</v>
      </c>
      <c r="O64" s="1">
        <f>Table257[[#This Row],[Time]]-TIME(0,0,3)</f>
        <v>0.51910907407407403</v>
      </c>
      <c r="P64" t="s">
        <v>9</v>
      </c>
      <c r="Q64">
        <v>-122</v>
      </c>
      <c r="R64">
        <f>Table257[[#This Row],[RSSI]]</f>
        <v>-122</v>
      </c>
      <c r="S64">
        <v>-7.7</v>
      </c>
    </row>
    <row r="65" spans="2:19" x14ac:dyDescent="0.25">
      <c r="B65">
        <f>390+2*(Table146[[#This Row],[min value (corrected)]]-37)</f>
        <v>390</v>
      </c>
      <c r="C65">
        <f>MINUTE(Table146[[#This Row],[Corrected time]])</f>
        <v>37</v>
      </c>
      <c r="D65" s="1">
        <v>0.48452488425925921</v>
      </c>
      <c r="E65" s="1">
        <f>Table146[[#This Row],[Time]]-TIME(0,0,1)</f>
        <v>0.48451331018518512</v>
      </c>
      <c r="F65" t="s">
        <v>9</v>
      </c>
      <c r="G65">
        <v>-121</v>
      </c>
      <c r="H65">
        <f>Table146[[#This Row],[RSSI]]</f>
        <v>-121</v>
      </c>
      <c r="I65">
        <v>-8</v>
      </c>
      <c r="L65">
        <f>390+2*(Table257[[#This Row],[min value (corrected)]]-27)</f>
        <v>390</v>
      </c>
      <c r="M65">
        <f>MINUTE(Table257[[#This Row],[Corrected time]])</f>
        <v>27</v>
      </c>
      <c r="N65" s="1">
        <v>0.51915682870370372</v>
      </c>
      <c r="O65" s="1">
        <f>Table257[[#This Row],[Time]]-TIME(0,0,3)</f>
        <v>0.51912210648148149</v>
      </c>
      <c r="P65" t="s">
        <v>9</v>
      </c>
      <c r="Q65">
        <v>-121</v>
      </c>
      <c r="R65">
        <f>Table257[[#This Row],[RSSI]]</f>
        <v>-121</v>
      </c>
      <c r="S65">
        <v>-7.7</v>
      </c>
    </row>
    <row r="66" spans="2:19" x14ac:dyDescent="0.25">
      <c r="B66">
        <f>390+2*(Table146[[#This Row],[min value (corrected)]]-37)</f>
        <v>390</v>
      </c>
      <c r="C66">
        <f>MINUTE(Table146[[#This Row],[Corrected time]])</f>
        <v>37</v>
      </c>
      <c r="D66" s="1">
        <v>0.48453791666666668</v>
      </c>
      <c r="E66" s="1">
        <f>Table146[[#This Row],[Time]]-TIME(0,0,1)</f>
        <v>0.48452634259259258</v>
      </c>
      <c r="F66" t="s">
        <v>9</v>
      </c>
      <c r="G66">
        <v>-121</v>
      </c>
      <c r="H66">
        <f>Table146[[#This Row],[RSSI]]</f>
        <v>-121</v>
      </c>
      <c r="I66">
        <v>-7</v>
      </c>
      <c r="L66">
        <f>390+2*(Table257[[#This Row],[min value (corrected)]]-27)</f>
        <v>390</v>
      </c>
      <c r="M66">
        <f>MINUTE(Table257[[#This Row],[Corrected time]])</f>
        <v>27</v>
      </c>
      <c r="N66" s="1">
        <v>0.51916986111111108</v>
      </c>
      <c r="O66" s="1">
        <f>Table257[[#This Row],[Time]]-TIME(0,0,3)</f>
        <v>0.51913513888888885</v>
      </c>
      <c r="P66" t="s">
        <v>9</v>
      </c>
      <c r="Q66">
        <v>-121</v>
      </c>
      <c r="R66">
        <f>Table257[[#This Row],[RSSI]]</f>
        <v>-121</v>
      </c>
      <c r="S66">
        <v>-7.7</v>
      </c>
    </row>
    <row r="67" spans="2:19" x14ac:dyDescent="0.25">
      <c r="B67">
        <f>390+2*(Table146[[#This Row],[min value (corrected)]]-37)</f>
        <v>390</v>
      </c>
      <c r="C67">
        <f>MINUTE(Table146[[#This Row],[Corrected time]])</f>
        <v>37</v>
      </c>
      <c r="D67" s="1">
        <v>0.48455094907407403</v>
      </c>
      <c r="E67" s="1">
        <f>Table146[[#This Row],[Time]]-TIME(0,0,1)</f>
        <v>0.48453937499999994</v>
      </c>
      <c r="F67" t="s">
        <v>9</v>
      </c>
      <c r="G67">
        <v>-121</v>
      </c>
      <c r="H67">
        <f>Table146[[#This Row],[RSSI]]</f>
        <v>-121</v>
      </c>
      <c r="I67">
        <v>-8</v>
      </c>
      <c r="L67">
        <f>390+2*(Table257[[#This Row],[min value (corrected)]]-27)</f>
        <v>390</v>
      </c>
      <c r="M67">
        <f>MINUTE(Table257[[#This Row],[Corrected time]])</f>
        <v>27</v>
      </c>
      <c r="N67" s="1">
        <v>0.5191828819444444</v>
      </c>
      <c r="O67" s="1">
        <f>Table257[[#This Row],[Time]]-TIME(0,0,3)</f>
        <v>0.51914815972222217</v>
      </c>
      <c r="P67" t="s">
        <v>9</v>
      </c>
      <c r="Q67">
        <v>-121</v>
      </c>
      <c r="R67">
        <f>Table257[[#This Row],[RSSI]]</f>
        <v>-121</v>
      </c>
      <c r="S67">
        <v>-6.7</v>
      </c>
    </row>
    <row r="68" spans="2:19" x14ac:dyDescent="0.25">
      <c r="B68">
        <f>390+2*(Table146[[#This Row],[min value (corrected)]]-37)</f>
        <v>390</v>
      </c>
      <c r="C68">
        <f>MINUTE(Table146[[#This Row],[Corrected time]])</f>
        <v>37</v>
      </c>
      <c r="D68" s="1">
        <v>0.4845639814814815</v>
      </c>
      <c r="E68" s="1">
        <f>Table146[[#This Row],[Time]]-TIME(0,0,1)</f>
        <v>0.4845524074074074</v>
      </c>
      <c r="F68" t="s">
        <v>9</v>
      </c>
      <c r="G68">
        <v>-122</v>
      </c>
      <c r="H68">
        <f>Table146[[#This Row],[RSSI]]</f>
        <v>-122</v>
      </c>
      <c r="I68">
        <v>-8</v>
      </c>
      <c r="L68">
        <f>390+2*(Table257[[#This Row],[min value (corrected)]]-27)</f>
        <v>390</v>
      </c>
      <c r="M68">
        <f>MINUTE(Table257[[#This Row],[Corrected time]])</f>
        <v>27</v>
      </c>
      <c r="N68" s="1">
        <v>0.51919592592592589</v>
      </c>
      <c r="O68" s="1">
        <f>Table257[[#This Row],[Time]]-TIME(0,0,3)</f>
        <v>0.51916120370370367</v>
      </c>
      <c r="P68" t="s">
        <v>9</v>
      </c>
      <c r="Q68">
        <v>-117</v>
      </c>
      <c r="R68">
        <f>Table257[[#This Row],[RSSI]]</f>
        <v>-117</v>
      </c>
      <c r="S68">
        <v>-7.2</v>
      </c>
    </row>
    <row r="69" spans="2:19" x14ac:dyDescent="0.25">
      <c r="B69">
        <f>390+2*(Table146[[#This Row],[min value (corrected)]]-37)</f>
        <v>390</v>
      </c>
      <c r="C69">
        <f>MINUTE(Table146[[#This Row],[Corrected time]])</f>
        <v>37</v>
      </c>
      <c r="D69" s="1">
        <v>0.48457701388888885</v>
      </c>
      <c r="E69" s="1">
        <f>Table146[[#This Row],[Time]]-TIME(0,0,1)</f>
        <v>0.48456543981481476</v>
      </c>
      <c r="F69" t="s">
        <v>9</v>
      </c>
      <c r="G69">
        <v>-121</v>
      </c>
      <c r="H69">
        <f>Table146[[#This Row],[RSSI]]</f>
        <v>-121</v>
      </c>
      <c r="I69">
        <v>-7.7</v>
      </c>
      <c r="L69">
        <f>390+2*(Table257[[#This Row],[min value (corrected)]]-27)</f>
        <v>390</v>
      </c>
      <c r="M69">
        <f>MINUTE(Table257[[#This Row],[Corrected time]])</f>
        <v>27</v>
      </c>
      <c r="N69" s="1">
        <v>0.51920895833333336</v>
      </c>
      <c r="O69" s="1">
        <f>Table257[[#This Row],[Time]]-TIME(0,0,3)</f>
        <v>0.51917423611111113</v>
      </c>
      <c r="P69" t="s">
        <v>9</v>
      </c>
      <c r="Q69">
        <v>-121</v>
      </c>
      <c r="R69">
        <f>Table257[[#This Row],[RSSI]]</f>
        <v>-121</v>
      </c>
      <c r="S69">
        <v>-7.2</v>
      </c>
    </row>
    <row r="70" spans="2:19" x14ac:dyDescent="0.25">
      <c r="B70">
        <f>390+2*(Table146[[#This Row],[min value (corrected)]]-37)</f>
        <v>390</v>
      </c>
      <c r="C70">
        <f>MINUTE(Table146[[#This Row],[Corrected time]])</f>
        <v>37</v>
      </c>
      <c r="D70" s="1">
        <v>0.48459004629629632</v>
      </c>
      <c r="E70" s="1">
        <f>Table146[[#This Row],[Time]]-TIME(0,0,1)</f>
        <v>0.48457847222222222</v>
      </c>
      <c r="F70" t="s">
        <v>13</v>
      </c>
      <c r="G70">
        <f>G69</f>
        <v>-121</v>
      </c>
      <c r="H70">
        <f>Table146[[#This Row],[RSSI]]</f>
        <v>-121</v>
      </c>
      <c r="I70">
        <f>I69</f>
        <v>-7.7</v>
      </c>
      <c r="L70">
        <f>390+2*(Table257[[#This Row],[min value (corrected)]]-27)</f>
        <v>390</v>
      </c>
      <c r="M70">
        <f>MINUTE(Table257[[#This Row],[Corrected time]])</f>
        <v>27</v>
      </c>
      <c r="N70" s="1">
        <v>0.51922196759259254</v>
      </c>
      <c r="O70" s="1">
        <f>Table257[[#This Row],[Time]]-TIME(0,0,3)</f>
        <v>0.51918724537037031</v>
      </c>
      <c r="P70" t="s">
        <v>9</v>
      </c>
      <c r="Q70">
        <v>-121</v>
      </c>
      <c r="R70">
        <f>Table257[[#This Row],[RSSI]]</f>
        <v>-121</v>
      </c>
      <c r="S70">
        <v>-7.5</v>
      </c>
    </row>
    <row r="71" spans="2:19" x14ac:dyDescent="0.25">
      <c r="B71">
        <f>390+2*(Table146[[#This Row],[min value (corrected)]]-37)</f>
        <v>390</v>
      </c>
      <c r="C71">
        <f>MINUTE(Table146[[#This Row],[Corrected time]])</f>
        <v>37</v>
      </c>
      <c r="D71" s="1">
        <v>0.48460307870370367</v>
      </c>
      <c r="E71" s="1">
        <f>Table146[[#This Row],[Time]]-TIME(0,0,1)</f>
        <v>0.48459150462962958</v>
      </c>
      <c r="F71" t="s">
        <v>9</v>
      </c>
      <c r="G71">
        <v>-121</v>
      </c>
      <c r="H71">
        <f>Table146[[#This Row],[RSSI]]</f>
        <v>-121</v>
      </c>
      <c r="I71">
        <v>-7.7</v>
      </c>
      <c r="L71">
        <f>390+2*(Table257[[#This Row],[min value (corrected)]]-27)</f>
        <v>390</v>
      </c>
      <c r="M71">
        <f>MINUTE(Table257[[#This Row],[Corrected time]])</f>
        <v>27</v>
      </c>
      <c r="N71" s="1">
        <v>0.51923502314814818</v>
      </c>
      <c r="O71" s="1">
        <f>Table257[[#This Row],[Time]]-TIME(0,0,3)</f>
        <v>0.51920030092592595</v>
      </c>
      <c r="P71" t="s">
        <v>9</v>
      </c>
      <c r="Q71">
        <v>-121</v>
      </c>
      <c r="R71">
        <f>Table257[[#This Row],[RSSI]]</f>
        <v>-121</v>
      </c>
      <c r="S71">
        <v>-7.7</v>
      </c>
    </row>
    <row r="72" spans="2:19" x14ac:dyDescent="0.25">
      <c r="B72">
        <f>390+2*(Table146[[#This Row],[min value (corrected)]]-37)</f>
        <v>390</v>
      </c>
      <c r="C72">
        <f>MINUTE(Table146[[#This Row],[Corrected time]])</f>
        <v>37</v>
      </c>
      <c r="D72" s="1">
        <v>0.48461611111111114</v>
      </c>
      <c r="E72" s="1">
        <f>Table146[[#This Row],[Time]]-TIME(0,0,1)</f>
        <v>0.48460453703703704</v>
      </c>
      <c r="F72" t="s">
        <v>9</v>
      </c>
      <c r="G72">
        <v>-122</v>
      </c>
      <c r="H72">
        <f>Table146[[#This Row],[RSSI]]</f>
        <v>-122</v>
      </c>
      <c r="I72">
        <v>-8.3000000000000007</v>
      </c>
      <c r="L72">
        <f>390+2*(Table257[[#This Row],[min value (corrected)]]-27)</f>
        <v>390</v>
      </c>
      <c r="M72">
        <f>MINUTE(Table257[[#This Row],[Corrected time]])</f>
        <v>27</v>
      </c>
      <c r="N72" s="1">
        <v>0.51924805555555553</v>
      </c>
      <c r="O72" s="1">
        <f>Table257[[#This Row],[Time]]-TIME(0,0,3)</f>
        <v>0.5192133333333333</v>
      </c>
      <c r="P72" t="s">
        <v>9</v>
      </c>
      <c r="Q72">
        <v>-121</v>
      </c>
      <c r="R72">
        <f>Table257[[#This Row],[RSSI]]</f>
        <v>-121</v>
      </c>
      <c r="S72">
        <v>-7.7</v>
      </c>
    </row>
    <row r="73" spans="2:19" x14ac:dyDescent="0.25">
      <c r="B73">
        <f>390+2*(Table146[[#This Row],[min value (corrected)]]-37)</f>
        <v>390</v>
      </c>
      <c r="C73">
        <f>MINUTE(Table146[[#This Row],[Corrected time]])</f>
        <v>37</v>
      </c>
      <c r="D73" s="1">
        <v>0.48462914351851849</v>
      </c>
      <c r="E73" s="1">
        <f>Table146[[#This Row],[Time]]-TIME(0,0,1)</f>
        <v>0.4846175694444444</v>
      </c>
      <c r="F73" t="s">
        <v>9</v>
      </c>
      <c r="G73">
        <v>-122</v>
      </c>
      <c r="H73">
        <f>Table146[[#This Row],[RSSI]]</f>
        <v>-122</v>
      </c>
      <c r="I73">
        <v>-8.5</v>
      </c>
      <c r="L73">
        <f>390+2*(Table257[[#This Row],[min value (corrected)]]-27)</f>
        <v>390</v>
      </c>
      <c r="M73">
        <f>MINUTE(Table257[[#This Row],[Corrected time]])</f>
        <v>27</v>
      </c>
      <c r="N73" s="1">
        <v>0.51926107638888885</v>
      </c>
      <c r="O73" s="1">
        <f>Table257[[#This Row],[Time]]-TIME(0,0,3)</f>
        <v>0.51922635416666663</v>
      </c>
      <c r="P73" t="s">
        <v>9</v>
      </c>
      <c r="Q73">
        <v>-121</v>
      </c>
      <c r="R73">
        <f>Table257[[#This Row],[RSSI]]</f>
        <v>-121</v>
      </c>
      <c r="S73">
        <v>-7.7</v>
      </c>
    </row>
    <row r="74" spans="2:19" x14ac:dyDescent="0.25">
      <c r="B74">
        <f>390+2*(Table146[[#This Row],[min value (corrected)]]-37)</f>
        <v>390</v>
      </c>
      <c r="C74">
        <f>MINUTE(Table146[[#This Row],[Corrected time]])</f>
        <v>37</v>
      </c>
      <c r="D74" s="1">
        <v>0.48464217592592596</v>
      </c>
      <c r="E74" s="1">
        <f>Table146[[#This Row],[Time]]-TIME(0,0,1)</f>
        <v>0.48463060185185186</v>
      </c>
      <c r="F74" t="s">
        <v>13</v>
      </c>
      <c r="G74">
        <f>G73</f>
        <v>-122</v>
      </c>
      <c r="H74">
        <f>Table146[[#This Row],[RSSI]]</f>
        <v>-122</v>
      </c>
      <c r="I74">
        <f>I73</f>
        <v>-8.5</v>
      </c>
      <c r="L74">
        <f>390+2*(Table257[[#This Row],[min value (corrected)]]-27)</f>
        <v>390</v>
      </c>
      <c r="M74">
        <f>MINUTE(Table257[[#This Row],[Corrected time]])</f>
        <v>27</v>
      </c>
      <c r="N74" s="1">
        <v>0.51927412037037035</v>
      </c>
      <c r="O74" s="1">
        <f>Table257[[#This Row],[Time]]-TIME(0,0,3)</f>
        <v>0.51923939814814812</v>
      </c>
      <c r="P74" t="s">
        <v>9</v>
      </c>
      <c r="Q74">
        <v>-121</v>
      </c>
      <c r="R74">
        <f>Table257[[#This Row],[RSSI]]</f>
        <v>-121</v>
      </c>
      <c r="S74">
        <v>-8</v>
      </c>
    </row>
    <row r="75" spans="2:19" x14ac:dyDescent="0.25">
      <c r="B75">
        <f>390+2*(Table146[[#This Row],[min value (corrected)]]-37)</f>
        <v>390</v>
      </c>
      <c r="C75">
        <f>MINUTE(Table146[[#This Row],[Corrected time]])</f>
        <v>37</v>
      </c>
      <c r="D75" s="1">
        <v>0.48465520833333331</v>
      </c>
      <c r="E75" s="1">
        <f>Table146[[#This Row],[Time]]-TIME(0,0,1)</f>
        <v>0.48464363425925922</v>
      </c>
      <c r="F75" t="s">
        <v>9</v>
      </c>
      <c r="G75">
        <v>-121</v>
      </c>
      <c r="H75">
        <f>Table146[[#This Row],[RSSI]]</f>
        <v>-121</v>
      </c>
      <c r="I75">
        <v>-7.5</v>
      </c>
      <c r="L75">
        <f>390+2*(Table257[[#This Row],[min value (corrected)]]-27)</f>
        <v>390</v>
      </c>
      <c r="M75">
        <f>MINUTE(Table257[[#This Row],[Corrected time]])</f>
        <v>27</v>
      </c>
      <c r="N75" s="1">
        <v>0.51928714120370367</v>
      </c>
      <c r="O75" s="1">
        <f>Table257[[#This Row],[Time]]-TIME(0,0,3)</f>
        <v>0.51925241898148145</v>
      </c>
      <c r="P75" t="s">
        <v>9</v>
      </c>
      <c r="Q75">
        <v>-121</v>
      </c>
      <c r="R75">
        <f>Table257[[#This Row],[RSSI]]</f>
        <v>-121</v>
      </c>
      <c r="S75">
        <v>-7.5</v>
      </c>
    </row>
    <row r="76" spans="2:19" x14ac:dyDescent="0.25">
      <c r="B76">
        <f>390+2*(Table146[[#This Row],[min value (corrected)]]-37)</f>
        <v>390</v>
      </c>
      <c r="C76">
        <f>MINUTE(Table146[[#This Row],[Corrected time]])</f>
        <v>37</v>
      </c>
      <c r="D76" s="1">
        <v>0.48466824074074077</v>
      </c>
      <c r="E76" s="1">
        <f>Table146[[#This Row],[Time]]-TIME(0,0,1)</f>
        <v>0.48465666666666668</v>
      </c>
      <c r="F76" t="s">
        <v>9</v>
      </c>
      <c r="G76">
        <v>-122</v>
      </c>
      <c r="H76">
        <f>Table146[[#This Row],[RSSI]]</f>
        <v>-122</v>
      </c>
      <c r="I76">
        <v>-8</v>
      </c>
      <c r="L76">
        <f>390+2*(Table257[[#This Row],[min value (corrected)]]-27)</f>
        <v>390</v>
      </c>
      <c r="M76">
        <f>MINUTE(Table257[[#This Row],[Corrected time]])</f>
        <v>27</v>
      </c>
      <c r="N76" s="1">
        <v>0.51930018518518517</v>
      </c>
      <c r="O76" s="1">
        <f>Table257[[#This Row],[Time]]-TIME(0,0,3)</f>
        <v>0.51926546296296294</v>
      </c>
      <c r="P76" t="s">
        <v>13</v>
      </c>
      <c r="Q76">
        <f>Q75</f>
        <v>-121</v>
      </c>
      <c r="R76">
        <f>Table257[[#This Row],[RSSI]]</f>
        <v>-121</v>
      </c>
      <c r="S76">
        <f>S75</f>
        <v>-7.5</v>
      </c>
    </row>
    <row r="77" spans="2:19" x14ac:dyDescent="0.25">
      <c r="B77">
        <f>390+2*(Table146[[#This Row],[min value (corrected)]]-37)</f>
        <v>390</v>
      </c>
      <c r="C77">
        <f>MINUTE(Table146[[#This Row],[Corrected time]])</f>
        <v>37</v>
      </c>
      <c r="D77" s="1">
        <v>0.48468127314814813</v>
      </c>
      <c r="E77" s="1">
        <f>Table146[[#This Row],[Time]]-TIME(0,0,1)</f>
        <v>0.48466969907407403</v>
      </c>
      <c r="F77" t="s">
        <v>9</v>
      </c>
      <c r="G77">
        <v>-121</v>
      </c>
      <c r="H77">
        <f>Table146[[#This Row],[RSSI]]</f>
        <v>-121</v>
      </c>
      <c r="I77">
        <v>-7.7</v>
      </c>
      <c r="L77">
        <f>390+2*(Table257[[#This Row],[min value (corrected)]]-27)</f>
        <v>390</v>
      </c>
      <c r="M77">
        <f>MINUTE(Table257[[#This Row],[Corrected time]])</f>
        <v>27</v>
      </c>
      <c r="N77" s="1">
        <v>0.51931320601851849</v>
      </c>
      <c r="O77" s="1">
        <f>Table257[[#This Row],[Time]]-TIME(0,0,3)</f>
        <v>0.51927848379629626</v>
      </c>
      <c r="P77" t="s">
        <v>9</v>
      </c>
      <c r="Q77">
        <v>-121</v>
      </c>
      <c r="R77">
        <f>Table257[[#This Row],[RSSI]]</f>
        <v>-121</v>
      </c>
      <c r="S77">
        <v>-7.7</v>
      </c>
    </row>
    <row r="78" spans="2:19" x14ac:dyDescent="0.25">
      <c r="B78">
        <f>390+2*(Table146[[#This Row],[min value (corrected)]]-37)</f>
        <v>390</v>
      </c>
      <c r="C78">
        <f>MINUTE(Table146[[#This Row],[Corrected time]])</f>
        <v>37</v>
      </c>
      <c r="D78" s="1">
        <v>0.48469430555555559</v>
      </c>
      <c r="E78" s="1">
        <f>Table146[[#This Row],[Time]]-TIME(0,0,1)</f>
        <v>0.4846827314814815</v>
      </c>
      <c r="F78" t="s">
        <v>9</v>
      </c>
      <c r="G78">
        <v>-121</v>
      </c>
      <c r="H78">
        <f>Table146[[#This Row],[RSSI]]</f>
        <v>-121</v>
      </c>
      <c r="I78">
        <v>-8</v>
      </c>
      <c r="L78">
        <f>390+2*(Table257[[#This Row],[min value (corrected)]]-27)</f>
        <v>390</v>
      </c>
      <c r="M78">
        <f>MINUTE(Table257[[#This Row],[Corrected time]])</f>
        <v>27</v>
      </c>
      <c r="N78" s="1">
        <v>0.51932624999999999</v>
      </c>
      <c r="O78" s="1">
        <f>Table257[[#This Row],[Time]]-TIME(0,0,3)</f>
        <v>0.51929152777777776</v>
      </c>
      <c r="P78" t="s">
        <v>9</v>
      </c>
      <c r="Q78">
        <v>-121</v>
      </c>
      <c r="R78">
        <f>Table257[[#This Row],[RSSI]]</f>
        <v>-121</v>
      </c>
      <c r="S78">
        <v>-7.7</v>
      </c>
    </row>
    <row r="79" spans="2:19" x14ac:dyDescent="0.25">
      <c r="B79">
        <f>390+2*(Table146[[#This Row],[min value (corrected)]]-37)</f>
        <v>390</v>
      </c>
      <c r="C79">
        <f>MINUTE(Table146[[#This Row],[Corrected time]])</f>
        <v>37</v>
      </c>
      <c r="D79" s="1">
        <v>0.48470733796296295</v>
      </c>
      <c r="E79" s="1">
        <f>Table146[[#This Row],[Time]]-TIME(0,0,1)</f>
        <v>0.48469576388888885</v>
      </c>
      <c r="F79" t="s">
        <v>9</v>
      </c>
      <c r="G79">
        <v>-121</v>
      </c>
      <c r="H79">
        <f>Table146[[#This Row],[RSSI]]</f>
        <v>-121</v>
      </c>
      <c r="I79">
        <v>-7.7</v>
      </c>
      <c r="L79">
        <f>390+2*(Table257[[#This Row],[min value (corrected)]]-27)</f>
        <v>390</v>
      </c>
      <c r="M79">
        <f>MINUTE(Table257[[#This Row],[Corrected time]])</f>
        <v>27</v>
      </c>
      <c r="N79" s="1">
        <v>0.51933927083333331</v>
      </c>
      <c r="O79" s="1">
        <f>Table257[[#This Row],[Time]]-TIME(0,0,3)</f>
        <v>0.51930454861111108</v>
      </c>
      <c r="P79" t="s">
        <v>9</v>
      </c>
      <c r="Q79">
        <v>-121</v>
      </c>
      <c r="R79">
        <f>Table257[[#This Row],[RSSI]]</f>
        <v>-121</v>
      </c>
      <c r="S79">
        <v>-7.7</v>
      </c>
    </row>
    <row r="80" spans="2:19" x14ac:dyDescent="0.25">
      <c r="B80">
        <f>390+2*(Table146[[#This Row],[min value (corrected)]]-37)</f>
        <v>390</v>
      </c>
      <c r="C80">
        <f>MINUTE(Table146[[#This Row],[Corrected time]])</f>
        <v>37</v>
      </c>
      <c r="D80" s="1">
        <v>0.48472037037037036</v>
      </c>
      <c r="E80" s="1">
        <f>Table146[[#This Row],[Time]]-TIME(0,0,1)</f>
        <v>0.48470879629629626</v>
      </c>
      <c r="F80" t="s">
        <v>9</v>
      </c>
      <c r="G80">
        <v>-121</v>
      </c>
      <c r="H80">
        <f>Table146[[#This Row],[RSSI]]</f>
        <v>-121</v>
      </c>
      <c r="I80">
        <v>-7.7</v>
      </c>
      <c r="L80">
        <f>390+2*(Table257[[#This Row],[min value (corrected)]]-27)</f>
        <v>390</v>
      </c>
      <c r="M80">
        <f>MINUTE(Table257[[#This Row],[Corrected time]])</f>
        <v>27</v>
      </c>
      <c r="N80" s="1">
        <v>0.51935231481481481</v>
      </c>
      <c r="O80" s="1">
        <f>Table257[[#This Row],[Time]]-TIME(0,0,3)</f>
        <v>0.51931759259259258</v>
      </c>
      <c r="P80" t="s">
        <v>9</v>
      </c>
      <c r="Q80">
        <v>-121</v>
      </c>
      <c r="R80">
        <f>Table257[[#This Row],[RSSI]]</f>
        <v>-121</v>
      </c>
      <c r="S80">
        <v>-8</v>
      </c>
    </row>
    <row r="81" spans="2:19" x14ac:dyDescent="0.25">
      <c r="B81">
        <f>390+2*(Table146[[#This Row],[min value (corrected)]]-37)</f>
        <v>392</v>
      </c>
      <c r="C81">
        <f>MINUTE(Table146[[#This Row],[Corrected time]])</f>
        <v>38</v>
      </c>
      <c r="D81" s="1">
        <v>0.48473339120370368</v>
      </c>
      <c r="E81" s="1">
        <f>Table146[[#This Row],[Time]]-TIME(0,0,1)</f>
        <v>0.48472181712962958</v>
      </c>
      <c r="F81" t="s">
        <v>9</v>
      </c>
      <c r="G81">
        <v>-122</v>
      </c>
      <c r="H81">
        <f>Table146[[#This Row],[RSSI]]</f>
        <v>-122</v>
      </c>
      <c r="I81">
        <v>-8</v>
      </c>
      <c r="L81">
        <f>390+2*(Table257[[#This Row],[min value (corrected)]]-27)</f>
        <v>390</v>
      </c>
      <c r="M81">
        <f>MINUTE(Table257[[#This Row],[Corrected time]])</f>
        <v>27</v>
      </c>
      <c r="N81" s="1">
        <v>0.51936533564814813</v>
      </c>
      <c r="O81" s="1">
        <f>Table257[[#This Row],[Time]]-TIME(0,0,3)</f>
        <v>0.5193306134259259</v>
      </c>
      <c r="P81" t="s">
        <v>9</v>
      </c>
      <c r="Q81">
        <v>-121</v>
      </c>
      <c r="R81">
        <f>Table257[[#This Row],[RSSI]]</f>
        <v>-121</v>
      </c>
      <c r="S81">
        <v>-7</v>
      </c>
    </row>
    <row r="82" spans="2:19" x14ac:dyDescent="0.25">
      <c r="B82">
        <f>390+2*(Table146[[#This Row],[min value (corrected)]]-37)</f>
        <v>392</v>
      </c>
      <c r="C82">
        <f>MINUTE(Table146[[#This Row],[Corrected time]])</f>
        <v>38</v>
      </c>
      <c r="D82" s="1">
        <v>0.48474643518518518</v>
      </c>
      <c r="E82" s="1">
        <f>Table146[[#This Row],[Time]]-TIME(0,0,1)</f>
        <v>0.48473486111111108</v>
      </c>
      <c r="F82" t="s">
        <v>9</v>
      </c>
      <c r="G82">
        <v>-121</v>
      </c>
      <c r="H82">
        <f>Table146[[#This Row],[RSSI]]</f>
        <v>-121</v>
      </c>
      <c r="I82">
        <v>-8</v>
      </c>
      <c r="L82">
        <f>390+2*(Table257[[#This Row],[min value (corrected)]]-27)</f>
        <v>390</v>
      </c>
      <c r="M82">
        <f>MINUTE(Table257[[#This Row],[Corrected time]])</f>
        <v>27</v>
      </c>
      <c r="N82" s="1">
        <v>0.51937837962962963</v>
      </c>
      <c r="O82" s="1">
        <f>Table257[[#This Row],[Time]]-TIME(0,0,3)</f>
        <v>0.5193436574074074</v>
      </c>
      <c r="P82" t="s">
        <v>9</v>
      </c>
      <c r="Q82">
        <v>-121</v>
      </c>
      <c r="R82">
        <f>Table257[[#This Row],[RSSI]]</f>
        <v>-121</v>
      </c>
      <c r="S82">
        <v>-7.5</v>
      </c>
    </row>
    <row r="83" spans="2:19" x14ac:dyDescent="0.25">
      <c r="B83">
        <f>390+2*(Table146[[#This Row],[min value (corrected)]]-37)</f>
        <v>392</v>
      </c>
      <c r="C83">
        <f>MINUTE(Table146[[#This Row],[Corrected time]])</f>
        <v>38</v>
      </c>
      <c r="D83" s="1">
        <v>0.48475946759259259</v>
      </c>
      <c r="E83" s="1">
        <f>Table146[[#This Row],[Time]]-TIME(0,0,1)</f>
        <v>0.48474789351851849</v>
      </c>
      <c r="F83" t="s">
        <v>9</v>
      </c>
      <c r="G83">
        <v>-121</v>
      </c>
      <c r="H83">
        <f>Table146[[#This Row],[RSSI]]</f>
        <v>-121</v>
      </c>
      <c r="I83">
        <v>-7.5</v>
      </c>
      <c r="L83">
        <f>390+2*(Table257[[#This Row],[min value (corrected)]]-27)</f>
        <v>390</v>
      </c>
      <c r="M83">
        <f>MINUTE(Table257[[#This Row],[Corrected time]])</f>
        <v>27</v>
      </c>
      <c r="N83" s="1">
        <v>0.51939141203703698</v>
      </c>
      <c r="O83" s="1">
        <f>Table257[[#This Row],[Time]]-TIME(0,0,3)</f>
        <v>0.51935668981481475</v>
      </c>
      <c r="P83" t="s">
        <v>9</v>
      </c>
      <c r="Q83">
        <v>-121</v>
      </c>
      <c r="R83">
        <f>Table257[[#This Row],[RSSI]]</f>
        <v>-121</v>
      </c>
      <c r="S83">
        <v>-7</v>
      </c>
    </row>
    <row r="84" spans="2:19" x14ac:dyDescent="0.25">
      <c r="B84">
        <f>390+2*(Table146[[#This Row],[min value (corrected)]]-37)</f>
        <v>392</v>
      </c>
      <c r="C84">
        <f>MINUTE(Table146[[#This Row],[Corrected time]])</f>
        <v>38</v>
      </c>
      <c r="D84" s="1">
        <v>0.4847725</v>
      </c>
      <c r="E84" s="1">
        <f>Table146[[#This Row],[Time]]-TIME(0,0,1)</f>
        <v>0.4847609259259259</v>
      </c>
      <c r="F84" t="s">
        <v>9</v>
      </c>
      <c r="G84">
        <v>-121</v>
      </c>
      <c r="H84">
        <f>Table146[[#This Row],[RSSI]]</f>
        <v>-121</v>
      </c>
      <c r="I84">
        <v>-7.7</v>
      </c>
      <c r="L84">
        <f>390+2*(Table257[[#This Row],[min value (corrected)]]-27)</f>
        <v>390</v>
      </c>
      <c r="M84">
        <f>MINUTE(Table257[[#This Row],[Corrected time]])</f>
        <v>27</v>
      </c>
      <c r="N84" s="1">
        <v>0.51940444444444445</v>
      </c>
      <c r="O84" s="1">
        <f>Table257[[#This Row],[Time]]-TIME(0,0,3)</f>
        <v>0.51936972222222222</v>
      </c>
      <c r="P84" t="s">
        <v>9</v>
      </c>
      <c r="Q84">
        <v>-121</v>
      </c>
      <c r="R84">
        <f>Table257[[#This Row],[RSSI]]</f>
        <v>-121</v>
      </c>
      <c r="S84">
        <v>-8.3000000000000007</v>
      </c>
    </row>
    <row r="85" spans="2:19" x14ac:dyDescent="0.25">
      <c r="B85">
        <f>390+2*(Table146[[#This Row],[min value (corrected)]]-37)</f>
        <v>392</v>
      </c>
      <c r="C85">
        <f>MINUTE(Table146[[#This Row],[Corrected time]])</f>
        <v>38</v>
      </c>
      <c r="D85" s="1">
        <v>0.4847855324074074</v>
      </c>
      <c r="E85" s="1">
        <f>Table146[[#This Row],[Time]]-TIME(0,0,1)</f>
        <v>0.48477395833333331</v>
      </c>
      <c r="F85" t="s">
        <v>9</v>
      </c>
      <c r="G85">
        <v>-121</v>
      </c>
      <c r="H85">
        <f>Table146[[#This Row],[RSSI]]</f>
        <v>-121</v>
      </c>
      <c r="I85">
        <v>-7.7</v>
      </c>
      <c r="L85">
        <f>390+2*(Table257[[#This Row],[min value (corrected)]]-27)</f>
        <v>390</v>
      </c>
      <c r="M85">
        <f>MINUTE(Table257[[#This Row],[Corrected time]])</f>
        <v>27</v>
      </c>
      <c r="N85" s="1">
        <v>0.5194174768518518</v>
      </c>
      <c r="O85" s="1">
        <f>Table257[[#This Row],[Time]]-TIME(0,0,3)</f>
        <v>0.51938275462962957</v>
      </c>
      <c r="P85" t="s">
        <v>9</v>
      </c>
      <c r="Q85">
        <v>-121</v>
      </c>
      <c r="R85">
        <f>Table257[[#This Row],[RSSI]]</f>
        <v>-121</v>
      </c>
      <c r="S85">
        <v>-7.2</v>
      </c>
    </row>
    <row r="86" spans="2:19" x14ac:dyDescent="0.25">
      <c r="B86">
        <f>390+2*(Table146[[#This Row],[min value (corrected)]]-37)</f>
        <v>392</v>
      </c>
      <c r="C86">
        <f>MINUTE(Table146[[#This Row],[Corrected time]])</f>
        <v>38</v>
      </c>
      <c r="D86" s="1">
        <v>0.48479856481481481</v>
      </c>
      <c r="E86" s="1">
        <f>Table146[[#This Row],[Time]]-TIME(0,0,1)</f>
        <v>0.48478699074074072</v>
      </c>
      <c r="F86" t="s">
        <v>9</v>
      </c>
      <c r="G86">
        <v>-122</v>
      </c>
      <c r="H86">
        <f>Table146[[#This Row],[RSSI]]</f>
        <v>-122</v>
      </c>
      <c r="I86">
        <v>-8</v>
      </c>
      <c r="L86">
        <f>390+2*(Table257[[#This Row],[min value (corrected)]]-27)</f>
        <v>390</v>
      </c>
      <c r="M86">
        <f>MINUTE(Table257[[#This Row],[Corrected time]])</f>
        <v>27</v>
      </c>
      <c r="N86" s="1">
        <v>0.51943049768518512</v>
      </c>
      <c r="O86" s="1">
        <f>Table257[[#This Row],[Time]]-TIME(0,0,3)</f>
        <v>0.51939577546296289</v>
      </c>
      <c r="P86" t="s">
        <v>9</v>
      </c>
      <c r="Q86">
        <v>-121</v>
      </c>
      <c r="R86">
        <f>Table257[[#This Row],[RSSI]]</f>
        <v>-121</v>
      </c>
      <c r="S86">
        <v>-7.7</v>
      </c>
    </row>
    <row r="87" spans="2:19" x14ac:dyDescent="0.25">
      <c r="B87">
        <f>390+2*(Table146[[#This Row],[min value (corrected)]]-37)</f>
        <v>392</v>
      </c>
      <c r="C87">
        <f>MINUTE(Table146[[#This Row],[Corrected time]])</f>
        <v>38</v>
      </c>
      <c r="D87" s="1">
        <v>0.48481159722222222</v>
      </c>
      <c r="E87" s="1">
        <f>Table146[[#This Row],[Time]]-TIME(0,0,1)</f>
        <v>0.48480002314814813</v>
      </c>
      <c r="F87" t="s">
        <v>9</v>
      </c>
      <c r="G87">
        <v>-122</v>
      </c>
      <c r="H87">
        <f>Table146[[#This Row],[RSSI]]</f>
        <v>-122</v>
      </c>
      <c r="I87">
        <v>-8.3000000000000007</v>
      </c>
      <c r="L87">
        <f>390+2*(Table257[[#This Row],[min value (corrected)]]-27)</f>
        <v>390</v>
      </c>
      <c r="M87">
        <f>MINUTE(Table257[[#This Row],[Corrected time]])</f>
        <v>27</v>
      </c>
      <c r="N87" s="1">
        <v>0.51944354166666662</v>
      </c>
      <c r="O87" s="1">
        <f>Table257[[#This Row],[Time]]-TIME(0,0,3)</f>
        <v>0.51940881944444439</v>
      </c>
      <c r="P87" t="s">
        <v>9</v>
      </c>
      <c r="Q87">
        <v>-121</v>
      </c>
      <c r="R87">
        <f>Table257[[#This Row],[RSSI]]</f>
        <v>-121</v>
      </c>
      <c r="S87">
        <v>-7.7</v>
      </c>
    </row>
    <row r="88" spans="2:19" x14ac:dyDescent="0.25">
      <c r="B88">
        <f>390+2*(Table146[[#This Row],[min value (corrected)]]-37)</f>
        <v>392</v>
      </c>
      <c r="C88">
        <f>MINUTE(Table146[[#This Row],[Corrected time]])</f>
        <v>38</v>
      </c>
      <c r="D88" s="1">
        <v>0.48482462962962963</v>
      </c>
      <c r="E88" s="1">
        <f>Table146[[#This Row],[Time]]-TIME(0,0,1)</f>
        <v>0.48481305555555554</v>
      </c>
      <c r="F88" t="s">
        <v>13</v>
      </c>
      <c r="G88">
        <f t="shared" ref="G88:G91" si="1">G87</f>
        <v>-122</v>
      </c>
      <c r="H88">
        <f>Table146[[#This Row],[RSSI]]</f>
        <v>-122</v>
      </c>
      <c r="I88">
        <f t="shared" ref="I88:I91" si="2">I87</f>
        <v>-8.3000000000000007</v>
      </c>
      <c r="L88">
        <f>390+2*(Table257[[#This Row],[min value (corrected)]]-27)</f>
        <v>390</v>
      </c>
      <c r="M88">
        <f>MINUTE(Table257[[#This Row],[Corrected time]])</f>
        <v>27</v>
      </c>
      <c r="N88" s="1">
        <v>0.51945657407407408</v>
      </c>
      <c r="O88" s="1">
        <f>Table257[[#This Row],[Time]]-TIME(0,0,3)</f>
        <v>0.51942185185185186</v>
      </c>
      <c r="P88" t="s">
        <v>9</v>
      </c>
      <c r="Q88">
        <v>-121</v>
      </c>
      <c r="R88">
        <f>Table257[[#This Row],[RSSI]]</f>
        <v>-121</v>
      </c>
      <c r="S88">
        <v>-7.7</v>
      </c>
    </row>
    <row r="89" spans="2:19" x14ac:dyDescent="0.25">
      <c r="B89">
        <f>390+2*(Table146[[#This Row],[min value (corrected)]]-37)</f>
        <v>392</v>
      </c>
      <c r="C89">
        <f>MINUTE(Table146[[#This Row],[Corrected time]])</f>
        <v>38</v>
      </c>
      <c r="D89" s="1">
        <v>0.48483766203703704</v>
      </c>
      <c r="E89" s="1">
        <f>Table146[[#This Row],[Time]]-TIME(0,0,1)</f>
        <v>0.48482608796296295</v>
      </c>
      <c r="F89" t="s">
        <v>13</v>
      </c>
      <c r="G89">
        <f t="shared" si="1"/>
        <v>-122</v>
      </c>
      <c r="H89">
        <f>Table146[[#This Row],[RSSI]]</f>
        <v>-122</v>
      </c>
      <c r="I89">
        <f t="shared" si="2"/>
        <v>-8.3000000000000007</v>
      </c>
      <c r="L89">
        <f>390+2*(Table257[[#This Row],[min value (corrected)]]-27)</f>
        <v>390</v>
      </c>
      <c r="M89">
        <f>MINUTE(Table257[[#This Row],[Corrected time]])</f>
        <v>27</v>
      </c>
      <c r="N89" s="1">
        <v>0.51946960648148144</v>
      </c>
      <c r="O89" s="1">
        <f>Table257[[#This Row],[Time]]-TIME(0,0,3)</f>
        <v>0.51943488425925921</v>
      </c>
      <c r="P89" t="s">
        <v>9</v>
      </c>
      <c r="Q89">
        <v>-121</v>
      </c>
      <c r="R89">
        <f>Table257[[#This Row],[RSSI]]</f>
        <v>-121</v>
      </c>
      <c r="S89">
        <v>-7.5</v>
      </c>
    </row>
    <row r="90" spans="2:19" x14ac:dyDescent="0.25">
      <c r="B90">
        <f>390+2*(Table146[[#This Row],[min value (corrected)]]-37)</f>
        <v>392</v>
      </c>
      <c r="C90">
        <f>MINUTE(Table146[[#This Row],[Corrected time]])</f>
        <v>38</v>
      </c>
      <c r="D90" s="1">
        <v>0.48485069444444445</v>
      </c>
      <c r="E90" s="1">
        <f>Table146[[#This Row],[Time]]-TIME(0,0,1)</f>
        <v>0.48483912037037036</v>
      </c>
      <c r="F90" t="s">
        <v>13</v>
      </c>
      <c r="G90">
        <f t="shared" si="1"/>
        <v>-122</v>
      </c>
      <c r="H90">
        <f>Table146[[#This Row],[RSSI]]</f>
        <v>-122</v>
      </c>
      <c r="I90">
        <f t="shared" si="2"/>
        <v>-8.3000000000000007</v>
      </c>
      <c r="L90">
        <f>390+2*(Table257[[#This Row],[min value (corrected)]]-27)</f>
        <v>392</v>
      </c>
      <c r="M90">
        <f>MINUTE(Table257[[#This Row],[Corrected time]])</f>
        <v>28</v>
      </c>
      <c r="N90" s="1">
        <v>0.5194826388888889</v>
      </c>
      <c r="O90" s="1">
        <f>Table257[[#This Row],[Time]]-TIME(0,0,3)</f>
        <v>0.51944791666666668</v>
      </c>
      <c r="P90" t="s">
        <v>9</v>
      </c>
      <c r="Q90">
        <v>-121</v>
      </c>
      <c r="R90">
        <f>Table257[[#This Row],[RSSI]]</f>
        <v>-121</v>
      </c>
      <c r="S90">
        <v>-7.5</v>
      </c>
    </row>
    <row r="91" spans="2:19" x14ac:dyDescent="0.25">
      <c r="B91">
        <f>390+2*(Table146[[#This Row],[min value (corrected)]]-37)</f>
        <v>392</v>
      </c>
      <c r="C91">
        <f>MINUTE(Table146[[#This Row],[Corrected time]])</f>
        <v>38</v>
      </c>
      <c r="D91" s="1">
        <v>0.48486372685185186</v>
      </c>
      <c r="E91" s="1">
        <f>Table146[[#This Row],[Time]]-TIME(0,0,1)</f>
        <v>0.48485215277777777</v>
      </c>
      <c r="F91" t="s">
        <v>13</v>
      </c>
      <c r="G91">
        <f t="shared" si="1"/>
        <v>-122</v>
      </c>
      <c r="H91">
        <f>Table146[[#This Row],[RSSI]]</f>
        <v>-122</v>
      </c>
      <c r="I91">
        <f t="shared" si="2"/>
        <v>-8.3000000000000007</v>
      </c>
      <c r="L91">
        <f>390+2*(Table257[[#This Row],[min value (corrected)]]-27)</f>
        <v>392</v>
      </c>
      <c r="M91">
        <f>MINUTE(Table257[[#This Row],[Corrected time]])</f>
        <v>28</v>
      </c>
      <c r="N91" s="1">
        <v>0.51949567129629626</v>
      </c>
      <c r="O91" s="1">
        <f>Table257[[#This Row],[Time]]-TIME(0,0,3)</f>
        <v>0.51946094907407403</v>
      </c>
      <c r="P91" t="s">
        <v>9</v>
      </c>
      <c r="Q91">
        <v>-122</v>
      </c>
      <c r="R91">
        <f>Table257[[#This Row],[RSSI]]</f>
        <v>-122</v>
      </c>
      <c r="S91">
        <v>-8.3000000000000007</v>
      </c>
    </row>
    <row r="92" spans="2:19" x14ac:dyDescent="0.25">
      <c r="B92">
        <f>390+2*(Table146[[#This Row],[min value (corrected)]]-37)</f>
        <v>392</v>
      </c>
      <c r="C92">
        <f>MINUTE(Table146[[#This Row],[Corrected time]])</f>
        <v>38</v>
      </c>
      <c r="D92" s="1">
        <v>0.48487675925925927</v>
      </c>
      <c r="E92" s="1">
        <f>Table146[[#This Row],[Time]]-TIME(0,0,1)</f>
        <v>0.48486518518518518</v>
      </c>
      <c r="F92" t="s">
        <v>9</v>
      </c>
      <c r="G92">
        <v>-121</v>
      </c>
      <c r="H92">
        <f>Table146[[#This Row],[RSSI]]</f>
        <v>-121</v>
      </c>
      <c r="I92">
        <v>-7.7</v>
      </c>
      <c r="L92">
        <f>390+2*(Table257[[#This Row],[min value (corrected)]]-27)</f>
        <v>392</v>
      </c>
      <c r="M92">
        <f>MINUTE(Table257[[#This Row],[Corrected time]])</f>
        <v>28</v>
      </c>
      <c r="N92" s="1">
        <v>0.51950870370370372</v>
      </c>
      <c r="O92" s="1">
        <f>Table257[[#This Row],[Time]]-TIME(0,0,3)</f>
        <v>0.51947398148148149</v>
      </c>
      <c r="P92" t="s">
        <v>9</v>
      </c>
      <c r="Q92">
        <v>-121</v>
      </c>
      <c r="R92">
        <f>Table257[[#This Row],[RSSI]]</f>
        <v>-121</v>
      </c>
      <c r="S92">
        <v>-7.5</v>
      </c>
    </row>
    <row r="93" spans="2:19" x14ac:dyDescent="0.25">
      <c r="B93">
        <f>390+2*(Table146[[#This Row],[min value (corrected)]]-37)</f>
        <v>392</v>
      </c>
      <c r="C93">
        <f>MINUTE(Table146[[#This Row],[Corrected time]])</f>
        <v>38</v>
      </c>
      <c r="D93" s="1">
        <v>0.48488979166666668</v>
      </c>
      <c r="E93" s="1">
        <f>Table146[[#This Row],[Time]]-TIME(0,0,1)</f>
        <v>0.48487821759259259</v>
      </c>
      <c r="F93" t="s">
        <v>9</v>
      </c>
      <c r="G93">
        <v>-121</v>
      </c>
      <c r="H93">
        <f>Table146[[#This Row],[RSSI]]</f>
        <v>-121</v>
      </c>
      <c r="I93">
        <v>-7.7</v>
      </c>
      <c r="L93">
        <f>390+2*(Table257[[#This Row],[min value (corrected)]]-27)</f>
        <v>392</v>
      </c>
      <c r="M93">
        <f>MINUTE(Table257[[#This Row],[Corrected time]])</f>
        <v>28</v>
      </c>
      <c r="N93" s="1">
        <v>0.51952173611111108</v>
      </c>
      <c r="O93" s="1">
        <f>Table257[[#This Row],[Time]]-TIME(0,0,3)</f>
        <v>0.51948701388888885</v>
      </c>
      <c r="P93" t="s">
        <v>13</v>
      </c>
      <c r="Q93">
        <f>Q92</f>
        <v>-121</v>
      </c>
      <c r="R93">
        <f>Table257[[#This Row],[RSSI]]</f>
        <v>-121</v>
      </c>
      <c r="S93">
        <f>S92</f>
        <v>-7.5</v>
      </c>
    </row>
    <row r="94" spans="2:19" x14ac:dyDescent="0.25">
      <c r="B94">
        <f>390+2*(Table146[[#This Row],[min value (corrected)]]-37)</f>
        <v>392</v>
      </c>
      <c r="C94">
        <f>MINUTE(Table146[[#This Row],[Corrected time]])</f>
        <v>38</v>
      </c>
      <c r="D94" s="1">
        <v>0.48490281250000006</v>
      </c>
      <c r="E94" s="1">
        <f>Table146[[#This Row],[Time]]-TIME(0,0,1)</f>
        <v>0.48489123842592596</v>
      </c>
      <c r="F94" t="s">
        <v>9</v>
      </c>
      <c r="G94">
        <v>-122</v>
      </c>
      <c r="H94">
        <f>Table146[[#This Row],[RSSI]]</f>
        <v>-122</v>
      </c>
      <c r="I94">
        <v>-8.3000000000000007</v>
      </c>
      <c r="L94">
        <f>390+2*(Table257[[#This Row],[min value (corrected)]]-27)</f>
        <v>392</v>
      </c>
      <c r="M94">
        <f>MINUTE(Table257[[#This Row],[Corrected time]])</f>
        <v>28</v>
      </c>
      <c r="N94" s="1">
        <v>0.51953476851851843</v>
      </c>
      <c r="O94" s="1">
        <f>Table257[[#This Row],[Time]]-TIME(0,0,3)</f>
        <v>0.5195000462962962</v>
      </c>
      <c r="P94" t="s">
        <v>9</v>
      </c>
      <c r="Q94">
        <v>-121</v>
      </c>
      <c r="R94">
        <f>Table257[[#This Row],[RSSI]]</f>
        <v>-121</v>
      </c>
      <c r="S94">
        <v>-8</v>
      </c>
    </row>
    <row r="95" spans="2:19" x14ac:dyDescent="0.25">
      <c r="B95">
        <f>390+2*(Table146[[#This Row],[min value (corrected)]]-37)</f>
        <v>392</v>
      </c>
      <c r="C95">
        <f>MINUTE(Table146[[#This Row],[Corrected time]])</f>
        <v>38</v>
      </c>
      <c r="D95" s="1">
        <v>0.4849158564814815</v>
      </c>
      <c r="E95" s="1">
        <f>Table146[[#This Row],[Time]]-TIME(0,0,1)</f>
        <v>0.48490428240740741</v>
      </c>
      <c r="F95" t="s">
        <v>9</v>
      </c>
      <c r="G95">
        <v>-122</v>
      </c>
      <c r="H95">
        <f>Table146[[#This Row],[RSSI]]</f>
        <v>-122</v>
      </c>
      <c r="I95">
        <v>-8.3000000000000007</v>
      </c>
      <c r="L95">
        <f>390+2*(Table257[[#This Row],[min value (corrected)]]-27)</f>
        <v>392</v>
      </c>
      <c r="M95">
        <f>MINUTE(Table257[[#This Row],[Corrected time]])</f>
        <v>28</v>
      </c>
      <c r="N95" s="1">
        <v>0.5195478009259259</v>
      </c>
      <c r="O95" s="1">
        <f>Table257[[#This Row],[Time]]-TIME(0,0,3)</f>
        <v>0.51951307870370367</v>
      </c>
      <c r="P95" t="s">
        <v>13</v>
      </c>
      <c r="Q95">
        <f>Q94</f>
        <v>-121</v>
      </c>
      <c r="R95">
        <f>Table257[[#This Row],[RSSI]]</f>
        <v>-121</v>
      </c>
      <c r="S95">
        <f>S94</f>
        <v>-8</v>
      </c>
    </row>
    <row r="96" spans="2:19" x14ac:dyDescent="0.25">
      <c r="B96">
        <f>390+2*(Table146[[#This Row],[min value (corrected)]]-37)</f>
        <v>392</v>
      </c>
      <c r="C96">
        <f>MINUTE(Table146[[#This Row],[Corrected time]])</f>
        <v>38</v>
      </c>
      <c r="D96" s="1">
        <v>0.48492888888888891</v>
      </c>
      <c r="E96" s="1">
        <f>Table146[[#This Row],[Time]]-TIME(0,0,1)</f>
        <v>0.48491731481481481</v>
      </c>
      <c r="F96" t="s">
        <v>9</v>
      </c>
      <c r="G96">
        <v>-121</v>
      </c>
      <c r="H96">
        <f>Table146[[#This Row],[RSSI]]</f>
        <v>-121</v>
      </c>
      <c r="I96">
        <v>-7.2</v>
      </c>
      <c r="L96">
        <f>390+2*(Table257[[#This Row],[min value (corrected)]]-27)</f>
        <v>392</v>
      </c>
      <c r="M96">
        <f>MINUTE(Table257[[#This Row],[Corrected time]])</f>
        <v>28</v>
      </c>
      <c r="N96" s="1">
        <v>0.51956083333333325</v>
      </c>
      <c r="O96" s="1">
        <f>Table257[[#This Row],[Time]]-TIME(0,0,3)</f>
        <v>0.51952611111111102</v>
      </c>
      <c r="P96" t="s">
        <v>9</v>
      </c>
      <c r="Q96">
        <v>-121</v>
      </c>
      <c r="R96">
        <f>Table257[[#This Row],[RSSI]]</f>
        <v>-121</v>
      </c>
      <c r="S96">
        <v>-7.7</v>
      </c>
    </row>
    <row r="97" spans="2:19" x14ac:dyDescent="0.25">
      <c r="B97">
        <f>390+2*(Table146[[#This Row],[min value (corrected)]]-37)</f>
        <v>392</v>
      </c>
      <c r="C97">
        <f>MINUTE(Table146[[#This Row],[Corrected time]])</f>
        <v>38</v>
      </c>
      <c r="D97" s="1">
        <v>0.48494192129629632</v>
      </c>
      <c r="E97" s="1">
        <f>Table146[[#This Row],[Time]]-TIME(0,0,1)</f>
        <v>0.48493034722222222</v>
      </c>
      <c r="F97" t="s">
        <v>9</v>
      </c>
      <c r="G97">
        <v>-121</v>
      </c>
      <c r="H97">
        <f>Table146[[#This Row],[RSSI]]</f>
        <v>-121</v>
      </c>
      <c r="I97">
        <v>-7.7</v>
      </c>
      <c r="L97">
        <f>390+2*(Table257[[#This Row],[min value (corrected)]]-27)</f>
        <v>392</v>
      </c>
      <c r="M97">
        <f>MINUTE(Table257[[#This Row],[Corrected time]])</f>
        <v>28</v>
      </c>
      <c r="N97" s="1">
        <v>0.51957386574074071</v>
      </c>
      <c r="O97" s="1">
        <f>Table257[[#This Row],[Time]]-TIME(0,0,3)</f>
        <v>0.51953914351851849</v>
      </c>
      <c r="P97" t="s">
        <v>9</v>
      </c>
      <c r="Q97">
        <v>-121</v>
      </c>
      <c r="R97">
        <f>Table257[[#This Row],[RSSI]]</f>
        <v>-121</v>
      </c>
      <c r="S97">
        <v>-7.7</v>
      </c>
    </row>
    <row r="98" spans="2:19" x14ac:dyDescent="0.25">
      <c r="B98">
        <f>390+2*(Table146[[#This Row],[min value (corrected)]]-37)</f>
        <v>392</v>
      </c>
      <c r="C98">
        <f>MINUTE(Table146[[#This Row],[Corrected time]])</f>
        <v>38</v>
      </c>
      <c r="D98" s="1">
        <v>0.48495495370370373</v>
      </c>
      <c r="E98" s="1">
        <f>Table146[[#This Row],[Time]]-TIME(0,0,1)</f>
        <v>0.48494337962962963</v>
      </c>
      <c r="F98" t="s">
        <v>9</v>
      </c>
      <c r="G98">
        <v>-122</v>
      </c>
      <c r="H98">
        <f>Table146[[#This Row],[RSSI]]</f>
        <v>-122</v>
      </c>
      <c r="I98">
        <v>-8.5</v>
      </c>
      <c r="L98">
        <f>390+2*(Table257[[#This Row],[min value (corrected)]]-27)</f>
        <v>392</v>
      </c>
      <c r="M98">
        <f>MINUTE(Table257[[#This Row],[Corrected time]])</f>
        <v>28</v>
      </c>
      <c r="N98" s="1">
        <v>0.51958688657407404</v>
      </c>
      <c r="O98" s="1">
        <f>Table257[[#This Row],[Time]]-TIME(0,0,3)</f>
        <v>0.51955216435185181</v>
      </c>
      <c r="P98" t="s">
        <v>9</v>
      </c>
      <c r="Q98">
        <v>-122</v>
      </c>
      <c r="R98">
        <f>Table257[[#This Row],[RSSI]]</f>
        <v>-122</v>
      </c>
      <c r="S98">
        <v>-8.3000000000000007</v>
      </c>
    </row>
    <row r="99" spans="2:19" x14ac:dyDescent="0.25">
      <c r="B99">
        <f>390+2*(Table146[[#This Row],[min value (corrected)]]-37)</f>
        <v>392</v>
      </c>
      <c r="C99">
        <f>MINUTE(Table146[[#This Row],[Corrected time]])</f>
        <v>38</v>
      </c>
      <c r="D99" s="1">
        <v>0.48496798611111108</v>
      </c>
      <c r="E99" s="1">
        <f>Table146[[#This Row],[Time]]-TIME(0,0,1)</f>
        <v>0.48495641203703699</v>
      </c>
      <c r="F99" t="s">
        <v>9</v>
      </c>
      <c r="G99">
        <v>-121</v>
      </c>
      <c r="H99">
        <f>Table146[[#This Row],[RSSI]]</f>
        <v>-121</v>
      </c>
      <c r="I99">
        <v>-7.5</v>
      </c>
      <c r="L99">
        <f>390+2*(Table257[[#This Row],[min value (corrected)]]-27)</f>
        <v>392</v>
      </c>
      <c r="M99">
        <f>MINUTE(Table257[[#This Row],[Corrected time]])</f>
        <v>28</v>
      </c>
      <c r="N99" s="1">
        <v>0.5195999189814815</v>
      </c>
      <c r="O99" s="1">
        <f>Table257[[#This Row],[Time]]-TIME(0,0,3)</f>
        <v>0.51956519675925927</v>
      </c>
      <c r="P99" t="s">
        <v>9</v>
      </c>
      <c r="Q99">
        <v>-121</v>
      </c>
      <c r="R99">
        <f>Table257[[#This Row],[RSSI]]</f>
        <v>-121</v>
      </c>
      <c r="S99">
        <v>-7.5</v>
      </c>
    </row>
    <row r="100" spans="2:19" x14ac:dyDescent="0.25">
      <c r="B100">
        <f>390+2*(Table146[[#This Row],[min value (corrected)]]-37)</f>
        <v>392</v>
      </c>
      <c r="C100">
        <f>MINUTE(Table146[[#This Row],[Corrected time]])</f>
        <v>38</v>
      </c>
      <c r="D100" s="1">
        <v>0.48498101851851855</v>
      </c>
      <c r="E100" s="1">
        <f>Table146[[#This Row],[Time]]-TIME(0,0,1)</f>
        <v>0.48496944444444445</v>
      </c>
      <c r="F100" t="s">
        <v>9</v>
      </c>
      <c r="G100">
        <v>-121</v>
      </c>
      <c r="H100">
        <f>Table146[[#This Row],[RSSI]]</f>
        <v>-121</v>
      </c>
      <c r="I100">
        <v>-7.5</v>
      </c>
      <c r="L100">
        <f>390+2*(Table257[[#This Row],[min value (corrected)]]-27)</f>
        <v>392</v>
      </c>
      <c r="M100">
        <f>MINUTE(Table257[[#This Row],[Corrected time]])</f>
        <v>28</v>
      </c>
      <c r="N100" s="1">
        <v>0.51961295138888886</v>
      </c>
      <c r="O100" s="1">
        <f>Table257[[#This Row],[Time]]-TIME(0,0,3)</f>
        <v>0.51957822916666663</v>
      </c>
      <c r="P100" t="s">
        <v>9</v>
      </c>
      <c r="Q100">
        <v>-121</v>
      </c>
      <c r="R100">
        <f>Table257[[#This Row],[RSSI]]</f>
        <v>-121</v>
      </c>
      <c r="S100">
        <v>-8</v>
      </c>
    </row>
    <row r="101" spans="2:19" x14ac:dyDescent="0.25">
      <c r="B101">
        <f>390+2*(Table146[[#This Row],[min value (corrected)]]-37)</f>
        <v>392</v>
      </c>
      <c r="C101">
        <f>MINUTE(Table146[[#This Row],[Corrected time]])</f>
        <v>38</v>
      </c>
      <c r="D101" s="1">
        <v>0.4849940509259259</v>
      </c>
      <c r="E101" s="1">
        <f>Table146[[#This Row],[Time]]-TIME(0,0,1)</f>
        <v>0.48498247685185181</v>
      </c>
      <c r="F101" t="s">
        <v>9</v>
      </c>
      <c r="G101">
        <v>-121</v>
      </c>
      <c r="H101">
        <f>Table146[[#This Row],[RSSI]]</f>
        <v>-121</v>
      </c>
      <c r="I101">
        <v>-7.7</v>
      </c>
      <c r="L101">
        <f>390+2*(Table257[[#This Row],[min value (corrected)]]-27)</f>
        <v>392</v>
      </c>
      <c r="M101">
        <f>MINUTE(Table257[[#This Row],[Corrected time]])</f>
        <v>28</v>
      </c>
      <c r="N101" s="1">
        <v>0.51962599537037035</v>
      </c>
      <c r="O101" s="1">
        <f>Table257[[#This Row],[Time]]-TIME(0,0,3)</f>
        <v>0.51959127314814813</v>
      </c>
      <c r="P101" t="s">
        <v>9</v>
      </c>
      <c r="Q101">
        <v>-121</v>
      </c>
      <c r="R101">
        <f>Table257[[#This Row],[RSSI]]</f>
        <v>-121</v>
      </c>
      <c r="S101">
        <v>-8</v>
      </c>
    </row>
    <row r="102" spans="2:19" x14ac:dyDescent="0.25">
      <c r="B102">
        <f>390+2*(Table146[[#This Row],[min value (corrected)]]-37)</f>
        <v>392</v>
      </c>
      <c r="C102">
        <f>MINUTE(Table146[[#This Row],[Corrected time]])</f>
        <v>38</v>
      </c>
      <c r="D102" s="1">
        <v>0.48500708333333337</v>
      </c>
      <c r="E102" s="1">
        <f>Table146[[#This Row],[Time]]-TIME(0,0,1)</f>
        <v>0.48499550925925927</v>
      </c>
      <c r="F102" t="s">
        <v>9</v>
      </c>
      <c r="G102">
        <v>-122</v>
      </c>
      <c r="H102">
        <f>Table146[[#This Row],[RSSI]]</f>
        <v>-122</v>
      </c>
      <c r="I102">
        <v>-8</v>
      </c>
      <c r="L102">
        <f>390+2*(Table257[[#This Row],[min value (corrected)]]-27)</f>
        <v>392</v>
      </c>
      <c r="M102">
        <f>MINUTE(Table257[[#This Row],[Corrected time]])</f>
        <v>28</v>
      </c>
      <c r="N102" s="1">
        <v>0.51963902777777771</v>
      </c>
      <c r="O102" s="1">
        <f>Table257[[#This Row],[Time]]-TIME(0,0,3)</f>
        <v>0.51960430555555548</v>
      </c>
      <c r="P102" t="s">
        <v>9</v>
      </c>
      <c r="Q102">
        <v>-121</v>
      </c>
      <c r="R102">
        <f>Table257[[#This Row],[RSSI]]</f>
        <v>-121</v>
      </c>
      <c r="S102">
        <v>-7.5</v>
      </c>
    </row>
    <row r="103" spans="2:19" x14ac:dyDescent="0.25">
      <c r="B103">
        <f>390+2*(Table146[[#This Row],[min value (corrected)]]-37)</f>
        <v>392</v>
      </c>
      <c r="C103">
        <f>MINUTE(Table146[[#This Row],[Corrected time]])</f>
        <v>38</v>
      </c>
      <c r="D103" s="1">
        <v>0.48502011574074072</v>
      </c>
      <c r="E103" s="1">
        <f>Table146[[#This Row],[Time]]-TIME(0,0,1)</f>
        <v>0.48500854166666663</v>
      </c>
      <c r="F103" t="s">
        <v>9</v>
      </c>
      <c r="G103">
        <v>-122</v>
      </c>
      <c r="H103">
        <f>Table146[[#This Row],[RSSI]]</f>
        <v>-122</v>
      </c>
      <c r="I103">
        <v>-8.3000000000000007</v>
      </c>
      <c r="L103">
        <f>390+2*(Table257[[#This Row],[min value (corrected)]]-27)</f>
        <v>392</v>
      </c>
      <c r="M103">
        <f>MINUTE(Table257[[#This Row],[Corrected time]])</f>
        <v>28</v>
      </c>
      <c r="N103" s="1">
        <v>0.51965206018518517</v>
      </c>
      <c r="O103" s="1">
        <f>Table257[[#This Row],[Time]]-TIME(0,0,3)</f>
        <v>0.51961733796296294</v>
      </c>
      <c r="P103" t="s">
        <v>9</v>
      </c>
      <c r="Q103">
        <v>-120</v>
      </c>
      <c r="R103">
        <f>Table257[[#This Row],[RSSI]]</f>
        <v>-120</v>
      </c>
      <c r="S103">
        <v>-6.7</v>
      </c>
    </row>
    <row r="104" spans="2:19" x14ac:dyDescent="0.25">
      <c r="B104">
        <f>390+2*(Table146[[#This Row],[min value (corrected)]]-37)</f>
        <v>392</v>
      </c>
      <c r="C104">
        <f>MINUTE(Table146[[#This Row],[Corrected time]])</f>
        <v>38</v>
      </c>
      <c r="D104" s="1">
        <v>0.48503314814814819</v>
      </c>
      <c r="E104" s="1">
        <f>Table146[[#This Row],[Time]]-TIME(0,0,1)</f>
        <v>0.48502157407407409</v>
      </c>
      <c r="F104" t="s">
        <v>9</v>
      </c>
      <c r="G104">
        <v>-121</v>
      </c>
      <c r="H104">
        <f>Table146[[#This Row],[RSSI]]</f>
        <v>-121</v>
      </c>
      <c r="I104">
        <v>-7.7</v>
      </c>
      <c r="L104">
        <f>390+2*(Table257[[#This Row],[min value (corrected)]]-27)</f>
        <v>392</v>
      </c>
      <c r="M104">
        <f>MINUTE(Table257[[#This Row],[Corrected time]])</f>
        <v>28</v>
      </c>
      <c r="N104" s="1">
        <v>0.51966508101851849</v>
      </c>
      <c r="O104" s="1">
        <f>Table257[[#This Row],[Time]]-TIME(0,0,3)</f>
        <v>0.51963035879629627</v>
      </c>
      <c r="P104" t="s">
        <v>9</v>
      </c>
      <c r="Q104">
        <v>-122</v>
      </c>
      <c r="R104">
        <f>Table257[[#This Row],[RSSI]]</f>
        <v>-122</v>
      </c>
      <c r="S104">
        <v>-8.3000000000000007</v>
      </c>
    </row>
    <row r="105" spans="2:19" x14ac:dyDescent="0.25">
      <c r="B105">
        <f>390+2*(Table146[[#This Row],[min value (corrected)]]-37)</f>
        <v>392</v>
      </c>
      <c r="C105">
        <f>MINUTE(Table146[[#This Row],[Corrected time]])</f>
        <v>38</v>
      </c>
      <c r="D105" s="1">
        <v>0.48504618055555554</v>
      </c>
      <c r="E105" s="1">
        <f>Table146[[#This Row],[Time]]-TIME(0,0,1)</f>
        <v>0.48503460648148145</v>
      </c>
      <c r="F105" t="s">
        <v>9</v>
      </c>
      <c r="G105">
        <v>-122</v>
      </c>
      <c r="H105">
        <f>Table146[[#This Row],[RSSI]]</f>
        <v>-122</v>
      </c>
      <c r="I105">
        <v>-8.3000000000000007</v>
      </c>
      <c r="L105">
        <f>390+2*(Table257[[#This Row],[min value (corrected)]]-27)</f>
        <v>392</v>
      </c>
      <c r="M105">
        <f>MINUTE(Table257[[#This Row],[Corrected time]])</f>
        <v>28</v>
      </c>
      <c r="N105" s="1">
        <v>0.51967812499999999</v>
      </c>
      <c r="O105" s="1">
        <f>Table257[[#This Row],[Time]]-TIME(0,0,3)</f>
        <v>0.51964340277777776</v>
      </c>
      <c r="P105" t="s">
        <v>9</v>
      </c>
      <c r="Q105">
        <v>-121</v>
      </c>
      <c r="R105">
        <f>Table257[[#This Row],[RSSI]]</f>
        <v>-121</v>
      </c>
      <c r="S105">
        <v>-7.7</v>
      </c>
    </row>
    <row r="106" spans="2:19" x14ac:dyDescent="0.25">
      <c r="B106">
        <f>390+2*(Table146[[#This Row],[min value (corrected)]]-37)</f>
        <v>392</v>
      </c>
      <c r="C106">
        <f>MINUTE(Table146[[#This Row],[Corrected time]])</f>
        <v>38</v>
      </c>
      <c r="D106" s="1">
        <v>0.485059212962963</v>
      </c>
      <c r="E106" s="1">
        <f>Table146[[#This Row],[Time]]-TIME(0,0,1)</f>
        <v>0.48504763888888891</v>
      </c>
      <c r="F106" t="s">
        <v>9</v>
      </c>
      <c r="G106">
        <v>-121</v>
      </c>
      <c r="H106">
        <f>Table146[[#This Row],[RSSI]]</f>
        <v>-121</v>
      </c>
      <c r="I106">
        <v>-7.2</v>
      </c>
      <c r="L106">
        <f>390+2*(Table257[[#This Row],[min value (corrected)]]-27)</f>
        <v>392</v>
      </c>
      <c r="M106">
        <f>MINUTE(Table257[[#This Row],[Corrected time]])</f>
        <v>28</v>
      </c>
      <c r="N106" s="1">
        <v>0.51969115740740734</v>
      </c>
      <c r="O106" s="1">
        <f>Table257[[#This Row],[Time]]-TIME(0,0,3)</f>
        <v>0.51965643518518512</v>
      </c>
      <c r="P106" t="s">
        <v>13</v>
      </c>
      <c r="Q106">
        <f>Q105</f>
        <v>-121</v>
      </c>
      <c r="R106">
        <f>Table257[[#This Row],[RSSI]]</f>
        <v>-121</v>
      </c>
      <c r="S106">
        <f>S105</f>
        <v>-7.7</v>
      </c>
    </row>
    <row r="107" spans="2:19" x14ac:dyDescent="0.25">
      <c r="B107">
        <f>390+2*(Table146[[#This Row],[min value (corrected)]]-37)</f>
        <v>392</v>
      </c>
      <c r="C107">
        <f>MINUTE(Table146[[#This Row],[Corrected time]])</f>
        <v>38</v>
      </c>
      <c r="D107" s="1">
        <v>0.48507224537037036</v>
      </c>
      <c r="E107" s="1">
        <f>Table146[[#This Row],[Time]]-TIME(0,0,1)</f>
        <v>0.48506067129629626</v>
      </c>
      <c r="F107" t="s">
        <v>9</v>
      </c>
      <c r="G107">
        <v>-122</v>
      </c>
      <c r="H107">
        <f>Table146[[#This Row],[RSSI]]</f>
        <v>-122</v>
      </c>
      <c r="I107">
        <v>-8</v>
      </c>
      <c r="L107">
        <f>390+2*(Table257[[#This Row],[min value (corrected)]]-27)</f>
        <v>392</v>
      </c>
      <c r="M107">
        <f>MINUTE(Table257[[#This Row],[Corrected time]])</f>
        <v>28</v>
      </c>
      <c r="N107" s="1">
        <v>0.51970418981481481</v>
      </c>
      <c r="O107" s="1">
        <f>Table257[[#This Row],[Time]]-TIME(0,0,3)</f>
        <v>0.51966946759259258</v>
      </c>
      <c r="P107" t="s">
        <v>9</v>
      </c>
      <c r="Q107">
        <v>-122</v>
      </c>
      <c r="R107">
        <f>Table257[[#This Row],[RSSI]]</f>
        <v>-122</v>
      </c>
      <c r="S107">
        <v>-8.3000000000000007</v>
      </c>
    </row>
    <row r="108" spans="2:19" x14ac:dyDescent="0.25">
      <c r="B108">
        <f>390+2*(Table146[[#This Row],[min value (corrected)]]-37)</f>
        <v>392</v>
      </c>
      <c r="C108">
        <f>MINUTE(Table146[[#This Row],[Corrected time]])</f>
        <v>38</v>
      </c>
      <c r="D108" s="1">
        <v>0.48508527777777782</v>
      </c>
      <c r="E108" s="1">
        <f>Table146[[#This Row],[Time]]-TIME(0,0,1)</f>
        <v>0.48507370370370373</v>
      </c>
      <c r="F108" t="s">
        <v>9</v>
      </c>
      <c r="G108">
        <v>-121</v>
      </c>
      <c r="H108">
        <f>Table146[[#This Row],[RSSI]]</f>
        <v>-121</v>
      </c>
      <c r="I108">
        <v>-7.5</v>
      </c>
      <c r="L108">
        <f>390+2*(Table257[[#This Row],[min value (corrected)]]-27)</f>
        <v>392</v>
      </c>
      <c r="M108">
        <f>MINUTE(Table257[[#This Row],[Corrected time]])</f>
        <v>28</v>
      </c>
      <c r="N108" s="1">
        <v>0.51971722222222216</v>
      </c>
      <c r="O108" s="1">
        <f>Table257[[#This Row],[Time]]-TIME(0,0,3)</f>
        <v>0.51968249999999994</v>
      </c>
      <c r="P108" t="s">
        <v>9</v>
      </c>
      <c r="Q108">
        <v>-121</v>
      </c>
      <c r="R108">
        <f>Table257[[#This Row],[RSSI]]</f>
        <v>-121</v>
      </c>
      <c r="S108">
        <v>-7.2</v>
      </c>
    </row>
    <row r="109" spans="2:19" x14ac:dyDescent="0.25">
      <c r="B109">
        <f>390+2*(Table146[[#This Row],[min value (corrected)]]-37)</f>
        <v>392</v>
      </c>
      <c r="C109">
        <f>MINUTE(Table146[[#This Row],[Corrected time]])</f>
        <v>38</v>
      </c>
      <c r="D109" s="1">
        <v>0.48509831018518518</v>
      </c>
      <c r="E109" s="1">
        <f>Table146[[#This Row],[Time]]-TIME(0,0,1)</f>
        <v>0.48508673611111108</v>
      </c>
      <c r="F109" t="s">
        <v>9</v>
      </c>
      <c r="G109">
        <v>-122</v>
      </c>
      <c r="H109">
        <f>Table146[[#This Row],[RSSI]]</f>
        <v>-122</v>
      </c>
      <c r="I109">
        <v>-8</v>
      </c>
      <c r="L109">
        <f>390+2*(Table257[[#This Row],[min value (corrected)]]-27)</f>
        <v>392</v>
      </c>
      <c r="M109">
        <f>MINUTE(Table257[[#This Row],[Corrected time]])</f>
        <v>28</v>
      </c>
      <c r="N109" s="1">
        <v>0.51973025462962963</v>
      </c>
      <c r="O109" s="1">
        <f>Table257[[#This Row],[Time]]-TIME(0,0,3)</f>
        <v>0.5196955324074074</v>
      </c>
      <c r="P109" t="s">
        <v>9</v>
      </c>
      <c r="Q109">
        <v>-120</v>
      </c>
      <c r="R109">
        <f>Table257[[#This Row],[RSSI]]</f>
        <v>-120</v>
      </c>
      <c r="S109">
        <v>-6.5</v>
      </c>
    </row>
    <row r="110" spans="2:19" x14ac:dyDescent="0.25">
      <c r="B110">
        <f>390+2*(Table146[[#This Row],[min value (corrected)]]-37)</f>
        <v>392</v>
      </c>
      <c r="C110">
        <f>MINUTE(Table146[[#This Row],[Corrected time]])</f>
        <v>38</v>
      </c>
      <c r="D110" s="1">
        <v>0.48511134259259264</v>
      </c>
      <c r="E110" s="1">
        <f>Table146[[#This Row],[Time]]-TIME(0,0,1)</f>
        <v>0.48509976851851855</v>
      </c>
      <c r="F110" t="s">
        <v>9</v>
      </c>
      <c r="G110">
        <v>-121</v>
      </c>
      <c r="H110">
        <f>Table146[[#This Row],[RSSI]]</f>
        <v>-121</v>
      </c>
      <c r="I110">
        <v>-7.7</v>
      </c>
      <c r="L110">
        <f>390+2*(Table257[[#This Row],[min value (corrected)]]-27)</f>
        <v>392</v>
      </c>
      <c r="M110">
        <f>MINUTE(Table257[[#This Row],[Corrected time]])</f>
        <v>28</v>
      </c>
      <c r="N110" s="1">
        <v>0.51974328703703698</v>
      </c>
      <c r="O110" s="1">
        <f>Table257[[#This Row],[Time]]-TIME(0,0,3)</f>
        <v>0.51970856481481476</v>
      </c>
      <c r="P110" t="s">
        <v>9</v>
      </c>
      <c r="Q110">
        <v>-122</v>
      </c>
      <c r="R110">
        <f>Table257[[#This Row],[RSSI]]</f>
        <v>-122</v>
      </c>
      <c r="S110">
        <v>-8.3000000000000007</v>
      </c>
    </row>
    <row r="111" spans="2:19" x14ac:dyDescent="0.25">
      <c r="B111">
        <f>390+2*(Table146[[#This Row],[min value (corrected)]]-37)</f>
        <v>392</v>
      </c>
      <c r="C111">
        <f>MINUTE(Table146[[#This Row],[Corrected time]])</f>
        <v>38</v>
      </c>
      <c r="D111" s="1">
        <v>0.48512436342592596</v>
      </c>
      <c r="E111" s="1">
        <f>Table146[[#This Row],[Time]]-TIME(0,0,1)</f>
        <v>0.48511278935185187</v>
      </c>
      <c r="F111" t="s">
        <v>9</v>
      </c>
      <c r="G111">
        <v>-121</v>
      </c>
      <c r="H111">
        <f>Table146[[#This Row],[RSSI]]</f>
        <v>-121</v>
      </c>
      <c r="I111">
        <v>-7.2</v>
      </c>
      <c r="L111">
        <f>390+2*(Table257[[#This Row],[min value (corrected)]]-27)</f>
        <v>392</v>
      </c>
      <c r="M111">
        <f>MINUTE(Table257[[#This Row],[Corrected time]])</f>
        <v>28</v>
      </c>
      <c r="N111" s="1">
        <v>0.51975631944444445</v>
      </c>
      <c r="O111" s="1">
        <f>Table257[[#This Row],[Time]]-TIME(0,0,3)</f>
        <v>0.51972159722222222</v>
      </c>
      <c r="P111" t="s">
        <v>9</v>
      </c>
      <c r="Q111">
        <v>-121</v>
      </c>
      <c r="R111">
        <f>Table257[[#This Row],[RSSI]]</f>
        <v>-121</v>
      </c>
      <c r="S111">
        <v>-7.5</v>
      </c>
    </row>
    <row r="112" spans="2:19" x14ac:dyDescent="0.25">
      <c r="B112">
        <f>390+2*(Table146[[#This Row],[min value (corrected)]]-37)</f>
        <v>392</v>
      </c>
      <c r="C112">
        <f>MINUTE(Table146[[#This Row],[Corrected time]])</f>
        <v>38</v>
      </c>
      <c r="D112" s="1">
        <v>0.48513740740740746</v>
      </c>
      <c r="E112" s="1">
        <f>Table146[[#This Row],[Time]]-TIME(0,0,1)</f>
        <v>0.48512583333333337</v>
      </c>
      <c r="F112" t="s">
        <v>9</v>
      </c>
      <c r="G112">
        <v>-121</v>
      </c>
      <c r="H112">
        <f>Table146[[#This Row],[RSSI]]</f>
        <v>-121</v>
      </c>
      <c r="I112">
        <v>-8</v>
      </c>
      <c r="L112">
        <f>390+2*(Table257[[#This Row],[min value (corrected)]]-27)</f>
        <v>392</v>
      </c>
      <c r="M112">
        <f>MINUTE(Table257[[#This Row],[Corrected time]])</f>
        <v>28</v>
      </c>
      <c r="N112" s="1">
        <v>0.5197693518518518</v>
      </c>
      <c r="O112" s="1">
        <f>Table257[[#This Row],[Time]]-TIME(0,0,3)</f>
        <v>0.51973462962962957</v>
      </c>
      <c r="P112" t="s">
        <v>9</v>
      </c>
      <c r="Q112">
        <v>-121</v>
      </c>
      <c r="R112">
        <f>Table257[[#This Row],[RSSI]]</f>
        <v>-121</v>
      </c>
      <c r="S112">
        <v>-7.5</v>
      </c>
    </row>
    <row r="113" spans="2:19" x14ac:dyDescent="0.25">
      <c r="B113">
        <f>390+2*(Table146[[#This Row],[min value (corrected)]]-37)</f>
        <v>392</v>
      </c>
      <c r="C113">
        <f>MINUTE(Table146[[#This Row],[Corrected time]])</f>
        <v>38</v>
      </c>
      <c r="D113" s="1">
        <v>0.48515043981481482</v>
      </c>
      <c r="E113" s="1">
        <f>Table146[[#This Row],[Time]]-TIME(0,0,1)</f>
        <v>0.48513886574074072</v>
      </c>
      <c r="F113" t="s">
        <v>9</v>
      </c>
      <c r="G113">
        <v>-121</v>
      </c>
      <c r="H113">
        <f>Table146[[#This Row],[RSSI]]</f>
        <v>-121</v>
      </c>
      <c r="I113">
        <v>-7.7</v>
      </c>
      <c r="L113">
        <f>390+2*(Table257[[#This Row],[min value (corrected)]]-27)</f>
        <v>392</v>
      </c>
      <c r="M113">
        <f>MINUTE(Table257[[#This Row],[Corrected time]])</f>
        <v>28</v>
      </c>
      <c r="N113" s="1">
        <v>0.51978238425925927</v>
      </c>
      <c r="O113" s="1">
        <f>Table257[[#This Row],[Time]]-TIME(0,0,3)</f>
        <v>0.51974766203703704</v>
      </c>
      <c r="P113" t="s">
        <v>9</v>
      </c>
      <c r="Q113">
        <v>-121</v>
      </c>
      <c r="R113">
        <f>Table257[[#This Row],[RSSI]]</f>
        <v>-121</v>
      </c>
      <c r="S113">
        <v>-7.2</v>
      </c>
    </row>
    <row r="114" spans="2:19" x14ac:dyDescent="0.25">
      <c r="B114">
        <f>390+2*(Table146[[#This Row],[min value (corrected)]]-37)</f>
        <v>392</v>
      </c>
      <c r="C114">
        <f>MINUTE(Table146[[#This Row],[Corrected time]])</f>
        <v>38</v>
      </c>
      <c r="D114" s="1">
        <v>0.48516347222222228</v>
      </c>
      <c r="E114" s="1">
        <f>Table146[[#This Row],[Time]]-TIME(0,0,1)</f>
        <v>0.48515189814814819</v>
      </c>
      <c r="F114" t="s">
        <v>9</v>
      </c>
      <c r="G114">
        <v>-121</v>
      </c>
      <c r="H114">
        <f>Table146[[#This Row],[RSSI]]</f>
        <v>-121</v>
      </c>
      <c r="I114">
        <v>-7.5</v>
      </c>
      <c r="L114">
        <f>390+2*(Table257[[#This Row],[min value (corrected)]]-27)</f>
        <v>392</v>
      </c>
      <c r="M114">
        <f>MINUTE(Table257[[#This Row],[Corrected time]])</f>
        <v>28</v>
      </c>
      <c r="N114" s="1">
        <v>0.51979540509259259</v>
      </c>
      <c r="O114" s="1">
        <f>Table257[[#This Row],[Time]]-TIME(0,0,3)</f>
        <v>0.51976068287037036</v>
      </c>
      <c r="P114" t="s">
        <v>9</v>
      </c>
      <c r="Q114">
        <v>-121</v>
      </c>
      <c r="R114">
        <f>Table257[[#This Row],[RSSI]]</f>
        <v>-121</v>
      </c>
      <c r="S114">
        <v>-7.7</v>
      </c>
    </row>
    <row r="115" spans="2:19" x14ac:dyDescent="0.25">
      <c r="B115">
        <f>390+2*(Table146[[#This Row],[min value (corrected)]]-37)</f>
        <v>392</v>
      </c>
      <c r="C115">
        <f>MINUTE(Table146[[#This Row],[Corrected time]])</f>
        <v>38</v>
      </c>
      <c r="D115" s="1">
        <v>0.48517650462962963</v>
      </c>
      <c r="E115" s="1">
        <f>Table146[[#This Row],[Time]]-TIME(0,0,1)</f>
        <v>0.48516493055555554</v>
      </c>
      <c r="F115" t="s">
        <v>9</v>
      </c>
      <c r="G115">
        <v>-121</v>
      </c>
      <c r="H115">
        <f>Table146[[#This Row],[RSSI]]</f>
        <v>-121</v>
      </c>
      <c r="I115">
        <v>-7.7</v>
      </c>
      <c r="L115">
        <f>390+2*(Table257[[#This Row],[min value (corrected)]]-27)</f>
        <v>392</v>
      </c>
      <c r="M115">
        <f>MINUTE(Table257[[#This Row],[Corrected time]])</f>
        <v>28</v>
      </c>
      <c r="N115" s="1">
        <v>0.51980843750000005</v>
      </c>
      <c r="O115" s="1">
        <f>Table257[[#This Row],[Time]]-TIME(0,0,3)</f>
        <v>0.51977371527777783</v>
      </c>
      <c r="P115" t="s">
        <v>9</v>
      </c>
      <c r="Q115">
        <v>-121</v>
      </c>
      <c r="R115">
        <f>Table257[[#This Row],[RSSI]]</f>
        <v>-121</v>
      </c>
      <c r="S115">
        <v>-7.7</v>
      </c>
    </row>
    <row r="116" spans="2:19" x14ac:dyDescent="0.25">
      <c r="B116">
        <f>390+2*(Table146[[#This Row],[min value (corrected)]]-37)</f>
        <v>392</v>
      </c>
      <c r="C116">
        <f>MINUTE(Table146[[#This Row],[Corrected time]])</f>
        <v>38</v>
      </c>
      <c r="D116" s="1">
        <v>0.48518953703703699</v>
      </c>
      <c r="E116" s="1">
        <f>Table146[[#This Row],[Time]]-TIME(0,0,1)</f>
        <v>0.48517796296296289</v>
      </c>
      <c r="F116" t="s">
        <v>9</v>
      </c>
      <c r="G116">
        <v>-122</v>
      </c>
      <c r="H116">
        <f>Table146[[#This Row],[RSSI]]</f>
        <v>-122</v>
      </c>
      <c r="I116">
        <v>-8</v>
      </c>
      <c r="L116">
        <f>390+2*(Table257[[#This Row],[min value (corrected)]]-27)</f>
        <v>392</v>
      </c>
      <c r="M116">
        <f>MINUTE(Table257[[#This Row],[Corrected time]])</f>
        <v>28</v>
      </c>
      <c r="N116" s="1">
        <v>0.51982146990740741</v>
      </c>
      <c r="O116" s="1">
        <f>Table257[[#This Row],[Time]]-TIME(0,0,3)</f>
        <v>0.51978674768518518</v>
      </c>
      <c r="P116" t="s">
        <v>9</v>
      </c>
      <c r="Q116">
        <v>-121</v>
      </c>
      <c r="R116">
        <f>Table257[[#This Row],[RSSI]]</f>
        <v>-121</v>
      </c>
      <c r="S116">
        <v>-7.5</v>
      </c>
    </row>
    <row r="117" spans="2:19" x14ac:dyDescent="0.25">
      <c r="B117">
        <f>390+2*(Table146[[#This Row],[min value (corrected)]]-37)</f>
        <v>392</v>
      </c>
      <c r="C117">
        <f>MINUTE(Table146[[#This Row],[Corrected time]])</f>
        <v>38</v>
      </c>
      <c r="D117" s="1">
        <v>0.48520256944444445</v>
      </c>
      <c r="E117" s="1">
        <f>Table146[[#This Row],[Time]]-TIME(0,0,1)</f>
        <v>0.48519099537037036</v>
      </c>
      <c r="F117" t="s">
        <v>9</v>
      </c>
      <c r="G117">
        <v>-122</v>
      </c>
      <c r="H117">
        <f>Table146[[#This Row],[RSSI]]</f>
        <v>-122</v>
      </c>
      <c r="I117">
        <v>-8.3000000000000007</v>
      </c>
      <c r="L117">
        <f>390+2*(Table257[[#This Row],[min value (corrected)]]-27)</f>
        <v>392</v>
      </c>
      <c r="M117">
        <f>MINUTE(Table257[[#This Row],[Corrected time]])</f>
        <v>28</v>
      </c>
      <c r="N117" s="1">
        <v>0.5198345138888889</v>
      </c>
      <c r="O117" s="1">
        <f>Table257[[#This Row],[Time]]-TIME(0,0,3)</f>
        <v>0.51979979166666668</v>
      </c>
      <c r="P117" t="s">
        <v>9</v>
      </c>
      <c r="Q117">
        <v>-121</v>
      </c>
      <c r="R117">
        <f>Table257[[#This Row],[RSSI]]</f>
        <v>-121</v>
      </c>
      <c r="S117">
        <v>-7.5</v>
      </c>
    </row>
    <row r="118" spans="2:19" x14ac:dyDescent="0.25">
      <c r="B118">
        <f>390+2*(Table146[[#This Row],[min value (corrected)]]-37)</f>
        <v>392</v>
      </c>
      <c r="C118">
        <f>MINUTE(Table146[[#This Row],[Corrected time]])</f>
        <v>38</v>
      </c>
      <c r="D118" s="1">
        <v>0.48521560185185181</v>
      </c>
      <c r="E118" s="1">
        <f>Table146[[#This Row],[Time]]-TIME(0,0,1)</f>
        <v>0.48520402777777771</v>
      </c>
      <c r="F118" t="s">
        <v>9</v>
      </c>
      <c r="G118">
        <v>-121</v>
      </c>
      <c r="H118">
        <f>Table146[[#This Row],[RSSI]]</f>
        <v>-121</v>
      </c>
      <c r="I118">
        <v>-7.2</v>
      </c>
      <c r="L118">
        <f>390+2*(Table257[[#This Row],[min value (corrected)]]-27)</f>
        <v>392</v>
      </c>
      <c r="M118">
        <f>MINUTE(Table257[[#This Row],[Corrected time]])</f>
        <v>28</v>
      </c>
      <c r="N118" s="1">
        <v>0.51984753472222223</v>
      </c>
      <c r="O118" s="1">
        <f>Table257[[#This Row],[Time]]-TIME(0,0,3)</f>
        <v>0.5198128125</v>
      </c>
      <c r="P118" t="s">
        <v>9</v>
      </c>
      <c r="Q118">
        <v>-122</v>
      </c>
      <c r="R118">
        <f>Table257[[#This Row],[RSSI]]</f>
        <v>-122</v>
      </c>
      <c r="S118">
        <v>-8</v>
      </c>
    </row>
    <row r="119" spans="2:19" x14ac:dyDescent="0.25">
      <c r="B119">
        <f>390+2*(Table146[[#This Row],[min value (corrected)]]-37)</f>
        <v>392</v>
      </c>
      <c r="C119">
        <f>MINUTE(Table146[[#This Row],[Corrected time]])</f>
        <v>38</v>
      </c>
      <c r="D119" s="1">
        <v>0.48522863425925927</v>
      </c>
      <c r="E119" s="1">
        <f>Table146[[#This Row],[Time]]-TIME(0,0,1)</f>
        <v>0.48521706018518518</v>
      </c>
      <c r="F119" t="s">
        <v>9</v>
      </c>
      <c r="G119">
        <v>-121</v>
      </c>
      <c r="H119">
        <f>Table146[[#This Row],[RSSI]]</f>
        <v>-121</v>
      </c>
      <c r="I119">
        <v>-8</v>
      </c>
      <c r="L119">
        <f>390+2*(Table257[[#This Row],[min value (corrected)]]-27)</f>
        <v>392</v>
      </c>
      <c r="M119">
        <f>MINUTE(Table257[[#This Row],[Corrected time]])</f>
        <v>28</v>
      </c>
      <c r="N119" s="1">
        <v>0.51986056712962969</v>
      </c>
      <c r="O119" s="1">
        <f>Table257[[#This Row],[Time]]-TIME(0,0,3)</f>
        <v>0.51982584490740746</v>
      </c>
      <c r="P119" t="s">
        <v>9</v>
      </c>
      <c r="Q119">
        <v>-121</v>
      </c>
      <c r="R119">
        <f>Table257[[#This Row],[RSSI]]</f>
        <v>-121</v>
      </c>
      <c r="S119">
        <v>-7.5</v>
      </c>
    </row>
    <row r="120" spans="2:19" x14ac:dyDescent="0.25">
      <c r="B120">
        <f>390+2*(Table146[[#This Row],[min value (corrected)]]-37)</f>
        <v>392</v>
      </c>
      <c r="C120">
        <f>MINUTE(Table146[[#This Row],[Corrected time]])</f>
        <v>38</v>
      </c>
      <c r="D120" s="1">
        <v>0.48524166666666663</v>
      </c>
      <c r="E120" s="1">
        <f>Table146[[#This Row],[Time]]-TIME(0,0,1)</f>
        <v>0.48523009259259253</v>
      </c>
      <c r="F120" t="s">
        <v>9</v>
      </c>
      <c r="G120">
        <v>-121</v>
      </c>
      <c r="H120">
        <f>Table146[[#This Row],[RSSI]]</f>
        <v>-121</v>
      </c>
      <c r="I120">
        <v>-8</v>
      </c>
      <c r="L120">
        <f>390+2*(Table257[[#This Row],[min value (corrected)]]-27)</f>
        <v>392</v>
      </c>
      <c r="M120">
        <f>MINUTE(Table257[[#This Row],[Corrected time]])</f>
        <v>28</v>
      </c>
      <c r="N120" s="1">
        <v>0.51987359953703705</v>
      </c>
      <c r="O120" s="1">
        <f>Table257[[#This Row],[Time]]-TIME(0,0,3)</f>
        <v>0.51983887731481482</v>
      </c>
      <c r="P120" t="s">
        <v>9</v>
      </c>
      <c r="Q120">
        <v>-121</v>
      </c>
      <c r="R120">
        <f>Table257[[#This Row],[RSSI]]</f>
        <v>-121</v>
      </c>
      <c r="S120">
        <v>-7.5</v>
      </c>
    </row>
    <row r="121" spans="2:19" x14ac:dyDescent="0.25">
      <c r="B121">
        <f>390+2*(Table146[[#This Row],[min value (corrected)]]-37)</f>
        <v>392</v>
      </c>
      <c r="C121">
        <f>MINUTE(Table146[[#This Row],[Corrected time]])</f>
        <v>38</v>
      </c>
      <c r="D121" s="1">
        <v>0.48525469907407409</v>
      </c>
      <c r="E121" s="1">
        <f>Table146[[#This Row],[Time]]-TIME(0,0,1)</f>
        <v>0.485243125</v>
      </c>
      <c r="F121" t="s">
        <v>9</v>
      </c>
      <c r="G121">
        <v>-121</v>
      </c>
      <c r="H121">
        <f>Table146[[#This Row],[RSSI]]</f>
        <v>-121</v>
      </c>
      <c r="I121">
        <v>-7.7</v>
      </c>
      <c r="L121">
        <f>390+2*(Table257[[#This Row],[min value (corrected)]]-27)</f>
        <v>392</v>
      </c>
      <c r="M121">
        <f>MINUTE(Table257[[#This Row],[Corrected time]])</f>
        <v>28</v>
      </c>
      <c r="N121" s="1">
        <v>0.51988664351851854</v>
      </c>
      <c r="O121" s="1">
        <f>Table257[[#This Row],[Time]]-TIME(0,0,3)</f>
        <v>0.51985192129629632</v>
      </c>
      <c r="P121" t="s">
        <v>9</v>
      </c>
      <c r="Q121">
        <v>-121</v>
      </c>
      <c r="R121">
        <f>Table257[[#This Row],[RSSI]]</f>
        <v>-121</v>
      </c>
      <c r="S121">
        <v>-7.5</v>
      </c>
    </row>
    <row r="122" spans="2:19" x14ac:dyDescent="0.25">
      <c r="B122">
        <f>390+2*(Table146[[#This Row],[min value (corrected)]]-37)</f>
        <v>392</v>
      </c>
      <c r="C122">
        <f>MINUTE(Table146[[#This Row],[Corrected time]])</f>
        <v>38</v>
      </c>
      <c r="D122" s="1">
        <v>0.48526773148148145</v>
      </c>
      <c r="E122" s="1">
        <f>Table146[[#This Row],[Time]]-TIME(0,0,1)</f>
        <v>0.48525615740740735</v>
      </c>
      <c r="F122" t="s">
        <v>9</v>
      </c>
      <c r="G122">
        <v>-120</v>
      </c>
      <c r="H122">
        <f>Table146[[#This Row],[RSSI]]</f>
        <v>-120</v>
      </c>
      <c r="I122">
        <v>-8</v>
      </c>
      <c r="L122">
        <f>390+2*(Table257[[#This Row],[min value (corrected)]]-27)</f>
        <v>392</v>
      </c>
      <c r="M122">
        <f>MINUTE(Table257[[#This Row],[Corrected time]])</f>
        <v>28</v>
      </c>
      <c r="N122" s="1">
        <v>0.51989966435185186</v>
      </c>
      <c r="O122" s="1">
        <f>Table257[[#This Row],[Time]]-TIME(0,0,3)</f>
        <v>0.51986494212962964</v>
      </c>
      <c r="P122" t="s">
        <v>9</v>
      </c>
      <c r="Q122">
        <v>-121</v>
      </c>
      <c r="R122">
        <f>Table257[[#This Row],[RSSI]]</f>
        <v>-121</v>
      </c>
      <c r="S122">
        <v>-7</v>
      </c>
    </row>
    <row r="123" spans="2:19" x14ac:dyDescent="0.25">
      <c r="B123">
        <f>390+2*(Table146[[#This Row],[min value (corrected)]]-37)</f>
        <v>392</v>
      </c>
      <c r="C123">
        <f>MINUTE(Table146[[#This Row],[Corrected time]])</f>
        <v>38</v>
      </c>
      <c r="D123" s="1">
        <v>0.48528076388888891</v>
      </c>
      <c r="E123" s="1">
        <f>Table146[[#This Row],[Time]]-TIME(0,0,1)</f>
        <v>0.48526918981481482</v>
      </c>
      <c r="F123" t="s">
        <v>9</v>
      </c>
      <c r="G123">
        <v>-121</v>
      </c>
      <c r="H123">
        <f>Table146[[#This Row],[RSSI]]</f>
        <v>-121</v>
      </c>
      <c r="I123">
        <v>-7.5</v>
      </c>
      <c r="L123">
        <f>390+2*(Table257[[#This Row],[min value (corrected)]]-27)</f>
        <v>392</v>
      </c>
      <c r="M123">
        <f>MINUTE(Table257[[#This Row],[Corrected time]])</f>
        <v>28</v>
      </c>
      <c r="N123" s="1">
        <v>0.51991269675925933</v>
      </c>
      <c r="O123" s="1">
        <f>Table257[[#This Row],[Time]]-TIME(0,0,3)</f>
        <v>0.5198779745370371</v>
      </c>
      <c r="P123" t="s">
        <v>9</v>
      </c>
      <c r="Q123">
        <v>-121</v>
      </c>
      <c r="R123">
        <f>Table257[[#This Row],[RSSI]]</f>
        <v>-121</v>
      </c>
      <c r="S123">
        <v>-7.7</v>
      </c>
    </row>
    <row r="124" spans="2:19" x14ac:dyDescent="0.25">
      <c r="B124">
        <f>390+2*(Table146[[#This Row],[min value (corrected)]]-37)</f>
        <v>392</v>
      </c>
      <c r="C124">
        <f>MINUTE(Table146[[#This Row],[Corrected time]])</f>
        <v>38</v>
      </c>
      <c r="D124" s="1">
        <v>0.48529379629629626</v>
      </c>
      <c r="E124" s="1">
        <f>Table146[[#This Row],[Time]]-TIME(0,0,1)</f>
        <v>0.48528222222222217</v>
      </c>
      <c r="F124" t="s">
        <v>9</v>
      </c>
      <c r="G124">
        <v>-122</v>
      </c>
      <c r="H124">
        <f>Table146[[#This Row],[RSSI]]</f>
        <v>-122</v>
      </c>
      <c r="I124">
        <v>-8</v>
      </c>
      <c r="L124">
        <f>390+2*(Table257[[#This Row],[min value (corrected)]]-27)</f>
        <v>392</v>
      </c>
      <c r="M124">
        <f>MINUTE(Table257[[#This Row],[Corrected time]])</f>
        <v>28</v>
      </c>
      <c r="N124" s="1">
        <v>0.51992572916666668</v>
      </c>
      <c r="O124" s="1">
        <f>Table257[[#This Row],[Time]]-TIME(0,0,3)</f>
        <v>0.51989100694444446</v>
      </c>
      <c r="P124" t="s">
        <v>9</v>
      </c>
      <c r="Q124">
        <v>-121</v>
      </c>
      <c r="R124">
        <f>Table257[[#This Row],[RSSI]]</f>
        <v>-121</v>
      </c>
      <c r="S124">
        <v>-7.2</v>
      </c>
    </row>
    <row r="125" spans="2:19" x14ac:dyDescent="0.25">
      <c r="B125">
        <f>390+2*(Table146[[#This Row],[min value (corrected)]]-37)</f>
        <v>392</v>
      </c>
      <c r="C125">
        <f>MINUTE(Table146[[#This Row],[Corrected time]])</f>
        <v>38</v>
      </c>
      <c r="D125" s="1">
        <v>0.48530682870370373</v>
      </c>
      <c r="E125" s="1">
        <f>Table146[[#This Row],[Time]]-TIME(0,0,1)</f>
        <v>0.48529525462962964</v>
      </c>
      <c r="F125" t="s">
        <v>9</v>
      </c>
      <c r="G125">
        <v>-121</v>
      </c>
      <c r="H125">
        <f>Table146[[#This Row],[RSSI]]</f>
        <v>-121</v>
      </c>
      <c r="I125">
        <v>-7.5</v>
      </c>
      <c r="L125">
        <f>390+2*(Table257[[#This Row],[min value (corrected)]]-27)</f>
        <v>392</v>
      </c>
      <c r="M125">
        <f>MINUTE(Table257[[#This Row],[Corrected time]])</f>
        <v>28</v>
      </c>
      <c r="N125" s="1">
        <v>0.51993876157407415</v>
      </c>
      <c r="O125" s="1">
        <f>Table257[[#This Row],[Time]]-TIME(0,0,3)</f>
        <v>0.51990403935185192</v>
      </c>
      <c r="P125" t="s">
        <v>13</v>
      </c>
      <c r="Q125">
        <f>Q124</f>
        <v>-121</v>
      </c>
      <c r="R125">
        <f>Table257[[#This Row],[RSSI]]</f>
        <v>-121</v>
      </c>
      <c r="S125">
        <f>S124</f>
        <v>-7.2</v>
      </c>
    </row>
    <row r="126" spans="2:19" x14ac:dyDescent="0.25">
      <c r="B126">
        <f>390+2*(Table146[[#This Row],[min value (corrected)]]-37)</f>
        <v>392</v>
      </c>
      <c r="C126">
        <f>MINUTE(Table146[[#This Row],[Corrected time]])</f>
        <v>38</v>
      </c>
      <c r="D126" s="1">
        <v>0.48531986111111108</v>
      </c>
      <c r="E126" s="1">
        <f>Table146[[#This Row],[Time]]-TIME(0,0,1)</f>
        <v>0.48530828703703699</v>
      </c>
      <c r="F126" t="s">
        <v>9</v>
      </c>
      <c r="G126">
        <v>-121</v>
      </c>
      <c r="H126">
        <f>Table146[[#This Row],[RSSI]]</f>
        <v>-121</v>
      </c>
      <c r="I126">
        <v>-7.5</v>
      </c>
      <c r="L126">
        <f>390+2*(Table257[[#This Row],[min value (corrected)]]-27)</f>
        <v>392</v>
      </c>
      <c r="M126">
        <f>MINUTE(Table257[[#This Row],[Corrected time]])</f>
        <v>28</v>
      </c>
      <c r="N126" s="1">
        <v>0.51995180555555554</v>
      </c>
      <c r="O126" s="1">
        <f>Table257[[#This Row],[Time]]-TIME(0,0,3)</f>
        <v>0.51991708333333331</v>
      </c>
      <c r="P126" t="s">
        <v>9</v>
      </c>
      <c r="Q126">
        <v>-121</v>
      </c>
      <c r="R126">
        <f>Table257[[#This Row],[RSSI]]</f>
        <v>-121</v>
      </c>
      <c r="S126">
        <v>-7.5</v>
      </c>
    </row>
    <row r="127" spans="2:19" x14ac:dyDescent="0.25">
      <c r="B127">
        <f>390+2*(Table146[[#This Row],[min value (corrected)]]-37)</f>
        <v>392</v>
      </c>
      <c r="C127">
        <f>MINUTE(Table146[[#This Row],[Corrected time]])</f>
        <v>38</v>
      </c>
      <c r="D127" s="1">
        <v>0.48533289351851855</v>
      </c>
      <c r="E127" s="1">
        <f>Table146[[#This Row],[Time]]-TIME(0,0,1)</f>
        <v>0.48532131944444445</v>
      </c>
      <c r="F127" t="s">
        <v>9</v>
      </c>
      <c r="G127">
        <v>-121</v>
      </c>
      <c r="H127">
        <f>Table146[[#This Row],[RSSI]]</f>
        <v>-121</v>
      </c>
      <c r="I127">
        <v>-7.5</v>
      </c>
      <c r="L127">
        <f>390+2*(Table257[[#This Row],[min value (corrected)]]-27)</f>
        <v>392</v>
      </c>
      <c r="M127">
        <f>MINUTE(Table257[[#This Row],[Corrected time]])</f>
        <v>28</v>
      </c>
      <c r="N127" s="1">
        <v>0.519964837962963</v>
      </c>
      <c r="O127" s="1">
        <f>Table257[[#This Row],[Time]]-TIME(0,0,3)</f>
        <v>0.51993011574074077</v>
      </c>
      <c r="P127" t="s">
        <v>9</v>
      </c>
      <c r="Q127">
        <v>-121</v>
      </c>
      <c r="R127">
        <f>Table257[[#This Row],[RSSI]]</f>
        <v>-121</v>
      </c>
      <c r="S127">
        <v>-7.7</v>
      </c>
    </row>
    <row r="128" spans="2:19" x14ac:dyDescent="0.25">
      <c r="B128">
        <f>390+2*(Table146[[#This Row],[min value (corrected)]]-37)</f>
        <v>392</v>
      </c>
      <c r="C128">
        <f>MINUTE(Table146[[#This Row],[Corrected time]])</f>
        <v>38</v>
      </c>
      <c r="D128" s="1">
        <v>0.4853459259259259</v>
      </c>
      <c r="E128" s="1">
        <f>Table146[[#This Row],[Time]]-TIME(0,0,1)</f>
        <v>0.48533435185185181</v>
      </c>
      <c r="F128" t="s">
        <v>9</v>
      </c>
      <c r="G128">
        <v>-121</v>
      </c>
      <c r="H128">
        <f>Table146[[#This Row],[RSSI]]</f>
        <v>-121</v>
      </c>
      <c r="I128">
        <v>-7.7</v>
      </c>
      <c r="L128">
        <f>390+2*(Table257[[#This Row],[min value (corrected)]]-27)</f>
        <v>392</v>
      </c>
      <c r="M128">
        <f>MINUTE(Table257[[#This Row],[Corrected time]])</f>
        <v>28</v>
      </c>
      <c r="N128" s="1">
        <v>0.51997787037037035</v>
      </c>
      <c r="O128" s="1">
        <f>Table257[[#This Row],[Time]]-TIME(0,0,3)</f>
        <v>0.51994314814814813</v>
      </c>
      <c r="P128" t="s">
        <v>9</v>
      </c>
      <c r="Q128">
        <v>-121</v>
      </c>
      <c r="R128">
        <f>Table257[[#This Row],[RSSI]]</f>
        <v>-121</v>
      </c>
      <c r="S128">
        <v>-7.7</v>
      </c>
    </row>
    <row r="129" spans="2:19" x14ac:dyDescent="0.25">
      <c r="B129">
        <f>390+2*(Table146[[#This Row],[min value (corrected)]]-37)</f>
        <v>392</v>
      </c>
      <c r="C129">
        <f>MINUTE(Table146[[#This Row],[Corrected time]])</f>
        <v>38</v>
      </c>
      <c r="D129" s="1">
        <v>0.48535895833333337</v>
      </c>
      <c r="E129" s="1">
        <f>Table146[[#This Row],[Time]]-TIME(0,0,1)</f>
        <v>0.48534738425925927</v>
      </c>
      <c r="F129" t="s">
        <v>9</v>
      </c>
      <c r="G129">
        <v>-121</v>
      </c>
      <c r="H129">
        <f>Table146[[#This Row],[RSSI]]</f>
        <v>-121</v>
      </c>
      <c r="I129">
        <v>-7.5</v>
      </c>
      <c r="L129">
        <f>390+2*(Table257[[#This Row],[min value (corrected)]]-27)</f>
        <v>392</v>
      </c>
      <c r="M129">
        <f>MINUTE(Table257[[#This Row],[Corrected time]])</f>
        <v>28</v>
      </c>
      <c r="N129" s="1">
        <v>0.51999090277777782</v>
      </c>
      <c r="O129" s="1">
        <f>Table257[[#This Row],[Time]]-TIME(0,0,3)</f>
        <v>0.51995618055555559</v>
      </c>
      <c r="P129" t="s">
        <v>9</v>
      </c>
      <c r="Q129">
        <v>-122</v>
      </c>
      <c r="R129">
        <f>Table257[[#This Row],[RSSI]]</f>
        <v>-122</v>
      </c>
      <c r="S129">
        <v>-7.7</v>
      </c>
    </row>
    <row r="130" spans="2:19" x14ac:dyDescent="0.25">
      <c r="B130">
        <f>390+2*(Table146[[#This Row],[min value (corrected)]]-37)</f>
        <v>392</v>
      </c>
      <c r="C130">
        <f>MINUTE(Table146[[#This Row],[Corrected time]])</f>
        <v>38</v>
      </c>
      <c r="D130" s="1">
        <v>0.48537197916666669</v>
      </c>
      <c r="E130" s="1">
        <f>Table146[[#This Row],[Time]]-TIME(0,0,1)</f>
        <v>0.4853604050925926</v>
      </c>
      <c r="F130" t="s">
        <v>9</v>
      </c>
      <c r="G130">
        <v>-122</v>
      </c>
      <c r="H130">
        <f>Table146[[#This Row],[RSSI]]</f>
        <v>-122</v>
      </c>
      <c r="I130">
        <v>-8</v>
      </c>
      <c r="L130">
        <f>390+2*(Table257[[#This Row],[min value (corrected)]]-27)</f>
        <v>392</v>
      </c>
      <c r="M130">
        <f>MINUTE(Table257[[#This Row],[Corrected time]])</f>
        <v>28</v>
      </c>
      <c r="N130" s="1">
        <v>0.52000392361111114</v>
      </c>
      <c r="O130" s="1">
        <f>Table257[[#This Row],[Time]]-TIME(0,0,3)</f>
        <v>0.51996920138888891</v>
      </c>
      <c r="P130" t="s">
        <v>9</v>
      </c>
      <c r="Q130">
        <v>-122</v>
      </c>
      <c r="R130">
        <f>Table257[[#This Row],[RSSI]]</f>
        <v>-122</v>
      </c>
      <c r="S130">
        <v>-7.7</v>
      </c>
    </row>
    <row r="131" spans="2:19" x14ac:dyDescent="0.25">
      <c r="B131">
        <f>390+2*(Table146[[#This Row],[min value (corrected)]]-37)</f>
        <v>392</v>
      </c>
      <c r="C131">
        <f>MINUTE(Table146[[#This Row],[Corrected time]])</f>
        <v>38</v>
      </c>
      <c r="D131" s="1">
        <v>0.48538502314814819</v>
      </c>
      <c r="E131" s="1">
        <f>Table146[[#This Row],[Time]]-TIME(0,0,1)</f>
        <v>0.48537344907407409</v>
      </c>
      <c r="F131" t="s">
        <v>13</v>
      </c>
      <c r="G131">
        <f>G130</f>
        <v>-122</v>
      </c>
      <c r="H131">
        <f>Table146[[#This Row],[RSSI]]</f>
        <v>-122</v>
      </c>
      <c r="I131">
        <f>I130</f>
        <v>-8</v>
      </c>
      <c r="L131">
        <f>390+2*(Table257[[#This Row],[min value (corrected)]]-27)</f>
        <v>392</v>
      </c>
      <c r="M131">
        <f>MINUTE(Table257[[#This Row],[Corrected time]])</f>
        <v>28</v>
      </c>
      <c r="N131" s="1">
        <v>0.52001695601851849</v>
      </c>
      <c r="O131" s="1">
        <f>Table257[[#This Row],[Time]]-TIME(0,0,3)</f>
        <v>0.51998223379629627</v>
      </c>
      <c r="P131" t="s">
        <v>9</v>
      </c>
      <c r="Q131">
        <v>-121</v>
      </c>
      <c r="R131">
        <f>Table257[[#This Row],[RSSI]]</f>
        <v>-121</v>
      </c>
      <c r="S131">
        <v>-7.2</v>
      </c>
    </row>
    <row r="132" spans="2:19" x14ac:dyDescent="0.25">
      <c r="B132">
        <f>390+2*(Table146[[#This Row],[min value (corrected)]]-37)</f>
        <v>392</v>
      </c>
      <c r="C132">
        <f>MINUTE(Table146[[#This Row],[Corrected time]])</f>
        <v>38</v>
      </c>
      <c r="D132" s="1">
        <v>0.48539804398148151</v>
      </c>
      <c r="E132" s="1">
        <f>Table146[[#This Row],[Time]]-TIME(0,0,1)</f>
        <v>0.48538646990740741</v>
      </c>
      <c r="F132" t="s">
        <v>9</v>
      </c>
      <c r="G132">
        <v>-121</v>
      </c>
      <c r="H132">
        <f>Table146[[#This Row],[RSSI]]</f>
        <v>-121</v>
      </c>
      <c r="I132">
        <v>-8.3000000000000007</v>
      </c>
      <c r="L132">
        <f>390+2*(Table257[[#This Row],[min value (corrected)]]-27)</f>
        <v>392</v>
      </c>
      <c r="M132">
        <f>MINUTE(Table257[[#This Row],[Corrected time]])</f>
        <v>28</v>
      </c>
      <c r="N132" s="1">
        <v>0.52002999999999999</v>
      </c>
      <c r="O132" s="1">
        <f>Table257[[#This Row],[Time]]-TIME(0,0,3)</f>
        <v>0.51999527777777776</v>
      </c>
      <c r="P132" t="s">
        <v>9</v>
      </c>
      <c r="Q132">
        <v>-121</v>
      </c>
      <c r="R132">
        <f>Table257[[#This Row],[RSSI]]</f>
        <v>-121</v>
      </c>
      <c r="S132">
        <v>-7.7</v>
      </c>
    </row>
    <row r="133" spans="2:19" x14ac:dyDescent="0.25">
      <c r="B133">
        <f>390+2*(Table146[[#This Row],[min value (corrected)]]-37)</f>
        <v>392</v>
      </c>
      <c r="C133">
        <f>MINUTE(Table146[[#This Row],[Corrected time]])</f>
        <v>38</v>
      </c>
      <c r="D133" s="1">
        <v>0.48541108796296289</v>
      </c>
      <c r="E133" s="1">
        <f>Table146[[#This Row],[Time]]-TIME(0,0,1)</f>
        <v>0.4853995138888888</v>
      </c>
      <c r="F133" t="s">
        <v>9</v>
      </c>
      <c r="G133">
        <v>-121</v>
      </c>
      <c r="H133">
        <f>Table146[[#This Row],[RSSI]]</f>
        <v>-121</v>
      </c>
      <c r="I133">
        <v>-8</v>
      </c>
      <c r="L133">
        <f>390+2*(Table257[[#This Row],[min value (corrected)]]-27)</f>
        <v>392</v>
      </c>
      <c r="M133">
        <f>MINUTE(Table257[[#This Row],[Corrected time]])</f>
        <v>28</v>
      </c>
      <c r="N133" s="1">
        <v>0.52004303240740746</v>
      </c>
      <c r="O133" s="1">
        <f>Table257[[#This Row],[Time]]-TIME(0,0,3)</f>
        <v>0.52000831018518523</v>
      </c>
      <c r="P133" t="s">
        <v>9</v>
      </c>
      <c r="Q133">
        <v>-121</v>
      </c>
      <c r="R133">
        <f>Table257[[#This Row],[RSSI]]</f>
        <v>-121</v>
      </c>
      <c r="S133">
        <v>-7.5</v>
      </c>
    </row>
    <row r="134" spans="2:19" x14ac:dyDescent="0.25">
      <c r="B134">
        <f>390+2*(Table146[[#This Row],[min value (corrected)]]-37)</f>
        <v>394</v>
      </c>
      <c r="C134">
        <f>MINUTE(Table146[[#This Row],[Corrected time]])</f>
        <v>39</v>
      </c>
      <c r="D134" s="1">
        <v>0.48542412037037036</v>
      </c>
      <c r="E134" s="1">
        <f>Table146[[#This Row],[Time]]-TIME(0,0,1)</f>
        <v>0.48541254629629627</v>
      </c>
      <c r="F134" t="s">
        <v>9</v>
      </c>
      <c r="G134">
        <v>-121</v>
      </c>
      <c r="H134">
        <f>Table146[[#This Row],[RSSI]]</f>
        <v>-121</v>
      </c>
      <c r="I134">
        <v>-7.5</v>
      </c>
      <c r="L134">
        <f>390+2*(Table257[[#This Row],[min value (corrected)]]-27)</f>
        <v>392</v>
      </c>
      <c r="M134">
        <f>MINUTE(Table257[[#This Row],[Corrected time]])</f>
        <v>28</v>
      </c>
      <c r="N134" s="1">
        <v>0.52005606481481481</v>
      </c>
      <c r="O134" s="1">
        <f>Table257[[#This Row],[Time]]-TIME(0,0,3)</f>
        <v>0.52002134259259258</v>
      </c>
      <c r="P134" t="s">
        <v>9</v>
      </c>
      <c r="Q134">
        <v>-121</v>
      </c>
      <c r="R134">
        <f>Table257[[#This Row],[RSSI]]</f>
        <v>-121</v>
      </c>
      <c r="S134">
        <v>-7.5</v>
      </c>
    </row>
    <row r="135" spans="2:19" x14ac:dyDescent="0.25">
      <c r="B135">
        <f>390+2*(Table146[[#This Row],[min value (corrected)]]-37)</f>
        <v>394</v>
      </c>
      <c r="C135">
        <f>MINUTE(Table146[[#This Row],[Corrected time]])</f>
        <v>39</v>
      </c>
      <c r="D135" s="1">
        <v>0.48543715277777771</v>
      </c>
      <c r="E135" s="1">
        <f>Table146[[#This Row],[Time]]-TIME(0,0,1)</f>
        <v>0.48542557870370362</v>
      </c>
      <c r="F135" t="s">
        <v>9</v>
      </c>
      <c r="G135">
        <v>-122</v>
      </c>
      <c r="H135">
        <f>Table146[[#This Row],[RSSI]]</f>
        <v>-122</v>
      </c>
      <c r="I135">
        <v>-8.3000000000000007</v>
      </c>
      <c r="L135">
        <f>390+2*(Table257[[#This Row],[min value (corrected)]]-27)</f>
        <v>392</v>
      </c>
      <c r="M135">
        <f>MINUTE(Table257[[#This Row],[Corrected time]])</f>
        <v>28</v>
      </c>
      <c r="N135" s="1">
        <v>0.52006909722222228</v>
      </c>
      <c r="O135" s="1">
        <f>Table257[[#This Row],[Time]]-TIME(0,0,3)</f>
        <v>0.52003437500000005</v>
      </c>
      <c r="P135" t="s">
        <v>9</v>
      </c>
      <c r="Q135">
        <v>-122</v>
      </c>
      <c r="R135">
        <f>Table257[[#This Row],[RSSI]]</f>
        <v>-122</v>
      </c>
      <c r="S135">
        <v>-8</v>
      </c>
    </row>
    <row r="136" spans="2:19" x14ac:dyDescent="0.25">
      <c r="B136">
        <f>390+2*(Table146[[#This Row],[min value (corrected)]]-37)</f>
        <v>394</v>
      </c>
      <c r="C136">
        <f>MINUTE(Table146[[#This Row],[Corrected time]])</f>
        <v>39</v>
      </c>
      <c r="D136" s="1">
        <v>0.48545018518518518</v>
      </c>
      <c r="E136" s="1">
        <f>Table146[[#This Row],[Time]]-TIME(0,0,1)</f>
        <v>0.48543861111111108</v>
      </c>
      <c r="F136" t="s">
        <v>13</v>
      </c>
      <c r="G136">
        <f>G135</f>
        <v>-122</v>
      </c>
      <c r="H136">
        <f>Table146[[#This Row],[RSSI]]</f>
        <v>-122</v>
      </c>
      <c r="I136">
        <f>I135</f>
        <v>-8.3000000000000007</v>
      </c>
      <c r="L136">
        <f>390+2*(Table257[[#This Row],[min value (corrected)]]-27)</f>
        <v>392</v>
      </c>
      <c r="M136">
        <f>MINUTE(Table257[[#This Row],[Corrected time]])</f>
        <v>28</v>
      </c>
      <c r="N136" s="1">
        <v>0.52008212962962963</v>
      </c>
      <c r="O136" s="1">
        <f>Table257[[#This Row],[Time]]-TIME(0,0,3)</f>
        <v>0.5200474074074074</v>
      </c>
      <c r="P136" t="s">
        <v>9</v>
      </c>
      <c r="Q136">
        <v>-121</v>
      </c>
      <c r="R136">
        <f>Table257[[#This Row],[RSSI]]</f>
        <v>-121</v>
      </c>
      <c r="S136">
        <v>-7.7</v>
      </c>
    </row>
    <row r="137" spans="2:19" x14ac:dyDescent="0.25">
      <c r="B137">
        <f>390+2*(Table146[[#This Row],[min value (corrected)]]-37)</f>
        <v>394</v>
      </c>
      <c r="C137">
        <f>MINUTE(Table146[[#This Row],[Corrected time]])</f>
        <v>39</v>
      </c>
      <c r="D137" s="1">
        <v>0.48546321759259253</v>
      </c>
      <c r="E137" s="1">
        <f>Table146[[#This Row],[Time]]-TIME(0,0,1)</f>
        <v>0.48545164351851844</v>
      </c>
      <c r="F137" t="s">
        <v>9</v>
      </c>
      <c r="G137">
        <v>-121</v>
      </c>
      <c r="H137">
        <f>Table146[[#This Row],[RSSI]]</f>
        <v>-121</v>
      </c>
      <c r="I137">
        <v>-7.5</v>
      </c>
      <c r="L137">
        <f>390+2*(Table257[[#This Row],[min value (corrected)]]-27)</f>
        <v>392</v>
      </c>
      <c r="M137">
        <f>MINUTE(Table257[[#This Row],[Corrected time]])</f>
        <v>28</v>
      </c>
      <c r="N137" s="1">
        <v>0.5200951620370371</v>
      </c>
      <c r="O137" s="1">
        <f>Table257[[#This Row],[Time]]-TIME(0,0,3)</f>
        <v>0.52006043981481487</v>
      </c>
      <c r="P137" t="s">
        <v>9</v>
      </c>
      <c r="Q137">
        <v>-121</v>
      </c>
      <c r="R137">
        <f>Table257[[#This Row],[RSSI]]</f>
        <v>-121</v>
      </c>
      <c r="S137">
        <v>-7.5</v>
      </c>
    </row>
    <row r="138" spans="2:19" x14ac:dyDescent="0.25">
      <c r="B138">
        <f>390+2*(Table146[[#This Row],[min value (corrected)]]-37)</f>
        <v>394</v>
      </c>
      <c r="C138">
        <f>MINUTE(Table146[[#This Row],[Corrected time]])</f>
        <v>39</v>
      </c>
      <c r="D138" s="1">
        <v>0.48547625</v>
      </c>
      <c r="E138" s="1">
        <f>Table146[[#This Row],[Time]]-TIME(0,0,1)</f>
        <v>0.4854646759259259</v>
      </c>
      <c r="F138" t="s">
        <v>9</v>
      </c>
      <c r="G138">
        <v>-122</v>
      </c>
      <c r="H138">
        <f>Table146[[#This Row],[RSSI]]</f>
        <v>-122</v>
      </c>
      <c r="I138">
        <v>-8.3000000000000007</v>
      </c>
      <c r="L138">
        <f>390+2*(Table257[[#This Row],[min value (corrected)]]-27)</f>
        <v>392</v>
      </c>
      <c r="M138">
        <f>MINUTE(Table257[[#This Row],[Corrected time]])</f>
        <v>28</v>
      </c>
      <c r="N138" s="1">
        <v>0.52010817129629627</v>
      </c>
      <c r="O138" s="1">
        <f>Table257[[#This Row],[Time]]-TIME(0,0,3)</f>
        <v>0.52007344907407405</v>
      </c>
      <c r="P138" t="s">
        <v>9</v>
      </c>
      <c r="Q138">
        <v>-121</v>
      </c>
      <c r="R138">
        <f>Table257[[#This Row],[RSSI]]</f>
        <v>-121</v>
      </c>
      <c r="S138">
        <v>-8</v>
      </c>
    </row>
    <row r="139" spans="2:19" x14ac:dyDescent="0.25">
      <c r="B139">
        <f>390+2*(Table146[[#This Row],[min value (corrected)]]-37)</f>
        <v>394</v>
      </c>
      <c r="C139">
        <f>MINUTE(Table146[[#This Row],[Corrected time]])</f>
        <v>39</v>
      </c>
      <c r="D139" s="1">
        <v>0.48548928240740735</v>
      </c>
      <c r="E139" s="1">
        <f>Table146[[#This Row],[Time]]-TIME(0,0,1)</f>
        <v>0.48547770833333326</v>
      </c>
      <c r="F139" t="s">
        <v>13</v>
      </c>
      <c r="G139">
        <f>G138</f>
        <v>-122</v>
      </c>
      <c r="H139">
        <f>Table146[[#This Row],[RSSI]]</f>
        <v>-122</v>
      </c>
      <c r="I139">
        <f>I138</f>
        <v>-8.3000000000000007</v>
      </c>
      <c r="L139">
        <f>390+2*(Table257[[#This Row],[min value (corrected)]]-27)</f>
        <v>392</v>
      </c>
      <c r="M139">
        <f>MINUTE(Table257[[#This Row],[Corrected time]])</f>
        <v>28</v>
      </c>
      <c r="N139" s="1">
        <v>0.52012122685185191</v>
      </c>
      <c r="O139" s="1">
        <f>Table257[[#This Row],[Time]]-TIME(0,0,3)</f>
        <v>0.52008650462962969</v>
      </c>
      <c r="P139" t="s">
        <v>9</v>
      </c>
      <c r="Q139">
        <v>-121</v>
      </c>
      <c r="R139">
        <f>Table257[[#This Row],[RSSI]]</f>
        <v>-121</v>
      </c>
      <c r="S139">
        <v>-7.5</v>
      </c>
    </row>
    <row r="140" spans="2:19" x14ac:dyDescent="0.25">
      <c r="B140">
        <f>390+2*(Table146[[#This Row],[min value (corrected)]]-37)</f>
        <v>394</v>
      </c>
      <c r="C140">
        <f>MINUTE(Table146[[#This Row],[Corrected time]])</f>
        <v>39</v>
      </c>
      <c r="D140" s="1">
        <v>0.48550231481481482</v>
      </c>
      <c r="E140" s="1">
        <f>Table146[[#This Row],[Time]]-TIME(0,0,1)</f>
        <v>0.48549074074074072</v>
      </c>
      <c r="F140" t="s">
        <v>9</v>
      </c>
      <c r="G140">
        <v>-121</v>
      </c>
      <c r="H140">
        <f>Table146[[#This Row],[RSSI]]</f>
        <v>-121</v>
      </c>
      <c r="I140">
        <v>-7.7</v>
      </c>
      <c r="L140">
        <f>390+2*(Table257[[#This Row],[min value (corrected)]]-27)</f>
        <v>392</v>
      </c>
      <c r="M140">
        <f>MINUTE(Table257[[#This Row],[Corrected time]])</f>
        <v>28</v>
      </c>
      <c r="N140" s="1">
        <v>0.52013425925925927</v>
      </c>
      <c r="O140" s="1">
        <f>Table257[[#This Row],[Time]]-TIME(0,0,3)</f>
        <v>0.52009953703703704</v>
      </c>
      <c r="P140" t="s">
        <v>9</v>
      </c>
      <c r="Q140">
        <v>-121</v>
      </c>
      <c r="R140">
        <f>Table257[[#This Row],[RSSI]]</f>
        <v>-121</v>
      </c>
      <c r="S140">
        <v>-7.5</v>
      </c>
    </row>
    <row r="141" spans="2:19" x14ac:dyDescent="0.25">
      <c r="B141">
        <f>390+2*(Table146[[#This Row],[min value (corrected)]]-37)</f>
        <v>394</v>
      </c>
      <c r="C141">
        <f>MINUTE(Table146[[#This Row],[Corrected time]])</f>
        <v>39</v>
      </c>
      <c r="D141" s="1">
        <v>0.48551534722222223</v>
      </c>
      <c r="E141" s="1">
        <f>Table146[[#This Row],[Time]]-TIME(0,0,1)</f>
        <v>0.48550377314814813</v>
      </c>
      <c r="F141" t="s">
        <v>13</v>
      </c>
      <c r="G141">
        <f>G140</f>
        <v>-121</v>
      </c>
      <c r="H141">
        <f>Table146[[#This Row],[RSSI]]</f>
        <v>-121</v>
      </c>
      <c r="I141">
        <f>I140</f>
        <v>-7.7</v>
      </c>
      <c r="L141">
        <f>390+2*(Table257[[#This Row],[min value (corrected)]]-27)</f>
        <v>392</v>
      </c>
      <c r="M141">
        <f>MINUTE(Table257[[#This Row],[Corrected time]])</f>
        <v>28</v>
      </c>
      <c r="N141" s="1">
        <v>0.52014728009259259</v>
      </c>
      <c r="O141" s="1">
        <f>Table257[[#This Row],[Time]]-TIME(0,0,3)</f>
        <v>0.52011255787037036</v>
      </c>
      <c r="P141" t="s">
        <v>9</v>
      </c>
      <c r="Q141">
        <v>-121</v>
      </c>
      <c r="R141">
        <f>Table257[[#This Row],[RSSI]]</f>
        <v>-121</v>
      </c>
      <c r="S141">
        <v>-7.5</v>
      </c>
    </row>
    <row r="142" spans="2:19" x14ac:dyDescent="0.25">
      <c r="B142">
        <f>390+2*(Table146[[#This Row],[min value (corrected)]]-37)</f>
        <v>394</v>
      </c>
      <c r="C142">
        <f>MINUTE(Table146[[#This Row],[Corrected time]])</f>
        <v>39</v>
      </c>
      <c r="D142" s="1">
        <v>0.48552837962962964</v>
      </c>
      <c r="E142" s="1">
        <f>Table146[[#This Row],[Time]]-TIME(0,0,1)</f>
        <v>0.48551680555555554</v>
      </c>
      <c r="F142" t="s">
        <v>9</v>
      </c>
      <c r="G142">
        <v>-122</v>
      </c>
      <c r="H142">
        <f>Table146[[#This Row],[RSSI]]</f>
        <v>-122</v>
      </c>
      <c r="I142">
        <v>-8.3000000000000007</v>
      </c>
      <c r="L142">
        <f>390+2*(Table257[[#This Row],[min value (corrected)]]-27)</f>
        <v>392</v>
      </c>
      <c r="M142">
        <f>MINUTE(Table257[[#This Row],[Corrected time]])</f>
        <v>28</v>
      </c>
      <c r="N142" s="1">
        <v>0.52016031250000005</v>
      </c>
      <c r="O142" s="1">
        <f>Table257[[#This Row],[Time]]-TIME(0,0,3)</f>
        <v>0.52012559027777783</v>
      </c>
      <c r="P142" t="s">
        <v>9</v>
      </c>
      <c r="Q142">
        <v>-120</v>
      </c>
      <c r="R142">
        <f>Table257[[#This Row],[RSSI]]</f>
        <v>-120</v>
      </c>
      <c r="S142">
        <v>-7.2</v>
      </c>
    </row>
    <row r="143" spans="2:19" x14ac:dyDescent="0.25">
      <c r="B143">
        <f>390+2*(Table146[[#This Row],[min value (corrected)]]-37)</f>
        <v>394</v>
      </c>
      <c r="C143">
        <f>MINUTE(Table146[[#This Row],[Corrected time]])</f>
        <v>39</v>
      </c>
      <c r="D143" s="1">
        <v>0.48554141203703705</v>
      </c>
      <c r="E143" s="1">
        <f>Table146[[#This Row],[Time]]-TIME(0,0,1)</f>
        <v>0.48552983796296295</v>
      </c>
      <c r="F143" t="s">
        <v>13</v>
      </c>
      <c r="G143">
        <f>G142</f>
        <v>-122</v>
      </c>
      <c r="H143">
        <f>Table146[[#This Row],[RSSI]]</f>
        <v>-122</v>
      </c>
      <c r="I143">
        <f>I142</f>
        <v>-8.3000000000000007</v>
      </c>
      <c r="L143">
        <f>390+2*(Table257[[#This Row],[min value (corrected)]]-27)</f>
        <v>394</v>
      </c>
      <c r="M143">
        <f>MINUTE(Table257[[#This Row],[Corrected time]])</f>
        <v>29</v>
      </c>
      <c r="N143" s="1">
        <v>0.52017335648148155</v>
      </c>
      <c r="O143" s="1">
        <f>Table257[[#This Row],[Time]]-TIME(0,0,3)</f>
        <v>0.52013863425925932</v>
      </c>
      <c r="P143" t="s">
        <v>9</v>
      </c>
      <c r="Q143">
        <v>-122</v>
      </c>
      <c r="R143">
        <f>Table257[[#This Row],[RSSI]]</f>
        <v>-122</v>
      </c>
      <c r="S143">
        <v>-8.3000000000000007</v>
      </c>
    </row>
    <row r="144" spans="2:19" x14ac:dyDescent="0.25">
      <c r="B144">
        <f>390+2*(Table146[[#This Row],[min value (corrected)]]-37)</f>
        <v>394</v>
      </c>
      <c r="C144">
        <f>MINUTE(Table146[[#This Row],[Corrected time]])</f>
        <v>39</v>
      </c>
      <c r="D144" s="1">
        <v>0.48555444444444446</v>
      </c>
      <c r="E144" s="1">
        <f>Table146[[#This Row],[Time]]-TIME(0,0,1)</f>
        <v>0.48554287037037036</v>
      </c>
      <c r="F144" t="s">
        <v>9</v>
      </c>
      <c r="G144">
        <v>-122</v>
      </c>
      <c r="H144">
        <f>Table146[[#This Row],[RSSI]]</f>
        <v>-122</v>
      </c>
      <c r="I144">
        <v>-8.3000000000000007</v>
      </c>
      <c r="L144">
        <f>390+2*(Table257[[#This Row],[min value (corrected)]]-27)</f>
        <v>394</v>
      </c>
      <c r="M144">
        <f>MINUTE(Table257[[#This Row],[Corrected time]])</f>
        <v>29</v>
      </c>
      <c r="N144" s="1">
        <v>0.52018638888888891</v>
      </c>
      <c r="O144" s="1">
        <f>Table257[[#This Row],[Time]]-TIME(0,0,3)</f>
        <v>0.52015166666666668</v>
      </c>
      <c r="P144" t="s">
        <v>9</v>
      </c>
      <c r="Q144">
        <v>-121</v>
      </c>
      <c r="R144">
        <f>Table257[[#This Row],[RSSI]]</f>
        <v>-121</v>
      </c>
      <c r="S144">
        <v>-7.2</v>
      </c>
    </row>
    <row r="145" spans="2:19" x14ac:dyDescent="0.25">
      <c r="B145">
        <f>390+2*(Table146[[#This Row],[min value (corrected)]]-37)</f>
        <v>394</v>
      </c>
      <c r="C145">
        <f>MINUTE(Table146[[#This Row],[Corrected time]])</f>
        <v>39</v>
      </c>
      <c r="D145" s="1">
        <v>0.48556747685185186</v>
      </c>
      <c r="E145" s="1">
        <f>Table146[[#This Row],[Time]]-TIME(0,0,1)</f>
        <v>0.48555590277777777</v>
      </c>
      <c r="F145" t="s">
        <v>9</v>
      </c>
      <c r="G145">
        <v>-122</v>
      </c>
      <c r="H145">
        <f>Table146[[#This Row],[RSSI]]</f>
        <v>-122</v>
      </c>
      <c r="I145">
        <v>-8.3000000000000007</v>
      </c>
      <c r="L145">
        <f>390+2*(Table257[[#This Row],[min value (corrected)]]-27)</f>
        <v>394</v>
      </c>
      <c r="M145">
        <f>MINUTE(Table257[[#This Row],[Corrected time]])</f>
        <v>29</v>
      </c>
      <c r="N145" s="1">
        <v>0.52019940972222223</v>
      </c>
      <c r="O145" s="1">
        <f>Table257[[#This Row],[Time]]-TIME(0,0,3)</f>
        <v>0.5201646875</v>
      </c>
      <c r="P145" t="s">
        <v>13</v>
      </c>
      <c r="Q145">
        <f t="shared" ref="Q145:Q147" si="3">Q144</f>
        <v>-121</v>
      </c>
      <c r="R145">
        <f>Table257[[#This Row],[RSSI]]</f>
        <v>-121</v>
      </c>
      <c r="S145">
        <f t="shared" ref="S145:S147" si="4">S144</f>
        <v>-7.2</v>
      </c>
    </row>
    <row r="146" spans="2:19" x14ac:dyDescent="0.25">
      <c r="B146">
        <f>390+2*(Table146[[#This Row],[min value (corrected)]]-37)</f>
        <v>394</v>
      </c>
      <c r="C146">
        <f>MINUTE(Table146[[#This Row],[Corrected time]])</f>
        <v>39</v>
      </c>
      <c r="D146" s="1">
        <v>0.48558050925925927</v>
      </c>
      <c r="E146" s="1">
        <f>Table146[[#This Row],[Time]]-TIME(0,0,1)</f>
        <v>0.48556893518518518</v>
      </c>
      <c r="F146" t="s">
        <v>9</v>
      </c>
      <c r="G146">
        <v>-121</v>
      </c>
      <c r="H146">
        <f>Table146[[#This Row],[RSSI]]</f>
        <v>-121</v>
      </c>
      <c r="I146">
        <v>-7.5</v>
      </c>
      <c r="L146">
        <f>390+2*(Table257[[#This Row],[min value (corrected)]]-27)</f>
        <v>394</v>
      </c>
      <c r="M146">
        <f>MINUTE(Table257[[#This Row],[Corrected time]])</f>
        <v>29</v>
      </c>
      <c r="N146" s="1">
        <v>0.52021244212962969</v>
      </c>
      <c r="O146" s="1">
        <f>Table257[[#This Row],[Time]]-TIME(0,0,3)</f>
        <v>0.52017771990740747</v>
      </c>
      <c r="P146" t="s">
        <v>13</v>
      </c>
      <c r="Q146">
        <f t="shared" si="3"/>
        <v>-121</v>
      </c>
      <c r="R146">
        <f>Table257[[#This Row],[RSSI]]</f>
        <v>-121</v>
      </c>
      <c r="S146">
        <f t="shared" si="4"/>
        <v>-7.2</v>
      </c>
    </row>
    <row r="147" spans="2:19" x14ac:dyDescent="0.25">
      <c r="B147">
        <f>390+2*(Table146[[#This Row],[min value (corrected)]]-37)</f>
        <v>394</v>
      </c>
      <c r="C147">
        <f>MINUTE(Table146[[#This Row],[Corrected time]])</f>
        <v>39</v>
      </c>
      <c r="D147" s="1">
        <v>0.48559354166666668</v>
      </c>
      <c r="E147" s="1">
        <f>Table146[[#This Row],[Time]]-TIME(0,0,1)</f>
        <v>0.48558196759259259</v>
      </c>
      <c r="F147" t="s">
        <v>9</v>
      </c>
      <c r="G147">
        <v>-121</v>
      </c>
      <c r="H147">
        <f>Table146[[#This Row],[RSSI]]</f>
        <v>-121</v>
      </c>
      <c r="I147">
        <v>-7</v>
      </c>
      <c r="L147">
        <f>390+2*(Table257[[#This Row],[min value (corrected)]]-27)</f>
        <v>394</v>
      </c>
      <c r="M147">
        <f>MINUTE(Table257[[#This Row],[Corrected time]])</f>
        <v>29</v>
      </c>
      <c r="N147" s="1">
        <v>0.52022547453703705</v>
      </c>
      <c r="O147" s="1">
        <f>Table257[[#This Row],[Time]]-TIME(0,0,3)</f>
        <v>0.52019075231481482</v>
      </c>
      <c r="P147" t="s">
        <v>13</v>
      </c>
      <c r="Q147">
        <f t="shared" si="3"/>
        <v>-121</v>
      </c>
      <c r="R147">
        <f>Table257[[#This Row],[RSSI]]</f>
        <v>-121</v>
      </c>
      <c r="S147">
        <f t="shared" si="4"/>
        <v>-7.2</v>
      </c>
    </row>
    <row r="148" spans="2:19" x14ac:dyDescent="0.25">
      <c r="B148">
        <f>390+2*(Table146[[#This Row],[min value (corrected)]]-37)</f>
        <v>394</v>
      </c>
      <c r="C148">
        <f>MINUTE(Table146[[#This Row],[Corrected time]])</f>
        <v>39</v>
      </c>
      <c r="D148" s="1">
        <v>0.48560657407407409</v>
      </c>
      <c r="E148" s="1">
        <f>Table146[[#This Row],[Time]]-TIME(0,0,1)</f>
        <v>0.485595</v>
      </c>
      <c r="F148" t="s">
        <v>13</v>
      </c>
      <c r="G148">
        <f>G147</f>
        <v>-121</v>
      </c>
      <c r="H148">
        <f>Table146[[#This Row],[RSSI]]</f>
        <v>-121</v>
      </c>
      <c r="I148">
        <f>I147</f>
        <v>-7</v>
      </c>
      <c r="L148">
        <f>390+2*(Table257[[#This Row],[min value (corrected)]]-27)</f>
        <v>394</v>
      </c>
      <c r="M148">
        <f>MINUTE(Table257[[#This Row],[Corrected time]])</f>
        <v>29</v>
      </c>
      <c r="N148" s="1">
        <v>0.52023851851851854</v>
      </c>
      <c r="O148" s="1">
        <f>Table257[[#This Row],[Time]]-TIME(0,0,3)</f>
        <v>0.52020379629629632</v>
      </c>
      <c r="P148" t="s">
        <v>9</v>
      </c>
      <c r="Q148">
        <v>-122</v>
      </c>
      <c r="R148">
        <f>Table257[[#This Row],[RSSI]]</f>
        <v>-122</v>
      </c>
      <c r="S148">
        <v>-8.3000000000000007</v>
      </c>
    </row>
    <row r="149" spans="2:19" x14ac:dyDescent="0.25">
      <c r="B149">
        <f>390+2*(Table146[[#This Row],[min value (corrected)]]-37)</f>
        <v>394</v>
      </c>
      <c r="C149">
        <f>MINUTE(Table146[[#This Row],[Corrected time]])</f>
        <v>39</v>
      </c>
      <c r="D149" s="1">
        <v>0.4856196064814815</v>
      </c>
      <c r="E149" s="1">
        <f>Table146[[#This Row],[Time]]-TIME(0,0,1)</f>
        <v>0.48560803240740741</v>
      </c>
      <c r="F149" t="s">
        <v>9</v>
      </c>
      <c r="G149">
        <v>-121</v>
      </c>
      <c r="H149">
        <f>Table146[[#This Row],[RSSI]]</f>
        <v>-121</v>
      </c>
      <c r="I149">
        <v>-7.5</v>
      </c>
      <c r="L149">
        <f>390+2*(Table257[[#This Row],[min value (corrected)]]-27)</f>
        <v>394</v>
      </c>
      <c r="M149">
        <f>MINUTE(Table257[[#This Row],[Corrected time]])</f>
        <v>29</v>
      </c>
      <c r="N149" s="1">
        <v>0.52025153935185187</v>
      </c>
      <c r="O149" s="1">
        <f>Table257[[#This Row],[Time]]-TIME(0,0,3)</f>
        <v>0.52021681712962964</v>
      </c>
      <c r="P149" t="s">
        <v>9</v>
      </c>
      <c r="Q149">
        <v>-121</v>
      </c>
      <c r="R149">
        <f>Table257[[#This Row],[RSSI]]</f>
        <v>-121</v>
      </c>
      <c r="S149">
        <v>-7.7</v>
      </c>
    </row>
    <row r="150" spans="2:19" x14ac:dyDescent="0.25">
      <c r="B150">
        <f>390+2*(Table146[[#This Row],[min value (corrected)]]-37)</f>
        <v>394</v>
      </c>
      <c r="C150">
        <f>MINUTE(Table146[[#This Row],[Corrected time]])</f>
        <v>39</v>
      </c>
      <c r="D150" s="1">
        <v>0.48563263888888891</v>
      </c>
      <c r="E150" s="1">
        <f>Table146[[#This Row],[Time]]-TIME(0,0,1)</f>
        <v>0.48562106481481482</v>
      </c>
      <c r="F150" t="s">
        <v>9</v>
      </c>
      <c r="G150">
        <v>-121</v>
      </c>
      <c r="H150">
        <f>Table146[[#This Row],[RSSI]]</f>
        <v>-121</v>
      </c>
      <c r="I150">
        <v>-7.5</v>
      </c>
      <c r="L150">
        <f>390+2*(Table257[[#This Row],[min value (corrected)]]-27)</f>
        <v>394</v>
      </c>
      <c r="M150">
        <f>MINUTE(Table257[[#This Row],[Corrected time]])</f>
        <v>29</v>
      </c>
      <c r="N150" s="1">
        <v>0.52026457175925922</v>
      </c>
      <c r="O150" s="1">
        <f>Table257[[#This Row],[Time]]-TIME(0,0,3)</f>
        <v>0.52022984953703699</v>
      </c>
      <c r="P150" t="s">
        <v>9</v>
      </c>
      <c r="Q150">
        <v>-121</v>
      </c>
      <c r="R150">
        <f>Table257[[#This Row],[RSSI]]</f>
        <v>-121</v>
      </c>
      <c r="S150">
        <v>-7.7</v>
      </c>
    </row>
    <row r="151" spans="2:19" x14ac:dyDescent="0.25">
      <c r="B151">
        <f>390+2*(Table146[[#This Row],[min value (corrected)]]-37)</f>
        <v>394</v>
      </c>
      <c r="C151">
        <f>MINUTE(Table146[[#This Row],[Corrected time]])</f>
        <v>39</v>
      </c>
      <c r="D151" s="1">
        <v>0.48564567129629632</v>
      </c>
      <c r="E151" s="1">
        <f>Table146[[#This Row],[Time]]-TIME(0,0,1)</f>
        <v>0.48563409722222223</v>
      </c>
      <c r="F151" t="s">
        <v>9</v>
      </c>
      <c r="G151">
        <v>-122</v>
      </c>
      <c r="H151">
        <f>Table146[[#This Row],[RSSI]]</f>
        <v>-122</v>
      </c>
      <c r="I151">
        <v>-8.3000000000000007</v>
      </c>
      <c r="L151">
        <f>390+2*(Table257[[#This Row],[min value (corrected)]]-27)</f>
        <v>394</v>
      </c>
      <c r="M151">
        <f>MINUTE(Table257[[#This Row],[Corrected time]])</f>
        <v>29</v>
      </c>
      <c r="N151" s="1">
        <v>0.52027760416666669</v>
      </c>
      <c r="O151" s="1">
        <f>Table257[[#This Row],[Time]]-TIME(0,0,3)</f>
        <v>0.52024288194444446</v>
      </c>
      <c r="P151" t="s">
        <v>9</v>
      </c>
      <c r="Q151">
        <v>-121</v>
      </c>
      <c r="R151">
        <f>Table257[[#This Row],[RSSI]]</f>
        <v>-121</v>
      </c>
      <c r="S151">
        <v>-8</v>
      </c>
    </row>
    <row r="152" spans="2:19" x14ac:dyDescent="0.25">
      <c r="B152">
        <f>390+2*(Table146[[#This Row],[min value (corrected)]]-37)</f>
        <v>394</v>
      </c>
      <c r="C152">
        <f>MINUTE(Table146[[#This Row],[Corrected time]])</f>
        <v>39</v>
      </c>
      <c r="D152" s="1">
        <v>0.48565870370370368</v>
      </c>
      <c r="E152" s="1">
        <f>Table146[[#This Row],[Time]]-TIME(0,0,1)</f>
        <v>0.48564712962962958</v>
      </c>
      <c r="F152" t="s">
        <v>13</v>
      </c>
      <c r="G152">
        <f>G151</f>
        <v>-122</v>
      </c>
      <c r="H152">
        <f>Table146[[#This Row],[RSSI]]</f>
        <v>-122</v>
      </c>
      <c r="I152">
        <f>I151</f>
        <v>-8.3000000000000007</v>
      </c>
      <c r="L152">
        <f>390+2*(Table257[[#This Row],[min value (corrected)]]-27)</f>
        <v>394</v>
      </c>
      <c r="M152">
        <f>MINUTE(Table257[[#This Row],[Corrected time]])</f>
        <v>29</v>
      </c>
      <c r="N152" s="1">
        <v>0.52029063657407404</v>
      </c>
      <c r="O152" s="1">
        <f>Table257[[#This Row],[Time]]-TIME(0,0,3)</f>
        <v>0.52025591435185181</v>
      </c>
      <c r="P152" t="s">
        <v>13</v>
      </c>
      <c r="Q152">
        <f>Q151</f>
        <v>-121</v>
      </c>
      <c r="R152">
        <f>Table257[[#This Row],[RSSI]]</f>
        <v>-121</v>
      </c>
      <c r="S152">
        <f>S151</f>
        <v>-8</v>
      </c>
    </row>
    <row r="153" spans="2:19" x14ac:dyDescent="0.25">
      <c r="B153">
        <f>390+2*(Table146[[#This Row],[min value (corrected)]]-37)</f>
        <v>394</v>
      </c>
      <c r="C153">
        <f>MINUTE(Table146[[#This Row],[Corrected time]])</f>
        <v>39</v>
      </c>
      <c r="D153" s="1">
        <v>0.48567173611111114</v>
      </c>
      <c r="E153" s="1">
        <f>Table146[[#This Row],[Time]]-TIME(0,0,1)</f>
        <v>0.48566016203703705</v>
      </c>
      <c r="F153" t="s">
        <v>9</v>
      </c>
      <c r="G153">
        <v>-121</v>
      </c>
      <c r="H153">
        <f>Table146[[#This Row],[RSSI]]</f>
        <v>-121</v>
      </c>
      <c r="I153">
        <v>-7.7</v>
      </c>
      <c r="L153">
        <f>390+2*(Table257[[#This Row],[min value (corrected)]]-27)</f>
        <v>394</v>
      </c>
      <c r="M153">
        <f>MINUTE(Table257[[#This Row],[Corrected time]])</f>
        <v>29</v>
      </c>
      <c r="N153" s="1">
        <v>0.5203036689814815</v>
      </c>
      <c r="O153" s="1">
        <f>Table257[[#This Row],[Time]]-TIME(0,0,3)</f>
        <v>0.52026894675925928</v>
      </c>
      <c r="P153" t="s">
        <v>9</v>
      </c>
      <c r="Q153">
        <v>-121</v>
      </c>
      <c r="R153">
        <f>Table257[[#This Row],[RSSI]]</f>
        <v>-121</v>
      </c>
      <c r="S153">
        <v>-7.7</v>
      </c>
    </row>
    <row r="154" spans="2:19" x14ac:dyDescent="0.25">
      <c r="B154">
        <f>390+2*(Table146[[#This Row],[min value (corrected)]]-37)</f>
        <v>394</v>
      </c>
      <c r="C154">
        <f>MINUTE(Table146[[#This Row],[Corrected time]])</f>
        <v>39</v>
      </c>
      <c r="D154" s="1">
        <v>0.48568476851851849</v>
      </c>
      <c r="E154" s="1">
        <f>Table146[[#This Row],[Time]]-TIME(0,0,1)</f>
        <v>0.4856731944444444</v>
      </c>
      <c r="F154" t="s">
        <v>9</v>
      </c>
      <c r="G154">
        <v>-121</v>
      </c>
      <c r="H154">
        <f>Table146[[#This Row],[RSSI]]</f>
        <v>-121</v>
      </c>
      <c r="I154">
        <v>-7.5</v>
      </c>
      <c r="L154">
        <f>390+2*(Table257[[#This Row],[min value (corrected)]]-27)</f>
        <v>394</v>
      </c>
      <c r="M154">
        <f>MINUTE(Table257[[#This Row],[Corrected time]])</f>
        <v>29</v>
      </c>
      <c r="N154" s="1">
        <v>0.52031670138888886</v>
      </c>
      <c r="O154" s="1">
        <f>Table257[[#This Row],[Time]]-TIME(0,0,3)</f>
        <v>0.52028197916666663</v>
      </c>
      <c r="P154" t="s">
        <v>9</v>
      </c>
      <c r="Q154">
        <v>-121</v>
      </c>
      <c r="R154">
        <f>Table257[[#This Row],[RSSI]]</f>
        <v>-121</v>
      </c>
      <c r="S154">
        <v>-7.5</v>
      </c>
    </row>
    <row r="155" spans="2:19" x14ac:dyDescent="0.25">
      <c r="B155">
        <f>390+2*(Table146[[#This Row],[min value (corrected)]]-37)</f>
        <v>394</v>
      </c>
      <c r="C155">
        <f>MINUTE(Table146[[#This Row],[Corrected time]])</f>
        <v>39</v>
      </c>
      <c r="D155" s="1">
        <v>0.48569778935185182</v>
      </c>
      <c r="E155" s="1">
        <f>Table146[[#This Row],[Time]]-TIME(0,0,1)</f>
        <v>0.48568621527777772</v>
      </c>
      <c r="F155" t="s">
        <v>9</v>
      </c>
      <c r="G155">
        <v>-121</v>
      </c>
      <c r="H155">
        <f>Table146[[#This Row],[RSSI]]</f>
        <v>-121</v>
      </c>
      <c r="I155">
        <v>-7.2</v>
      </c>
      <c r="L155">
        <f>390+2*(Table257[[#This Row],[min value (corrected)]]-27)</f>
        <v>394</v>
      </c>
      <c r="M155">
        <f>MINUTE(Table257[[#This Row],[Corrected time]])</f>
        <v>29</v>
      </c>
      <c r="N155" s="1">
        <v>0.52032973379629632</v>
      </c>
      <c r="O155" s="1">
        <f>Table257[[#This Row],[Time]]-TIME(0,0,3)</f>
        <v>0.5202950115740741</v>
      </c>
      <c r="P155" t="s">
        <v>9</v>
      </c>
      <c r="Q155">
        <v>-122</v>
      </c>
      <c r="R155">
        <f>Table257[[#This Row],[RSSI]]</f>
        <v>-122</v>
      </c>
      <c r="S155">
        <v>-8.3000000000000007</v>
      </c>
    </row>
    <row r="156" spans="2:19" x14ac:dyDescent="0.25">
      <c r="B156">
        <f>390+2*(Table146[[#This Row],[min value (corrected)]]-37)</f>
        <v>394</v>
      </c>
      <c r="C156">
        <f>MINUTE(Table146[[#This Row],[Corrected time]])</f>
        <v>39</v>
      </c>
      <c r="D156" s="1">
        <v>0.48571083333333331</v>
      </c>
      <c r="E156" s="1">
        <f>Table146[[#This Row],[Time]]-TIME(0,0,1)</f>
        <v>0.48569925925925922</v>
      </c>
      <c r="F156" t="s">
        <v>9</v>
      </c>
      <c r="G156">
        <v>-121</v>
      </c>
      <c r="H156">
        <f>Table146[[#This Row],[RSSI]]</f>
        <v>-121</v>
      </c>
      <c r="I156">
        <v>-7.2</v>
      </c>
      <c r="L156">
        <f>390+2*(Table257[[#This Row],[min value (corrected)]]-27)</f>
        <v>394</v>
      </c>
      <c r="M156">
        <f>MINUTE(Table257[[#This Row],[Corrected time]])</f>
        <v>29</v>
      </c>
      <c r="N156" s="1">
        <v>0.52034276620370368</v>
      </c>
      <c r="O156" s="1">
        <f>Table257[[#This Row],[Time]]-TIME(0,0,3)</f>
        <v>0.52030804398148145</v>
      </c>
      <c r="P156" t="s">
        <v>9</v>
      </c>
      <c r="Q156">
        <v>-121</v>
      </c>
      <c r="R156">
        <f>Table257[[#This Row],[RSSI]]</f>
        <v>-121</v>
      </c>
      <c r="S156">
        <v>-7.5</v>
      </c>
    </row>
    <row r="157" spans="2:19" x14ac:dyDescent="0.25">
      <c r="B157">
        <f>390+2*(Table146[[#This Row],[min value (corrected)]]-37)</f>
        <v>394</v>
      </c>
      <c r="C157">
        <f>MINUTE(Table146[[#This Row],[Corrected time]])</f>
        <v>39</v>
      </c>
      <c r="D157" s="1">
        <v>0.48572386574074078</v>
      </c>
      <c r="E157" s="1">
        <f>Table146[[#This Row],[Time]]-TIME(0,0,1)</f>
        <v>0.48571229166666668</v>
      </c>
      <c r="F157" t="s">
        <v>9</v>
      </c>
      <c r="G157">
        <v>-121</v>
      </c>
      <c r="H157">
        <f>Table146[[#This Row],[RSSI]]</f>
        <v>-121</v>
      </c>
      <c r="I157">
        <v>-7.2</v>
      </c>
      <c r="L157">
        <f>390+2*(Table257[[#This Row],[min value (corrected)]]-27)</f>
        <v>394</v>
      </c>
      <c r="M157">
        <f>MINUTE(Table257[[#This Row],[Corrected time]])</f>
        <v>29</v>
      </c>
      <c r="N157" s="1">
        <v>0.52035579861111114</v>
      </c>
      <c r="O157" s="1">
        <f>Table257[[#This Row],[Time]]-TIME(0,0,3)</f>
        <v>0.52032107638888891</v>
      </c>
      <c r="P157" t="s">
        <v>9</v>
      </c>
      <c r="Q157">
        <v>-121</v>
      </c>
      <c r="R157">
        <f>Table257[[#This Row],[RSSI]]</f>
        <v>-121</v>
      </c>
      <c r="S157">
        <v>-7.5</v>
      </c>
    </row>
    <row r="158" spans="2:19" x14ac:dyDescent="0.25">
      <c r="B158">
        <f>390+2*(Table146[[#This Row],[min value (corrected)]]-37)</f>
        <v>394</v>
      </c>
      <c r="C158">
        <f>MINUTE(Table146[[#This Row],[Corrected time]])</f>
        <v>39</v>
      </c>
      <c r="D158" s="1">
        <v>0.4857368865740741</v>
      </c>
      <c r="E158" s="1">
        <f>Table146[[#This Row],[Time]]-TIME(0,0,1)</f>
        <v>0.48572531250000001</v>
      </c>
      <c r="F158" t="s">
        <v>9</v>
      </c>
      <c r="G158">
        <v>-121</v>
      </c>
      <c r="H158">
        <f>Table146[[#This Row],[RSSI]]</f>
        <v>-121</v>
      </c>
      <c r="I158">
        <v>-7.7</v>
      </c>
      <c r="L158">
        <f>390+2*(Table257[[#This Row],[min value (corrected)]]-27)</f>
        <v>394</v>
      </c>
      <c r="M158">
        <f>MINUTE(Table257[[#This Row],[Corrected time]])</f>
        <v>29</v>
      </c>
      <c r="N158" s="1">
        <v>0.5203688310185185</v>
      </c>
      <c r="O158" s="1">
        <f>Table257[[#This Row],[Time]]-TIME(0,0,3)</f>
        <v>0.52033410879629627</v>
      </c>
      <c r="P158" t="s">
        <v>9</v>
      </c>
      <c r="Q158">
        <v>-121</v>
      </c>
      <c r="R158">
        <f>Table257[[#This Row],[RSSI]]</f>
        <v>-121</v>
      </c>
      <c r="S158">
        <v>-7.2</v>
      </c>
    </row>
    <row r="159" spans="2:19" x14ac:dyDescent="0.25">
      <c r="B159">
        <f>390+2*(Table146[[#This Row],[min value (corrected)]]-37)</f>
        <v>394</v>
      </c>
      <c r="C159">
        <f>MINUTE(Table146[[#This Row],[Corrected time]])</f>
        <v>39</v>
      </c>
      <c r="D159" s="1">
        <v>0.4857499305555556</v>
      </c>
      <c r="E159" s="1">
        <f>Table146[[#This Row],[Time]]-TIME(0,0,1)</f>
        <v>0.4857383564814815</v>
      </c>
      <c r="F159" t="s">
        <v>9</v>
      </c>
      <c r="G159">
        <v>-122</v>
      </c>
      <c r="H159">
        <f>Table146[[#This Row],[RSSI]]</f>
        <v>-122</v>
      </c>
      <c r="I159">
        <v>-7.7</v>
      </c>
      <c r="L159">
        <f>390+2*(Table257[[#This Row],[min value (corrected)]]-27)</f>
        <v>394</v>
      </c>
      <c r="M159">
        <f>MINUTE(Table257[[#This Row],[Corrected time]])</f>
        <v>29</v>
      </c>
      <c r="N159" s="1">
        <v>0.52038186342592596</v>
      </c>
      <c r="O159" s="1">
        <f>Table257[[#This Row],[Time]]-TIME(0,0,3)</f>
        <v>0.52034714120370373</v>
      </c>
      <c r="P159" t="s">
        <v>9</v>
      </c>
      <c r="Q159">
        <v>-122</v>
      </c>
      <c r="R159">
        <f>Table257[[#This Row],[RSSI]]</f>
        <v>-122</v>
      </c>
      <c r="S159">
        <v>-7.7</v>
      </c>
    </row>
    <row r="160" spans="2:19" x14ac:dyDescent="0.25">
      <c r="B160">
        <f>390+2*(Table146[[#This Row],[min value (corrected)]]-37)</f>
        <v>394</v>
      </c>
      <c r="C160">
        <f>MINUTE(Table146[[#This Row],[Corrected time]])</f>
        <v>39</v>
      </c>
      <c r="D160" s="1">
        <v>0.48576296296296295</v>
      </c>
      <c r="E160" s="1">
        <f>Table146[[#This Row],[Time]]-TIME(0,0,1)</f>
        <v>0.48575138888888886</v>
      </c>
      <c r="F160" t="s">
        <v>9</v>
      </c>
      <c r="G160">
        <v>-119</v>
      </c>
      <c r="H160">
        <f>Table146[[#This Row],[RSSI]]</f>
        <v>-119</v>
      </c>
      <c r="I160">
        <v>-7.7</v>
      </c>
      <c r="L160">
        <f>390+2*(Table257[[#This Row],[min value (corrected)]]-27)</f>
        <v>394</v>
      </c>
      <c r="M160">
        <f>MINUTE(Table257[[#This Row],[Corrected time]])</f>
        <v>29</v>
      </c>
      <c r="N160" s="1">
        <v>0.52039489583333332</v>
      </c>
      <c r="O160" s="1">
        <f>Table257[[#This Row],[Time]]-TIME(0,0,3)</f>
        <v>0.52036017361111109</v>
      </c>
      <c r="P160" t="s">
        <v>9</v>
      </c>
      <c r="Q160">
        <v>-120</v>
      </c>
      <c r="R160">
        <f>Table257[[#This Row],[RSSI]]</f>
        <v>-120</v>
      </c>
      <c r="S160">
        <v>-7</v>
      </c>
    </row>
    <row r="161" spans="2:19" x14ac:dyDescent="0.25">
      <c r="B161">
        <f>390+2*(Table146[[#This Row],[min value (corrected)]]-37)</f>
        <v>394</v>
      </c>
      <c r="C161">
        <f>MINUTE(Table146[[#This Row],[Corrected time]])</f>
        <v>39</v>
      </c>
      <c r="D161" s="1">
        <v>0.48577599537037042</v>
      </c>
      <c r="E161" s="1">
        <f>Table146[[#This Row],[Time]]-TIME(0,0,1)</f>
        <v>0.48576442129629632</v>
      </c>
      <c r="F161" t="s">
        <v>9</v>
      </c>
      <c r="G161">
        <v>-122</v>
      </c>
      <c r="H161">
        <f>Table146[[#This Row],[RSSI]]</f>
        <v>-122</v>
      </c>
      <c r="I161">
        <v>-8</v>
      </c>
      <c r="L161">
        <f>390+2*(Table257[[#This Row],[min value (corrected)]]-27)</f>
        <v>394</v>
      </c>
      <c r="M161">
        <f>MINUTE(Table257[[#This Row],[Corrected time]])</f>
        <v>29</v>
      </c>
      <c r="N161" s="1">
        <v>0.52040792824074078</v>
      </c>
      <c r="O161" s="1">
        <f>Table257[[#This Row],[Time]]-TIME(0,0,3)</f>
        <v>0.52037320601851855</v>
      </c>
      <c r="P161" t="s">
        <v>9</v>
      </c>
      <c r="Q161">
        <v>-121</v>
      </c>
      <c r="R161">
        <f>Table257[[#This Row],[RSSI]]</f>
        <v>-121</v>
      </c>
      <c r="S161">
        <v>-7.7</v>
      </c>
    </row>
    <row r="162" spans="2:19" x14ac:dyDescent="0.25">
      <c r="B162">
        <f>390+2*(Table146[[#This Row],[min value (corrected)]]-37)</f>
        <v>394</v>
      </c>
      <c r="C162">
        <f>MINUTE(Table146[[#This Row],[Corrected time]])</f>
        <v>39</v>
      </c>
      <c r="D162" s="1">
        <v>0.48578902777777777</v>
      </c>
      <c r="E162" s="1">
        <f>Table146[[#This Row],[Time]]-TIME(0,0,1)</f>
        <v>0.48577745370370368</v>
      </c>
      <c r="F162" t="s">
        <v>9</v>
      </c>
      <c r="G162">
        <v>-121</v>
      </c>
      <c r="H162">
        <f>Table146[[#This Row],[RSSI]]</f>
        <v>-121</v>
      </c>
      <c r="I162">
        <v>-8.3000000000000007</v>
      </c>
      <c r="L162">
        <f>390+2*(Table257[[#This Row],[min value (corrected)]]-27)</f>
        <v>394</v>
      </c>
      <c r="M162">
        <f>MINUTE(Table257[[#This Row],[Corrected time]])</f>
        <v>29</v>
      </c>
      <c r="N162" s="1">
        <v>0.52042096064814813</v>
      </c>
      <c r="O162" s="1">
        <f>Table257[[#This Row],[Time]]-TIME(0,0,3)</f>
        <v>0.52038623842592591</v>
      </c>
      <c r="P162" t="s">
        <v>9</v>
      </c>
      <c r="Q162">
        <v>-121</v>
      </c>
      <c r="R162">
        <f>Table257[[#This Row],[RSSI]]</f>
        <v>-121</v>
      </c>
      <c r="S162">
        <v>-7.2</v>
      </c>
    </row>
    <row r="163" spans="2:19" x14ac:dyDescent="0.25">
      <c r="B163">
        <f>390+2*(Table146[[#This Row],[min value (corrected)]]-37)</f>
        <v>394</v>
      </c>
      <c r="C163">
        <f>MINUTE(Table146[[#This Row],[Corrected time]])</f>
        <v>39</v>
      </c>
      <c r="D163" s="1">
        <v>0.48580206018518524</v>
      </c>
      <c r="E163" s="1">
        <f>Table146[[#This Row],[Time]]-TIME(0,0,1)</f>
        <v>0.48579048611111114</v>
      </c>
      <c r="F163" t="s">
        <v>9</v>
      </c>
      <c r="G163">
        <v>-121</v>
      </c>
      <c r="H163">
        <f>Table146[[#This Row],[RSSI]]</f>
        <v>-121</v>
      </c>
      <c r="I163">
        <v>-8</v>
      </c>
      <c r="L163">
        <f>390+2*(Table257[[#This Row],[min value (corrected)]]-27)</f>
        <v>394</v>
      </c>
      <c r="M163">
        <f>MINUTE(Table257[[#This Row],[Corrected time]])</f>
        <v>29</v>
      </c>
      <c r="N163" s="1">
        <v>0.5204339930555556</v>
      </c>
      <c r="O163" s="1">
        <f>Table257[[#This Row],[Time]]-TIME(0,0,3)</f>
        <v>0.52039927083333337</v>
      </c>
      <c r="P163" t="s">
        <v>9</v>
      </c>
      <c r="Q163">
        <v>-121</v>
      </c>
      <c r="R163">
        <f>Table257[[#This Row],[RSSI]]</f>
        <v>-121</v>
      </c>
      <c r="S163">
        <v>-8</v>
      </c>
    </row>
    <row r="164" spans="2:19" x14ac:dyDescent="0.25">
      <c r="B164">
        <f>390+2*(Table146[[#This Row],[min value (corrected)]]-37)</f>
        <v>394</v>
      </c>
      <c r="C164">
        <f>MINUTE(Table146[[#This Row],[Corrected time]])</f>
        <v>39</v>
      </c>
      <c r="D164" s="1">
        <v>0.48581509259259259</v>
      </c>
      <c r="E164" s="1">
        <f>Table146[[#This Row],[Time]]-TIME(0,0,1)</f>
        <v>0.4858035185185185</v>
      </c>
      <c r="F164" t="s">
        <v>9</v>
      </c>
      <c r="G164">
        <v>-121</v>
      </c>
      <c r="H164">
        <f>Table146[[#This Row],[RSSI]]</f>
        <v>-121</v>
      </c>
      <c r="I164">
        <v>-7.2</v>
      </c>
      <c r="L164">
        <f>390+2*(Table257[[#This Row],[min value (corrected)]]-27)</f>
        <v>394</v>
      </c>
      <c r="M164">
        <f>MINUTE(Table257[[#This Row],[Corrected time]])</f>
        <v>29</v>
      </c>
      <c r="N164" s="1">
        <v>0.52044702546296295</v>
      </c>
      <c r="O164" s="1">
        <f>Table257[[#This Row],[Time]]-TIME(0,0,3)</f>
        <v>0.52041230324074073</v>
      </c>
      <c r="P164" t="s">
        <v>9</v>
      </c>
      <c r="Q164">
        <v>-121</v>
      </c>
      <c r="R164">
        <f>Table257[[#This Row],[RSSI]]</f>
        <v>-121</v>
      </c>
      <c r="S164">
        <v>-7.7</v>
      </c>
    </row>
    <row r="165" spans="2:19" x14ac:dyDescent="0.25">
      <c r="B165">
        <f>390+2*(Table146[[#This Row],[min value (corrected)]]-37)</f>
        <v>394</v>
      </c>
      <c r="C165">
        <f>MINUTE(Table146[[#This Row],[Corrected time]])</f>
        <v>39</v>
      </c>
      <c r="D165" s="1">
        <v>0.48582812500000006</v>
      </c>
      <c r="E165" s="1">
        <f>Table146[[#This Row],[Time]]-TIME(0,0,1)</f>
        <v>0.48581655092592596</v>
      </c>
      <c r="F165" t="s">
        <v>9</v>
      </c>
      <c r="G165">
        <v>-122</v>
      </c>
      <c r="H165">
        <f>Table146[[#This Row],[RSSI]]</f>
        <v>-122</v>
      </c>
      <c r="I165">
        <v>-8</v>
      </c>
      <c r="L165">
        <f>390+2*(Table257[[#This Row],[min value (corrected)]]-27)</f>
        <v>394</v>
      </c>
      <c r="M165">
        <f>MINUTE(Table257[[#This Row],[Corrected time]])</f>
        <v>29</v>
      </c>
      <c r="N165" s="1">
        <v>0.52046005787037042</v>
      </c>
      <c r="O165" s="1">
        <f>Table257[[#This Row],[Time]]-TIME(0,0,3)</f>
        <v>0.52042533564814819</v>
      </c>
      <c r="P165" t="s">
        <v>9</v>
      </c>
      <c r="Q165">
        <v>-121</v>
      </c>
      <c r="R165">
        <f>Table257[[#This Row],[RSSI]]</f>
        <v>-121</v>
      </c>
      <c r="S165">
        <v>-7.5</v>
      </c>
    </row>
    <row r="166" spans="2:19" x14ac:dyDescent="0.25">
      <c r="B166">
        <f>390+2*(Table146[[#This Row],[min value (corrected)]]-37)</f>
        <v>394</v>
      </c>
      <c r="C166">
        <f>MINUTE(Table146[[#This Row],[Corrected time]])</f>
        <v>39</v>
      </c>
      <c r="D166" s="1">
        <v>0.48584115740740741</v>
      </c>
      <c r="E166" s="1">
        <f>Table146[[#This Row],[Time]]-TIME(0,0,1)</f>
        <v>0.48582958333333331</v>
      </c>
      <c r="F166" t="s">
        <v>9</v>
      </c>
      <c r="G166">
        <v>-122</v>
      </c>
      <c r="H166">
        <f>Table146[[#This Row],[RSSI]]</f>
        <v>-122</v>
      </c>
      <c r="I166">
        <v>-8.3000000000000007</v>
      </c>
      <c r="L166">
        <f>390+2*(Table257[[#This Row],[min value (corrected)]]-27)</f>
        <v>394</v>
      </c>
      <c r="M166">
        <f>MINUTE(Table257[[#This Row],[Corrected time]])</f>
        <v>29</v>
      </c>
      <c r="N166" s="1">
        <v>0.52047309027777777</v>
      </c>
      <c r="O166" s="1">
        <f>Table257[[#This Row],[Time]]-TIME(0,0,3)</f>
        <v>0.52043836805555554</v>
      </c>
      <c r="P166" t="s">
        <v>9</v>
      </c>
      <c r="Q166">
        <v>-121</v>
      </c>
      <c r="R166">
        <f>Table257[[#This Row],[RSSI]]</f>
        <v>-121</v>
      </c>
      <c r="S166">
        <v>-8</v>
      </c>
    </row>
    <row r="167" spans="2:19" x14ac:dyDescent="0.25">
      <c r="B167">
        <f>390+2*(Table146[[#This Row],[min value (corrected)]]-37)</f>
        <v>394</v>
      </c>
      <c r="C167">
        <f>MINUTE(Table146[[#This Row],[Corrected time]])</f>
        <v>39</v>
      </c>
      <c r="D167" s="1">
        <v>0.48585417824074073</v>
      </c>
      <c r="E167" s="1">
        <f>Table146[[#This Row],[Time]]-TIME(0,0,1)</f>
        <v>0.48584260416666664</v>
      </c>
      <c r="F167" t="s">
        <v>9</v>
      </c>
      <c r="G167">
        <v>-121</v>
      </c>
      <c r="H167">
        <f>Table146[[#This Row],[RSSI]]</f>
        <v>-121</v>
      </c>
      <c r="I167">
        <v>-7.2</v>
      </c>
      <c r="L167">
        <f>390+2*(Table257[[#This Row],[min value (corrected)]]-27)</f>
        <v>394</v>
      </c>
      <c r="M167">
        <f>MINUTE(Table257[[#This Row],[Corrected time]])</f>
        <v>29</v>
      </c>
      <c r="N167" s="1">
        <v>0.52048612268518513</v>
      </c>
      <c r="O167" s="1">
        <f>Table257[[#This Row],[Time]]-TIME(0,0,3)</f>
        <v>0.5204514004629629</v>
      </c>
      <c r="P167" t="s">
        <v>9</v>
      </c>
      <c r="Q167">
        <v>-121</v>
      </c>
      <c r="R167">
        <f>Table257[[#This Row],[RSSI]]</f>
        <v>-121</v>
      </c>
      <c r="S167">
        <v>-7.2</v>
      </c>
    </row>
    <row r="168" spans="2:19" x14ac:dyDescent="0.25">
      <c r="B168">
        <f>390+2*(Table146[[#This Row],[min value (corrected)]]-37)</f>
        <v>394</v>
      </c>
      <c r="C168">
        <f>MINUTE(Table146[[#This Row],[Corrected time]])</f>
        <v>39</v>
      </c>
      <c r="D168" s="1">
        <v>0.48586722222222223</v>
      </c>
      <c r="E168" s="1">
        <f>Table146[[#This Row],[Time]]-TIME(0,0,1)</f>
        <v>0.48585564814814813</v>
      </c>
      <c r="F168" t="s">
        <v>9</v>
      </c>
      <c r="G168">
        <v>-121</v>
      </c>
      <c r="H168">
        <f>Table146[[#This Row],[RSSI]]</f>
        <v>-121</v>
      </c>
      <c r="I168">
        <v>-8</v>
      </c>
      <c r="L168">
        <f>390+2*(Table257[[#This Row],[min value (corrected)]]-27)</f>
        <v>394</v>
      </c>
      <c r="M168">
        <f>MINUTE(Table257[[#This Row],[Corrected time]])</f>
        <v>29</v>
      </c>
      <c r="N168" s="1">
        <v>0.52049915509259259</v>
      </c>
      <c r="O168" s="1">
        <f>Table257[[#This Row],[Time]]-TIME(0,0,3)</f>
        <v>0.52046443287037036</v>
      </c>
      <c r="P168" t="s">
        <v>9</v>
      </c>
      <c r="Q168">
        <v>-121</v>
      </c>
      <c r="R168">
        <f>Table257[[#This Row],[RSSI]]</f>
        <v>-121</v>
      </c>
      <c r="S168">
        <v>-7.2</v>
      </c>
    </row>
    <row r="169" spans="2:19" x14ac:dyDescent="0.25">
      <c r="B169">
        <f>390+2*(Table146[[#This Row],[min value (corrected)]]-37)</f>
        <v>394</v>
      </c>
      <c r="C169">
        <f>MINUTE(Table146[[#This Row],[Corrected time]])</f>
        <v>39</v>
      </c>
      <c r="D169" s="1">
        <v>0.48588025462962958</v>
      </c>
      <c r="E169" s="1">
        <f>Table146[[#This Row],[Time]]-TIME(0,0,1)</f>
        <v>0.48586868055555549</v>
      </c>
      <c r="F169" t="s">
        <v>9</v>
      </c>
      <c r="G169">
        <v>-121</v>
      </c>
      <c r="H169">
        <f>Table146[[#This Row],[RSSI]]</f>
        <v>-121</v>
      </c>
      <c r="I169">
        <v>-8</v>
      </c>
      <c r="L169">
        <f>390+2*(Table257[[#This Row],[min value (corrected)]]-27)</f>
        <v>394</v>
      </c>
      <c r="M169">
        <f>MINUTE(Table257[[#This Row],[Corrected time]])</f>
        <v>29</v>
      </c>
      <c r="N169" s="1">
        <v>0.52051218749999995</v>
      </c>
      <c r="O169" s="1">
        <f>Table257[[#This Row],[Time]]-TIME(0,0,3)</f>
        <v>0.52047746527777772</v>
      </c>
      <c r="P169" t="s">
        <v>9</v>
      </c>
      <c r="Q169">
        <v>-121</v>
      </c>
      <c r="R169">
        <f>Table257[[#This Row],[RSSI]]</f>
        <v>-121</v>
      </c>
      <c r="S169">
        <v>-7.2</v>
      </c>
    </row>
    <row r="170" spans="2:19" x14ac:dyDescent="0.25">
      <c r="B170">
        <f>390+2*(Table146[[#This Row],[min value (corrected)]]-37)</f>
        <v>394</v>
      </c>
      <c r="C170">
        <f>MINUTE(Table146[[#This Row],[Corrected time]])</f>
        <v>39</v>
      </c>
      <c r="D170" s="1">
        <v>0.48589328703703705</v>
      </c>
      <c r="E170" s="1">
        <f>Table146[[#This Row],[Time]]-TIME(0,0,1)</f>
        <v>0.48588171296296295</v>
      </c>
      <c r="F170" t="s">
        <v>9</v>
      </c>
      <c r="G170">
        <v>-121</v>
      </c>
      <c r="H170">
        <f>Table146[[#This Row],[RSSI]]</f>
        <v>-121</v>
      </c>
      <c r="I170">
        <v>-7.5</v>
      </c>
      <c r="L170">
        <f>390+2*(Table257[[#This Row],[min value (corrected)]]-27)</f>
        <v>394</v>
      </c>
      <c r="M170">
        <f>MINUTE(Table257[[#This Row],[Corrected time]])</f>
        <v>29</v>
      </c>
      <c r="N170" s="1">
        <v>0.52052521990740741</v>
      </c>
      <c r="O170" s="1">
        <f>Table257[[#This Row],[Time]]-TIME(0,0,3)</f>
        <v>0.52049049768518518</v>
      </c>
      <c r="P170" t="s">
        <v>9</v>
      </c>
      <c r="Q170">
        <v>-121</v>
      </c>
      <c r="R170">
        <f>Table257[[#This Row],[RSSI]]</f>
        <v>-121</v>
      </c>
      <c r="S170">
        <v>-7</v>
      </c>
    </row>
    <row r="171" spans="2:19" x14ac:dyDescent="0.25">
      <c r="B171">
        <f>390+2*(Table146[[#This Row],[min value (corrected)]]-37)</f>
        <v>394</v>
      </c>
      <c r="C171">
        <f>MINUTE(Table146[[#This Row],[Corrected time]])</f>
        <v>39</v>
      </c>
      <c r="D171" s="1">
        <v>0.4859063194444444</v>
      </c>
      <c r="E171" s="1">
        <f>Table146[[#This Row],[Time]]-TIME(0,0,1)</f>
        <v>0.48589474537037031</v>
      </c>
      <c r="F171" t="s">
        <v>9</v>
      </c>
      <c r="G171">
        <v>-121</v>
      </c>
      <c r="H171">
        <f>Table146[[#This Row],[RSSI]]</f>
        <v>-121</v>
      </c>
      <c r="I171">
        <v>-7.5</v>
      </c>
      <c r="L171">
        <f>390+2*(Table257[[#This Row],[min value (corrected)]]-27)</f>
        <v>394</v>
      </c>
      <c r="M171">
        <f>MINUTE(Table257[[#This Row],[Corrected time]])</f>
        <v>29</v>
      </c>
      <c r="N171" s="1">
        <v>0.52053825231481476</v>
      </c>
      <c r="O171" s="1">
        <f>Table257[[#This Row],[Time]]-TIME(0,0,3)</f>
        <v>0.52050353009259254</v>
      </c>
      <c r="P171" t="s">
        <v>9</v>
      </c>
      <c r="Q171">
        <v>-121</v>
      </c>
      <c r="R171">
        <f>Table257[[#This Row],[RSSI]]</f>
        <v>-121</v>
      </c>
      <c r="S171">
        <v>-7.5</v>
      </c>
    </row>
    <row r="172" spans="2:19" x14ac:dyDescent="0.25">
      <c r="B172">
        <f>390+2*(Table146[[#This Row],[min value (corrected)]]-37)</f>
        <v>394</v>
      </c>
      <c r="C172">
        <f>MINUTE(Table146[[#This Row],[Corrected time]])</f>
        <v>39</v>
      </c>
      <c r="D172" s="1">
        <v>0.48591935185185187</v>
      </c>
      <c r="E172" s="1">
        <f>Table146[[#This Row],[Time]]-TIME(0,0,1)</f>
        <v>0.48590777777777777</v>
      </c>
      <c r="F172" t="s">
        <v>9</v>
      </c>
      <c r="G172">
        <v>-121</v>
      </c>
      <c r="H172">
        <f>Table146[[#This Row],[RSSI]]</f>
        <v>-121</v>
      </c>
      <c r="I172">
        <v>-8</v>
      </c>
      <c r="L172">
        <f>390+2*(Table257[[#This Row],[min value (corrected)]]-27)</f>
        <v>394</v>
      </c>
      <c r="M172">
        <f>MINUTE(Table257[[#This Row],[Corrected time]])</f>
        <v>29</v>
      </c>
      <c r="N172" s="1">
        <v>0.52055128472222223</v>
      </c>
      <c r="O172" s="1">
        <f>Table257[[#This Row],[Time]]-TIME(0,0,3)</f>
        <v>0.5205165625</v>
      </c>
      <c r="P172" t="s">
        <v>9</v>
      </c>
      <c r="Q172">
        <v>-121</v>
      </c>
      <c r="R172">
        <f>Table257[[#This Row],[RSSI]]</f>
        <v>-121</v>
      </c>
      <c r="S172">
        <v>-7.2</v>
      </c>
    </row>
    <row r="173" spans="2:19" x14ac:dyDescent="0.25">
      <c r="B173">
        <f>390+2*(Table146[[#This Row],[min value (corrected)]]-37)</f>
        <v>394</v>
      </c>
      <c r="C173">
        <f>MINUTE(Table146[[#This Row],[Corrected time]])</f>
        <v>39</v>
      </c>
      <c r="D173" s="1">
        <v>0.48593238425925922</v>
      </c>
      <c r="E173" s="1">
        <f>Table146[[#This Row],[Time]]-TIME(0,0,1)</f>
        <v>0.48592081018518513</v>
      </c>
      <c r="F173" t="s">
        <v>9</v>
      </c>
      <c r="G173">
        <v>-121</v>
      </c>
      <c r="H173">
        <f>Table146[[#This Row],[RSSI]]</f>
        <v>-121</v>
      </c>
      <c r="I173">
        <v>-8</v>
      </c>
      <c r="L173">
        <f>390+2*(Table257[[#This Row],[min value (corrected)]]-27)</f>
        <v>394</v>
      </c>
      <c r="M173">
        <f>MINUTE(Table257[[#This Row],[Corrected time]])</f>
        <v>29</v>
      </c>
      <c r="N173" s="1">
        <v>0.52056431712962958</v>
      </c>
      <c r="O173" s="1">
        <f>Table257[[#This Row],[Time]]-TIME(0,0,3)</f>
        <v>0.52052959490740736</v>
      </c>
      <c r="P173" t="s">
        <v>9</v>
      </c>
      <c r="Q173">
        <v>-121</v>
      </c>
      <c r="R173">
        <f>Table257[[#This Row],[RSSI]]</f>
        <v>-121</v>
      </c>
      <c r="S173">
        <v>-7.7</v>
      </c>
    </row>
    <row r="174" spans="2:19" x14ac:dyDescent="0.25">
      <c r="B174">
        <f>390+2*(Table146[[#This Row],[min value (corrected)]]-37)</f>
        <v>394</v>
      </c>
      <c r="C174">
        <f>MINUTE(Table146[[#This Row],[Corrected time]])</f>
        <v>39</v>
      </c>
      <c r="D174" s="1">
        <v>0.48594540509259254</v>
      </c>
      <c r="E174" s="1">
        <f>Table146[[#This Row],[Time]]-TIME(0,0,1)</f>
        <v>0.48593383101851845</v>
      </c>
      <c r="F174" t="s">
        <v>9</v>
      </c>
      <c r="G174">
        <v>-121</v>
      </c>
      <c r="H174">
        <f>Table146[[#This Row],[RSSI]]</f>
        <v>-121</v>
      </c>
      <c r="I174">
        <v>-7.7</v>
      </c>
      <c r="L174">
        <f>390+2*(Table257[[#This Row],[min value (corrected)]]-27)</f>
        <v>394</v>
      </c>
      <c r="M174">
        <f>MINUTE(Table257[[#This Row],[Corrected time]])</f>
        <v>29</v>
      </c>
      <c r="N174" s="1">
        <v>0.52057734953703705</v>
      </c>
      <c r="O174" s="1">
        <f>Table257[[#This Row],[Time]]-TIME(0,0,3)</f>
        <v>0.52054262731481482</v>
      </c>
      <c r="P174" t="s">
        <v>9</v>
      </c>
      <c r="Q174">
        <v>-121</v>
      </c>
      <c r="R174">
        <f>Table257[[#This Row],[RSSI]]</f>
        <v>-121</v>
      </c>
      <c r="S174">
        <v>-7.5</v>
      </c>
    </row>
    <row r="175" spans="2:19" x14ac:dyDescent="0.25">
      <c r="B175">
        <f>390+2*(Table146[[#This Row],[min value (corrected)]]-37)</f>
        <v>394</v>
      </c>
      <c r="C175">
        <f>MINUTE(Table146[[#This Row],[Corrected time]])</f>
        <v>39</v>
      </c>
      <c r="D175" s="1">
        <v>0.48595844907407404</v>
      </c>
      <c r="E175" s="1">
        <f>Table146[[#This Row],[Time]]-TIME(0,0,1)</f>
        <v>0.48594687499999994</v>
      </c>
      <c r="F175" t="s">
        <v>9</v>
      </c>
      <c r="G175">
        <v>-121</v>
      </c>
      <c r="H175">
        <f>Table146[[#This Row],[RSSI]]</f>
        <v>-121</v>
      </c>
      <c r="I175">
        <v>-8</v>
      </c>
      <c r="L175">
        <f>390+2*(Table257[[#This Row],[min value (corrected)]]-27)</f>
        <v>394</v>
      </c>
      <c r="M175">
        <f>MINUTE(Table257[[#This Row],[Corrected time]])</f>
        <v>29</v>
      </c>
      <c r="N175" s="1">
        <v>0.5205903819444444</v>
      </c>
      <c r="O175" s="1">
        <f>Table257[[#This Row],[Time]]-TIME(0,0,3)</f>
        <v>0.52055565972222217</v>
      </c>
      <c r="P175" t="s">
        <v>9</v>
      </c>
      <c r="Q175">
        <v>-121</v>
      </c>
      <c r="R175">
        <f>Table257[[#This Row],[RSSI]]</f>
        <v>-121</v>
      </c>
      <c r="S175">
        <v>-7.5</v>
      </c>
    </row>
    <row r="176" spans="2:19" x14ac:dyDescent="0.25">
      <c r="B176">
        <f>390+2*(Table146[[#This Row],[min value (corrected)]]-37)</f>
        <v>394</v>
      </c>
      <c r="C176">
        <f>MINUTE(Table146[[#This Row],[Corrected time]])</f>
        <v>39</v>
      </c>
      <c r="D176" s="1">
        <v>0.4859714814814815</v>
      </c>
      <c r="E176" s="1">
        <f>Table146[[#This Row],[Time]]-TIME(0,0,1)</f>
        <v>0.48595990740740741</v>
      </c>
      <c r="F176" t="s">
        <v>9</v>
      </c>
      <c r="G176">
        <v>-121</v>
      </c>
      <c r="H176">
        <f>Table146[[#This Row],[RSSI]]</f>
        <v>-121</v>
      </c>
      <c r="I176">
        <v>-7.5</v>
      </c>
      <c r="L176">
        <f>390+2*(Table257[[#This Row],[min value (corrected)]]-27)</f>
        <v>394</v>
      </c>
      <c r="M176">
        <f>MINUTE(Table257[[#This Row],[Corrected time]])</f>
        <v>29</v>
      </c>
      <c r="N176" s="1">
        <v>0.52060341435185187</v>
      </c>
      <c r="O176" s="1">
        <f>Table257[[#This Row],[Time]]-TIME(0,0,3)</f>
        <v>0.52056869212962964</v>
      </c>
      <c r="P176" t="s">
        <v>9</v>
      </c>
      <c r="Q176">
        <v>-121</v>
      </c>
      <c r="R176">
        <f>Table257[[#This Row],[RSSI]]</f>
        <v>-121</v>
      </c>
      <c r="S176">
        <v>-7.2</v>
      </c>
    </row>
    <row r="177" spans="2:19" x14ac:dyDescent="0.25">
      <c r="B177">
        <f>390+2*(Table146[[#This Row],[min value (corrected)]]-37)</f>
        <v>394</v>
      </c>
      <c r="C177">
        <f>MINUTE(Table146[[#This Row],[Corrected time]])</f>
        <v>39</v>
      </c>
      <c r="D177" s="1">
        <v>0.48598451388888886</v>
      </c>
      <c r="E177" s="1">
        <f>Table146[[#This Row],[Time]]-TIME(0,0,1)</f>
        <v>0.48597293981481476</v>
      </c>
      <c r="F177" t="s">
        <v>9</v>
      </c>
      <c r="G177">
        <v>-121</v>
      </c>
      <c r="H177">
        <f>Table146[[#This Row],[RSSI]]</f>
        <v>-121</v>
      </c>
      <c r="I177">
        <v>-7.7</v>
      </c>
      <c r="L177">
        <f>390+2*(Table257[[#This Row],[min value (corrected)]]-27)</f>
        <v>394</v>
      </c>
      <c r="M177">
        <f>MINUTE(Table257[[#This Row],[Corrected time]])</f>
        <v>29</v>
      </c>
      <c r="N177" s="1">
        <v>0.52061644675925922</v>
      </c>
      <c r="O177" s="1">
        <f>Table257[[#This Row],[Time]]-TIME(0,0,3)</f>
        <v>0.52058172453703699</v>
      </c>
      <c r="P177" t="s">
        <v>9</v>
      </c>
      <c r="Q177">
        <v>-121</v>
      </c>
      <c r="R177">
        <f>Table257[[#This Row],[RSSI]]</f>
        <v>-121</v>
      </c>
      <c r="S177">
        <v>-7.5</v>
      </c>
    </row>
    <row r="178" spans="2:19" x14ac:dyDescent="0.25">
      <c r="B178">
        <f>390+2*(Table146[[#This Row],[min value (corrected)]]-37)</f>
        <v>394</v>
      </c>
      <c r="C178">
        <f>MINUTE(Table146[[#This Row],[Corrected time]])</f>
        <v>39</v>
      </c>
      <c r="D178" s="1">
        <v>0.48599754629629632</v>
      </c>
      <c r="E178" s="1">
        <f>Table146[[#This Row],[Time]]-TIME(0,0,1)</f>
        <v>0.48598597222222223</v>
      </c>
      <c r="F178" t="s">
        <v>9</v>
      </c>
      <c r="G178">
        <v>-122</v>
      </c>
      <c r="H178">
        <f>Table146[[#This Row],[RSSI]]</f>
        <v>-122</v>
      </c>
      <c r="I178">
        <v>-8.3000000000000007</v>
      </c>
      <c r="L178">
        <f>390+2*(Table257[[#This Row],[min value (corrected)]]-27)</f>
        <v>394</v>
      </c>
      <c r="M178">
        <f>MINUTE(Table257[[#This Row],[Corrected time]])</f>
        <v>29</v>
      </c>
      <c r="N178" s="1">
        <v>0.52062947916666669</v>
      </c>
      <c r="O178" s="1">
        <f>Table257[[#This Row],[Time]]-TIME(0,0,3)</f>
        <v>0.52059475694444446</v>
      </c>
      <c r="P178" t="s">
        <v>9</v>
      </c>
      <c r="Q178">
        <v>-121</v>
      </c>
      <c r="R178">
        <f>Table257[[#This Row],[RSSI]]</f>
        <v>-121</v>
      </c>
      <c r="S178">
        <v>-7.5</v>
      </c>
    </row>
    <row r="179" spans="2:19" x14ac:dyDescent="0.25">
      <c r="B179">
        <f>390+2*(Table146[[#This Row],[min value (corrected)]]-37)</f>
        <v>394</v>
      </c>
      <c r="C179">
        <f>MINUTE(Table146[[#This Row],[Corrected time]])</f>
        <v>39</v>
      </c>
      <c r="D179" s="1">
        <v>0.48601056712962964</v>
      </c>
      <c r="E179" s="1">
        <f>Table146[[#This Row],[Time]]-TIME(0,0,1)</f>
        <v>0.48599899305555555</v>
      </c>
      <c r="F179" t="s">
        <v>9</v>
      </c>
      <c r="G179">
        <v>-121</v>
      </c>
      <c r="H179">
        <f>Table146[[#This Row],[RSSI]]</f>
        <v>-121</v>
      </c>
      <c r="I179">
        <v>-8</v>
      </c>
      <c r="L179">
        <f>390+2*(Table257[[#This Row],[min value (corrected)]]-27)</f>
        <v>394</v>
      </c>
      <c r="M179">
        <f>MINUTE(Table257[[#This Row],[Corrected time]])</f>
        <v>29</v>
      </c>
      <c r="N179" s="1">
        <v>0.52064251157407404</v>
      </c>
      <c r="O179" s="1">
        <f>Table257[[#This Row],[Time]]-TIME(0,0,3)</f>
        <v>0.52060778935185181</v>
      </c>
      <c r="P179" t="s">
        <v>9</v>
      </c>
      <c r="Q179">
        <v>-121</v>
      </c>
      <c r="R179">
        <f>Table257[[#This Row],[RSSI]]</f>
        <v>-121</v>
      </c>
      <c r="S179">
        <v>-7.7</v>
      </c>
    </row>
    <row r="180" spans="2:19" x14ac:dyDescent="0.25">
      <c r="B180">
        <f>390+2*(Table146[[#This Row],[min value (corrected)]]-37)</f>
        <v>394</v>
      </c>
      <c r="C180">
        <f>MINUTE(Table146[[#This Row],[Corrected time]])</f>
        <v>39</v>
      </c>
      <c r="D180" s="1">
        <v>0.486023599537037</v>
      </c>
      <c r="E180" s="1">
        <f>Table146[[#This Row],[Time]]-TIME(0,0,1)</f>
        <v>0.4860120254629629</v>
      </c>
      <c r="F180" t="s">
        <v>9</v>
      </c>
      <c r="G180">
        <v>-121</v>
      </c>
      <c r="H180">
        <f>Table146[[#This Row],[RSSI]]</f>
        <v>-121</v>
      </c>
      <c r="I180">
        <v>-7.2</v>
      </c>
      <c r="L180">
        <f>390+2*(Table257[[#This Row],[min value (corrected)]]-27)</f>
        <v>394</v>
      </c>
      <c r="M180">
        <f>MINUTE(Table257[[#This Row],[Corrected time]])</f>
        <v>29</v>
      </c>
      <c r="N180" s="1">
        <v>0.52065554398148151</v>
      </c>
      <c r="O180" s="1">
        <f>Table257[[#This Row],[Time]]-TIME(0,0,3)</f>
        <v>0.52062082175925928</v>
      </c>
      <c r="P180" t="s">
        <v>9</v>
      </c>
      <c r="Q180">
        <v>-121</v>
      </c>
      <c r="R180">
        <f>Table257[[#This Row],[RSSI]]</f>
        <v>-121</v>
      </c>
      <c r="S180">
        <v>-7.5</v>
      </c>
    </row>
    <row r="181" spans="2:19" x14ac:dyDescent="0.25">
      <c r="B181">
        <f>390+2*(Table146[[#This Row],[min value (corrected)]]-37)</f>
        <v>394</v>
      </c>
      <c r="C181">
        <f>MINUTE(Table146[[#This Row],[Corrected time]])</f>
        <v>39</v>
      </c>
      <c r="D181" s="1">
        <v>0.4860366435185185</v>
      </c>
      <c r="E181" s="1">
        <f>Table146[[#This Row],[Time]]-TIME(0,0,1)</f>
        <v>0.4860250694444444</v>
      </c>
      <c r="F181" t="s">
        <v>9</v>
      </c>
      <c r="G181">
        <v>-122</v>
      </c>
      <c r="H181">
        <f>Table146[[#This Row],[RSSI]]</f>
        <v>-122</v>
      </c>
      <c r="I181">
        <v>-8.3000000000000007</v>
      </c>
      <c r="L181">
        <f>390+2*(Table257[[#This Row],[min value (corrected)]]-27)</f>
        <v>394</v>
      </c>
      <c r="M181">
        <f>MINUTE(Table257[[#This Row],[Corrected time]])</f>
        <v>29</v>
      </c>
      <c r="N181" s="1">
        <v>0.52066857638888886</v>
      </c>
      <c r="O181" s="1">
        <f>Table257[[#This Row],[Time]]-TIME(0,0,3)</f>
        <v>0.52063385416666663</v>
      </c>
      <c r="P181" t="s">
        <v>9</v>
      </c>
      <c r="Q181">
        <v>-121</v>
      </c>
      <c r="R181">
        <f>Table257[[#This Row],[RSSI]]</f>
        <v>-121</v>
      </c>
      <c r="S181">
        <v>-7.7</v>
      </c>
    </row>
    <row r="182" spans="2:19" x14ac:dyDescent="0.25">
      <c r="B182">
        <f>390+2*(Table146[[#This Row],[min value (corrected)]]-37)</f>
        <v>394</v>
      </c>
      <c r="C182">
        <f>MINUTE(Table146[[#This Row],[Corrected time]])</f>
        <v>39</v>
      </c>
      <c r="D182" s="1">
        <v>0.48604966435185182</v>
      </c>
      <c r="E182" s="1">
        <f>Table146[[#This Row],[Time]]-TIME(0,0,1)</f>
        <v>0.48603809027777772</v>
      </c>
      <c r="F182" t="s">
        <v>9</v>
      </c>
      <c r="G182">
        <v>-121</v>
      </c>
      <c r="H182">
        <f>Table146[[#This Row],[RSSI]]</f>
        <v>-121</v>
      </c>
      <c r="I182">
        <v>-7.5</v>
      </c>
      <c r="L182">
        <f>390+2*(Table257[[#This Row],[min value (corrected)]]-27)</f>
        <v>394</v>
      </c>
      <c r="M182">
        <f>MINUTE(Table257[[#This Row],[Corrected time]])</f>
        <v>29</v>
      </c>
      <c r="N182" s="1">
        <v>0.52068160879629632</v>
      </c>
      <c r="O182" s="1">
        <f>Table257[[#This Row],[Time]]-TIME(0,0,3)</f>
        <v>0.5206468865740741</v>
      </c>
      <c r="P182" t="s">
        <v>9</v>
      </c>
      <c r="Q182">
        <v>-122</v>
      </c>
      <c r="R182">
        <f>Table257[[#This Row],[RSSI]]</f>
        <v>-122</v>
      </c>
      <c r="S182">
        <v>-7.7</v>
      </c>
    </row>
    <row r="183" spans="2:19" x14ac:dyDescent="0.25">
      <c r="B183">
        <f>390+2*(Table146[[#This Row],[min value (corrected)]]-37)</f>
        <v>394</v>
      </c>
      <c r="C183">
        <f>MINUTE(Table146[[#This Row],[Corrected time]])</f>
        <v>39</v>
      </c>
      <c r="D183" s="1">
        <v>0.48606270833333332</v>
      </c>
      <c r="E183" s="1">
        <f>Table146[[#This Row],[Time]]-TIME(0,0,1)</f>
        <v>0.48605113425925922</v>
      </c>
      <c r="F183" t="s">
        <v>9</v>
      </c>
      <c r="G183">
        <v>-121</v>
      </c>
      <c r="H183">
        <f>Table146[[#This Row],[RSSI]]</f>
        <v>-121</v>
      </c>
      <c r="I183">
        <v>-8</v>
      </c>
      <c r="L183">
        <f>390+2*(Table257[[#This Row],[min value (corrected)]]-27)</f>
        <v>394</v>
      </c>
      <c r="M183">
        <f>MINUTE(Table257[[#This Row],[Corrected time]])</f>
        <v>29</v>
      </c>
      <c r="N183" s="1">
        <v>0.52069464120370368</v>
      </c>
      <c r="O183" s="1">
        <f>Table257[[#This Row],[Time]]-TIME(0,0,3)</f>
        <v>0.52065991898148145</v>
      </c>
      <c r="P183" t="s">
        <v>9</v>
      </c>
      <c r="Q183">
        <v>-121</v>
      </c>
      <c r="R183">
        <f>Table257[[#This Row],[RSSI]]</f>
        <v>-121</v>
      </c>
      <c r="S183">
        <v>-7.7</v>
      </c>
    </row>
    <row r="184" spans="2:19" x14ac:dyDescent="0.25">
      <c r="B184">
        <f>390+2*(Table146[[#This Row],[min value (corrected)]]-37)</f>
        <v>394</v>
      </c>
      <c r="C184">
        <f>MINUTE(Table146[[#This Row],[Corrected time]])</f>
        <v>39</v>
      </c>
      <c r="D184" s="1">
        <v>0.48607574074074078</v>
      </c>
      <c r="E184" s="1">
        <f>Table146[[#This Row],[Time]]-TIME(0,0,1)</f>
        <v>0.48606416666666669</v>
      </c>
      <c r="F184" t="s">
        <v>9</v>
      </c>
      <c r="G184">
        <v>-122</v>
      </c>
      <c r="H184">
        <f>Table146[[#This Row],[RSSI]]</f>
        <v>-122</v>
      </c>
      <c r="I184">
        <v>-8.3000000000000007</v>
      </c>
      <c r="L184">
        <f>390+2*(Table257[[#This Row],[min value (corrected)]]-27)</f>
        <v>394</v>
      </c>
      <c r="M184">
        <f>MINUTE(Table257[[#This Row],[Corrected time]])</f>
        <v>29</v>
      </c>
      <c r="N184" s="1">
        <v>0.52070767361111103</v>
      </c>
      <c r="O184" s="1">
        <f>Table257[[#This Row],[Time]]-TIME(0,0,3)</f>
        <v>0.52067295138888881</v>
      </c>
      <c r="P184" t="s">
        <v>9</v>
      </c>
      <c r="Q184">
        <v>-121</v>
      </c>
      <c r="R184">
        <f>Table257[[#This Row],[RSSI]]</f>
        <v>-121</v>
      </c>
      <c r="S184">
        <v>-7.7</v>
      </c>
    </row>
    <row r="185" spans="2:19" x14ac:dyDescent="0.25">
      <c r="B185">
        <f>390+2*(Table146[[#This Row],[min value (corrected)]]-37)</f>
        <v>394</v>
      </c>
      <c r="C185">
        <f>MINUTE(Table146[[#This Row],[Corrected time]])</f>
        <v>39</v>
      </c>
      <c r="D185" s="1">
        <v>0.48608877314814813</v>
      </c>
      <c r="E185" s="1">
        <f>Table146[[#This Row],[Time]]-TIME(0,0,1)</f>
        <v>0.48607719907407404</v>
      </c>
      <c r="F185" t="s">
        <v>9</v>
      </c>
      <c r="G185">
        <v>-121</v>
      </c>
      <c r="H185">
        <f>Table146[[#This Row],[RSSI]]</f>
        <v>-121</v>
      </c>
      <c r="I185">
        <v>-7.5</v>
      </c>
      <c r="L185">
        <f>390+2*(Table257[[#This Row],[min value (corrected)]]-27)</f>
        <v>394</v>
      </c>
      <c r="M185">
        <f>MINUTE(Table257[[#This Row],[Corrected time]])</f>
        <v>29</v>
      </c>
      <c r="N185" s="1">
        <v>0.5207207060185185</v>
      </c>
      <c r="O185" s="1">
        <f>Table257[[#This Row],[Time]]-TIME(0,0,3)</f>
        <v>0.52068598379629627</v>
      </c>
      <c r="P185" t="s">
        <v>9</v>
      </c>
      <c r="Q185">
        <v>-121</v>
      </c>
      <c r="R185">
        <f>Table257[[#This Row],[RSSI]]</f>
        <v>-121</v>
      </c>
      <c r="S185">
        <v>-7.5</v>
      </c>
    </row>
    <row r="186" spans="2:19" x14ac:dyDescent="0.25">
      <c r="B186">
        <f>390+2*(Table146[[#This Row],[min value (corrected)]]-37)</f>
        <v>394</v>
      </c>
      <c r="C186">
        <f>MINUTE(Table146[[#This Row],[Corrected time]])</f>
        <v>39</v>
      </c>
      <c r="D186" s="1">
        <v>0.4861018055555556</v>
      </c>
      <c r="E186" s="1">
        <f>Table146[[#This Row],[Time]]-TIME(0,0,1)</f>
        <v>0.48609023148148151</v>
      </c>
      <c r="F186" t="s">
        <v>9</v>
      </c>
      <c r="G186">
        <v>-121</v>
      </c>
      <c r="H186">
        <f>Table146[[#This Row],[RSSI]]</f>
        <v>-121</v>
      </c>
      <c r="I186">
        <v>-7.2</v>
      </c>
      <c r="L186">
        <f>390+2*(Table257[[#This Row],[min value (corrected)]]-27)</f>
        <v>394</v>
      </c>
      <c r="M186">
        <f>MINUTE(Table257[[#This Row],[Corrected time]])</f>
        <v>29</v>
      </c>
      <c r="N186" s="1">
        <v>0.52073373842592585</v>
      </c>
      <c r="O186" s="1">
        <f>Table257[[#This Row],[Time]]-TIME(0,0,3)</f>
        <v>0.52069901620370362</v>
      </c>
      <c r="P186" t="s">
        <v>9</v>
      </c>
      <c r="Q186">
        <v>-121</v>
      </c>
      <c r="R186">
        <f>Table257[[#This Row],[RSSI]]</f>
        <v>-121</v>
      </c>
      <c r="S186">
        <v>-7.2</v>
      </c>
    </row>
    <row r="187" spans="2:19" x14ac:dyDescent="0.25">
      <c r="B187">
        <f>390+2*(Table146[[#This Row],[min value (corrected)]]-37)</f>
        <v>394</v>
      </c>
      <c r="C187">
        <f>MINUTE(Table146[[#This Row],[Corrected time]])</f>
        <v>39</v>
      </c>
      <c r="D187" s="1">
        <v>0.48611483796296295</v>
      </c>
      <c r="E187" s="1">
        <f>Table146[[#This Row],[Time]]-TIME(0,0,1)</f>
        <v>0.48610326388888886</v>
      </c>
      <c r="F187" t="s">
        <v>9</v>
      </c>
      <c r="G187">
        <v>-122</v>
      </c>
      <c r="H187">
        <f>Table146[[#This Row],[RSSI]]</f>
        <v>-122</v>
      </c>
      <c r="I187">
        <v>-8.5</v>
      </c>
      <c r="L187">
        <f>390+2*(Table257[[#This Row],[min value (corrected)]]-27)</f>
        <v>394</v>
      </c>
      <c r="M187">
        <f>MINUTE(Table257[[#This Row],[Corrected time]])</f>
        <v>29</v>
      </c>
      <c r="N187" s="1">
        <v>0.52074677083333332</v>
      </c>
      <c r="O187" s="1">
        <f>Table257[[#This Row],[Time]]-TIME(0,0,3)</f>
        <v>0.52071204861111109</v>
      </c>
      <c r="P187" t="s">
        <v>9</v>
      </c>
      <c r="Q187">
        <v>-121</v>
      </c>
      <c r="R187">
        <f>Table257[[#This Row],[RSSI]]</f>
        <v>-121</v>
      </c>
      <c r="S187">
        <v>-7.5</v>
      </c>
    </row>
    <row r="188" spans="2:19" x14ac:dyDescent="0.25">
      <c r="B188">
        <f>390+2*(Table146[[#This Row],[min value (corrected)]]-37)</f>
        <v>396</v>
      </c>
      <c r="C188">
        <f>MINUTE(Table146[[#This Row],[Corrected time]])</f>
        <v>40</v>
      </c>
      <c r="D188" s="1">
        <v>0.48612787037037031</v>
      </c>
      <c r="E188" s="1">
        <f>Table146[[#This Row],[Time]]-TIME(0,0,1)</f>
        <v>0.48611629629629621</v>
      </c>
      <c r="F188" t="s">
        <v>9</v>
      </c>
      <c r="G188">
        <v>-121</v>
      </c>
      <c r="H188">
        <f>Table146[[#This Row],[RSSI]]</f>
        <v>-121</v>
      </c>
      <c r="I188">
        <v>-8</v>
      </c>
      <c r="L188">
        <f>390+2*(Table257[[#This Row],[min value (corrected)]]-27)</f>
        <v>394</v>
      </c>
      <c r="M188">
        <f>MINUTE(Table257[[#This Row],[Corrected time]])</f>
        <v>29</v>
      </c>
      <c r="N188" s="1">
        <v>0.52075980324074067</v>
      </c>
      <c r="O188" s="1">
        <f>Table257[[#This Row],[Time]]-TIME(0,0,3)</f>
        <v>0.52072508101851844</v>
      </c>
      <c r="P188" t="s">
        <v>9</v>
      </c>
      <c r="Q188">
        <v>-121</v>
      </c>
      <c r="R188">
        <f>Table257[[#This Row],[RSSI]]</f>
        <v>-121</v>
      </c>
      <c r="S188">
        <v>-8</v>
      </c>
    </row>
    <row r="189" spans="2:19" x14ac:dyDescent="0.25">
      <c r="B189">
        <f>390+2*(Table146[[#This Row],[min value (corrected)]]-37)</f>
        <v>396</v>
      </c>
      <c r="C189">
        <f>MINUTE(Table146[[#This Row],[Corrected time]])</f>
        <v>40</v>
      </c>
      <c r="D189" s="1">
        <v>0.48614087962962965</v>
      </c>
      <c r="E189" s="1">
        <f>Table146[[#This Row],[Time]]-TIME(0,0,1)</f>
        <v>0.48612930555555556</v>
      </c>
      <c r="F189" t="s">
        <v>9</v>
      </c>
      <c r="G189">
        <v>-122</v>
      </c>
      <c r="H189">
        <f>Table146[[#This Row],[RSSI]]</f>
        <v>-122</v>
      </c>
      <c r="I189">
        <v>-8.5</v>
      </c>
      <c r="L189">
        <f>390+2*(Table257[[#This Row],[min value (corrected)]]-27)</f>
        <v>394</v>
      </c>
      <c r="M189">
        <f>MINUTE(Table257[[#This Row],[Corrected time]])</f>
        <v>29</v>
      </c>
      <c r="N189" s="1">
        <v>0.52077283564814814</v>
      </c>
      <c r="O189" s="1">
        <f>Table257[[#This Row],[Time]]-TIME(0,0,3)</f>
        <v>0.52073811342592591</v>
      </c>
      <c r="P189" t="s">
        <v>9</v>
      </c>
      <c r="Q189">
        <v>-121</v>
      </c>
      <c r="R189">
        <f>Table257[[#This Row],[RSSI]]</f>
        <v>-121</v>
      </c>
      <c r="S189">
        <v>-8</v>
      </c>
    </row>
    <row r="190" spans="2:19" x14ac:dyDescent="0.25">
      <c r="B190">
        <f>390+2*(Table146[[#This Row],[min value (corrected)]]-37)</f>
        <v>396</v>
      </c>
      <c r="C190">
        <f>MINUTE(Table146[[#This Row],[Corrected time]])</f>
        <v>40</v>
      </c>
      <c r="D190" s="1">
        <v>0.48615393518518513</v>
      </c>
      <c r="E190" s="1">
        <f>Table146[[#This Row],[Time]]-TIME(0,0,1)</f>
        <v>0.48614236111111103</v>
      </c>
      <c r="F190" t="s">
        <v>13</v>
      </c>
      <c r="G190">
        <f>G189</f>
        <v>-122</v>
      </c>
      <c r="H190">
        <f>Table146[[#This Row],[RSSI]]</f>
        <v>-122</v>
      </c>
      <c r="I190">
        <f>I189</f>
        <v>-8.5</v>
      </c>
      <c r="L190">
        <f>390+2*(Table257[[#This Row],[min value (corrected)]]-27)</f>
        <v>394</v>
      </c>
      <c r="M190">
        <f>MINUTE(Table257[[#This Row],[Corrected time]])</f>
        <v>29</v>
      </c>
      <c r="N190" s="1">
        <v>0.52078586805555549</v>
      </c>
      <c r="O190" s="1">
        <f>Table257[[#This Row],[Time]]-TIME(0,0,3)</f>
        <v>0.52075114583333326</v>
      </c>
      <c r="P190" t="s">
        <v>9</v>
      </c>
      <c r="Q190">
        <v>-121</v>
      </c>
      <c r="R190">
        <f>Table257[[#This Row],[RSSI]]</f>
        <v>-121</v>
      </c>
      <c r="S190">
        <v>-7.5</v>
      </c>
    </row>
    <row r="191" spans="2:19" x14ac:dyDescent="0.25">
      <c r="B191">
        <f>390+2*(Table146[[#This Row],[min value (corrected)]]-37)</f>
        <v>396</v>
      </c>
      <c r="C191">
        <f>MINUTE(Table146[[#This Row],[Corrected time]])</f>
        <v>40</v>
      </c>
      <c r="D191" s="1">
        <v>0.48616696759259259</v>
      </c>
      <c r="E191" s="1">
        <f>Table146[[#This Row],[Time]]-TIME(0,0,1)</f>
        <v>0.4861553935185185</v>
      </c>
      <c r="F191" t="s">
        <v>9</v>
      </c>
      <c r="G191">
        <v>-121</v>
      </c>
      <c r="H191">
        <f>Table146[[#This Row],[RSSI]]</f>
        <v>-121</v>
      </c>
      <c r="I191">
        <v>-8</v>
      </c>
      <c r="L191">
        <f>390+2*(Table257[[#This Row],[min value (corrected)]]-27)</f>
        <v>394</v>
      </c>
      <c r="M191">
        <f>MINUTE(Table257[[#This Row],[Corrected time]])</f>
        <v>29</v>
      </c>
      <c r="N191" s="1">
        <v>0.52079890046296295</v>
      </c>
      <c r="O191" s="1">
        <f>Table257[[#This Row],[Time]]-TIME(0,0,3)</f>
        <v>0.52076417824074073</v>
      </c>
      <c r="P191" t="s">
        <v>9</v>
      </c>
      <c r="Q191">
        <v>-121</v>
      </c>
      <c r="R191">
        <f>Table257[[#This Row],[RSSI]]</f>
        <v>-121</v>
      </c>
      <c r="S191">
        <v>-7.2</v>
      </c>
    </row>
    <row r="192" spans="2:19" x14ac:dyDescent="0.25">
      <c r="B192">
        <f>390+2*(Table146[[#This Row],[min value (corrected)]]-37)</f>
        <v>396</v>
      </c>
      <c r="C192">
        <f>MINUTE(Table146[[#This Row],[Corrected time]])</f>
        <v>40</v>
      </c>
      <c r="D192" s="1">
        <v>0.48617999999999995</v>
      </c>
      <c r="E192" s="1">
        <f>Table146[[#This Row],[Time]]-TIME(0,0,1)</f>
        <v>0.48616842592592585</v>
      </c>
      <c r="F192" t="s">
        <v>9</v>
      </c>
      <c r="G192">
        <v>-123</v>
      </c>
      <c r="H192">
        <f>Table146[[#This Row],[RSSI]]</f>
        <v>-123</v>
      </c>
      <c r="I192">
        <v>-9</v>
      </c>
      <c r="L192">
        <f>390+2*(Table257[[#This Row],[min value (corrected)]]-27)</f>
        <v>394</v>
      </c>
      <c r="M192">
        <f>MINUTE(Table257[[#This Row],[Corrected time]])</f>
        <v>29</v>
      </c>
      <c r="N192" s="1">
        <v>0.52081193287037031</v>
      </c>
      <c r="O192" s="1">
        <f>Table257[[#This Row],[Time]]-TIME(0,0,3)</f>
        <v>0.52077721064814808</v>
      </c>
      <c r="P192" t="s">
        <v>9</v>
      </c>
      <c r="Q192">
        <v>-121</v>
      </c>
      <c r="R192">
        <f>Table257[[#This Row],[RSSI]]</f>
        <v>-121</v>
      </c>
      <c r="S192">
        <v>-7.7</v>
      </c>
    </row>
    <row r="193" spans="2:19" x14ac:dyDescent="0.25">
      <c r="B193">
        <f>390+2*(Table146[[#This Row],[min value (corrected)]]-37)</f>
        <v>396</v>
      </c>
      <c r="C193">
        <f>MINUTE(Table146[[#This Row],[Corrected time]])</f>
        <v>40</v>
      </c>
      <c r="D193" s="1">
        <v>0.48619303240740741</v>
      </c>
      <c r="E193" s="1">
        <f>Table146[[#This Row],[Time]]-TIME(0,0,1)</f>
        <v>0.48618145833333332</v>
      </c>
      <c r="F193" t="s">
        <v>9</v>
      </c>
      <c r="G193">
        <v>-122</v>
      </c>
      <c r="H193">
        <f>Table146[[#This Row],[RSSI]]</f>
        <v>-122</v>
      </c>
      <c r="I193">
        <v>-8.8000000000000007</v>
      </c>
      <c r="L193">
        <f>390+2*(Table257[[#This Row],[min value (corrected)]]-27)</f>
        <v>394</v>
      </c>
      <c r="M193">
        <f>MINUTE(Table257[[#This Row],[Corrected time]])</f>
        <v>29</v>
      </c>
      <c r="N193" s="1">
        <v>0.52082496527777777</v>
      </c>
      <c r="O193" s="1">
        <f>Table257[[#This Row],[Time]]-TIME(0,0,3)</f>
        <v>0.52079024305555555</v>
      </c>
      <c r="P193" t="s">
        <v>9</v>
      </c>
      <c r="Q193">
        <v>-120</v>
      </c>
      <c r="R193">
        <f>Table257[[#This Row],[RSSI]]</f>
        <v>-120</v>
      </c>
      <c r="S193">
        <v>-7.2</v>
      </c>
    </row>
    <row r="194" spans="2:19" x14ac:dyDescent="0.25">
      <c r="B194">
        <f>390+2*(Table146[[#This Row],[min value (corrected)]]-37)</f>
        <v>396</v>
      </c>
      <c r="C194">
        <f>MINUTE(Table146[[#This Row],[Corrected time]])</f>
        <v>40</v>
      </c>
      <c r="D194" s="1">
        <v>0.48620606481481476</v>
      </c>
      <c r="E194" s="1">
        <f>Table146[[#This Row],[Time]]-TIME(0,0,1)</f>
        <v>0.48619449074074067</v>
      </c>
      <c r="F194" t="s">
        <v>9</v>
      </c>
      <c r="G194">
        <v>-122</v>
      </c>
      <c r="H194">
        <f>Table146[[#This Row],[RSSI]]</f>
        <v>-122</v>
      </c>
      <c r="I194">
        <v>-8.8000000000000007</v>
      </c>
      <c r="L194">
        <f>390+2*(Table257[[#This Row],[min value (corrected)]]-27)</f>
        <v>394</v>
      </c>
      <c r="M194">
        <f>MINUTE(Table257[[#This Row],[Corrected time]])</f>
        <v>29</v>
      </c>
      <c r="N194" s="1">
        <v>0.52083799768518513</v>
      </c>
      <c r="O194" s="1">
        <f>Table257[[#This Row],[Time]]-TIME(0,0,3)</f>
        <v>0.5208032754629629</v>
      </c>
      <c r="P194" t="s">
        <v>9</v>
      </c>
      <c r="Q194">
        <v>-122</v>
      </c>
      <c r="R194">
        <f>Table257[[#This Row],[RSSI]]</f>
        <v>-122</v>
      </c>
      <c r="S194">
        <v>-8.8000000000000007</v>
      </c>
    </row>
    <row r="195" spans="2:19" x14ac:dyDescent="0.25">
      <c r="B195">
        <f>390+2*(Table146[[#This Row],[min value (corrected)]]-37)</f>
        <v>396</v>
      </c>
      <c r="C195">
        <f>MINUTE(Table146[[#This Row],[Corrected time]])</f>
        <v>40</v>
      </c>
      <c r="D195" s="1">
        <v>0.48621909722222223</v>
      </c>
      <c r="E195" s="1">
        <f>Table146[[#This Row],[Time]]-TIME(0,0,1)</f>
        <v>0.48620752314814814</v>
      </c>
      <c r="F195" t="s">
        <v>13</v>
      </c>
      <c r="G195">
        <f t="shared" ref="G195:G197" si="5">G194</f>
        <v>-122</v>
      </c>
      <c r="H195">
        <f>Table146[[#This Row],[RSSI]]</f>
        <v>-122</v>
      </c>
      <c r="I195">
        <f t="shared" ref="I195:I197" si="6">I194</f>
        <v>-8.8000000000000007</v>
      </c>
      <c r="L195">
        <f>390+2*(Table257[[#This Row],[min value (corrected)]]-27)</f>
        <v>394</v>
      </c>
      <c r="M195">
        <f>MINUTE(Table257[[#This Row],[Corrected time]])</f>
        <v>29</v>
      </c>
      <c r="N195" s="1">
        <v>0.52085103009259259</v>
      </c>
      <c r="O195" s="1">
        <f>Table257[[#This Row],[Time]]-TIME(0,0,3)</f>
        <v>0.52081630787037037</v>
      </c>
      <c r="P195" t="s">
        <v>9</v>
      </c>
      <c r="Q195">
        <v>-121</v>
      </c>
      <c r="R195">
        <f>Table257[[#This Row],[RSSI]]</f>
        <v>-121</v>
      </c>
      <c r="S195">
        <v>-8</v>
      </c>
    </row>
    <row r="196" spans="2:19" x14ac:dyDescent="0.25">
      <c r="B196">
        <f>390+2*(Table146[[#This Row],[min value (corrected)]]-37)</f>
        <v>396</v>
      </c>
      <c r="C196">
        <f>MINUTE(Table146[[#This Row],[Corrected time]])</f>
        <v>40</v>
      </c>
      <c r="D196" s="1">
        <v>0.48623212962962958</v>
      </c>
      <c r="E196" s="1">
        <f>Table146[[#This Row],[Time]]-TIME(0,0,1)</f>
        <v>0.48622055555555549</v>
      </c>
      <c r="F196" t="s">
        <v>13</v>
      </c>
      <c r="G196">
        <f t="shared" si="5"/>
        <v>-122</v>
      </c>
      <c r="H196">
        <f>Table146[[#This Row],[RSSI]]</f>
        <v>-122</v>
      </c>
      <c r="I196">
        <f t="shared" si="6"/>
        <v>-8.8000000000000007</v>
      </c>
      <c r="L196">
        <f>390+2*(Table257[[#This Row],[min value (corrected)]]-27)</f>
        <v>396</v>
      </c>
      <c r="M196">
        <f>MINUTE(Table257[[#This Row],[Corrected time]])</f>
        <v>30</v>
      </c>
      <c r="N196" s="1">
        <v>0.52086406249999995</v>
      </c>
      <c r="O196" s="1">
        <f>Table257[[#This Row],[Time]]-TIME(0,0,3)</f>
        <v>0.52082934027777772</v>
      </c>
      <c r="P196" t="s">
        <v>9</v>
      </c>
      <c r="Q196">
        <v>-121</v>
      </c>
      <c r="R196">
        <f>Table257[[#This Row],[RSSI]]</f>
        <v>-121</v>
      </c>
      <c r="S196">
        <v>-7.2</v>
      </c>
    </row>
    <row r="197" spans="2:19" x14ac:dyDescent="0.25">
      <c r="B197">
        <f>390+2*(Table146[[#This Row],[min value (corrected)]]-37)</f>
        <v>396</v>
      </c>
      <c r="C197">
        <f>MINUTE(Table146[[#This Row],[Corrected time]])</f>
        <v>40</v>
      </c>
      <c r="D197" s="1">
        <v>0.48624516203703705</v>
      </c>
      <c r="E197" s="1">
        <f>Table146[[#This Row],[Time]]-TIME(0,0,1)</f>
        <v>0.48623358796296295</v>
      </c>
      <c r="F197" t="s">
        <v>13</v>
      </c>
      <c r="G197">
        <f t="shared" si="5"/>
        <v>-122</v>
      </c>
      <c r="H197">
        <f>Table146[[#This Row],[RSSI]]</f>
        <v>-122</v>
      </c>
      <c r="I197">
        <f t="shared" si="6"/>
        <v>-8.8000000000000007</v>
      </c>
      <c r="L197">
        <f>390+2*(Table257[[#This Row],[min value (corrected)]]-27)</f>
        <v>396</v>
      </c>
      <c r="M197">
        <f>MINUTE(Table257[[#This Row],[Corrected time]])</f>
        <v>30</v>
      </c>
      <c r="N197" s="1">
        <v>0.52087709490740741</v>
      </c>
      <c r="O197" s="1">
        <f>Table257[[#This Row],[Time]]-TIME(0,0,3)</f>
        <v>0.52084237268518518</v>
      </c>
      <c r="P197" t="s">
        <v>9</v>
      </c>
      <c r="Q197">
        <v>-121</v>
      </c>
      <c r="R197">
        <f>Table257[[#This Row],[RSSI]]</f>
        <v>-121</v>
      </c>
      <c r="S197">
        <v>-8</v>
      </c>
    </row>
    <row r="198" spans="2:19" x14ac:dyDescent="0.25">
      <c r="B198">
        <f>390+2*(Table146[[#This Row],[min value (corrected)]]-37)</f>
        <v>396</v>
      </c>
      <c r="C198">
        <f>MINUTE(Table146[[#This Row],[Corrected time]])</f>
        <v>40</v>
      </c>
      <c r="D198" s="1">
        <v>0.4862581944444444</v>
      </c>
      <c r="E198" s="1">
        <f>Table146[[#This Row],[Time]]-TIME(0,0,1)</f>
        <v>0.48624662037037031</v>
      </c>
      <c r="F198" t="s">
        <v>9</v>
      </c>
      <c r="G198">
        <v>-121</v>
      </c>
      <c r="H198">
        <f>Table146[[#This Row],[RSSI]]</f>
        <v>-121</v>
      </c>
      <c r="I198">
        <v>-7.7</v>
      </c>
      <c r="L198">
        <f>390+2*(Table257[[#This Row],[min value (corrected)]]-27)</f>
        <v>396</v>
      </c>
      <c r="M198">
        <f>MINUTE(Table257[[#This Row],[Corrected time]])</f>
        <v>30</v>
      </c>
      <c r="N198" s="1">
        <v>0.52089012731481477</v>
      </c>
      <c r="O198" s="1">
        <f>Table257[[#This Row],[Time]]-TIME(0,0,3)</f>
        <v>0.52085540509259254</v>
      </c>
      <c r="P198" t="s">
        <v>13</v>
      </c>
      <c r="Q198">
        <f t="shared" ref="Q198:Q200" si="7">Q197</f>
        <v>-121</v>
      </c>
      <c r="R198">
        <f>Table257[[#This Row],[RSSI]]</f>
        <v>-121</v>
      </c>
      <c r="S198">
        <f t="shared" ref="S198:S200" si="8">S197</f>
        <v>-8</v>
      </c>
    </row>
    <row r="199" spans="2:19" x14ac:dyDescent="0.25">
      <c r="B199">
        <f>390+2*(Table146[[#This Row],[min value (corrected)]]-37)</f>
        <v>396</v>
      </c>
      <c r="C199">
        <f>MINUTE(Table146[[#This Row],[Corrected time]])</f>
        <v>40</v>
      </c>
      <c r="D199" s="1">
        <v>0.48627122685185187</v>
      </c>
      <c r="E199" s="1">
        <f>Table146[[#This Row],[Time]]-TIME(0,0,1)</f>
        <v>0.48625965277777777</v>
      </c>
      <c r="F199" t="s">
        <v>9</v>
      </c>
      <c r="G199">
        <v>-122</v>
      </c>
      <c r="H199">
        <f>Table146[[#This Row],[RSSI]]</f>
        <v>-122</v>
      </c>
      <c r="I199">
        <v>-7.7</v>
      </c>
      <c r="L199">
        <f>390+2*(Table257[[#This Row],[min value (corrected)]]-27)</f>
        <v>396</v>
      </c>
      <c r="M199">
        <f>MINUTE(Table257[[#This Row],[Corrected time]])</f>
        <v>30</v>
      </c>
      <c r="N199" s="1">
        <v>0.52090315972222223</v>
      </c>
      <c r="O199" s="1">
        <f>Table257[[#This Row],[Time]]-TIME(0,0,3)</f>
        <v>0.5208684375</v>
      </c>
      <c r="P199" t="s">
        <v>13</v>
      </c>
      <c r="Q199">
        <f t="shared" si="7"/>
        <v>-121</v>
      </c>
      <c r="R199">
        <f>Table257[[#This Row],[RSSI]]</f>
        <v>-121</v>
      </c>
      <c r="S199">
        <f t="shared" si="8"/>
        <v>-8</v>
      </c>
    </row>
    <row r="200" spans="2:19" x14ac:dyDescent="0.25">
      <c r="B200">
        <f>390+2*(Table146[[#This Row],[min value (corrected)]]-37)</f>
        <v>396</v>
      </c>
      <c r="C200">
        <f>MINUTE(Table146[[#This Row],[Corrected time]])</f>
        <v>40</v>
      </c>
      <c r="D200" s="1">
        <v>0.48628425925925922</v>
      </c>
      <c r="E200" s="1">
        <f>Table146[[#This Row],[Time]]-TIME(0,0,1)</f>
        <v>0.48627268518518513</v>
      </c>
      <c r="F200" t="s">
        <v>9</v>
      </c>
      <c r="G200">
        <v>-121</v>
      </c>
      <c r="H200">
        <f>Table146[[#This Row],[RSSI]]</f>
        <v>-121</v>
      </c>
      <c r="I200">
        <v>-7.5</v>
      </c>
      <c r="L200">
        <f>390+2*(Table257[[#This Row],[min value (corrected)]]-27)</f>
        <v>396</v>
      </c>
      <c r="M200">
        <f>MINUTE(Table257[[#This Row],[Corrected time]])</f>
        <v>30</v>
      </c>
      <c r="N200" s="1">
        <v>0.52091619212962958</v>
      </c>
      <c r="O200" s="1">
        <f>Table257[[#This Row],[Time]]-TIME(0,0,3)</f>
        <v>0.52088146990740736</v>
      </c>
      <c r="P200" t="s">
        <v>13</v>
      </c>
      <c r="Q200">
        <f t="shared" si="7"/>
        <v>-121</v>
      </c>
      <c r="R200">
        <f>Table257[[#This Row],[RSSI]]</f>
        <v>-121</v>
      </c>
      <c r="S200">
        <f t="shared" si="8"/>
        <v>-8</v>
      </c>
    </row>
    <row r="201" spans="2:19" x14ac:dyDescent="0.25">
      <c r="B201">
        <f>390+2*(Table146[[#This Row],[min value (corrected)]]-37)</f>
        <v>396</v>
      </c>
      <c r="C201">
        <f>MINUTE(Table146[[#This Row],[Corrected time]])</f>
        <v>40</v>
      </c>
      <c r="D201" s="1">
        <v>0.48629729166666669</v>
      </c>
      <c r="E201" s="1">
        <f>Table146[[#This Row],[Time]]-TIME(0,0,1)</f>
        <v>0.48628571759259259</v>
      </c>
      <c r="F201" t="s">
        <v>9</v>
      </c>
      <c r="G201">
        <v>-122</v>
      </c>
      <c r="H201">
        <f>Table146[[#This Row],[RSSI]]</f>
        <v>-122</v>
      </c>
      <c r="I201">
        <v>-8.3000000000000007</v>
      </c>
      <c r="L201">
        <f>390+2*(Table257[[#This Row],[min value (corrected)]]-27)</f>
        <v>396</v>
      </c>
      <c r="M201">
        <f>MINUTE(Table257[[#This Row],[Corrected time]])</f>
        <v>30</v>
      </c>
      <c r="N201" s="1">
        <v>0.52092922453703705</v>
      </c>
      <c r="O201" s="1">
        <f>Table257[[#This Row],[Time]]-TIME(0,0,3)</f>
        <v>0.52089450231481482</v>
      </c>
      <c r="P201" t="s">
        <v>9</v>
      </c>
      <c r="Q201">
        <v>-121</v>
      </c>
      <c r="R201">
        <f>Table257[[#This Row],[RSSI]]</f>
        <v>-121</v>
      </c>
      <c r="S201">
        <v>-7.7</v>
      </c>
    </row>
    <row r="202" spans="2:19" x14ac:dyDescent="0.25">
      <c r="B202">
        <f>390+2*(Table146[[#This Row],[min value (corrected)]]-37)</f>
        <v>396</v>
      </c>
      <c r="C202">
        <f>MINUTE(Table146[[#This Row],[Corrected time]])</f>
        <v>40</v>
      </c>
      <c r="D202" s="1">
        <v>0.4863103240740741</v>
      </c>
      <c r="E202" s="1">
        <f>Table146[[#This Row],[Time]]-TIME(0,0,1)</f>
        <v>0.48629875</v>
      </c>
      <c r="F202" t="s">
        <v>9</v>
      </c>
      <c r="G202">
        <v>-121</v>
      </c>
      <c r="H202">
        <f>Table146[[#This Row],[RSSI]]</f>
        <v>-121</v>
      </c>
      <c r="I202">
        <v>-8</v>
      </c>
      <c r="L202">
        <f>390+2*(Table257[[#This Row],[min value (corrected)]]-27)</f>
        <v>396</v>
      </c>
      <c r="M202">
        <f>MINUTE(Table257[[#This Row],[Corrected time]])</f>
        <v>30</v>
      </c>
      <c r="N202" s="1">
        <v>0.5209422569444444</v>
      </c>
      <c r="O202" s="1">
        <f>Table257[[#This Row],[Time]]-TIME(0,0,3)</f>
        <v>0.52090753472222218</v>
      </c>
      <c r="P202" t="s">
        <v>9</v>
      </c>
      <c r="Q202">
        <v>-121</v>
      </c>
      <c r="R202">
        <f>Table257[[#This Row],[RSSI]]</f>
        <v>-121</v>
      </c>
      <c r="S202">
        <v>-7.7</v>
      </c>
    </row>
    <row r="203" spans="2:19" x14ac:dyDescent="0.25">
      <c r="B203">
        <f>390+2*(Table146[[#This Row],[min value (corrected)]]-37)</f>
        <v>396</v>
      </c>
      <c r="C203">
        <f>MINUTE(Table146[[#This Row],[Corrected time]])</f>
        <v>40</v>
      </c>
      <c r="D203" s="1">
        <v>0.48632335648148151</v>
      </c>
      <c r="E203" s="1">
        <f>Table146[[#This Row],[Time]]-TIME(0,0,1)</f>
        <v>0.48631178240740741</v>
      </c>
      <c r="F203" t="s">
        <v>9</v>
      </c>
      <c r="G203">
        <v>-121</v>
      </c>
      <c r="H203">
        <f>Table146[[#This Row],[RSSI]]</f>
        <v>-121</v>
      </c>
      <c r="I203">
        <v>-8</v>
      </c>
      <c r="L203">
        <f>390+2*(Table257[[#This Row],[min value (corrected)]]-27)</f>
        <v>396</v>
      </c>
      <c r="M203">
        <f>MINUTE(Table257[[#This Row],[Corrected time]])</f>
        <v>30</v>
      </c>
      <c r="N203" s="1">
        <v>0.52095528935185176</v>
      </c>
      <c r="O203" s="1">
        <f>Table257[[#This Row],[Time]]-TIME(0,0,3)</f>
        <v>0.52092056712962953</v>
      </c>
      <c r="P203" t="s">
        <v>9</v>
      </c>
      <c r="Q203">
        <v>-121</v>
      </c>
      <c r="R203">
        <f>Table257[[#This Row],[RSSI]]</f>
        <v>-121</v>
      </c>
      <c r="S203">
        <v>-8</v>
      </c>
    </row>
    <row r="204" spans="2:19" x14ac:dyDescent="0.25">
      <c r="B204">
        <f>390+2*(Table146[[#This Row],[min value (corrected)]]-37)</f>
        <v>396</v>
      </c>
      <c r="C204">
        <f>MINUTE(Table146[[#This Row],[Corrected time]])</f>
        <v>40</v>
      </c>
      <c r="D204" s="1">
        <v>0.48633638888888892</v>
      </c>
      <c r="E204" s="1">
        <f>Table146[[#This Row],[Time]]-TIME(0,0,1)</f>
        <v>0.48632481481481482</v>
      </c>
      <c r="F204" t="s">
        <v>9</v>
      </c>
      <c r="G204">
        <v>-121</v>
      </c>
      <c r="H204">
        <f>Table146[[#This Row],[RSSI]]</f>
        <v>-121</v>
      </c>
      <c r="I204">
        <v>-7.2</v>
      </c>
      <c r="L204">
        <f>390+2*(Table257[[#This Row],[min value (corrected)]]-27)</f>
        <v>396</v>
      </c>
      <c r="M204">
        <f>MINUTE(Table257[[#This Row],[Corrected time]])</f>
        <v>30</v>
      </c>
      <c r="N204" s="1">
        <v>0.52096831018518519</v>
      </c>
      <c r="O204" s="1">
        <f>Table257[[#This Row],[Time]]-TIME(0,0,3)</f>
        <v>0.52093358796296296</v>
      </c>
      <c r="P204" t="s">
        <v>9</v>
      </c>
      <c r="Q204">
        <v>-122</v>
      </c>
      <c r="R204">
        <f>Table257[[#This Row],[RSSI]]</f>
        <v>-122</v>
      </c>
      <c r="S204">
        <v>-7.7</v>
      </c>
    </row>
    <row r="205" spans="2:19" x14ac:dyDescent="0.25">
      <c r="B205">
        <f>390+2*(Table146[[#This Row],[min value (corrected)]]-37)</f>
        <v>396</v>
      </c>
      <c r="C205">
        <f>MINUTE(Table146[[#This Row],[Corrected time]])</f>
        <v>40</v>
      </c>
      <c r="D205" s="1">
        <v>0.48634942129629627</v>
      </c>
      <c r="E205" s="1">
        <f>Table146[[#This Row],[Time]]-TIME(0,0,1)</f>
        <v>0.48633784722222217</v>
      </c>
      <c r="F205" t="s">
        <v>9</v>
      </c>
      <c r="G205">
        <v>-121</v>
      </c>
      <c r="H205">
        <f>Table146[[#This Row],[RSSI]]</f>
        <v>-121</v>
      </c>
      <c r="I205">
        <v>-7.5</v>
      </c>
      <c r="L205">
        <f>390+2*(Table257[[#This Row],[min value (corrected)]]-27)</f>
        <v>396</v>
      </c>
      <c r="M205">
        <f>MINUTE(Table257[[#This Row],[Corrected time]])</f>
        <v>30</v>
      </c>
      <c r="N205" s="1">
        <v>0.52098135416666658</v>
      </c>
      <c r="O205" s="1">
        <f>Table257[[#This Row],[Time]]-TIME(0,0,3)</f>
        <v>0.52094663194444435</v>
      </c>
      <c r="P205" t="s">
        <v>9</v>
      </c>
      <c r="Q205">
        <v>-121</v>
      </c>
      <c r="R205">
        <f>Table257[[#This Row],[RSSI]]</f>
        <v>-121</v>
      </c>
      <c r="S205">
        <v>-7</v>
      </c>
    </row>
    <row r="206" spans="2:19" x14ac:dyDescent="0.25">
      <c r="B206">
        <f>390+2*(Table146[[#This Row],[min value (corrected)]]-37)</f>
        <v>396</v>
      </c>
      <c r="C206">
        <f>MINUTE(Table146[[#This Row],[Corrected time]])</f>
        <v>40</v>
      </c>
      <c r="D206" s="1">
        <v>0.48636245370370373</v>
      </c>
      <c r="E206" s="1">
        <f>Table146[[#This Row],[Time]]-TIME(0,0,1)</f>
        <v>0.48635087962962964</v>
      </c>
      <c r="F206" t="s">
        <v>9</v>
      </c>
      <c r="G206">
        <v>-121</v>
      </c>
      <c r="H206">
        <f>Table146[[#This Row],[RSSI]]</f>
        <v>-121</v>
      </c>
      <c r="I206">
        <v>-7.2</v>
      </c>
      <c r="L206">
        <f>390+2*(Table257[[#This Row],[min value (corrected)]]-27)</f>
        <v>396</v>
      </c>
      <c r="M206">
        <f>MINUTE(Table257[[#This Row],[Corrected time]])</f>
        <v>30</v>
      </c>
      <c r="N206" s="1">
        <v>0.52099438657407404</v>
      </c>
      <c r="O206" s="1">
        <f>Table257[[#This Row],[Time]]-TIME(0,0,3)</f>
        <v>0.52095966435185181</v>
      </c>
      <c r="P206" t="s">
        <v>9</v>
      </c>
      <c r="Q206">
        <v>-121</v>
      </c>
      <c r="R206">
        <f>Table257[[#This Row],[RSSI]]</f>
        <v>-121</v>
      </c>
      <c r="S206">
        <v>-7.7</v>
      </c>
    </row>
    <row r="207" spans="2:19" x14ac:dyDescent="0.25">
      <c r="B207">
        <f>390+2*(Table146[[#This Row],[min value (corrected)]]-37)</f>
        <v>396</v>
      </c>
      <c r="C207">
        <f>MINUTE(Table146[[#This Row],[Corrected time]])</f>
        <v>40</v>
      </c>
      <c r="D207" s="1">
        <v>0.48637548611111109</v>
      </c>
      <c r="E207" s="1">
        <f>Table146[[#This Row],[Time]]-TIME(0,0,1)</f>
        <v>0.48636391203703699</v>
      </c>
      <c r="F207" t="s">
        <v>9</v>
      </c>
      <c r="G207">
        <v>-121</v>
      </c>
      <c r="H207">
        <f>Table146[[#This Row],[RSSI]]</f>
        <v>-121</v>
      </c>
      <c r="I207">
        <v>-7.7</v>
      </c>
      <c r="L207">
        <f>390+2*(Table257[[#This Row],[min value (corrected)]]-27)</f>
        <v>396</v>
      </c>
      <c r="M207">
        <f>MINUTE(Table257[[#This Row],[Corrected time]])</f>
        <v>30</v>
      </c>
      <c r="N207" s="1">
        <v>0.52100741898148151</v>
      </c>
      <c r="O207" s="1">
        <f>Table257[[#This Row],[Time]]-TIME(0,0,3)</f>
        <v>0.52097269675925928</v>
      </c>
      <c r="P207" t="s">
        <v>9</v>
      </c>
      <c r="Q207">
        <v>-121</v>
      </c>
      <c r="R207">
        <f>Table257[[#This Row],[RSSI]]</f>
        <v>-121</v>
      </c>
      <c r="S207">
        <v>-7.5</v>
      </c>
    </row>
    <row r="208" spans="2:19" x14ac:dyDescent="0.25">
      <c r="B208">
        <f>390+2*(Table146[[#This Row],[min value (corrected)]]-37)</f>
        <v>396</v>
      </c>
      <c r="C208">
        <f>MINUTE(Table146[[#This Row],[Corrected time]])</f>
        <v>40</v>
      </c>
      <c r="D208" s="1">
        <v>0.48638851851851855</v>
      </c>
      <c r="E208" s="1">
        <f>Table146[[#This Row],[Time]]-TIME(0,0,1)</f>
        <v>0.48637694444444446</v>
      </c>
      <c r="F208" t="s">
        <v>9</v>
      </c>
      <c r="G208">
        <v>-121</v>
      </c>
      <c r="H208">
        <f>Table146[[#This Row],[RSSI]]</f>
        <v>-121</v>
      </c>
      <c r="I208">
        <v>-7.7</v>
      </c>
      <c r="L208">
        <f>390+2*(Table257[[#This Row],[min value (corrected)]]-27)</f>
        <v>396</v>
      </c>
      <c r="M208">
        <f>MINUTE(Table257[[#This Row],[Corrected time]])</f>
        <v>30</v>
      </c>
      <c r="N208" s="1">
        <v>0.52102045138888886</v>
      </c>
      <c r="O208" s="1">
        <f>Table257[[#This Row],[Time]]-TIME(0,0,3)</f>
        <v>0.52098572916666663</v>
      </c>
      <c r="P208" t="s">
        <v>9</v>
      </c>
      <c r="Q208">
        <v>-122</v>
      </c>
      <c r="R208">
        <f>Table257[[#This Row],[RSSI]]</f>
        <v>-122</v>
      </c>
      <c r="S208">
        <v>-8</v>
      </c>
    </row>
    <row r="209" spans="2:19" x14ac:dyDescent="0.25">
      <c r="B209">
        <f>390+2*(Table146[[#This Row],[min value (corrected)]]-37)</f>
        <v>396</v>
      </c>
      <c r="C209">
        <f>MINUTE(Table146[[#This Row],[Corrected time]])</f>
        <v>40</v>
      </c>
      <c r="D209" s="1">
        <v>0.48640155092592591</v>
      </c>
      <c r="E209" s="1">
        <f>Table146[[#This Row],[Time]]-TIME(0,0,1)</f>
        <v>0.48638997685185181</v>
      </c>
      <c r="F209" t="s">
        <v>9</v>
      </c>
      <c r="G209">
        <v>-122</v>
      </c>
      <c r="H209">
        <f>Table146[[#This Row],[RSSI]]</f>
        <v>-122</v>
      </c>
      <c r="I209">
        <v>-8</v>
      </c>
      <c r="L209">
        <f>390+2*(Table257[[#This Row],[min value (corrected)]]-27)</f>
        <v>396</v>
      </c>
      <c r="M209">
        <f>MINUTE(Table257[[#This Row],[Corrected time]])</f>
        <v>30</v>
      </c>
      <c r="N209" s="1">
        <v>0.52103347222222218</v>
      </c>
      <c r="O209" s="1">
        <f>Table257[[#This Row],[Time]]-TIME(0,0,3)</f>
        <v>0.52099874999999995</v>
      </c>
      <c r="P209" t="s">
        <v>9</v>
      </c>
      <c r="Q209">
        <v>-121</v>
      </c>
      <c r="R209">
        <f>Table257[[#This Row],[RSSI]]</f>
        <v>-121</v>
      </c>
      <c r="S209">
        <v>-7.7</v>
      </c>
    </row>
    <row r="210" spans="2:19" x14ac:dyDescent="0.25">
      <c r="B210">
        <f>390+2*(Table146[[#This Row],[min value (corrected)]]-37)</f>
        <v>396</v>
      </c>
      <c r="C210">
        <f>MINUTE(Table146[[#This Row],[Corrected time]])</f>
        <v>40</v>
      </c>
      <c r="D210" s="1">
        <v>0.48641458333333337</v>
      </c>
      <c r="E210" s="1">
        <f>Table146[[#This Row],[Time]]-TIME(0,0,1)</f>
        <v>0.48640300925925928</v>
      </c>
      <c r="F210" t="s">
        <v>9</v>
      </c>
      <c r="G210">
        <v>-117</v>
      </c>
      <c r="H210">
        <f>Table146[[#This Row],[RSSI]]</f>
        <v>-117</v>
      </c>
      <c r="I210">
        <v>-8.5</v>
      </c>
      <c r="L210">
        <f>390+2*(Table257[[#This Row],[min value (corrected)]]-27)</f>
        <v>396</v>
      </c>
      <c r="M210">
        <f>MINUTE(Table257[[#This Row],[Corrected time]])</f>
        <v>30</v>
      </c>
      <c r="N210" s="1">
        <v>0.52104651620370368</v>
      </c>
      <c r="O210" s="1">
        <f>Table257[[#This Row],[Time]]-TIME(0,0,3)</f>
        <v>0.52101179398148145</v>
      </c>
      <c r="P210" t="s">
        <v>9</v>
      </c>
      <c r="Q210">
        <v>-121</v>
      </c>
      <c r="R210">
        <f>Table257[[#This Row],[RSSI]]</f>
        <v>-121</v>
      </c>
      <c r="S210">
        <v>-7.5</v>
      </c>
    </row>
    <row r="211" spans="2:19" x14ac:dyDescent="0.25">
      <c r="B211">
        <f>390+2*(Table146[[#This Row],[min value (corrected)]]-37)</f>
        <v>396</v>
      </c>
      <c r="C211">
        <f>MINUTE(Table146[[#This Row],[Corrected time]])</f>
        <v>40</v>
      </c>
      <c r="D211" s="1">
        <v>0.48642761574074073</v>
      </c>
      <c r="E211" s="1">
        <f>Table146[[#This Row],[Time]]-TIME(0,0,1)</f>
        <v>0.48641604166666663</v>
      </c>
      <c r="F211" t="s">
        <v>9</v>
      </c>
      <c r="G211">
        <v>-122</v>
      </c>
      <c r="H211">
        <f>Table146[[#This Row],[RSSI]]</f>
        <v>-122</v>
      </c>
      <c r="I211">
        <v>-8.5</v>
      </c>
      <c r="L211">
        <f>390+2*(Table257[[#This Row],[min value (corrected)]]-27)</f>
        <v>396</v>
      </c>
      <c r="M211">
        <f>MINUTE(Table257[[#This Row],[Corrected time]])</f>
        <v>30</v>
      </c>
      <c r="N211" s="1">
        <v>0.52105954861111115</v>
      </c>
      <c r="O211" s="1">
        <f>Table257[[#This Row],[Time]]-TIME(0,0,3)</f>
        <v>0.52102482638888892</v>
      </c>
      <c r="P211" t="s">
        <v>9</v>
      </c>
      <c r="Q211">
        <v>-122</v>
      </c>
      <c r="R211">
        <f>Table257[[#This Row],[RSSI]]</f>
        <v>-122</v>
      </c>
      <c r="S211">
        <v>-7.7</v>
      </c>
    </row>
    <row r="212" spans="2:19" x14ac:dyDescent="0.25">
      <c r="B212">
        <f>390+2*(Table146[[#This Row],[min value (corrected)]]-37)</f>
        <v>396</v>
      </c>
      <c r="C212">
        <f>MINUTE(Table146[[#This Row],[Corrected time]])</f>
        <v>40</v>
      </c>
      <c r="D212" s="1">
        <v>0.48644063657407405</v>
      </c>
      <c r="E212" s="1">
        <f>Table146[[#This Row],[Time]]-TIME(0,0,1)</f>
        <v>0.48642906249999995</v>
      </c>
      <c r="F212" t="s">
        <v>9</v>
      </c>
      <c r="G212">
        <v>-122</v>
      </c>
      <c r="H212">
        <f>Table146[[#This Row],[RSSI]]</f>
        <v>-122</v>
      </c>
      <c r="I212">
        <v>-8</v>
      </c>
      <c r="L212">
        <f>390+2*(Table257[[#This Row],[min value (corrected)]]-27)</f>
        <v>396</v>
      </c>
      <c r="M212">
        <f>MINUTE(Table257[[#This Row],[Corrected time]])</f>
        <v>30</v>
      </c>
      <c r="N212" s="1">
        <v>0.5210725810185185</v>
      </c>
      <c r="O212" s="1">
        <f>Table257[[#This Row],[Time]]-TIME(0,0,3)</f>
        <v>0.52103785879629627</v>
      </c>
      <c r="P212" t="s">
        <v>9</v>
      </c>
      <c r="Q212">
        <v>-120</v>
      </c>
      <c r="R212">
        <f>Table257[[#This Row],[RSSI]]</f>
        <v>-120</v>
      </c>
      <c r="S212">
        <v>-6.7</v>
      </c>
    </row>
    <row r="213" spans="2:19" x14ac:dyDescent="0.25">
      <c r="B213">
        <f>390+2*(Table146[[#This Row],[min value (corrected)]]-37)</f>
        <v>396</v>
      </c>
      <c r="C213">
        <f>MINUTE(Table146[[#This Row],[Corrected time]])</f>
        <v>40</v>
      </c>
      <c r="D213" s="1">
        <v>0.48645368055555555</v>
      </c>
      <c r="E213" s="1">
        <f>Table146[[#This Row],[Time]]-TIME(0,0,1)</f>
        <v>0.48644210648148145</v>
      </c>
      <c r="F213" t="s">
        <v>9</v>
      </c>
      <c r="G213">
        <v>-121</v>
      </c>
      <c r="H213">
        <f>Table146[[#This Row],[RSSI]]</f>
        <v>-121</v>
      </c>
      <c r="I213">
        <v>-7.5</v>
      </c>
      <c r="L213">
        <f>390+2*(Table257[[#This Row],[min value (corrected)]]-27)</f>
        <v>396</v>
      </c>
      <c r="M213">
        <f>MINUTE(Table257[[#This Row],[Corrected time]])</f>
        <v>30</v>
      </c>
      <c r="N213" s="1">
        <v>0.52108561342592596</v>
      </c>
      <c r="O213" s="1">
        <f>Table257[[#This Row],[Time]]-TIME(0,0,3)</f>
        <v>0.52105089120370374</v>
      </c>
      <c r="P213" t="s">
        <v>9</v>
      </c>
      <c r="Q213">
        <v>-121</v>
      </c>
      <c r="R213">
        <f>Table257[[#This Row],[RSSI]]</f>
        <v>-121</v>
      </c>
      <c r="S213">
        <v>-7.7</v>
      </c>
    </row>
    <row r="214" spans="2:19" x14ac:dyDescent="0.25">
      <c r="B214">
        <f>390+2*(Table146[[#This Row],[min value (corrected)]]-37)</f>
        <v>396</v>
      </c>
      <c r="C214">
        <f>MINUTE(Table146[[#This Row],[Corrected time]])</f>
        <v>40</v>
      </c>
      <c r="D214" s="1">
        <v>0.48646670138888887</v>
      </c>
      <c r="E214" s="1">
        <f>Table146[[#This Row],[Time]]-TIME(0,0,1)</f>
        <v>0.48645512731481477</v>
      </c>
      <c r="F214" t="s">
        <v>9</v>
      </c>
      <c r="G214">
        <v>-121</v>
      </c>
      <c r="H214">
        <f>Table146[[#This Row],[RSSI]]</f>
        <v>-121</v>
      </c>
      <c r="I214">
        <v>-7.7</v>
      </c>
      <c r="L214">
        <f>390+2*(Table257[[#This Row],[min value (corrected)]]-27)</f>
        <v>396</v>
      </c>
      <c r="M214">
        <f>MINUTE(Table257[[#This Row],[Corrected time]])</f>
        <v>30</v>
      </c>
      <c r="N214" s="1">
        <v>0.52109864583333332</v>
      </c>
      <c r="O214" s="1">
        <f>Table257[[#This Row],[Time]]-TIME(0,0,3)</f>
        <v>0.52106392361111109</v>
      </c>
      <c r="P214" t="s">
        <v>9</v>
      </c>
      <c r="Q214">
        <v>-121</v>
      </c>
      <c r="R214">
        <f>Table257[[#This Row],[RSSI]]</f>
        <v>-121</v>
      </c>
      <c r="S214">
        <v>-7.7</v>
      </c>
    </row>
    <row r="215" spans="2:19" x14ac:dyDescent="0.25">
      <c r="B215">
        <f>390+2*(Table146[[#This Row],[min value (corrected)]]-37)</f>
        <v>396</v>
      </c>
      <c r="C215">
        <f>MINUTE(Table146[[#This Row],[Corrected time]])</f>
        <v>40</v>
      </c>
      <c r="D215" s="1">
        <v>0.48647974537037036</v>
      </c>
      <c r="E215" s="1">
        <f>Table146[[#This Row],[Time]]-TIME(0,0,1)</f>
        <v>0.48646817129629627</v>
      </c>
      <c r="F215" t="s">
        <v>9</v>
      </c>
      <c r="G215">
        <v>-122</v>
      </c>
      <c r="H215">
        <f>Table146[[#This Row],[RSSI]]</f>
        <v>-122</v>
      </c>
      <c r="I215">
        <v>-8.5</v>
      </c>
      <c r="L215">
        <f>390+2*(Table257[[#This Row],[min value (corrected)]]-27)</f>
        <v>396</v>
      </c>
      <c r="M215">
        <f>MINUTE(Table257[[#This Row],[Corrected time]])</f>
        <v>30</v>
      </c>
      <c r="N215" s="1">
        <v>0.52111167824074078</v>
      </c>
      <c r="O215" s="1">
        <f>Table257[[#This Row],[Time]]-TIME(0,0,3)</f>
        <v>0.52107695601851856</v>
      </c>
      <c r="P215" t="s">
        <v>9</v>
      </c>
      <c r="Q215">
        <v>-121</v>
      </c>
      <c r="R215">
        <f>Table257[[#This Row],[RSSI]]</f>
        <v>-121</v>
      </c>
      <c r="S215">
        <v>-7.7</v>
      </c>
    </row>
    <row r="216" spans="2:19" x14ac:dyDescent="0.25">
      <c r="B216">
        <f>390+2*(Table146[[#This Row],[min value (corrected)]]-37)</f>
        <v>396</v>
      </c>
      <c r="C216">
        <f>MINUTE(Table146[[#This Row],[Corrected time]])</f>
        <v>40</v>
      </c>
      <c r="D216" s="1">
        <v>0.48649277777777783</v>
      </c>
      <c r="E216" s="1">
        <f>Table146[[#This Row],[Time]]-TIME(0,0,1)</f>
        <v>0.48648120370370374</v>
      </c>
      <c r="F216" t="s">
        <v>9</v>
      </c>
      <c r="G216">
        <v>-121</v>
      </c>
      <c r="H216">
        <f>Table146[[#This Row],[RSSI]]</f>
        <v>-121</v>
      </c>
      <c r="I216">
        <v>-7.7</v>
      </c>
      <c r="L216">
        <f>390+2*(Table257[[#This Row],[min value (corrected)]]-27)</f>
        <v>396</v>
      </c>
      <c r="M216">
        <f>MINUTE(Table257[[#This Row],[Corrected time]])</f>
        <v>30</v>
      </c>
      <c r="N216" s="1">
        <v>0.52112471064814814</v>
      </c>
      <c r="O216" s="1">
        <f>Table257[[#This Row],[Time]]-TIME(0,0,3)</f>
        <v>0.52108998842592591</v>
      </c>
      <c r="P216" t="s">
        <v>9</v>
      </c>
      <c r="Q216">
        <v>-121</v>
      </c>
      <c r="R216">
        <f>Table257[[#This Row],[RSSI]]</f>
        <v>-121</v>
      </c>
      <c r="S216">
        <v>-7.7</v>
      </c>
    </row>
    <row r="217" spans="2:19" x14ac:dyDescent="0.25">
      <c r="B217">
        <f>390+2*(Table146[[#This Row],[min value (corrected)]]-37)</f>
        <v>396</v>
      </c>
      <c r="C217">
        <f>MINUTE(Table146[[#This Row],[Corrected time]])</f>
        <v>40</v>
      </c>
      <c r="D217" s="1">
        <v>0.48650581018518518</v>
      </c>
      <c r="E217" s="1">
        <f>Table146[[#This Row],[Time]]-TIME(0,0,1)</f>
        <v>0.48649423611111109</v>
      </c>
      <c r="F217" t="s">
        <v>9</v>
      </c>
      <c r="G217">
        <v>-122</v>
      </c>
      <c r="H217">
        <f>Table146[[#This Row],[RSSI]]</f>
        <v>-122</v>
      </c>
      <c r="I217">
        <v>-8.3000000000000007</v>
      </c>
      <c r="L217">
        <f>390+2*(Table257[[#This Row],[min value (corrected)]]-27)</f>
        <v>396</v>
      </c>
      <c r="M217">
        <f>MINUTE(Table257[[#This Row],[Corrected time]])</f>
        <v>30</v>
      </c>
      <c r="N217" s="1">
        <v>0.5211377430555556</v>
      </c>
      <c r="O217" s="1">
        <f>Table257[[#This Row],[Time]]-TIME(0,0,3)</f>
        <v>0.52110302083333337</v>
      </c>
      <c r="P217" t="s">
        <v>9</v>
      </c>
      <c r="Q217">
        <v>-122</v>
      </c>
      <c r="R217">
        <f>Table257[[#This Row],[RSSI]]</f>
        <v>-122</v>
      </c>
      <c r="S217">
        <v>-8.3000000000000007</v>
      </c>
    </row>
    <row r="218" spans="2:19" x14ac:dyDescent="0.25">
      <c r="B218">
        <f>390+2*(Table146[[#This Row],[min value (corrected)]]-37)</f>
        <v>396</v>
      </c>
      <c r="C218">
        <f>MINUTE(Table146[[#This Row],[Corrected time]])</f>
        <v>40</v>
      </c>
      <c r="D218" s="1">
        <v>0.48651884259259265</v>
      </c>
      <c r="E218" s="1">
        <f>Table146[[#This Row],[Time]]-TIME(0,0,1)</f>
        <v>0.48650726851851855</v>
      </c>
      <c r="F218" t="s">
        <v>9</v>
      </c>
      <c r="G218">
        <v>-121</v>
      </c>
      <c r="H218">
        <f>Table146[[#This Row],[RSSI]]</f>
        <v>-121</v>
      </c>
      <c r="I218">
        <v>-7.5</v>
      </c>
      <c r="L218">
        <f>390+2*(Table257[[#This Row],[min value (corrected)]]-27)</f>
        <v>396</v>
      </c>
      <c r="M218">
        <f>MINUTE(Table257[[#This Row],[Corrected time]])</f>
        <v>30</v>
      </c>
      <c r="N218" s="1">
        <v>0.52115077546296296</v>
      </c>
      <c r="O218" s="1">
        <f>Table257[[#This Row],[Time]]-TIME(0,0,3)</f>
        <v>0.52111605324074073</v>
      </c>
      <c r="P218" t="s">
        <v>9</v>
      </c>
      <c r="Q218">
        <v>-120</v>
      </c>
      <c r="R218">
        <f>Table257[[#This Row],[RSSI]]</f>
        <v>-120</v>
      </c>
      <c r="S218">
        <v>-6.7</v>
      </c>
    </row>
    <row r="219" spans="2:19" x14ac:dyDescent="0.25">
      <c r="B219">
        <f>390+2*(Table146[[#This Row],[min value (corrected)]]-37)</f>
        <v>396</v>
      </c>
      <c r="C219">
        <f>MINUTE(Table146[[#This Row],[Corrected time]])</f>
        <v>40</v>
      </c>
      <c r="D219" s="1">
        <v>0.486531875</v>
      </c>
      <c r="E219" s="1">
        <f>Table146[[#This Row],[Time]]-TIME(0,0,1)</f>
        <v>0.48652030092592591</v>
      </c>
      <c r="F219" t="s">
        <v>9</v>
      </c>
      <c r="G219">
        <v>-119</v>
      </c>
      <c r="H219">
        <f>Table146[[#This Row],[RSSI]]</f>
        <v>-119</v>
      </c>
      <c r="I219">
        <v>-8.3000000000000007</v>
      </c>
      <c r="L219">
        <f>390+2*(Table257[[#This Row],[min value (corrected)]]-27)</f>
        <v>396</v>
      </c>
      <c r="M219">
        <f>MINUTE(Table257[[#This Row],[Corrected time]])</f>
        <v>30</v>
      </c>
      <c r="N219" s="1">
        <v>0.52116380787037042</v>
      </c>
      <c r="O219" s="1">
        <f>Table257[[#This Row],[Time]]-TIME(0,0,3)</f>
        <v>0.52112908564814819</v>
      </c>
      <c r="P219" t="s">
        <v>9</v>
      </c>
      <c r="Q219">
        <v>-121</v>
      </c>
      <c r="R219">
        <f>Table257[[#This Row],[RSSI]]</f>
        <v>-121</v>
      </c>
      <c r="S219">
        <v>-7.7</v>
      </c>
    </row>
    <row r="220" spans="2:19" x14ac:dyDescent="0.25">
      <c r="B220">
        <f>390+2*(Table146[[#This Row],[min value (corrected)]]-37)</f>
        <v>396</v>
      </c>
      <c r="C220">
        <f>MINUTE(Table146[[#This Row],[Corrected time]])</f>
        <v>40</v>
      </c>
      <c r="D220" s="1">
        <v>0.48654490740740747</v>
      </c>
      <c r="E220" s="1">
        <f>Table146[[#This Row],[Time]]-TIME(0,0,1)</f>
        <v>0.48653333333333337</v>
      </c>
      <c r="F220" t="s">
        <v>9</v>
      </c>
      <c r="G220">
        <v>-122</v>
      </c>
      <c r="H220">
        <f>Table146[[#This Row],[RSSI]]</f>
        <v>-122</v>
      </c>
      <c r="I220">
        <v>-8.3000000000000007</v>
      </c>
      <c r="L220">
        <f>390+2*(Table257[[#This Row],[min value (corrected)]]-27)</f>
        <v>396</v>
      </c>
      <c r="M220">
        <f>MINUTE(Table257[[#This Row],[Corrected time]])</f>
        <v>30</v>
      </c>
      <c r="N220" s="1">
        <v>0.52117684027777778</v>
      </c>
      <c r="O220" s="1">
        <f>Table257[[#This Row],[Time]]-TIME(0,0,3)</f>
        <v>0.52114211805555555</v>
      </c>
      <c r="P220" t="s">
        <v>9</v>
      </c>
      <c r="Q220">
        <v>-121</v>
      </c>
      <c r="R220">
        <f>Table257[[#This Row],[RSSI]]</f>
        <v>-121</v>
      </c>
      <c r="S220">
        <v>-7.5</v>
      </c>
    </row>
    <row r="221" spans="2:19" x14ac:dyDescent="0.25">
      <c r="B221">
        <f>390+2*(Table146[[#This Row],[min value (corrected)]]-37)</f>
        <v>396</v>
      </c>
      <c r="C221">
        <f>MINUTE(Table146[[#This Row],[Corrected time]])</f>
        <v>40</v>
      </c>
      <c r="D221" s="1">
        <v>0.48655793981481482</v>
      </c>
      <c r="E221" s="1">
        <f>Table146[[#This Row],[Time]]-TIME(0,0,1)</f>
        <v>0.48654636574074073</v>
      </c>
      <c r="F221" t="s">
        <v>9</v>
      </c>
      <c r="G221">
        <v>-122</v>
      </c>
      <c r="H221">
        <f>Table146[[#This Row],[RSSI]]</f>
        <v>-122</v>
      </c>
      <c r="I221">
        <v>-8.3000000000000007</v>
      </c>
      <c r="L221">
        <f>390+2*(Table257[[#This Row],[min value (corrected)]]-27)</f>
        <v>396</v>
      </c>
      <c r="M221">
        <f>MINUTE(Table257[[#This Row],[Corrected time]])</f>
        <v>30</v>
      </c>
      <c r="N221" s="1">
        <v>0.5211898611111111</v>
      </c>
      <c r="O221" s="1">
        <f>Table257[[#This Row],[Time]]-TIME(0,0,3)</f>
        <v>0.52115513888888887</v>
      </c>
      <c r="P221" t="s">
        <v>9</v>
      </c>
      <c r="Q221">
        <v>-121</v>
      </c>
      <c r="R221">
        <f>Table257[[#This Row],[RSSI]]</f>
        <v>-121</v>
      </c>
      <c r="S221">
        <v>-7.7</v>
      </c>
    </row>
    <row r="222" spans="2:19" x14ac:dyDescent="0.25">
      <c r="B222">
        <f>390+2*(Table146[[#This Row],[min value (corrected)]]-37)</f>
        <v>396</v>
      </c>
      <c r="C222">
        <f>MINUTE(Table146[[#This Row],[Corrected time]])</f>
        <v>40</v>
      </c>
      <c r="D222" s="1">
        <v>0.48657097222222229</v>
      </c>
      <c r="E222" s="1">
        <f>Table146[[#This Row],[Time]]-TIME(0,0,1)</f>
        <v>0.48655939814814819</v>
      </c>
      <c r="F222" t="s">
        <v>9</v>
      </c>
      <c r="G222">
        <v>-122</v>
      </c>
      <c r="H222">
        <f>Table146[[#This Row],[RSSI]]</f>
        <v>-122</v>
      </c>
      <c r="I222">
        <v>-8.8000000000000007</v>
      </c>
      <c r="L222">
        <f>390+2*(Table257[[#This Row],[min value (corrected)]]-27)</f>
        <v>396</v>
      </c>
      <c r="M222">
        <f>MINUTE(Table257[[#This Row],[Corrected time]])</f>
        <v>30</v>
      </c>
      <c r="N222" s="1">
        <v>0.52120290509259259</v>
      </c>
      <c r="O222" s="1">
        <f>Table257[[#This Row],[Time]]-TIME(0,0,3)</f>
        <v>0.52116818287037037</v>
      </c>
      <c r="P222" t="s">
        <v>9</v>
      </c>
      <c r="Q222">
        <v>-121</v>
      </c>
      <c r="R222">
        <f>Table257[[#This Row],[RSSI]]</f>
        <v>-121</v>
      </c>
      <c r="S222">
        <v>-8</v>
      </c>
    </row>
    <row r="223" spans="2:19" x14ac:dyDescent="0.25">
      <c r="B223">
        <f>390+2*(Table146[[#This Row],[min value (corrected)]]-37)</f>
        <v>396</v>
      </c>
      <c r="C223">
        <f>MINUTE(Table146[[#This Row],[Corrected time]])</f>
        <v>40</v>
      </c>
      <c r="D223" s="1">
        <v>0.48658400462962964</v>
      </c>
      <c r="E223" s="1">
        <f>Table146[[#This Row],[Time]]-TIME(0,0,1)</f>
        <v>0.48657243055555555</v>
      </c>
      <c r="F223" t="s">
        <v>9</v>
      </c>
      <c r="G223">
        <v>-122</v>
      </c>
      <c r="H223">
        <f>Table146[[#This Row],[RSSI]]</f>
        <v>-122</v>
      </c>
      <c r="I223">
        <v>-8</v>
      </c>
      <c r="L223">
        <f>390+2*(Table257[[#This Row],[min value (corrected)]]-27)</f>
        <v>396</v>
      </c>
      <c r="M223">
        <f>MINUTE(Table257[[#This Row],[Corrected time]])</f>
        <v>30</v>
      </c>
      <c r="N223" s="1">
        <v>0.52121592592592592</v>
      </c>
      <c r="O223" s="1">
        <f>Table257[[#This Row],[Time]]-TIME(0,0,3)</f>
        <v>0.52118120370370369</v>
      </c>
      <c r="P223" t="s">
        <v>9</v>
      </c>
      <c r="Q223">
        <v>-122</v>
      </c>
      <c r="R223">
        <f>Table257[[#This Row],[RSSI]]</f>
        <v>-122</v>
      </c>
      <c r="S223">
        <v>-8.3000000000000007</v>
      </c>
    </row>
    <row r="224" spans="2:19" x14ac:dyDescent="0.25">
      <c r="B224">
        <f>390+2*(Table146[[#This Row],[min value (corrected)]]-37)</f>
        <v>396</v>
      </c>
      <c r="C224">
        <f>MINUTE(Table146[[#This Row],[Corrected time]])</f>
        <v>40</v>
      </c>
      <c r="D224" s="1">
        <v>0.48659702546296296</v>
      </c>
      <c r="E224" s="1">
        <f>Table146[[#This Row],[Time]]-TIME(0,0,1)</f>
        <v>0.48658545138888887</v>
      </c>
      <c r="F224" t="s">
        <v>13</v>
      </c>
      <c r="G224">
        <f>G223</f>
        <v>-122</v>
      </c>
      <c r="H224">
        <f>Table146[[#This Row],[RSSI]]</f>
        <v>-122</v>
      </c>
      <c r="I224">
        <f>I223</f>
        <v>-8</v>
      </c>
      <c r="L224">
        <f>390+2*(Table257[[#This Row],[min value (corrected)]]-27)</f>
        <v>396</v>
      </c>
      <c r="M224">
        <f>MINUTE(Table257[[#This Row],[Corrected time]])</f>
        <v>30</v>
      </c>
      <c r="N224" s="1">
        <v>0.52122896990740741</v>
      </c>
      <c r="O224" s="1">
        <f>Table257[[#This Row],[Time]]-TIME(0,0,3)</f>
        <v>0.52119424768518519</v>
      </c>
      <c r="P224" t="s">
        <v>9</v>
      </c>
      <c r="Q224">
        <v>-121</v>
      </c>
      <c r="R224">
        <f>Table257[[#This Row],[RSSI]]</f>
        <v>-121</v>
      </c>
      <c r="S224">
        <v>-7.2</v>
      </c>
    </row>
    <row r="225" spans="2:19" x14ac:dyDescent="0.25">
      <c r="B225">
        <f>390+2*(Table146[[#This Row],[min value (corrected)]]-37)</f>
        <v>396</v>
      </c>
      <c r="C225">
        <f>MINUTE(Table146[[#This Row],[Corrected time]])</f>
        <v>40</v>
      </c>
      <c r="D225" s="1">
        <v>0.48661005787037032</v>
      </c>
      <c r="E225" s="1">
        <f>Table146[[#This Row],[Time]]-TIME(0,0,1)</f>
        <v>0.48659848379629622</v>
      </c>
      <c r="F225" t="s">
        <v>9</v>
      </c>
      <c r="G225">
        <v>-122</v>
      </c>
      <c r="H225">
        <f>Table146[[#This Row],[RSSI]]</f>
        <v>-122</v>
      </c>
      <c r="I225">
        <v>-8.3000000000000007</v>
      </c>
      <c r="L225">
        <f>390+2*(Table257[[#This Row],[min value (corrected)]]-27)</f>
        <v>396</v>
      </c>
      <c r="M225">
        <f>MINUTE(Table257[[#This Row],[Corrected time]])</f>
        <v>30</v>
      </c>
      <c r="N225" s="1">
        <v>0.52124200231481488</v>
      </c>
      <c r="O225" s="1">
        <f>Table257[[#This Row],[Time]]-TIME(0,0,3)</f>
        <v>0.52120728009259265</v>
      </c>
      <c r="P225" t="s">
        <v>9</v>
      </c>
      <c r="Q225">
        <v>-122</v>
      </c>
      <c r="R225">
        <f>Table257[[#This Row],[RSSI]]</f>
        <v>-122</v>
      </c>
      <c r="S225">
        <v>-8.3000000000000007</v>
      </c>
    </row>
    <row r="226" spans="2:19" x14ac:dyDescent="0.25">
      <c r="B226">
        <f>390+2*(Table146[[#This Row],[min value (corrected)]]-37)</f>
        <v>396</v>
      </c>
      <c r="C226">
        <f>MINUTE(Table146[[#This Row],[Corrected time]])</f>
        <v>40</v>
      </c>
      <c r="D226" s="1">
        <v>0.48662310185185181</v>
      </c>
      <c r="E226" s="1">
        <f>Table146[[#This Row],[Time]]-TIME(0,0,1)</f>
        <v>0.48661152777777772</v>
      </c>
      <c r="F226" t="s">
        <v>9</v>
      </c>
      <c r="G226">
        <v>-121</v>
      </c>
      <c r="H226">
        <f>Table146[[#This Row],[RSSI]]</f>
        <v>-121</v>
      </c>
      <c r="I226">
        <v>-7.7</v>
      </c>
      <c r="L226">
        <f>390+2*(Table257[[#This Row],[min value (corrected)]]-27)</f>
        <v>396</v>
      </c>
      <c r="M226">
        <f>MINUTE(Table257[[#This Row],[Corrected time]])</f>
        <v>30</v>
      </c>
      <c r="N226" s="1">
        <v>0.52125503472222223</v>
      </c>
      <c r="O226" s="1">
        <f>Table257[[#This Row],[Time]]-TIME(0,0,3)</f>
        <v>0.5212203125</v>
      </c>
      <c r="P226" t="s">
        <v>9</v>
      </c>
      <c r="Q226">
        <v>-122</v>
      </c>
      <c r="R226">
        <f>Table257[[#This Row],[RSSI]]</f>
        <v>-122</v>
      </c>
      <c r="S226">
        <v>-8.5</v>
      </c>
    </row>
    <row r="227" spans="2:19" x14ac:dyDescent="0.25">
      <c r="B227">
        <f>390+2*(Table146[[#This Row],[min value (corrected)]]-37)</f>
        <v>396</v>
      </c>
      <c r="C227">
        <f>MINUTE(Table146[[#This Row],[Corrected time]])</f>
        <v>40</v>
      </c>
      <c r="D227" s="1">
        <v>0.48663613425925928</v>
      </c>
      <c r="E227" s="1">
        <f>Table146[[#This Row],[Time]]-TIME(0,0,1)</f>
        <v>0.48662456018518518</v>
      </c>
      <c r="F227" t="s">
        <v>9</v>
      </c>
      <c r="G227">
        <v>-121</v>
      </c>
      <c r="H227">
        <f>Table146[[#This Row],[RSSI]]</f>
        <v>-121</v>
      </c>
      <c r="I227">
        <v>-8</v>
      </c>
      <c r="L227">
        <f>390+2*(Table257[[#This Row],[min value (corrected)]]-27)</f>
        <v>396</v>
      </c>
      <c r="M227">
        <f>MINUTE(Table257[[#This Row],[Corrected time]])</f>
        <v>30</v>
      </c>
      <c r="N227" s="1">
        <v>0.5212680671296297</v>
      </c>
      <c r="O227" s="1">
        <f>Table257[[#This Row],[Time]]-TIME(0,0,3)</f>
        <v>0.52123334490740747</v>
      </c>
      <c r="P227" t="s">
        <v>9</v>
      </c>
      <c r="Q227">
        <v>-121</v>
      </c>
      <c r="R227">
        <f>Table257[[#This Row],[RSSI]]</f>
        <v>-121</v>
      </c>
      <c r="S227">
        <v>-7.5</v>
      </c>
    </row>
    <row r="228" spans="2:19" x14ac:dyDescent="0.25">
      <c r="B228">
        <f>390+2*(Table146[[#This Row],[min value (corrected)]]-37)</f>
        <v>396</v>
      </c>
      <c r="C228">
        <f>MINUTE(Table146[[#This Row],[Corrected time]])</f>
        <v>40</v>
      </c>
      <c r="D228" s="1">
        <v>0.48664916666666663</v>
      </c>
      <c r="E228" s="1">
        <f>Table146[[#This Row],[Time]]-TIME(0,0,1)</f>
        <v>0.48663759259259254</v>
      </c>
      <c r="F228" t="s">
        <v>9</v>
      </c>
      <c r="G228">
        <v>-121</v>
      </c>
      <c r="H228">
        <f>Table146[[#This Row],[RSSI]]</f>
        <v>-121</v>
      </c>
      <c r="I228">
        <v>-8</v>
      </c>
      <c r="L228">
        <f>390+2*(Table257[[#This Row],[min value (corrected)]]-27)</f>
        <v>396</v>
      </c>
      <c r="M228">
        <f>MINUTE(Table257[[#This Row],[Corrected time]])</f>
        <v>30</v>
      </c>
      <c r="N228" s="1">
        <v>0.52128109953703705</v>
      </c>
      <c r="O228" s="1">
        <f>Table257[[#This Row],[Time]]-TIME(0,0,3)</f>
        <v>0.52124637731481482</v>
      </c>
      <c r="P228" t="s">
        <v>9</v>
      </c>
      <c r="Q228">
        <v>-121</v>
      </c>
      <c r="R228">
        <f>Table257[[#This Row],[RSSI]]</f>
        <v>-121</v>
      </c>
      <c r="S228">
        <v>-7.2</v>
      </c>
    </row>
    <row r="229" spans="2:19" x14ac:dyDescent="0.25">
      <c r="B229">
        <f>390+2*(Table146[[#This Row],[min value (corrected)]]-37)</f>
        <v>396</v>
      </c>
      <c r="C229">
        <f>MINUTE(Table146[[#This Row],[Corrected time]])</f>
        <v>40</v>
      </c>
      <c r="D229" s="1">
        <v>0.48666217592592592</v>
      </c>
      <c r="E229" s="1">
        <f>Table146[[#This Row],[Time]]-TIME(0,0,1)</f>
        <v>0.48665060185185183</v>
      </c>
      <c r="F229" t="s">
        <v>9</v>
      </c>
      <c r="G229">
        <v>-122</v>
      </c>
      <c r="H229">
        <f>Table146[[#This Row],[RSSI]]</f>
        <v>-122</v>
      </c>
      <c r="I229">
        <v>-8</v>
      </c>
      <c r="L229">
        <f>390+2*(Table257[[#This Row],[min value (corrected)]]-27)</f>
        <v>396</v>
      </c>
      <c r="M229">
        <f>MINUTE(Table257[[#This Row],[Corrected time]])</f>
        <v>30</v>
      </c>
      <c r="N229" s="1">
        <v>0.52129413194444452</v>
      </c>
      <c r="O229" s="1">
        <f>Table257[[#This Row],[Time]]-TIME(0,0,3)</f>
        <v>0.52125940972222229</v>
      </c>
      <c r="P229" t="s">
        <v>9</v>
      </c>
      <c r="Q229">
        <v>-121</v>
      </c>
      <c r="R229">
        <f>Table257[[#This Row],[RSSI]]</f>
        <v>-121</v>
      </c>
      <c r="S229">
        <v>-7.7</v>
      </c>
    </row>
    <row r="230" spans="2:19" x14ac:dyDescent="0.25">
      <c r="B230">
        <f>390+2*(Table146[[#This Row],[min value (corrected)]]-37)</f>
        <v>396</v>
      </c>
      <c r="C230">
        <f>MINUTE(Table146[[#This Row],[Corrected time]])</f>
        <v>40</v>
      </c>
      <c r="D230" s="1">
        <v>0.48667521990740742</v>
      </c>
      <c r="E230" s="1">
        <f>Table146[[#This Row],[Time]]-TIME(0,0,1)</f>
        <v>0.48666364583333332</v>
      </c>
      <c r="F230" t="s">
        <v>9</v>
      </c>
      <c r="G230">
        <v>-120</v>
      </c>
      <c r="H230">
        <f>Table146[[#This Row],[RSSI]]</f>
        <v>-120</v>
      </c>
      <c r="I230">
        <v>-8</v>
      </c>
      <c r="L230">
        <f>390+2*(Table257[[#This Row],[min value (corrected)]]-27)</f>
        <v>396</v>
      </c>
      <c r="M230">
        <f>MINUTE(Table257[[#This Row],[Corrected time]])</f>
        <v>30</v>
      </c>
      <c r="N230" s="1">
        <v>0.52130715277777784</v>
      </c>
      <c r="O230" s="1">
        <f>Table257[[#This Row],[Time]]-TIME(0,0,3)</f>
        <v>0.52127243055555561</v>
      </c>
      <c r="P230" t="s">
        <v>9</v>
      </c>
      <c r="Q230">
        <v>-121</v>
      </c>
      <c r="R230">
        <f>Table257[[#This Row],[RSSI]]</f>
        <v>-121</v>
      </c>
      <c r="S230">
        <v>-7</v>
      </c>
    </row>
    <row r="231" spans="2:19" x14ac:dyDescent="0.25">
      <c r="B231">
        <f>390+2*(Table146[[#This Row],[min value (corrected)]]-37)</f>
        <v>396</v>
      </c>
      <c r="C231">
        <f>MINUTE(Table146[[#This Row],[Corrected time]])</f>
        <v>40</v>
      </c>
      <c r="D231" s="1">
        <v>0.48668826388888892</v>
      </c>
      <c r="E231" s="1">
        <f>Table146[[#This Row],[Time]]-TIME(0,0,1)</f>
        <v>0.48667668981481482</v>
      </c>
      <c r="F231" t="s">
        <v>9</v>
      </c>
      <c r="G231">
        <v>-121</v>
      </c>
      <c r="H231">
        <f>Table146[[#This Row],[RSSI]]</f>
        <v>-121</v>
      </c>
      <c r="I231">
        <v>-8.3000000000000007</v>
      </c>
      <c r="L231">
        <f>390+2*(Table257[[#This Row],[min value (corrected)]]-27)</f>
        <v>396</v>
      </c>
      <c r="M231">
        <f>MINUTE(Table257[[#This Row],[Corrected time]])</f>
        <v>30</v>
      </c>
      <c r="N231" s="1">
        <v>0.52132019675925934</v>
      </c>
      <c r="O231" s="1">
        <f>Table257[[#This Row],[Time]]-TIME(0,0,3)</f>
        <v>0.52128547453703711</v>
      </c>
      <c r="P231" t="s">
        <v>9</v>
      </c>
      <c r="Q231">
        <v>-120</v>
      </c>
      <c r="R231">
        <f>Table257[[#This Row],[RSSI]]</f>
        <v>-120</v>
      </c>
      <c r="S231">
        <v>-6.5</v>
      </c>
    </row>
    <row r="232" spans="2:19" x14ac:dyDescent="0.25">
      <c r="B232">
        <f>390+2*(Table146[[#This Row],[min value (corrected)]]-37)</f>
        <v>396</v>
      </c>
      <c r="C232">
        <f>MINUTE(Table146[[#This Row],[Corrected time]])</f>
        <v>40</v>
      </c>
      <c r="D232" s="1">
        <v>0.48670129629629627</v>
      </c>
      <c r="E232" s="1">
        <f>Table146[[#This Row],[Time]]-TIME(0,0,1)</f>
        <v>0.48668972222222218</v>
      </c>
      <c r="F232" t="s">
        <v>9</v>
      </c>
      <c r="G232">
        <v>-121</v>
      </c>
      <c r="H232">
        <f>Table146[[#This Row],[RSSI]]</f>
        <v>-121</v>
      </c>
      <c r="I232">
        <v>-7.2</v>
      </c>
      <c r="L232">
        <f>390+2*(Table257[[#This Row],[min value (corrected)]]-27)</f>
        <v>396</v>
      </c>
      <c r="M232">
        <f>MINUTE(Table257[[#This Row],[Corrected time]])</f>
        <v>30</v>
      </c>
      <c r="N232" s="1">
        <v>0.52133322916666669</v>
      </c>
      <c r="O232" s="1">
        <f>Table257[[#This Row],[Time]]-TIME(0,0,3)</f>
        <v>0.52129850694444446</v>
      </c>
      <c r="P232" t="s">
        <v>9</v>
      </c>
      <c r="Q232">
        <v>-121</v>
      </c>
      <c r="R232">
        <f>Table257[[#This Row],[RSSI]]</f>
        <v>-121</v>
      </c>
      <c r="S232">
        <v>-8</v>
      </c>
    </row>
    <row r="233" spans="2:19" x14ac:dyDescent="0.25">
      <c r="B233">
        <f>390+2*(Table146[[#This Row],[min value (corrected)]]-37)</f>
        <v>396</v>
      </c>
      <c r="C233">
        <f>MINUTE(Table146[[#This Row],[Corrected time]])</f>
        <v>40</v>
      </c>
      <c r="D233" s="1">
        <v>0.48671432870370374</v>
      </c>
      <c r="E233" s="1">
        <f>Table146[[#This Row],[Time]]-TIME(0,0,1)</f>
        <v>0.48670275462962964</v>
      </c>
      <c r="F233" t="s">
        <v>9</v>
      </c>
      <c r="G233">
        <v>-121</v>
      </c>
      <c r="H233">
        <f>Table146[[#This Row],[RSSI]]</f>
        <v>-121</v>
      </c>
      <c r="I233">
        <v>-7.7</v>
      </c>
      <c r="L233">
        <f>390+2*(Table257[[#This Row],[min value (corrected)]]-27)</f>
        <v>396</v>
      </c>
      <c r="M233">
        <f>MINUTE(Table257[[#This Row],[Corrected time]])</f>
        <v>30</v>
      </c>
      <c r="N233" s="1">
        <v>0.52134626157407415</v>
      </c>
      <c r="O233" s="1">
        <f>Table257[[#This Row],[Time]]-TIME(0,0,3)</f>
        <v>0.52131153935185193</v>
      </c>
      <c r="P233" t="s">
        <v>9</v>
      </c>
      <c r="Q233">
        <v>-122</v>
      </c>
      <c r="R233">
        <f>Table257[[#This Row],[RSSI]]</f>
        <v>-122</v>
      </c>
      <c r="S233">
        <v>-8</v>
      </c>
    </row>
    <row r="234" spans="2:19" x14ac:dyDescent="0.25">
      <c r="B234">
        <f>390+2*(Table146[[#This Row],[min value (corrected)]]-37)</f>
        <v>396</v>
      </c>
      <c r="C234">
        <f>MINUTE(Table146[[#This Row],[Corrected time]])</f>
        <v>40</v>
      </c>
      <c r="D234" s="1">
        <v>0.48672736111111109</v>
      </c>
      <c r="E234" s="1">
        <f>Table146[[#This Row],[Time]]-TIME(0,0,1)</f>
        <v>0.486715787037037</v>
      </c>
      <c r="F234" t="s">
        <v>9</v>
      </c>
      <c r="G234">
        <v>-121</v>
      </c>
      <c r="H234">
        <f>Table146[[#This Row],[RSSI]]</f>
        <v>-121</v>
      </c>
      <c r="I234">
        <v>-7.5</v>
      </c>
      <c r="L234">
        <f>390+2*(Table257[[#This Row],[min value (corrected)]]-27)</f>
        <v>396</v>
      </c>
      <c r="M234">
        <f>MINUTE(Table257[[#This Row],[Corrected time]])</f>
        <v>30</v>
      </c>
      <c r="N234" s="1">
        <v>0.52135929398148151</v>
      </c>
      <c r="O234" s="1">
        <f>Table257[[#This Row],[Time]]-TIME(0,0,3)</f>
        <v>0.52132457175925928</v>
      </c>
      <c r="P234" t="s">
        <v>9</v>
      </c>
      <c r="Q234">
        <v>-121</v>
      </c>
      <c r="R234">
        <f>Table257[[#This Row],[RSSI]]</f>
        <v>-121</v>
      </c>
      <c r="S234">
        <v>-7.2</v>
      </c>
    </row>
    <row r="235" spans="2:19" x14ac:dyDescent="0.25">
      <c r="B235">
        <f>390+2*(Table146[[#This Row],[min value (corrected)]]-37)</f>
        <v>396</v>
      </c>
      <c r="C235">
        <f>MINUTE(Table146[[#This Row],[Corrected time]])</f>
        <v>40</v>
      </c>
      <c r="D235" s="1">
        <v>0.48674039351851855</v>
      </c>
      <c r="E235" s="1">
        <f>Table146[[#This Row],[Time]]-TIME(0,0,1)</f>
        <v>0.48672881944444446</v>
      </c>
      <c r="F235" t="s">
        <v>9</v>
      </c>
      <c r="G235">
        <v>-122</v>
      </c>
      <c r="H235">
        <f>Table146[[#This Row],[RSSI]]</f>
        <v>-122</v>
      </c>
      <c r="I235">
        <v>-8.5</v>
      </c>
      <c r="L235">
        <f>390+2*(Table257[[#This Row],[min value (corrected)]]-27)</f>
        <v>396</v>
      </c>
      <c r="M235">
        <f>MINUTE(Table257[[#This Row],[Corrected time]])</f>
        <v>30</v>
      </c>
      <c r="N235" s="1">
        <v>0.52137232638888897</v>
      </c>
      <c r="O235" s="1">
        <f>Table257[[#This Row],[Time]]-TIME(0,0,3)</f>
        <v>0.52133760416666675</v>
      </c>
      <c r="P235" t="s">
        <v>9</v>
      </c>
      <c r="Q235">
        <v>-121</v>
      </c>
      <c r="R235">
        <f>Table257[[#This Row],[RSSI]]</f>
        <v>-121</v>
      </c>
      <c r="S235">
        <v>-7.5</v>
      </c>
    </row>
    <row r="236" spans="2:19" x14ac:dyDescent="0.25">
      <c r="B236">
        <f>390+2*(Table146[[#This Row],[min value (corrected)]]-37)</f>
        <v>396</v>
      </c>
      <c r="C236">
        <f>MINUTE(Table146[[#This Row],[Corrected time]])</f>
        <v>40</v>
      </c>
      <c r="D236" s="1">
        <v>0.48675342592592591</v>
      </c>
      <c r="E236" s="1">
        <f>Table146[[#This Row],[Time]]-TIME(0,0,1)</f>
        <v>0.48674185185185181</v>
      </c>
      <c r="F236" t="s">
        <v>9</v>
      </c>
      <c r="G236">
        <v>-121</v>
      </c>
      <c r="H236">
        <f>Table146[[#This Row],[RSSI]]</f>
        <v>-121</v>
      </c>
      <c r="I236">
        <v>-7.2</v>
      </c>
      <c r="L236">
        <f>390+2*(Table257[[#This Row],[min value (corrected)]]-27)</f>
        <v>396</v>
      </c>
      <c r="M236">
        <f>MINUTE(Table257[[#This Row],[Corrected time]])</f>
        <v>30</v>
      </c>
      <c r="N236" s="1">
        <v>0.52138535879629633</v>
      </c>
      <c r="O236" s="1">
        <f>Table257[[#This Row],[Time]]-TIME(0,0,3)</f>
        <v>0.5213506365740741</v>
      </c>
      <c r="P236" t="s">
        <v>9</v>
      </c>
      <c r="Q236">
        <v>-122</v>
      </c>
      <c r="R236">
        <f>Table257[[#This Row],[RSSI]]</f>
        <v>-122</v>
      </c>
      <c r="S236">
        <v>-8.5</v>
      </c>
    </row>
    <row r="237" spans="2:19" x14ac:dyDescent="0.25">
      <c r="B237">
        <f>390+2*(Table146[[#This Row],[min value (corrected)]]-37)</f>
        <v>396</v>
      </c>
      <c r="C237">
        <f>MINUTE(Table146[[#This Row],[Corrected time]])</f>
        <v>40</v>
      </c>
      <c r="D237" s="1">
        <v>0.48676645833333337</v>
      </c>
      <c r="E237" s="1">
        <f>Table146[[#This Row],[Time]]-TIME(0,0,1)</f>
        <v>0.48675488425925928</v>
      </c>
      <c r="F237" t="s">
        <v>9</v>
      </c>
      <c r="G237">
        <v>-121</v>
      </c>
      <c r="H237">
        <f>Table146[[#This Row],[RSSI]]</f>
        <v>-121</v>
      </c>
      <c r="I237">
        <v>-8.3000000000000007</v>
      </c>
      <c r="L237">
        <f>390+2*(Table257[[#This Row],[min value (corrected)]]-27)</f>
        <v>396</v>
      </c>
      <c r="M237">
        <f>MINUTE(Table257[[#This Row],[Corrected time]])</f>
        <v>30</v>
      </c>
      <c r="N237" s="1">
        <v>0.52139839120370379</v>
      </c>
      <c r="O237" s="1">
        <f>Table257[[#This Row],[Time]]-TIME(0,0,3)</f>
        <v>0.52136366898148157</v>
      </c>
      <c r="P237" t="s">
        <v>9</v>
      </c>
      <c r="Q237">
        <v>-121</v>
      </c>
      <c r="R237">
        <f>Table257[[#This Row],[RSSI]]</f>
        <v>-121</v>
      </c>
      <c r="S237">
        <v>-7.7</v>
      </c>
    </row>
    <row r="238" spans="2:19" x14ac:dyDescent="0.25">
      <c r="B238">
        <f>390+2*(Table146[[#This Row],[min value (corrected)]]-37)</f>
        <v>396</v>
      </c>
      <c r="C238">
        <f>MINUTE(Table146[[#This Row],[Corrected time]])</f>
        <v>40</v>
      </c>
      <c r="D238" s="1">
        <v>0.48677949074074073</v>
      </c>
      <c r="E238" s="1">
        <f>Table146[[#This Row],[Time]]-TIME(0,0,1)</f>
        <v>0.48676791666666663</v>
      </c>
      <c r="F238" t="s">
        <v>9</v>
      </c>
      <c r="G238">
        <v>-121</v>
      </c>
      <c r="H238">
        <f>Table146[[#This Row],[RSSI]]</f>
        <v>-121</v>
      </c>
      <c r="I238">
        <v>-7.7</v>
      </c>
      <c r="L238">
        <f>390+2*(Table257[[#This Row],[min value (corrected)]]-27)</f>
        <v>396</v>
      </c>
      <c r="M238">
        <f>MINUTE(Table257[[#This Row],[Corrected time]])</f>
        <v>30</v>
      </c>
      <c r="N238" s="1">
        <v>0.52141142361111115</v>
      </c>
      <c r="O238" s="1">
        <f>Table257[[#This Row],[Time]]-TIME(0,0,3)</f>
        <v>0.52137670138888892</v>
      </c>
      <c r="P238" t="s">
        <v>9</v>
      </c>
      <c r="Q238">
        <v>-121</v>
      </c>
      <c r="R238">
        <f>Table257[[#This Row],[RSSI]]</f>
        <v>-121</v>
      </c>
      <c r="S238">
        <v>-7.7</v>
      </c>
    </row>
    <row r="239" spans="2:19" x14ac:dyDescent="0.25">
      <c r="B239">
        <f>390+2*(Table146[[#This Row],[min value (corrected)]]-37)</f>
        <v>396</v>
      </c>
      <c r="C239">
        <f>MINUTE(Table146[[#This Row],[Corrected time]])</f>
        <v>40</v>
      </c>
      <c r="D239" s="1">
        <v>0.48679251157407405</v>
      </c>
      <c r="E239" s="1">
        <f>Table146[[#This Row],[Time]]-TIME(0,0,1)</f>
        <v>0.48678093749999995</v>
      </c>
      <c r="F239" t="s">
        <v>9</v>
      </c>
      <c r="G239">
        <v>-122</v>
      </c>
      <c r="H239">
        <f>Table146[[#This Row],[RSSI]]</f>
        <v>-122</v>
      </c>
      <c r="I239">
        <v>-8.3000000000000007</v>
      </c>
      <c r="L239">
        <f>390+2*(Table257[[#This Row],[min value (corrected)]]-27)</f>
        <v>396</v>
      </c>
      <c r="M239">
        <f>MINUTE(Table257[[#This Row],[Corrected time]])</f>
        <v>30</v>
      </c>
      <c r="N239" s="1">
        <v>0.5214244560185185</v>
      </c>
      <c r="O239" s="1">
        <f>Table257[[#This Row],[Time]]-TIME(0,0,3)</f>
        <v>0.52138973379629627</v>
      </c>
      <c r="P239" t="s">
        <v>9</v>
      </c>
      <c r="Q239">
        <v>-121</v>
      </c>
      <c r="R239">
        <f>Table257[[#This Row],[RSSI]]</f>
        <v>-121</v>
      </c>
      <c r="S239">
        <v>-7.2</v>
      </c>
    </row>
    <row r="240" spans="2:19" x14ac:dyDescent="0.25">
      <c r="B240">
        <f>390+2*(Table146[[#This Row],[min value (corrected)]]-37)</f>
        <v>396</v>
      </c>
      <c r="C240">
        <f>MINUTE(Table146[[#This Row],[Corrected time]])</f>
        <v>40</v>
      </c>
      <c r="D240" s="1">
        <v>0.48680555555555555</v>
      </c>
      <c r="E240" s="1">
        <f>Table146[[#This Row],[Time]]-TIME(0,0,1)</f>
        <v>0.48679398148148145</v>
      </c>
      <c r="F240" t="s">
        <v>9</v>
      </c>
      <c r="G240">
        <v>-122</v>
      </c>
      <c r="H240">
        <f>Table146[[#This Row],[RSSI]]</f>
        <v>-122</v>
      </c>
      <c r="I240">
        <v>-8.8000000000000007</v>
      </c>
      <c r="L240">
        <f>390+2*(Table257[[#This Row],[min value (corrected)]]-27)</f>
        <v>396</v>
      </c>
      <c r="M240">
        <f>MINUTE(Table257[[#This Row],[Corrected time]])</f>
        <v>30</v>
      </c>
      <c r="N240" s="1">
        <v>0.52143748842592597</v>
      </c>
      <c r="O240" s="1">
        <f>Table257[[#This Row],[Time]]-TIME(0,0,3)</f>
        <v>0.52140276620370374</v>
      </c>
      <c r="P240" t="s">
        <v>13</v>
      </c>
      <c r="Q240">
        <f>Q239</f>
        <v>-121</v>
      </c>
      <c r="R240">
        <f>Table257[[#This Row],[RSSI]]</f>
        <v>-121</v>
      </c>
      <c r="S240">
        <f>S239</f>
        <v>-7.2</v>
      </c>
    </row>
    <row r="241" spans="2:19" x14ac:dyDescent="0.25">
      <c r="B241">
        <f>390+2*(Table146[[#This Row],[min value (corrected)]]-37)</f>
        <v>398</v>
      </c>
      <c r="C241">
        <f>MINUTE(Table146[[#This Row],[Corrected time]])</f>
        <v>41</v>
      </c>
      <c r="D241" s="1">
        <v>0.48681857638888887</v>
      </c>
      <c r="E241" s="1">
        <f>Table146[[#This Row],[Time]]-TIME(0,0,1)</f>
        <v>0.48680700231481477</v>
      </c>
      <c r="F241" t="s">
        <v>9</v>
      </c>
      <c r="G241">
        <v>-121</v>
      </c>
      <c r="H241">
        <f>Table146[[#This Row],[RSSI]]</f>
        <v>-121</v>
      </c>
      <c r="I241">
        <v>-7.5</v>
      </c>
      <c r="L241">
        <f>390+2*(Table257[[#This Row],[min value (corrected)]]-27)</f>
        <v>396</v>
      </c>
      <c r="M241">
        <f>MINUTE(Table257[[#This Row],[Corrected time]])</f>
        <v>30</v>
      </c>
      <c r="N241" s="1">
        <v>0.52145052083333332</v>
      </c>
      <c r="O241" s="1">
        <f>Table257[[#This Row],[Time]]-TIME(0,0,3)</f>
        <v>0.52141579861111109</v>
      </c>
      <c r="P241" t="s">
        <v>9</v>
      </c>
      <c r="Q241">
        <v>-122</v>
      </c>
      <c r="R241">
        <f>Table257[[#This Row],[RSSI]]</f>
        <v>-122</v>
      </c>
      <c r="S241">
        <v>-8.5</v>
      </c>
    </row>
    <row r="242" spans="2:19" x14ac:dyDescent="0.25">
      <c r="B242">
        <f>390+2*(Table146[[#This Row],[min value (corrected)]]-37)</f>
        <v>398</v>
      </c>
      <c r="C242">
        <f>MINUTE(Table146[[#This Row],[Corrected time]])</f>
        <v>41</v>
      </c>
      <c r="D242" s="1">
        <v>0.48683162037037037</v>
      </c>
      <c r="E242" s="1">
        <f>Table146[[#This Row],[Time]]-TIME(0,0,1)</f>
        <v>0.48682004629629627</v>
      </c>
      <c r="F242" t="s">
        <v>9</v>
      </c>
      <c r="G242">
        <v>-122</v>
      </c>
      <c r="H242">
        <f>Table146[[#This Row],[RSSI]]</f>
        <v>-122</v>
      </c>
      <c r="I242">
        <v>-8.3000000000000007</v>
      </c>
      <c r="L242">
        <f>390+2*(Table257[[#This Row],[min value (corrected)]]-27)</f>
        <v>396</v>
      </c>
      <c r="M242">
        <f>MINUTE(Table257[[#This Row],[Corrected time]])</f>
        <v>30</v>
      </c>
      <c r="N242" s="1">
        <v>0.52146355324074078</v>
      </c>
      <c r="O242" s="1">
        <f>Table257[[#This Row],[Time]]-TIME(0,0,3)</f>
        <v>0.52142883101851856</v>
      </c>
      <c r="P242" t="s">
        <v>9</v>
      </c>
      <c r="Q242">
        <v>-121</v>
      </c>
      <c r="R242">
        <f>Table257[[#This Row],[RSSI]]</f>
        <v>-121</v>
      </c>
      <c r="S242">
        <v>-7.5</v>
      </c>
    </row>
    <row r="243" spans="2:19" x14ac:dyDescent="0.25">
      <c r="B243">
        <f>390+2*(Table146[[#This Row],[min value (corrected)]]-37)</f>
        <v>398</v>
      </c>
      <c r="C243">
        <f>MINUTE(Table146[[#This Row],[Corrected time]])</f>
        <v>41</v>
      </c>
      <c r="D243" s="1">
        <v>0.48684465277777772</v>
      </c>
      <c r="E243" s="1">
        <f>Table146[[#This Row],[Time]]-TIME(0,0,1)</f>
        <v>0.48683307870370363</v>
      </c>
      <c r="F243" t="s">
        <v>9</v>
      </c>
      <c r="G243">
        <v>-122</v>
      </c>
      <c r="H243">
        <f>Table146[[#This Row],[RSSI]]</f>
        <v>-122</v>
      </c>
      <c r="I243">
        <v>-7.7</v>
      </c>
      <c r="L243">
        <f>390+2*(Table257[[#This Row],[min value (corrected)]]-27)</f>
        <v>396</v>
      </c>
      <c r="M243">
        <f>MINUTE(Table257[[#This Row],[Corrected time]])</f>
        <v>30</v>
      </c>
      <c r="N243" s="1">
        <v>0.52147658564814814</v>
      </c>
      <c r="O243" s="1">
        <f>Table257[[#This Row],[Time]]-TIME(0,0,3)</f>
        <v>0.52144186342592591</v>
      </c>
      <c r="P243" t="s">
        <v>9</v>
      </c>
      <c r="Q243">
        <v>-121</v>
      </c>
      <c r="R243">
        <f>Table257[[#This Row],[RSSI]]</f>
        <v>-121</v>
      </c>
      <c r="S243">
        <v>-7</v>
      </c>
    </row>
    <row r="244" spans="2:19" x14ac:dyDescent="0.25">
      <c r="B244">
        <f>390+2*(Table146[[#This Row],[min value (corrected)]]-37)</f>
        <v>398</v>
      </c>
      <c r="C244">
        <f>MINUTE(Table146[[#This Row],[Corrected time]])</f>
        <v>41</v>
      </c>
      <c r="D244" s="1">
        <v>0.48685768518518518</v>
      </c>
      <c r="E244" s="1">
        <f>Table146[[#This Row],[Time]]-TIME(0,0,1)</f>
        <v>0.48684611111111109</v>
      </c>
      <c r="F244" t="s">
        <v>9</v>
      </c>
      <c r="G244">
        <v>-122</v>
      </c>
      <c r="H244">
        <f>Table146[[#This Row],[RSSI]]</f>
        <v>-122</v>
      </c>
      <c r="I244">
        <v>-8</v>
      </c>
      <c r="L244">
        <f>390+2*(Table257[[#This Row],[min value (corrected)]]-27)</f>
        <v>396</v>
      </c>
      <c r="M244">
        <f>MINUTE(Table257[[#This Row],[Corrected time]])</f>
        <v>30</v>
      </c>
      <c r="N244" s="1">
        <v>0.5214896180555556</v>
      </c>
      <c r="O244" s="1">
        <f>Table257[[#This Row],[Time]]-TIME(0,0,3)</f>
        <v>0.52145489583333338</v>
      </c>
      <c r="P244" t="s">
        <v>9</v>
      </c>
      <c r="Q244">
        <v>-121</v>
      </c>
      <c r="R244">
        <f>Table257[[#This Row],[RSSI]]</f>
        <v>-121</v>
      </c>
      <c r="S244">
        <v>-7.5</v>
      </c>
    </row>
    <row r="245" spans="2:19" x14ac:dyDescent="0.25">
      <c r="B245">
        <f>390+2*(Table146[[#This Row],[min value (corrected)]]-37)</f>
        <v>398</v>
      </c>
      <c r="C245">
        <f>MINUTE(Table146[[#This Row],[Corrected time]])</f>
        <v>41</v>
      </c>
      <c r="D245" s="1">
        <v>0.48687070601851851</v>
      </c>
      <c r="E245" s="1">
        <f>Table146[[#This Row],[Time]]-TIME(0,0,1)</f>
        <v>0.48685913194444441</v>
      </c>
      <c r="F245" t="s">
        <v>9</v>
      </c>
      <c r="G245">
        <v>-121</v>
      </c>
      <c r="H245">
        <f>Table146[[#This Row],[RSSI]]</f>
        <v>-121</v>
      </c>
      <c r="I245">
        <v>-7.5</v>
      </c>
      <c r="L245">
        <f>390+2*(Table257[[#This Row],[min value (corrected)]]-27)</f>
        <v>396</v>
      </c>
      <c r="M245">
        <f>MINUTE(Table257[[#This Row],[Corrected time]])</f>
        <v>30</v>
      </c>
      <c r="N245" s="1">
        <v>0.52150265046296296</v>
      </c>
      <c r="O245" s="1">
        <f>Table257[[#This Row],[Time]]-TIME(0,0,3)</f>
        <v>0.52146792824074073</v>
      </c>
      <c r="P245" t="s">
        <v>9</v>
      </c>
      <c r="Q245">
        <v>-121</v>
      </c>
      <c r="R245">
        <f>Table257[[#This Row],[RSSI]]</f>
        <v>-121</v>
      </c>
      <c r="S245">
        <v>-7.7</v>
      </c>
    </row>
    <row r="246" spans="2:19" x14ac:dyDescent="0.25">
      <c r="B246">
        <f>390+2*(Table146[[#This Row],[min value (corrected)]]-37)</f>
        <v>398</v>
      </c>
      <c r="C246">
        <f>MINUTE(Table146[[#This Row],[Corrected time]])</f>
        <v>41</v>
      </c>
      <c r="D246" s="1">
        <v>0.48688375</v>
      </c>
      <c r="E246" s="1">
        <f>Table146[[#This Row],[Time]]-TIME(0,0,1)</f>
        <v>0.48687217592592591</v>
      </c>
      <c r="F246" t="s">
        <v>13</v>
      </c>
      <c r="G246">
        <f>G245</f>
        <v>-121</v>
      </c>
      <c r="H246">
        <f>Table146[[#This Row],[RSSI]]</f>
        <v>-121</v>
      </c>
      <c r="I246">
        <f>I245</f>
        <v>-7.5</v>
      </c>
      <c r="L246">
        <f>390+2*(Table257[[#This Row],[min value (corrected)]]-27)</f>
        <v>396</v>
      </c>
      <c r="M246">
        <f>MINUTE(Table257[[#This Row],[Corrected time]])</f>
        <v>30</v>
      </c>
      <c r="N246" s="1">
        <v>0.52151568287037042</v>
      </c>
      <c r="O246" s="1">
        <f>Table257[[#This Row],[Time]]-TIME(0,0,3)</f>
        <v>0.5214809606481482</v>
      </c>
      <c r="P246" t="s">
        <v>9</v>
      </c>
      <c r="Q246">
        <v>-121</v>
      </c>
      <c r="R246">
        <f>Table257[[#This Row],[RSSI]]</f>
        <v>-121</v>
      </c>
      <c r="S246">
        <v>-7</v>
      </c>
    </row>
    <row r="247" spans="2:19" x14ac:dyDescent="0.25">
      <c r="B247">
        <f>390+2*(Table146[[#This Row],[min value (corrected)]]-37)</f>
        <v>398</v>
      </c>
      <c r="C247">
        <f>MINUTE(Table146[[#This Row],[Corrected time]])</f>
        <v>41</v>
      </c>
      <c r="D247" s="1">
        <v>0.48689677083333333</v>
      </c>
      <c r="E247" s="1">
        <f>Table146[[#This Row],[Time]]-TIME(0,0,1)</f>
        <v>0.48688519675925923</v>
      </c>
      <c r="F247" t="s">
        <v>9</v>
      </c>
      <c r="G247">
        <v>-122</v>
      </c>
      <c r="H247">
        <f>Table146[[#This Row],[RSSI]]</f>
        <v>-122</v>
      </c>
      <c r="I247">
        <v>-8.5</v>
      </c>
      <c r="L247">
        <f>390+2*(Table257[[#This Row],[min value (corrected)]]-27)</f>
        <v>396</v>
      </c>
      <c r="M247">
        <f>MINUTE(Table257[[#This Row],[Corrected time]])</f>
        <v>30</v>
      </c>
      <c r="N247" s="1">
        <v>0.52152871527777778</v>
      </c>
      <c r="O247" s="1">
        <f>Table257[[#This Row],[Time]]-TIME(0,0,3)</f>
        <v>0.52149399305555555</v>
      </c>
      <c r="P247" t="s">
        <v>9</v>
      </c>
      <c r="Q247">
        <v>-121</v>
      </c>
      <c r="R247">
        <f>Table257[[#This Row],[RSSI]]</f>
        <v>-121</v>
      </c>
      <c r="S247">
        <v>-7.7</v>
      </c>
    </row>
    <row r="248" spans="2:19" x14ac:dyDescent="0.25">
      <c r="B248">
        <f>390+2*(Table146[[#This Row],[min value (corrected)]]-37)</f>
        <v>398</v>
      </c>
      <c r="C248">
        <f>MINUTE(Table146[[#This Row],[Corrected time]])</f>
        <v>41</v>
      </c>
      <c r="D248" s="1">
        <v>0.48690981481481482</v>
      </c>
      <c r="E248" s="1">
        <f>Table146[[#This Row],[Time]]-TIME(0,0,1)</f>
        <v>0.48689824074074073</v>
      </c>
      <c r="F248" t="s">
        <v>9</v>
      </c>
      <c r="G248">
        <v>-122</v>
      </c>
      <c r="H248">
        <f>Table146[[#This Row],[RSSI]]</f>
        <v>-122</v>
      </c>
      <c r="I248">
        <v>-8.5</v>
      </c>
      <c r="L248">
        <f>390+2*(Table257[[#This Row],[min value (corrected)]]-27)</f>
        <v>396</v>
      </c>
      <c r="M248">
        <f>MINUTE(Table257[[#This Row],[Corrected time]])</f>
        <v>30</v>
      </c>
      <c r="N248" s="1">
        <v>0.52154174768518524</v>
      </c>
      <c r="O248" s="1">
        <f>Table257[[#This Row],[Time]]-TIME(0,0,3)</f>
        <v>0.52150702546296301</v>
      </c>
      <c r="P248" t="s">
        <v>9</v>
      </c>
      <c r="Q248">
        <v>-121</v>
      </c>
      <c r="R248">
        <f>Table257[[#This Row],[RSSI]]</f>
        <v>-121</v>
      </c>
      <c r="S248">
        <v>-7.5</v>
      </c>
    </row>
    <row r="249" spans="2:19" x14ac:dyDescent="0.25">
      <c r="B249">
        <f>390+2*(Table146[[#This Row],[min value (corrected)]]-37)</f>
        <v>398</v>
      </c>
      <c r="C249">
        <f>MINUTE(Table146[[#This Row],[Corrected time]])</f>
        <v>41</v>
      </c>
      <c r="D249" s="1">
        <v>0.48692283564814814</v>
      </c>
      <c r="E249" s="1">
        <f>Table146[[#This Row],[Time]]-TIME(0,0,1)</f>
        <v>0.48691126157407405</v>
      </c>
      <c r="F249" t="s">
        <v>9</v>
      </c>
      <c r="G249">
        <v>-122</v>
      </c>
      <c r="H249">
        <f>Table146[[#This Row],[RSSI]]</f>
        <v>-122</v>
      </c>
      <c r="I249">
        <v>-8.3000000000000007</v>
      </c>
      <c r="L249">
        <f>390+2*(Table257[[#This Row],[min value (corrected)]]-27)</f>
        <v>396</v>
      </c>
      <c r="M249">
        <f>MINUTE(Table257[[#This Row],[Corrected time]])</f>
        <v>30</v>
      </c>
      <c r="N249" s="1">
        <v>0.5215547800925926</v>
      </c>
      <c r="O249" s="1">
        <f>Table257[[#This Row],[Time]]-TIME(0,0,3)</f>
        <v>0.52152005787037037</v>
      </c>
      <c r="P249" t="s">
        <v>9</v>
      </c>
      <c r="Q249">
        <v>-121</v>
      </c>
      <c r="R249">
        <f>Table257[[#This Row],[RSSI]]</f>
        <v>-121</v>
      </c>
      <c r="S249">
        <v>-7.5</v>
      </c>
    </row>
    <row r="250" spans="2:19" x14ac:dyDescent="0.25">
      <c r="B250">
        <f>390+2*(Table146[[#This Row],[min value (corrected)]]-37)</f>
        <v>398</v>
      </c>
      <c r="C250">
        <f>MINUTE(Table146[[#This Row],[Corrected time]])</f>
        <v>41</v>
      </c>
      <c r="D250" s="1">
        <v>0.48693586805555555</v>
      </c>
      <c r="E250" s="1">
        <f>Table146[[#This Row],[Time]]-TIME(0,0,1)</f>
        <v>0.48692429398148146</v>
      </c>
      <c r="F250" t="s">
        <v>9</v>
      </c>
      <c r="G250">
        <v>-121</v>
      </c>
      <c r="H250">
        <f>Table146[[#This Row],[RSSI]]</f>
        <v>-121</v>
      </c>
      <c r="I250">
        <v>-7.7</v>
      </c>
      <c r="L250">
        <f>390+2*(Table257[[#This Row],[min value (corrected)]]-27)</f>
        <v>398</v>
      </c>
      <c r="M250">
        <f>MINUTE(Table257[[#This Row],[Corrected time]])</f>
        <v>31</v>
      </c>
      <c r="N250" s="1">
        <v>0.52156780092592592</v>
      </c>
      <c r="O250" s="1">
        <f>Table257[[#This Row],[Time]]-TIME(0,0,3)</f>
        <v>0.52153307870370369</v>
      </c>
      <c r="P250" t="s">
        <v>9</v>
      </c>
      <c r="Q250">
        <v>-121</v>
      </c>
      <c r="R250">
        <f>Table257[[#This Row],[RSSI]]</f>
        <v>-121</v>
      </c>
      <c r="S250">
        <v>-7</v>
      </c>
    </row>
    <row r="251" spans="2:19" x14ac:dyDescent="0.25">
      <c r="B251">
        <f>390+2*(Table146[[#This Row],[min value (corrected)]]-37)</f>
        <v>398</v>
      </c>
      <c r="C251">
        <f>MINUTE(Table146[[#This Row],[Corrected time]])</f>
        <v>41</v>
      </c>
      <c r="D251" s="1">
        <v>0.486948912037037</v>
      </c>
      <c r="E251" s="1">
        <f>Table146[[#This Row],[Time]]-TIME(0,0,1)</f>
        <v>0.4869373379629629</v>
      </c>
      <c r="F251" t="s">
        <v>9</v>
      </c>
      <c r="G251">
        <v>-122</v>
      </c>
      <c r="H251">
        <f>Table146[[#This Row],[RSSI]]</f>
        <v>-122</v>
      </c>
      <c r="I251">
        <v>-8.3000000000000007</v>
      </c>
      <c r="L251">
        <f>390+2*(Table257[[#This Row],[min value (corrected)]]-27)</f>
        <v>398</v>
      </c>
      <c r="M251">
        <f>MINUTE(Table257[[#This Row],[Corrected time]])</f>
        <v>31</v>
      </c>
      <c r="N251" s="1">
        <v>0.52158084490740741</v>
      </c>
      <c r="O251" s="1">
        <f>Table257[[#This Row],[Time]]-TIME(0,0,3)</f>
        <v>0.52154612268518519</v>
      </c>
      <c r="P251" t="s">
        <v>9</v>
      </c>
      <c r="Q251">
        <v>-121</v>
      </c>
      <c r="R251">
        <f>Table257[[#This Row],[RSSI]]</f>
        <v>-121</v>
      </c>
      <c r="S251">
        <v>-7.2</v>
      </c>
    </row>
    <row r="252" spans="2:19" x14ac:dyDescent="0.25">
      <c r="B252">
        <f>390+2*(Table146[[#This Row],[min value (corrected)]]-37)</f>
        <v>398</v>
      </c>
      <c r="C252">
        <f>MINUTE(Table146[[#This Row],[Corrected time]])</f>
        <v>41</v>
      </c>
      <c r="D252" s="1">
        <v>0.48696194444444446</v>
      </c>
      <c r="E252" s="1">
        <f>Table146[[#This Row],[Time]]-TIME(0,0,1)</f>
        <v>0.48695037037037037</v>
      </c>
      <c r="F252" t="s">
        <v>9</v>
      </c>
      <c r="G252">
        <v>-121</v>
      </c>
      <c r="H252">
        <f>Table146[[#This Row],[RSSI]]</f>
        <v>-121</v>
      </c>
      <c r="I252">
        <v>-7.2</v>
      </c>
      <c r="L252">
        <f>390+2*(Table257[[#This Row],[min value (corrected)]]-27)</f>
        <v>398</v>
      </c>
      <c r="M252">
        <f>MINUTE(Table257[[#This Row],[Corrected time]])</f>
        <v>31</v>
      </c>
      <c r="N252" s="1">
        <v>0.52159387731481488</v>
      </c>
      <c r="O252" s="1">
        <f>Table257[[#This Row],[Time]]-TIME(0,0,3)</f>
        <v>0.52155915509259265</v>
      </c>
      <c r="P252" t="s">
        <v>13</v>
      </c>
      <c r="Q252">
        <f>Q251</f>
        <v>-121</v>
      </c>
      <c r="R252">
        <f>Table257[[#This Row],[RSSI]]</f>
        <v>-121</v>
      </c>
      <c r="S252">
        <f>S251</f>
        <v>-7.2</v>
      </c>
    </row>
    <row r="253" spans="2:19" x14ac:dyDescent="0.25">
      <c r="B253">
        <f>390+2*(Table146[[#This Row],[min value (corrected)]]-37)</f>
        <v>398</v>
      </c>
      <c r="C253">
        <f>MINUTE(Table146[[#This Row],[Corrected time]])</f>
        <v>41</v>
      </c>
      <c r="D253" s="1">
        <v>0.48697497685185182</v>
      </c>
      <c r="E253" s="1">
        <f>Table146[[#This Row],[Time]]-TIME(0,0,1)</f>
        <v>0.48696340277777772</v>
      </c>
      <c r="F253" t="s">
        <v>9</v>
      </c>
      <c r="G253">
        <v>-121</v>
      </c>
      <c r="H253">
        <f>Table146[[#This Row],[RSSI]]</f>
        <v>-121</v>
      </c>
      <c r="I253">
        <v>-7.7</v>
      </c>
      <c r="L253">
        <f>390+2*(Table257[[#This Row],[min value (corrected)]]-27)</f>
        <v>398</v>
      </c>
      <c r="M253">
        <f>MINUTE(Table257[[#This Row],[Corrected time]])</f>
        <v>31</v>
      </c>
      <c r="N253" s="1">
        <v>0.52160690972222223</v>
      </c>
      <c r="O253" s="1">
        <f>Table257[[#This Row],[Time]]-TIME(0,0,3)</f>
        <v>0.52157218750000001</v>
      </c>
      <c r="P253" t="s">
        <v>9</v>
      </c>
      <c r="Q253">
        <v>-122</v>
      </c>
      <c r="R253">
        <f>Table257[[#This Row],[RSSI]]</f>
        <v>-122</v>
      </c>
      <c r="S253">
        <v>-8.5</v>
      </c>
    </row>
    <row r="254" spans="2:19" x14ac:dyDescent="0.25">
      <c r="B254">
        <f>390+2*(Table146[[#This Row],[min value (corrected)]]-37)</f>
        <v>398</v>
      </c>
      <c r="C254">
        <f>MINUTE(Table146[[#This Row],[Corrected time]])</f>
        <v>41</v>
      </c>
      <c r="D254" s="1">
        <v>0.48698800925925928</v>
      </c>
      <c r="E254" s="1">
        <f>Table146[[#This Row],[Time]]-TIME(0,0,1)</f>
        <v>0.48697643518518519</v>
      </c>
      <c r="F254" t="s">
        <v>9</v>
      </c>
      <c r="G254">
        <v>-122</v>
      </c>
      <c r="H254">
        <f>Table146[[#This Row],[RSSI]]</f>
        <v>-122</v>
      </c>
      <c r="I254">
        <v>-8.3000000000000007</v>
      </c>
      <c r="L254">
        <f>390+2*(Table257[[#This Row],[min value (corrected)]]-27)</f>
        <v>398</v>
      </c>
      <c r="M254">
        <f>MINUTE(Table257[[#This Row],[Corrected time]])</f>
        <v>31</v>
      </c>
      <c r="N254" s="1">
        <v>0.52161993055555556</v>
      </c>
      <c r="O254" s="1">
        <f>Table257[[#This Row],[Time]]-TIME(0,0,3)</f>
        <v>0.52158520833333333</v>
      </c>
      <c r="P254" t="s">
        <v>9</v>
      </c>
      <c r="Q254">
        <v>-121</v>
      </c>
      <c r="R254">
        <f>Table257[[#This Row],[RSSI]]</f>
        <v>-121</v>
      </c>
      <c r="S254">
        <v>-7.2</v>
      </c>
    </row>
    <row r="255" spans="2:19" x14ac:dyDescent="0.25">
      <c r="B255">
        <f>390+2*(Table146[[#This Row],[min value (corrected)]]-37)</f>
        <v>398</v>
      </c>
      <c r="C255">
        <f>MINUTE(Table146[[#This Row],[Corrected time]])</f>
        <v>41</v>
      </c>
      <c r="D255" s="1">
        <v>0.48700104166666663</v>
      </c>
      <c r="E255" s="1">
        <f>Table146[[#This Row],[Time]]-TIME(0,0,1)</f>
        <v>0.48698946759259254</v>
      </c>
      <c r="F255" t="s">
        <v>9</v>
      </c>
      <c r="G255">
        <v>-121</v>
      </c>
      <c r="H255">
        <f>Table146[[#This Row],[RSSI]]</f>
        <v>-121</v>
      </c>
      <c r="I255">
        <v>-8</v>
      </c>
      <c r="L255">
        <f>390+2*(Table257[[#This Row],[min value (corrected)]]-27)</f>
        <v>398</v>
      </c>
      <c r="M255">
        <f>MINUTE(Table257[[#This Row],[Corrected time]])</f>
        <v>31</v>
      </c>
      <c r="N255" s="1">
        <v>0.52163297453703705</v>
      </c>
      <c r="O255" s="1">
        <f>Table257[[#This Row],[Time]]-TIME(0,0,3)</f>
        <v>0.52159825231481483</v>
      </c>
      <c r="P255" t="s">
        <v>9</v>
      </c>
      <c r="Q255">
        <v>-121</v>
      </c>
      <c r="R255">
        <f>Table257[[#This Row],[RSSI]]</f>
        <v>-121</v>
      </c>
      <c r="S255">
        <v>-7.7</v>
      </c>
    </row>
    <row r="256" spans="2:19" x14ac:dyDescent="0.25">
      <c r="B256">
        <f>390+2*(Table146[[#This Row],[min value (corrected)]]-37)</f>
        <v>398</v>
      </c>
      <c r="C256">
        <f>MINUTE(Table146[[#This Row],[Corrected time]])</f>
        <v>41</v>
      </c>
      <c r="D256" s="1">
        <v>0.48701406250000001</v>
      </c>
      <c r="E256" s="1">
        <f>Table146[[#This Row],[Time]]-TIME(0,0,1)</f>
        <v>0.48700248842592592</v>
      </c>
      <c r="F256" t="s">
        <v>9</v>
      </c>
      <c r="G256">
        <v>-121</v>
      </c>
      <c r="H256">
        <f>Table146[[#This Row],[RSSI]]</f>
        <v>-121</v>
      </c>
      <c r="I256">
        <v>-7.2</v>
      </c>
      <c r="L256">
        <f>390+2*(Table257[[#This Row],[min value (corrected)]]-27)</f>
        <v>398</v>
      </c>
      <c r="M256">
        <f>MINUTE(Table257[[#This Row],[Corrected time]])</f>
        <v>31</v>
      </c>
      <c r="N256" s="1">
        <v>0.52164600694444441</v>
      </c>
      <c r="O256" s="1">
        <f>Table257[[#This Row],[Time]]-TIME(0,0,3)</f>
        <v>0.52161128472222218</v>
      </c>
      <c r="P256" t="s">
        <v>27</v>
      </c>
      <c r="Q256">
        <f>Q255</f>
        <v>-121</v>
      </c>
      <c r="R256">
        <f>Table257[[#This Row],[RSSI]]</f>
        <v>-121</v>
      </c>
      <c r="S256">
        <f>S255</f>
        <v>-7.7</v>
      </c>
    </row>
    <row r="257" spans="2:19" x14ac:dyDescent="0.25">
      <c r="B257">
        <f>390+2*(Table146[[#This Row],[min value (corrected)]]-37)</f>
        <v>398</v>
      </c>
      <c r="C257">
        <f>MINUTE(Table146[[#This Row],[Corrected time]])</f>
        <v>41</v>
      </c>
      <c r="D257" s="1">
        <v>0.48702709490740742</v>
      </c>
      <c r="E257" s="1">
        <f>Table146[[#This Row],[Time]]-TIME(0,0,1)</f>
        <v>0.48701552083333333</v>
      </c>
      <c r="F257" t="s">
        <v>9</v>
      </c>
      <c r="G257">
        <v>-122</v>
      </c>
      <c r="H257">
        <f>Table146[[#This Row],[RSSI]]</f>
        <v>-122</v>
      </c>
      <c r="I257">
        <v>-8.3000000000000007</v>
      </c>
      <c r="L257">
        <f>390+2*(Table257[[#This Row],[min value (corrected)]]-27)</f>
        <v>398</v>
      </c>
      <c r="M257">
        <f>MINUTE(Table257[[#This Row],[Corrected time]])</f>
        <v>31</v>
      </c>
      <c r="N257" s="1">
        <v>0.52165903935185187</v>
      </c>
      <c r="O257" s="1">
        <f>Table257[[#This Row],[Time]]-TIME(0,0,3)</f>
        <v>0.52162431712962964</v>
      </c>
      <c r="P257" t="s">
        <v>9</v>
      </c>
      <c r="Q257">
        <v>-121</v>
      </c>
      <c r="R257">
        <f>Table257[[#This Row],[RSSI]]</f>
        <v>-121</v>
      </c>
      <c r="S257">
        <v>-7.7</v>
      </c>
    </row>
    <row r="258" spans="2:19" x14ac:dyDescent="0.25">
      <c r="B258">
        <f>390+2*(Table146[[#This Row],[min value (corrected)]]-37)</f>
        <v>398</v>
      </c>
      <c r="C258">
        <f>MINUTE(Table146[[#This Row],[Corrected time]])</f>
        <v>41</v>
      </c>
      <c r="D258" s="1">
        <v>0.48704013888888886</v>
      </c>
      <c r="E258" s="1">
        <f>Table146[[#This Row],[Time]]-TIME(0,0,1)</f>
        <v>0.48702856481481477</v>
      </c>
      <c r="F258" t="s">
        <v>9</v>
      </c>
      <c r="G258">
        <v>-122</v>
      </c>
      <c r="H258">
        <f>Table146[[#This Row],[RSSI]]</f>
        <v>-122</v>
      </c>
      <c r="I258">
        <v>-8</v>
      </c>
      <c r="L258">
        <f>390+2*(Table257[[#This Row],[min value (corrected)]]-27)</f>
        <v>398</v>
      </c>
      <c r="M258">
        <f>MINUTE(Table257[[#This Row],[Corrected time]])</f>
        <v>31</v>
      </c>
      <c r="N258" s="1">
        <v>0.52167207175925923</v>
      </c>
      <c r="O258" s="1">
        <f>Table257[[#This Row],[Time]]-TIME(0,0,3)</f>
        <v>0.521637349537037</v>
      </c>
      <c r="P258" t="s">
        <v>13</v>
      </c>
      <c r="Q258">
        <f>Q257</f>
        <v>-121</v>
      </c>
      <c r="R258">
        <f>Table257[[#This Row],[RSSI]]</f>
        <v>-121</v>
      </c>
      <c r="S258">
        <f>S257</f>
        <v>-7.7</v>
      </c>
    </row>
    <row r="259" spans="2:19" x14ac:dyDescent="0.25">
      <c r="B259">
        <f>390+2*(Table146[[#This Row],[min value (corrected)]]-37)</f>
        <v>398</v>
      </c>
      <c r="C259">
        <f>MINUTE(Table146[[#This Row],[Corrected time]])</f>
        <v>41</v>
      </c>
      <c r="D259" s="1">
        <v>0.48705317129629627</v>
      </c>
      <c r="E259" s="1">
        <f>Table146[[#This Row],[Time]]-TIME(0,0,1)</f>
        <v>0.48704159722222218</v>
      </c>
      <c r="F259" t="s">
        <v>9</v>
      </c>
      <c r="G259">
        <v>-121</v>
      </c>
      <c r="H259">
        <f>Table146[[#This Row],[RSSI]]</f>
        <v>-121</v>
      </c>
      <c r="I259">
        <v>-8</v>
      </c>
      <c r="L259">
        <f>390+2*(Table257[[#This Row],[min value (corrected)]]-27)</f>
        <v>398</v>
      </c>
      <c r="M259">
        <f>MINUTE(Table257[[#This Row],[Corrected time]])</f>
        <v>31</v>
      </c>
      <c r="N259" s="1">
        <v>0.52168510416666669</v>
      </c>
      <c r="O259" s="1">
        <f>Table257[[#This Row],[Time]]-TIME(0,0,3)</f>
        <v>0.52165038194444446</v>
      </c>
      <c r="P259" t="s">
        <v>9</v>
      </c>
      <c r="Q259">
        <v>-121</v>
      </c>
      <c r="R259">
        <f>Table257[[#This Row],[RSSI]]</f>
        <v>-121</v>
      </c>
      <c r="S259">
        <v>-8</v>
      </c>
    </row>
    <row r="260" spans="2:19" x14ac:dyDescent="0.25">
      <c r="B260">
        <f>390+2*(Table146[[#This Row],[min value (corrected)]]-37)</f>
        <v>398</v>
      </c>
      <c r="C260">
        <f>MINUTE(Table146[[#This Row],[Corrected time]])</f>
        <v>41</v>
      </c>
      <c r="D260" s="1">
        <v>0.48706620370370368</v>
      </c>
      <c r="E260" s="1">
        <f>Table146[[#This Row],[Time]]-TIME(0,0,1)</f>
        <v>0.48705462962962959</v>
      </c>
      <c r="F260" t="s">
        <v>9</v>
      </c>
      <c r="G260">
        <v>-121</v>
      </c>
      <c r="H260">
        <f>Table146[[#This Row],[RSSI]]</f>
        <v>-121</v>
      </c>
      <c r="I260">
        <v>-8.5</v>
      </c>
      <c r="L260">
        <f>390+2*(Table257[[#This Row],[min value (corrected)]]-27)</f>
        <v>398</v>
      </c>
      <c r="M260">
        <f>MINUTE(Table257[[#This Row],[Corrected time]])</f>
        <v>31</v>
      </c>
      <c r="N260" s="1">
        <v>0.52169813657407405</v>
      </c>
      <c r="O260" s="1">
        <f>Table257[[#This Row],[Time]]-TIME(0,0,3)</f>
        <v>0.52166341435185182</v>
      </c>
      <c r="P260" t="s">
        <v>9</v>
      </c>
      <c r="Q260">
        <v>-121</v>
      </c>
      <c r="R260">
        <f>Table257[[#This Row],[RSSI]]</f>
        <v>-121</v>
      </c>
      <c r="S260">
        <v>-7</v>
      </c>
    </row>
    <row r="261" spans="2:19" x14ac:dyDescent="0.25">
      <c r="B261">
        <f>390+2*(Table146[[#This Row],[min value (corrected)]]-37)</f>
        <v>398</v>
      </c>
      <c r="C261">
        <f>MINUTE(Table146[[#This Row],[Corrected time]])</f>
        <v>41</v>
      </c>
      <c r="D261" s="1">
        <v>0.48707923611111109</v>
      </c>
      <c r="E261" s="1">
        <f>Table146[[#This Row],[Time]]-TIME(0,0,1)</f>
        <v>0.487067662037037</v>
      </c>
      <c r="F261" t="s">
        <v>9</v>
      </c>
      <c r="G261">
        <v>-121</v>
      </c>
      <c r="H261">
        <f>Table146[[#This Row],[RSSI]]</f>
        <v>-121</v>
      </c>
      <c r="I261">
        <v>-7.7</v>
      </c>
      <c r="L261">
        <f>390+2*(Table257[[#This Row],[min value (corrected)]]-27)</f>
        <v>398</v>
      </c>
      <c r="M261">
        <f>MINUTE(Table257[[#This Row],[Corrected time]])</f>
        <v>31</v>
      </c>
      <c r="N261" s="1">
        <v>0.52171116898148151</v>
      </c>
      <c r="O261" s="1">
        <f>Table257[[#This Row],[Time]]-TIME(0,0,3)</f>
        <v>0.52167644675925928</v>
      </c>
      <c r="P261" t="s">
        <v>9</v>
      </c>
      <c r="Q261">
        <v>-122</v>
      </c>
      <c r="R261">
        <f>Table257[[#This Row],[RSSI]]</f>
        <v>-122</v>
      </c>
      <c r="S261">
        <v>-8</v>
      </c>
    </row>
    <row r="262" spans="2:19" x14ac:dyDescent="0.25">
      <c r="B262">
        <f>390+2*(Table146[[#This Row],[min value (corrected)]]-37)</f>
        <v>398</v>
      </c>
      <c r="C262">
        <f>MINUTE(Table146[[#This Row],[Corrected time]])</f>
        <v>41</v>
      </c>
      <c r="D262" s="1">
        <v>0.48709225694444447</v>
      </c>
      <c r="E262" s="1">
        <f>Table146[[#This Row],[Time]]-TIME(0,0,1)</f>
        <v>0.48708068287037037</v>
      </c>
      <c r="F262" t="s">
        <v>9</v>
      </c>
      <c r="G262">
        <v>-121</v>
      </c>
      <c r="H262">
        <f>Table146[[#This Row],[RSSI]]</f>
        <v>-121</v>
      </c>
      <c r="I262">
        <v>-7.2</v>
      </c>
      <c r="L262">
        <f>390+2*(Table257[[#This Row],[min value (corrected)]]-27)</f>
        <v>398</v>
      </c>
      <c r="M262">
        <f>MINUTE(Table257[[#This Row],[Corrected time]])</f>
        <v>31</v>
      </c>
      <c r="N262" s="1">
        <v>0.52172420138888886</v>
      </c>
      <c r="O262" s="1">
        <f>Table257[[#This Row],[Time]]-TIME(0,0,3)</f>
        <v>0.52168947916666664</v>
      </c>
      <c r="P262" t="s">
        <v>9</v>
      </c>
      <c r="Q262">
        <v>-121</v>
      </c>
      <c r="R262">
        <f>Table257[[#This Row],[RSSI]]</f>
        <v>-121</v>
      </c>
      <c r="S262">
        <v>-8</v>
      </c>
    </row>
    <row r="263" spans="2:19" x14ac:dyDescent="0.25">
      <c r="B263">
        <f>390+2*(Table146[[#This Row],[min value (corrected)]]-37)</f>
        <v>398</v>
      </c>
      <c r="C263">
        <f>MINUTE(Table146[[#This Row],[Corrected time]])</f>
        <v>41</v>
      </c>
      <c r="D263" s="1">
        <v>0.48710528935185182</v>
      </c>
      <c r="E263" s="1">
        <f>Table146[[#This Row],[Time]]-TIME(0,0,1)</f>
        <v>0.48709371527777773</v>
      </c>
      <c r="F263" t="s">
        <v>9</v>
      </c>
      <c r="G263">
        <v>-122</v>
      </c>
      <c r="H263">
        <f>Table146[[#This Row],[RSSI]]</f>
        <v>-122</v>
      </c>
      <c r="I263">
        <v>-8.5</v>
      </c>
      <c r="L263">
        <f>390+2*(Table257[[#This Row],[min value (corrected)]]-27)</f>
        <v>398</v>
      </c>
      <c r="M263">
        <f>MINUTE(Table257[[#This Row],[Corrected time]])</f>
        <v>31</v>
      </c>
      <c r="N263" s="1">
        <v>0.52173723379629633</v>
      </c>
      <c r="O263" s="1">
        <f>Table257[[#This Row],[Time]]-TIME(0,0,3)</f>
        <v>0.5217025115740741</v>
      </c>
      <c r="P263" t="s">
        <v>9</v>
      </c>
      <c r="Q263">
        <v>-121</v>
      </c>
      <c r="R263">
        <f>Table257[[#This Row],[RSSI]]</f>
        <v>-121</v>
      </c>
      <c r="S263">
        <v>-8</v>
      </c>
    </row>
    <row r="264" spans="2:19" x14ac:dyDescent="0.25">
      <c r="B264">
        <f>390+2*(Table146[[#This Row],[min value (corrected)]]-37)</f>
        <v>398</v>
      </c>
      <c r="C264">
        <f>MINUTE(Table146[[#This Row],[Corrected time]])</f>
        <v>41</v>
      </c>
      <c r="D264" s="1">
        <v>0.48711832175925929</v>
      </c>
      <c r="E264" s="1">
        <f>Table146[[#This Row],[Time]]-TIME(0,0,1)</f>
        <v>0.48710674768518519</v>
      </c>
      <c r="F264" t="s">
        <v>13</v>
      </c>
      <c r="G264">
        <f>G263</f>
        <v>-122</v>
      </c>
      <c r="H264">
        <f>Table146[[#This Row],[RSSI]]</f>
        <v>-122</v>
      </c>
      <c r="I264">
        <f>I263</f>
        <v>-8.5</v>
      </c>
      <c r="L264">
        <f>390+2*(Table257[[#This Row],[min value (corrected)]]-27)</f>
        <v>398</v>
      </c>
      <c r="M264">
        <f>MINUTE(Table257[[#This Row],[Corrected time]])</f>
        <v>31</v>
      </c>
      <c r="N264" s="1">
        <v>0.52175026620370368</v>
      </c>
      <c r="O264" s="1">
        <f>Table257[[#This Row],[Time]]-TIME(0,0,3)</f>
        <v>0.52171554398148146</v>
      </c>
      <c r="P264" t="s">
        <v>9</v>
      </c>
      <c r="Q264">
        <v>-122</v>
      </c>
      <c r="R264">
        <f>Table257[[#This Row],[RSSI]]</f>
        <v>-122</v>
      </c>
      <c r="S264">
        <v>-8.3000000000000007</v>
      </c>
    </row>
    <row r="265" spans="2:19" x14ac:dyDescent="0.25">
      <c r="B265">
        <f>390+2*(Table146[[#This Row],[min value (corrected)]]-37)</f>
        <v>398</v>
      </c>
      <c r="C265">
        <f>MINUTE(Table146[[#This Row],[Corrected time]])</f>
        <v>41</v>
      </c>
      <c r="D265" s="1">
        <v>0.48713136574074078</v>
      </c>
      <c r="E265" s="1">
        <f>Table146[[#This Row],[Time]]-TIME(0,0,1)</f>
        <v>0.48711979166666669</v>
      </c>
      <c r="F265" t="s">
        <v>9</v>
      </c>
      <c r="G265">
        <v>-122</v>
      </c>
      <c r="H265">
        <f>Table146[[#This Row],[RSSI]]</f>
        <v>-122</v>
      </c>
      <c r="I265">
        <v>-7.7</v>
      </c>
      <c r="L265">
        <f>390+2*(Table257[[#This Row],[min value (corrected)]]-27)</f>
        <v>398</v>
      </c>
      <c r="M265">
        <f>MINUTE(Table257[[#This Row],[Corrected time]])</f>
        <v>31</v>
      </c>
      <c r="N265" s="1">
        <v>0.52176329861111115</v>
      </c>
      <c r="O265" s="1">
        <f>Table257[[#This Row],[Time]]-TIME(0,0,3)</f>
        <v>0.52172857638888892</v>
      </c>
      <c r="P265" t="s">
        <v>9</v>
      </c>
      <c r="Q265">
        <v>-121</v>
      </c>
      <c r="R265">
        <f>Table257[[#This Row],[RSSI]]</f>
        <v>-121</v>
      </c>
      <c r="S265">
        <v>-8</v>
      </c>
    </row>
    <row r="266" spans="2:19" x14ac:dyDescent="0.25">
      <c r="B266">
        <f>390+2*(Table146[[#This Row],[min value (corrected)]]-37)</f>
        <v>398</v>
      </c>
      <c r="C266">
        <f>MINUTE(Table146[[#This Row],[Corrected time]])</f>
        <v>41</v>
      </c>
      <c r="D266" s="1">
        <v>0.48714439814814814</v>
      </c>
      <c r="E266" s="1">
        <f>Table146[[#This Row],[Time]]-TIME(0,0,1)</f>
        <v>0.48713282407407404</v>
      </c>
      <c r="F266" t="s">
        <v>9</v>
      </c>
      <c r="G266">
        <v>-122</v>
      </c>
      <c r="H266">
        <f>Table146[[#This Row],[RSSI]]</f>
        <v>-122</v>
      </c>
      <c r="I266">
        <v>-8</v>
      </c>
      <c r="L266">
        <f>390+2*(Table257[[#This Row],[min value (corrected)]]-27)</f>
        <v>398</v>
      </c>
      <c r="M266">
        <f>MINUTE(Table257[[#This Row],[Corrected time]])</f>
        <v>31</v>
      </c>
      <c r="N266" s="1">
        <v>0.5217763310185185</v>
      </c>
      <c r="O266" s="1">
        <f>Table257[[#This Row],[Time]]-TIME(0,0,3)</f>
        <v>0.52174160879629627</v>
      </c>
      <c r="P266" t="s">
        <v>9</v>
      </c>
      <c r="Q266">
        <v>-121</v>
      </c>
      <c r="R266">
        <f>Table257[[#This Row],[RSSI]]</f>
        <v>-121</v>
      </c>
      <c r="S266">
        <v>-7</v>
      </c>
    </row>
    <row r="267" spans="2:19" x14ac:dyDescent="0.25">
      <c r="B267">
        <f>390+2*(Table146[[#This Row],[min value (corrected)]]-37)</f>
        <v>398</v>
      </c>
      <c r="C267">
        <f>MINUTE(Table146[[#This Row],[Corrected time]])</f>
        <v>41</v>
      </c>
      <c r="D267" s="1">
        <v>0.48715741898148146</v>
      </c>
      <c r="E267" s="1">
        <f>Table146[[#This Row],[Time]]-TIME(0,0,1)</f>
        <v>0.48714584490740737</v>
      </c>
      <c r="F267" t="s">
        <v>9</v>
      </c>
      <c r="G267">
        <v>-122</v>
      </c>
      <c r="H267">
        <f>Table146[[#This Row],[RSSI]]</f>
        <v>-122</v>
      </c>
      <c r="I267">
        <v>-8.3000000000000007</v>
      </c>
      <c r="L267">
        <f>390+2*(Table257[[#This Row],[min value (corrected)]]-27)</f>
        <v>398</v>
      </c>
      <c r="M267">
        <f>MINUTE(Table257[[#This Row],[Corrected time]])</f>
        <v>31</v>
      </c>
      <c r="N267" s="1">
        <v>0.52178936342592597</v>
      </c>
      <c r="O267" s="1">
        <f>Table257[[#This Row],[Time]]-TIME(0,0,3)</f>
        <v>0.52175464120370374</v>
      </c>
      <c r="P267" t="s">
        <v>9</v>
      </c>
      <c r="Q267">
        <v>-121</v>
      </c>
      <c r="R267">
        <f>Table257[[#This Row],[RSSI]]</f>
        <v>-121</v>
      </c>
      <c r="S267">
        <v>-7</v>
      </c>
    </row>
    <row r="268" spans="2:19" x14ac:dyDescent="0.25">
      <c r="B268">
        <f>390+2*(Table146[[#This Row],[min value (corrected)]]-37)</f>
        <v>398</v>
      </c>
      <c r="C268">
        <f>MINUTE(Table146[[#This Row],[Corrected time]])</f>
        <v>41</v>
      </c>
      <c r="D268" s="1">
        <v>0.48717046296296296</v>
      </c>
      <c r="E268" s="1">
        <f>Table146[[#This Row],[Time]]-TIME(0,0,1)</f>
        <v>0.48715888888888886</v>
      </c>
      <c r="F268" t="s">
        <v>9</v>
      </c>
      <c r="G268">
        <v>-122</v>
      </c>
      <c r="H268">
        <f>Table146[[#This Row],[RSSI]]</f>
        <v>-122</v>
      </c>
      <c r="I268">
        <v>-8</v>
      </c>
      <c r="L268">
        <f>390+2*(Table257[[#This Row],[min value (corrected)]]-27)</f>
        <v>398</v>
      </c>
      <c r="M268">
        <f>MINUTE(Table257[[#This Row],[Corrected time]])</f>
        <v>31</v>
      </c>
      <c r="N268" s="1">
        <v>0.52180239583333332</v>
      </c>
      <c r="O268" s="1">
        <f>Table257[[#This Row],[Time]]-TIME(0,0,3)</f>
        <v>0.52176767361111109</v>
      </c>
      <c r="P268" t="s">
        <v>9</v>
      </c>
      <c r="Q268">
        <v>-121</v>
      </c>
      <c r="R268">
        <f>Table257[[#This Row],[RSSI]]</f>
        <v>-121</v>
      </c>
      <c r="S268">
        <v>-7.2</v>
      </c>
    </row>
    <row r="269" spans="2:19" x14ac:dyDescent="0.25">
      <c r="B269">
        <f>390+2*(Table146[[#This Row],[min value (corrected)]]-37)</f>
        <v>398</v>
      </c>
      <c r="C269">
        <f>MINUTE(Table146[[#This Row],[Corrected time]])</f>
        <v>41</v>
      </c>
      <c r="D269" s="1">
        <v>0.48718348379629628</v>
      </c>
      <c r="E269" s="1">
        <f>Table146[[#This Row],[Time]]-TIME(0,0,1)</f>
        <v>0.48717190972222219</v>
      </c>
      <c r="F269" t="s">
        <v>9</v>
      </c>
      <c r="G269">
        <v>-121</v>
      </c>
      <c r="H269">
        <f>Table146[[#This Row],[RSSI]]</f>
        <v>-121</v>
      </c>
      <c r="I269">
        <v>-8</v>
      </c>
      <c r="L269">
        <f>390+2*(Table257[[#This Row],[min value (corrected)]]-27)</f>
        <v>398</v>
      </c>
      <c r="M269">
        <f>MINUTE(Table257[[#This Row],[Corrected time]])</f>
        <v>31</v>
      </c>
      <c r="N269" s="1">
        <v>0.52181542824074079</v>
      </c>
      <c r="O269" s="1">
        <f>Table257[[#This Row],[Time]]-TIME(0,0,3)</f>
        <v>0.52178070601851856</v>
      </c>
      <c r="P269" t="s">
        <v>9</v>
      </c>
      <c r="Q269">
        <v>-121</v>
      </c>
      <c r="R269">
        <f>Table257[[#This Row],[RSSI]]</f>
        <v>-121</v>
      </c>
      <c r="S269">
        <v>-7.5</v>
      </c>
    </row>
    <row r="270" spans="2:19" x14ac:dyDescent="0.25">
      <c r="B270">
        <f>390+2*(Table146[[#This Row],[min value (corrected)]]-37)</f>
        <v>398</v>
      </c>
      <c r="C270">
        <f>MINUTE(Table146[[#This Row],[Corrected time]])</f>
        <v>41</v>
      </c>
      <c r="D270" s="1">
        <v>0.48719652777777778</v>
      </c>
      <c r="E270" s="1">
        <f>Table146[[#This Row],[Time]]-TIME(0,0,1)</f>
        <v>0.48718495370370368</v>
      </c>
      <c r="F270" t="s">
        <v>9</v>
      </c>
      <c r="G270">
        <v>-121</v>
      </c>
      <c r="H270">
        <f>Table146[[#This Row],[RSSI]]</f>
        <v>-121</v>
      </c>
      <c r="I270">
        <v>-8.3000000000000007</v>
      </c>
      <c r="L270">
        <f>390+2*(Table257[[#This Row],[min value (corrected)]]-27)</f>
        <v>398</v>
      </c>
      <c r="M270">
        <f>MINUTE(Table257[[#This Row],[Corrected time]])</f>
        <v>31</v>
      </c>
      <c r="N270" s="1">
        <v>0.52182846064814814</v>
      </c>
      <c r="O270" s="1">
        <f>Table257[[#This Row],[Time]]-TIME(0,0,3)</f>
        <v>0.52179373842592591</v>
      </c>
      <c r="P270" t="s">
        <v>13</v>
      </c>
      <c r="Q270">
        <f>Q269</f>
        <v>-121</v>
      </c>
      <c r="R270">
        <f>Table257[[#This Row],[RSSI]]</f>
        <v>-121</v>
      </c>
      <c r="S270">
        <f>S269</f>
        <v>-7.5</v>
      </c>
    </row>
    <row r="271" spans="2:19" x14ac:dyDescent="0.25">
      <c r="B271">
        <f>390+2*(Table146[[#This Row],[min value (corrected)]]-37)</f>
        <v>398</v>
      </c>
      <c r="C271">
        <f>MINUTE(Table146[[#This Row],[Corrected time]])</f>
        <v>41</v>
      </c>
      <c r="D271" s="1">
        <v>0.48720956018518524</v>
      </c>
      <c r="E271" s="1">
        <f>Table146[[#This Row],[Time]]-TIME(0,0,1)</f>
        <v>0.48719798611111115</v>
      </c>
      <c r="F271" t="s">
        <v>9</v>
      </c>
      <c r="G271">
        <v>-121</v>
      </c>
      <c r="H271">
        <f>Table146[[#This Row],[RSSI]]</f>
        <v>-121</v>
      </c>
      <c r="I271">
        <v>-7.2</v>
      </c>
      <c r="L271">
        <f>390+2*(Table257[[#This Row],[min value (corrected)]]-27)</f>
        <v>398</v>
      </c>
      <c r="M271">
        <f>MINUTE(Table257[[#This Row],[Corrected time]])</f>
        <v>31</v>
      </c>
      <c r="N271" s="1">
        <v>0.52184149305555561</v>
      </c>
      <c r="O271" s="1">
        <f>Table257[[#This Row],[Time]]-TIME(0,0,3)</f>
        <v>0.52180677083333338</v>
      </c>
      <c r="P271" t="s">
        <v>9</v>
      </c>
      <c r="Q271">
        <v>-122</v>
      </c>
      <c r="R271">
        <f>Table257[[#This Row],[RSSI]]</f>
        <v>-122</v>
      </c>
      <c r="S271">
        <v>-8</v>
      </c>
    </row>
    <row r="272" spans="2:19" x14ac:dyDescent="0.25">
      <c r="B272">
        <f>390+2*(Table146[[#This Row],[min value (corrected)]]-37)</f>
        <v>398</v>
      </c>
      <c r="C272">
        <f>MINUTE(Table146[[#This Row],[Corrected time]])</f>
        <v>41</v>
      </c>
      <c r="D272" s="1">
        <v>0.48722258101851856</v>
      </c>
      <c r="E272" s="1">
        <f>Table146[[#This Row],[Time]]-TIME(0,0,1)</f>
        <v>0.48721100694444447</v>
      </c>
      <c r="F272" t="s">
        <v>9</v>
      </c>
      <c r="G272">
        <v>-122</v>
      </c>
      <c r="H272">
        <f>Table146[[#This Row],[RSSI]]</f>
        <v>-122</v>
      </c>
      <c r="I272">
        <v>-8</v>
      </c>
      <c r="L272">
        <f>390+2*(Table257[[#This Row],[min value (corrected)]]-27)</f>
        <v>398</v>
      </c>
      <c r="M272">
        <f>MINUTE(Table257[[#This Row],[Corrected time]])</f>
        <v>31</v>
      </c>
      <c r="N272" s="1">
        <v>0.52185452546296296</v>
      </c>
      <c r="O272" s="1">
        <f>Table257[[#This Row],[Time]]-TIME(0,0,3)</f>
        <v>0.52181980324074073</v>
      </c>
      <c r="P272" t="s">
        <v>9</v>
      </c>
      <c r="Q272">
        <v>-121</v>
      </c>
      <c r="R272">
        <f>Table257[[#This Row],[RSSI]]</f>
        <v>-121</v>
      </c>
      <c r="S272">
        <v>-7</v>
      </c>
    </row>
    <row r="273" spans="2:19" x14ac:dyDescent="0.25">
      <c r="B273">
        <f>390+2*(Table146[[#This Row],[min value (corrected)]]-37)</f>
        <v>398</v>
      </c>
      <c r="C273">
        <f>MINUTE(Table146[[#This Row],[Corrected time]])</f>
        <v>41</v>
      </c>
      <c r="D273" s="1">
        <v>0.48723562500000006</v>
      </c>
      <c r="E273" s="1">
        <f>Table146[[#This Row],[Time]]-TIME(0,0,1)</f>
        <v>0.48722405092592597</v>
      </c>
      <c r="F273" t="s">
        <v>9</v>
      </c>
      <c r="G273">
        <v>-122</v>
      </c>
      <c r="H273">
        <f>Table146[[#This Row],[RSSI]]</f>
        <v>-122</v>
      </c>
      <c r="I273">
        <v>-8</v>
      </c>
      <c r="L273">
        <f>390+2*(Table257[[#This Row],[min value (corrected)]]-27)</f>
        <v>398</v>
      </c>
      <c r="M273">
        <f>MINUTE(Table257[[#This Row],[Corrected time]])</f>
        <v>31</v>
      </c>
      <c r="N273" s="1">
        <v>0.52186755787037042</v>
      </c>
      <c r="O273" s="1">
        <f>Table257[[#This Row],[Time]]-TIME(0,0,3)</f>
        <v>0.5218328356481482</v>
      </c>
      <c r="P273" t="s">
        <v>9</v>
      </c>
      <c r="Q273">
        <v>-122</v>
      </c>
      <c r="R273">
        <f>Table257[[#This Row],[RSSI]]</f>
        <v>-122</v>
      </c>
      <c r="S273">
        <v>-8.3000000000000007</v>
      </c>
    </row>
    <row r="274" spans="2:19" x14ac:dyDescent="0.25">
      <c r="B274">
        <f>390+2*(Table146[[#This Row],[min value (corrected)]]-37)</f>
        <v>398</v>
      </c>
      <c r="C274">
        <f>MINUTE(Table146[[#This Row],[Corrected time]])</f>
        <v>41</v>
      </c>
      <c r="D274" s="1">
        <v>0.48724865740740742</v>
      </c>
      <c r="E274" s="1">
        <f>Table146[[#This Row],[Time]]-TIME(0,0,1)</f>
        <v>0.48723708333333332</v>
      </c>
      <c r="F274" t="s">
        <v>9</v>
      </c>
      <c r="G274">
        <v>-122</v>
      </c>
      <c r="H274">
        <f>Table146[[#This Row],[RSSI]]</f>
        <v>-122</v>
      </c>
      <c r="I274">
        <v>-8.3000000000000007</v>
      </c>
      <c r="L274">
        <f>390+2*(Table257[[#This Row],[min value (corrected)]]-27)</f>
        <v>398</v>
      </c>
      <c r="M274">
        <f>MINUTE(Table257[[#This Row],[Corrected time]])</f>
        <v>31</v>
      </c>
      <c r="N274" s="1">
        <v>0.52188059027777778</v>
      </c>
      <c r="O274" s="1">
        <f>Table257[[#This Row],[Time]]-TIME(0,0,3)</f>
        <v>0.52184586805555555</v>
      </c>
      <c r="P274" t="s">
        <v>9</v>
      </c>
      <c r="Q274">
        <v>-121</v>
      </c>
      <c r="R274">
        <f>Table257[[#This Row],[RSSI]]</f>
        <v>-121</v>
      </c>
      <c r="S274">
        <v>-7.5</v>
      </c>
    </row>
    <row r="275" spans="2:19" x14ac:dyDescent="0.25">
      <c r="B275">
        <f>390+2*(Table146[[#This Row],[min value (corrected)]]-37)</f>
        <v>398</v>
      </c>
      <c r="C275">
        <f>MINUTE(Table146[[#This Row],[Corrected time]])</f>
        <v>41</v>
      </c>
      <c r="D275" s="1">
        <v>0.48726167824074074</v>
      </c>
      <c r="E275" s="1">
        <f>Table146[[#This Row],[Time]]-TIME(0,0,1)</f>
        <v>0.48725010416666664</v>
      </c>
      <c r="F275" t="s">
        <v>9</v>
      </c>
      <c r="G275">
        <v>-122</v>
      </c>
      <c r="H275">
        <f>Table146[[#This Row],[RSSI]]</f>
        <v>-122</v>
      </c>
      <c r="I275">
        <v>-8.5</v>
      </c>
      <c r="L275">
        <f>390+2*(Table257[[#This Row],[min value (corrected)]]-27)</f>
        <v>398</v>
      </c>
      <c r="M275">
        <f>MINUTE(Table257[[#This Row],[Corrected time]])</f>
        <v>31</v>
      </c>
      <c r="N275" s="1">
        <v>0.52189362268518513</v>
      </c>
      <c r="O275" s="1">
        <f>Table257[[#This Row],[Time]]-TIME(0,0,3)</f>
        <v>0.5218589004629629</v>
      </c>
      <c r="P275" t="s">
        <v>9</v>
      </c>
      <c r="Q275">
        <v>-121</v>
      </c>
      <c r="R275">
        <f>Table257[[#This Row],[RSSI]]</f>
        <v>-121</v>
      </c>
      <c r="S275">
        <v>-7.5</v>
      </c>
    </row>
    <row r="276" spans="2:19" x14ac:dyDescent="0.25">
      <c r="B276">
        <f>390+2*(Table146[[#This Row],[min value (corrected)]]-37)</f>
        <v>398</v>
      </c>
      <c r="C276">
        <f>MINUTE(Table146[[#This Row],[Corrected time]])</f>
        <v>41</v>
      </c>
      <c r="D276" s="1">
        <v>0.48727472222222223</v>
      </c>
      <c r="E276" s="1">
        <f>Table146[[#This Row],[Time]]-TIME(0,0,1)</f>
        <v>0.48726314814814814</v>
      </c>
      <c r="F276" t="s">
        <v>9</v>
      </c>
      <c r="G276">
        <v>-121</v>
      </c>
      <c r="H276">
        <f>Table146[[#This Row],[RSSI]]</f>
        <v>-121</v>
      </c>
      <c r="I276">
        <v>-8</v>
      </c>
      <c r="L276">
        <f>390+2*(Table257[[#This Row],[min value (corrected)]]-27)</f>
        <v>398</v>
      </c>
      <c r="M276">
        <f>MINUTE(Table257[[#This Row],[Corrected time]])</f>
        <v>31</v>
      </c>
      <c r="N276" s="1">
        <v>0.5219066550925926</v>
      </c>
      <c r="O276" s="1">
        <f>Table257[[#This Row],[Time]]-TIME(0,0,3)</f>
        <v>0.52187193287037037</v>
      </c>
      <c r="P276" t="s">
        <v>9</v>
      </c>
      <c r="Q276">
        <v>-121</v>
      </c>
      <c r="R276">
        <f>Table257[[#This Row],[RSSI]]</f>
        <v>-121</v>
      </c>
      <c r="S276">
        <v>-7.2</v>
      </c>
    </row>
    <row r="277" spans="2:19" x14ac:dyDescent="0.25">
      <c r="B277">
        <f>390+2*(Table146[[#This Row],[min value (corrected)]]-37)</f>
        <v>398</v>
      </c>
      <c r="C277">
        <f>MINUTE(Table146[[#This Row],[Corrected time]])</f>
        <v>41</v>
      </c>
      <c r="D277" s="1">
        <v>0.48728775462962959</v>
      </c>
      <c r="E277" s="1">
        <f>Table146[[#This Row],[Time]]-TIME(0,0,1)</f>
        <v>0.48727618055555549</v>
      </c>
      <c r="F277" t="s">
        <v>9</v>
      </c>
      <c r="G277">
        <v>-121</v>
      </c>
      <c r="H277">
        <f>Table146[[#This Row],[RSSI]]</f>
        <v>-121</v>
      </c>
      <c r="I277">
        <v>-7.7</v>
      </c>
      <c r="L277">
        <f>390+2*(Table257[[#This Row],[min value (corrected)]]-27)</f>
        <v>398</v>
      </c>
      <c r="M277">
        <f>MINUTE(Table257[[#This Row],[Corrected time]])</f>
        <v>31</v>
      </c>
      <c r="N277" s="1">
        <v>0.52191968749999995</v>
      </c>
      <c r="O277" s="1">
        <f>Table257[[#This Row],[Time]]-TIME(0,0,3)</f>
        <v>0.52188496527777772</v>
      </c>
      <c r="P277" t="s">
        <v>9</v>
      </c>
      <c r="Q277">
        <v>-116</v>
      </c>
      <c r="R277">
        <f>Table257[[#This Row],[RSSI]]</f>
        <v>-116</v>
      </c>
      <c r="S277">
        <v>-7.2</v>
      </c>
    </row>
    <row r="278" spans="2:19" x14ac:dyDescent="0.25">
      <c r="B278">
        <f>390+2*(Table146[[#This Row],[min value (corrected)]]-37)</f>
        <v>398</v>
      </c>
      <c r="C278">
        <f>MINUTE(Table146[[#This Row],[Corrected time]])</f>
        <v>41</v>
      </c>
      <c r="D278" s="1">
        <v>0.48730078703703705</v>
      </c>
      <c r="E278" s="1">
        <f>Table146[[#This Row],[Time]]-TIME(0,0,1)</f>
        <v>0.48728921296296296</v>
      </c>
      <c r="F278" t="s">
        <v>9</v>
      </c>
      <c r="G278">
        <v>-121</v>
      </c>
      <c r="H278">
        <f>Table146[[#This Row],[RSSI]]</f>
        <v>-121</v>
      </c>
      <c r="I278">
        <v>-7.7</v>
      </c>
      <c r="L278">
        <f>390+2*(Table257[[#This Row],[min value (corrected)]]-27)</f>
        <v>398</v>
      </c>
      <c r="M278">
        <f>MINUTE(Table257[[#This Row],[Corrected time]])</f>
        <v>31</v>
      </c>
      <c r="N278" s="1">
        <v>0.52193271990740742</v>
      </c>
      <c r="O278" s="1">
        <f>Table257[[#This Row],[Time]]-TIME(0,0,3)</f>
        <v>0.52189799768518519</v>
      </c>
      <c r="P278" t="s">
        <v>9</v>
      </c>
      <c r="Q278">
        <v>-120</v>
      </c>
      <c r="R278">
        <f>Table257[[#This Row],[RSSI]]</f>
        <v>-120</v>
      </c>
      <c r="S278">
        <v>-7</v>
      </c>
    </row>
    <row r="279" spans="2:19" x14ac:dyDescent="0.25">
      <c r="B279">
        <f>390+2*(Table146[[#This Row],[min value (corrected)]]-37)</f>
        <v>398</v>
      </c>
      <c r="C279">
        <f>MINUTE(Table146[[#This Row],[Corrected time]])</f>
        <v>41</v>
      </c>
      <c r="D279" s="1">
        <v>0.48731380787037037</v>
      </c>
      <c r="E279" s="1">
        <f>Table146[[#This Row],[Time]]-TIME(0,0,1)</f>
        <v>0.48730223379629628</v>
      </c>
      <c r="F279" t="s">
        <v>9</v>
      </c>
      <c r="G279">
        <v>-122</v>
      </c>
      <c r="H279">
        <f>Table146[[#This Row],[RSSI]]</f>
        <v>-122</v>
      </c>
      <c r="I279">
        <v>-8.3000000000000007</v>
      </c>
      <c r="L279">
        <f>390+2*(Table257[[#This Row],[min value (corrected)]]-27)</f>
        <v>398</v>
      </c>
      <c r="M279">
        <f>MINUTE(Table257[[#This Row],[Corrected time]])</f>
        <v>31</v>
      </c>
      <c r="N279" s="1">
        <v>0.52194575231481477</v>
      </c>
      <c r="O279" s="1">
        <f>Table257[[#This Row],[Time]]-TIME(0,0,3)</f>
        <v>0.52191103009259254</v>
      </c>
      <c r="P279" t="s">
        <v>9</v>
      </c>
      <c r="Q279">
        <v>-121</v>
      </c>
      <c r="R279">
        <f>Table257[[#This Row],[RSSI]]</f>
        <v>-121</v>
      </c>
      <c r="S279">
        <v>-7</v>
      </c>
    </row>
    <row r="280" spans="2:19" x14ac:dyDescent="0.25">
      <c r="B280">
        <f>390+2*(Table146[[#This Row],[min value (corrected)]]-37)</f>
        <v>398</v>
      </c>
      <c r="C280">
        <f>MINUTE(Table146[[#This Row],[Corrected time]])</f>
        <v>41</v>
      </c>
      <c r="D280" s="1">
        <v>0.48732684027777773</v>
      </c>
      <c r="E280" s="1">
        <f>Table146[[#This Row],[Time]]-TIME(0,0,1)</f>
        <v>0.48731526620370363</v>
      </c>
      <c r="F280" t="s">
        <v>9</v>
      </c>
      <c r="G280">
        <v>-121</v>
      </c>
      <c r="H280">
        <f>Table146[[#This Row],[RSSI]]</f>
        <v>-121</v>
      </c>
      <c r="I280">
        <v>-8.5</v>
      </c>
      <c r="L280">
        <f>390+2*(Table257[[#This Row],[min value (corrected)]]-27)</f>
        <v>398</v>
      </c>
      <c r="M280">
        <f>MINUTE(Table257[[#This Row],[Corrected time]])</f>
        <v>31</v>
      </c>
      <c r="N280" s="1">
        <v>0.52195877314814809</v>
      </c>
      <c r="O280" s="1">
        <f>Table257[[#This Row],[Time]]-TIME(0,0,3)</f>
        <v>0.52192405092592586</v>
      </c>
      <c r="P280" t="s">
        <v>9</v>
      </c>
      <c r="Q280">
        <v>-121</v>
      </c>
      <c r="R280">
        <f>Table257[[#This Row],[RSSI]]</f>
        <v>-121</v>
      </c>
      <c r="S280">
        <v>-7.5</v>
      </c>
    </row>
    <row r="281" spans="2:19" x14ac:dyDescent="0.25">
      <c r="B281">
        <f>390+2*(Table146[[#This Row],[min value (corrected)]]-37)</f>
        <v>398</v>
      </c>
      <c r="C281">
        <f>MINUTE(Table146[[#This Row],[Corrected time]])</f>
        <v>41</v>
      </c>
      <c r="D281" s="1">
        <v>0.48733988425925923</v>
      </c>
      <c r="E281" s="1">
        <f>Table146[[#This Row],[Time]]-TIME(0,0,1)</f>
        <v>0.48732831018518513</v>
      </c>
      <c r="F281" t="s">
        <v>9</v>
      </c>
      <c r="G281">
        <v>-121</v>
      </c>
      <c r="H281">
        <f>Table146[[#This Row],[RSSI]]</f>
        <v>-121</v>
      </c>
      <c r="I281">
        <v>-8</v>
      </c>
      <c r="L281">
        <f>390+2*(Table257[[#This Row],[min value (corrected)]]-27)</f>
        <v>398</v>
      </c>
      <c r="M281">
        <f>MINUTE(Table257[[#This Row],[Corrected time]])</f>
        <v>31</v>
      </c>
      <c r="N281" s="1">
        <v>0.52197181712962959</v>
      </c>
      <c r="O281" s="1">
        <f>Table257[[#This Row],[Time]]-TIME(0,0,3)</f>
        <v>0.52193709490740736</v>
      </c>
      <c r="P281" t="s">
        <v>9</v>
      </c>
      <c r="Q281">
        <v>-122</v>
      </c>
      <c r="R281">
        <f>Table257[[#This Row],[RSSI]]</f>
        <v>-122</v>
      </c>
      <c r="S281">
        <v>-8.5</v>
      </c>
    </row>
    <row r="282" spans="2:19" x14ac:dyDescent="0.25">
      <c r="B282">
        <f>390+2*(Table146[[#This Row],[min value (corrected)]]-37)</f>
        <v>398</v>
      </c>
      <c r="C282">
        <f>MINUTE(Table146[[#This Row],[Corrected time]])</f>
        <v>41</v>
      </c>
      <c r="D282" s="1">
        <v>0.48735291666666669</v>
      </c>
      <c r="E282" s="1">
        <f>Table146[[#This Row],[Time]]-TIME(0,0,1)</f>
        <v>0.4873413425925926</v>
      </c>
      <c r="F282" t="s">
        <v>9</v>
      </c>
      <c r="G282">
        <v>-122</v>
      </c>
      <c r="H282">
        <f>Table146[[#This Row],[RSSI]]</f>
        <v>-122</v>
      </c>
      <c r="I282">
        <v>-8.3000000000000007</v>
      </c>
      <c r="L282">
        <f>390+2*(Table257[[#This Row],[min value (corrected)]]-27)</f>
        <v>398</v>
      </c>
      <c r="M282">
        <f>MINUTE(Table257[[#This Row],[Corrected time]])</f>
        <v>31</v>
      </c>
      <c r="N282" s="1">
        <v>0.52198484953703705</v>
      </c>
      <c r="O282" s="1">
        <f>Table257[[#This Row],[Time]]-TIME(0,0,3)</f>
        <v>0.52195012731481483</v>
      </c>
      <c r="P282" t="s">
        <v>9</v>
      </c>
      <c r="Q282">
        <v>-121</v>
      </c>
      <c r="R282">
        <f>Table257[[#This Row],[RSSI]]</f>
        <v>-121</v>
      </c>
      <c r="S282">
        <v>-8</v>
      </c>
    </row>
    <row r="283" spans="2:19" x14ac:dyDescent="0.25">
      <c r="B283">
        <f>390+2*(Table146[[#This Row],[min value (corrected)]]-37)</f>
        <v>398</v>
      </c>
      <c r="C283">
        <f>MINUTE(Table146[[#This Row],[Corrected time]])</f>
        <v>41</v>
      </c>
      <c r="D283" s="1">
        <v>0.48736594907407405</v>
      </c>
      <c r="E283" s="1">
        <f>Table146[[#This Row],[Time]]-TIME(0,0,1)</f>
        <v>0.48735437499999995</v>
      </c>
      <c r="F283" t="s">
        <v>9</v>
      </c>
      <c r="G283">
        <v>-122</v>
      </c>
      <c r="H283">
        <f>Table146[[#This Row],[RSSI]]</f>
        <v>-122</v>
      </c>
      <c r="I283">
        <v>-8</v>
      </c>
      <c r="L283">
        <f>390+2*(Table257[[#This Row],[min value (corrected)]]-27)</f>
        <v>398</v>
      </c>
      <c r="M283">
        <f>MINUTE(Table257[[#This Row],[Corrected time]])</f>
        <v>31</v>
      </c>
      <c r="N283" s="1">
        <v>0.52199787037037038</v>
      </c>
      <c r="O283" s="1">
        <f>Table257[[#This Row],[Time]]-TIME(0,0,3)</f>
        <v>0.52196314814814815</v>
      </c>
      <c r="P283" t="s">
        <v>9</v>
      </c>
      <c r="Q283">
        <v>-122</v>
      </c>
      <c r="R283">
        <f>Table257[[#This Row],[RSSI]]</f>
        <v>-122</v>
      </c>
      <c r="S283">
        <v>-8</v>
      </c>
    </row>
    <row r="284" spans="2:19" x14ac:dyDescent="0.25">
      <c r="B284">
        <f>390+2*(Table146[[#This Row],[min value (corrected)]]-37)</f>
        <v>398</v>
      </c>
      <c r="C284">
        <f>MINUTE(Table146[[#This Row],[Corrected time]])</f>
        <v>41</v>
      </c>
      <c r="D284" s="1">
        <v>0.48737895833333333</v>
      </c>
      <c r="E284" s="1">
        <f>Table146[[#This Row],[Time]]-TIME(0,0,1)</f>
        <v>0.48736738425925924</v>
      </c>
      <c r="F284" t="s">
        <v>9</v>
      </c>
      <c r="G284">
        <v>-121</v>
      </c>
      <c r="H284">
        <f>Table146[[#This Row],[RSSI]]</f>
        <v>-121</v>
      </c>
      <c r="I284">
        <v>-7.7</v>
      </c>
      <c r="L284">
        <f>390+2*(Table257[[#This Row],[min value (corrected)]]-27)</f>
        <v>398</v>
      </c>
      <c r="M284">
        <f>MINUTE(Table257[[#This Row],[Corrected time]])</f>
        <v>31</v>
      </c>
      <c r="N284" s="1">
        <v>0.52201091435185187</v>
      </c>
      <c r="O284" s="1">
        <f>Table257[[#This Row],[Time]]-TIME(0,0,3)</f>
        <v>0.52197619212962965</v>
      </c>
      <c r="P284" t="s">
        <v>9</v>
      </c>
      <c r="Q284">
        <v>-121</v>
      </c>
      <c r="R284">
        <f>Table257[[#This Row],[RSSI]]</f>
        <v>-121</v>
      </c>
      <c r="S284">
        <v>-7.7</v>
      </c>
    </row>
    <row r="285" spans="2:19" x14ac:dyDescent="0.25">
      <c r="B285">
        <f>390+2*(Table146[[#This Row],[min value (corrected)]]-37)</f>
        <v>398</v>
      </c>
      <c r="C285">
        <f>MINUTE(Table146[[#This Row],[Corrected time]])</f>
        <v>41</v>
      </c>
      <c r="D285" s="1">
        <v>0.48739200231481483</v>
      </c>
      <c r="E285" s="1">
        <f>Table146[[#This Row],[Time]]-TIME(0,0,1)</f>
        <v>0.48738042824074074</v>
      </c>
      <c r="F285" t="s">
        <v>9</v>
      </c>
      <c r="G285">
        <v>-122</v>
      </c>
      <c r="H285">
        <f>Table146[[#This Row],[RSSI]]</f>
        <v>-122</v>
      </c>
      <c r="I285">
        <v>-8.8000000000000007</v>
      </c>
      <c r="L285">
        <f>390+2*(Table257[[#This Row],[min value (corrected)]]-27)</f>
        <v>398</v>
      </c>
      <c r="M285">
        <f>MINUTE(Table257[[#This Row],[Corrected time]])</f>
        <v>31</v>
      </c>
      <c r="N285" s="1">
        <v>0.52202394675925923</v>
      </c>
      <c r="O285" s="1">
        <f>Table257[[#This Row],[Time]]-TIME(0,0,3)</f>
        <v>0.521989224537037</v>
      </c>
      <c r="P285" t="s">
        <v>9</v>
      </c>
      <c r="Q285">
        <v>-121</v>
      </c>
      <c r="R285">
        <f>Table257[[#This Row],[RSSI]]</f>
        <v>-121</v>
      </c>
      <c r="S285">
        <v>-8</v>
      </c>
    </row>
    <row r="286" spans="2:19" x14ac:dyDescent="0.25">
      <c r="B286">
        <f>390+2*(Table146[[#This Row],[min value (corrected)]]-37)</f>
        <v>398</v>
      </c>
      <c r="C286">
        <f>MINUTE(Table146[[#This Row],[Corrected time]])</f>
        <v>41</v>
      </c>
      <c r="D286" s="1">
        <v>0.48740503472222219</v>
      </c>
      <c r="E286" s="1">
        <f>Table146[[#This Row],[Time]]-TIME(0,0,1)</f>
        <v>0.48739346064814809</v>
      </c>
      <c r="F286" t="s">
        <v>9</v>
      </c>
      <c r="G286">
        <v>-121</v>
      </c>
      <c r="H286">
        <f>Table146[[#This Row],[RSSI]]</f>
        <v>-121</v>
      </c>
      <c r="I286">
        <v>-8.3000000000000007</v>
      </c>
      <c r="L286">
        <f>390+2*(Table257[[#This Row],[min value (corrected)]]-27)</f>
        <v>398</v>
      </c>
      <c r="M286">
        <f>MINUTE(Table257[[#This Row],[Corrected time]])</f>
        <v>31</v>
      </c>
      <c r="N286" s="1">
        <v>0.52203697916666669</v>
      </c>
      <c r="O286" s="1">
        <f>Table257[[#This Row],[Time]]-TIME(0,0,3)</f>
        <v>0.52200225694444446</v>
      </c>
      <c r="P286" t="s">
        <v>9</v>
      </c>
      <c r="Q286">
        <v>-121</v>
      </c>
      <c r="R286">
        <f>Table257[[#This Row],[RSSI]]</f>
        <v>-121</v>
      </c>
      <c r="S286">
        <v>-7.7</v>
      </c>
    </row>
    <row r="287" spans="2:19" x14ac:dyDescent="0.25">
      <c r="B287">
        <f>390+2*(Table146[[#This Row],[min value (corrected)]]-37)</f>
        <v>398</v>
      </c>
      <c r="C287">
        <f>MINUTE(Table146[[#This Row],[Corrected time]])</f>
        <v>41</v>
      </c>
      <c r="D287" s="1">
        <v>0.48741806712962965</v>
      </c>
      <c r="E287" s="1">
        <f>Table146[[#This Row],[Time]]-TIME(0,0,1)</f>
        <v>0.48740649305555556</v>
      </c>
      <c r="F287" t="s">
        <v>9</v>
      </c>
      <c r="G287">
        <v>-122</v>
      </c>
      <c r="H287">
        <f>Table146[[#This Row],[RSSI]]</f>
        <v>-122</v>
      </c>
      <c r="I287">
        <v>-8.5</v>
      </c>
      <c r="L287">
        <f>390+2*(Table257[[#This Row],[min value (corrected)]]-27)</f>
        <v>398</v>
      </c>
      <c r="M287">
        <f>MINUTE(Table257[[#This Row],[Corrected time]])</f>
        <v>31</v>
      </c>
      <c r="N287" s="1">
        <v>0.52205001157407405</v>
      </c>
      <c r="O287" s="1">
        <f>Table257[[#This Row],[Time]]-TIME(0,0,3)</f>
        <v>0.52201528935185182</v>
      </c>
      <c r="P287" t="s">
        <v>9</v>
      </c>
      <c r="Q287">
        <v>-122</v>
      </c>
      <c r="R287">
        <f>Table257[[#This Row],[RSSI]]</f>
        <v>-122</v>
      </c>
      <c r="S287">
        <v>-8.3000000000000007</v>
      </c>
    </row>
    <row r="288" spans="2:19" x14ac:dyDescent="0.25">
      <c r="B288">
        <f>390+2*(Table146[[#This Row],[min value (corrected)]]-37)</f>
        <v>398</v>
      </c>
      <c r="C288">
        <f>MINUTE(Table146[[#This Row],[Corrected time]])</f>
        <v>41</v>
      </c>
      <c r="D288" s="1">
        <v>0.487431099537037</v>
      </c>
      <c r="E288" s="1">
        <f>Table146[[#This Row],[Time]]-TIME(0,0,1)</f>
        <v>0.48741952546296291</v>
      </c>
      <c r="F288" t="s">
        <v>9</v>
      </c>
      <c r="G288">
        <v>-121</v>
      </c>
      <c r="H288">
        <f>Table146[[#This Row],[RSSI]]</f>
        <v>-121</v>
      </c>
      <c r="I288">
        <v>-8</v>
      </c>
      <c r="L288">
        <f>390+2*(Table257[[#This Row],[min value (corrected)]]-27)</f>
        <v>398</v>
      </c>
      <c r="M288">
        <f>MINUTE(Table257[[#This Row],[Corrected time]])</f>
        <v>31</v>
      </c>
      <c r="N288" s="1">
        <v>0.52206304398148151</v>
      </c>
      <c r="O288" s="1">
        <f>Table257[[#This Row],[Time]]-TIME(0,0,3)</f>
        <v>0.52202832175925928</v>
      </c>
      <c r="P288" t="s">
        <v>9</v>
      </c>
      <c r="Q288">
        <v>-121</v>
      </c>
      <c r="R288">
        <f>Table257[[#This Row],[RSSI]]</f>
        <v>-121</v>
      </c>
      <c r="S288">
        <v>-7.5</v>
      </c>
    </row>
    <row r="289" spans="2:19" x14ac:dyDescent="0.25">
      <c r="B289">
        <f>390+2*(Table146[[#This Row],[min value (corrected)]]-37)</f>
        <v>398</v>
      </c>
      <c r="C289">
        <f>MINUTE(Table146[[#This Row],[Corrected time]])</f>
        <v>41</v>
      </c>
      <c r="D289" s="1">
        <v>0.4874441435185185</v>
      </c>
      <c r="E289" s="1">
        <f>Table146[[#This Row],[Time]]-TIME(0,0,1)</f>
        <v>0.48743256944444441</v>
      </c>
      <c r="F289" t="s">
        <v>9</v>
      </c>
      <c r="G289">
        <v>-121</v>
      </c>
      <c r="H289">
        <f>Table146[[#This Row],[RSSI]]</f>
        <v>-121</v>
      </c>
      <c r="I289">
        <v>-8</v>
      </c>
      <c r="L289">
        <f>390+2*(Table257[[#This Row],[min value (corrected)]]-27)</f>
        <v>398</v>
      </c>
      <c r="M289">
        <f>MINUTE(Table257[[#This Row],[Corrected time]])</f>
        <v>31</v>
      </c>
      <c r="N289" s="1">
        <v>0.52207606481481483</v>
      </c>
      <c r="O289" s="1">
        <f>Table257[[#This Row],[Time]]-TIME(0,0,3)</f>
        <v>0.52204134259259261</v>
      </c>
      <c r="P289" t="s">
        <v>9</v>
      </c>
      <c r="Q289">
        <v>-121</v>
      </c>
      <c r="R289">
        <f>Table257[[#This Row],[RSSI]]</f>
        <v>-121</v>
      </c>
      <c r="S289">
        <v>-7.5</v>
      </c>
    </row>
    <row r="290" spans="2:19" x14ac:dyDescent="0.25">
      <c r="B290">
        <f>390+2*(Table146[[#This Row],[min value (corrected)]]-37)</f>
        <v>398</v>
      </c>
      <c r="C290">
        <f>MINUTE(Table146[[#This Row],[Corrected time]])</f>
        <v>41</v>
      </c>
      <c r="D290" s="1">
        <v>0.48745717592592597</v>
      </c>
      <c r="E290" s="1">
        <f>Table146[[#This Row],[Time]]-TIME(0,0,1)</f>
        <v>0.48744560185185187</v>
      </c>
      <c r="F290" t="s">
        <v>9</v>
      </c>
      <c r="G290">
        <v>-121</v>
      </c>
      <c r="H290">
        <f>Table146[[#This Row],[RSSI]]</f>
        <v>-121</v>
      </c>
      <c r="I290">
        <v>-7.7</v>
      </c>
      <c r="L290">
        <f>390+2*(Table257[[#This Row],[min value (corrected)]]-27)</f>
        <v>398</v>
      </c>
      <c r="M290">
        <f>MINUTE(Table257[[#This Row],[Corrected time]])</f>
        <v>31</v>
      </c>
      <c r="N290" s="1">
        <v>0.52208910879629633</v>
      </c>
      <c r="O290" s="1">
        <f>Table257[[#This Row],[Time]]-TIME(0,0,3)</f>
        <v>0.5220543865740741</v>
      </c>
      <c r="P290" t="s">
        <v>9</v>
      </c>
      <c r="Q290">
        <v>-121</v>
      </c>
      <c r="R290">
        <f>Table257[[#This Row],[RSSI]]</f>
        <v>-121</v>
      </c>
      <c r="S290">
        <v>-8</v>
      </c>
    </row>
    <row r="291" spans="2:19" x14ac:dyDescent="0.25">
      <c r="B291">
        <f>390+2*(Table146[[#This Row],[min value (corrected)]]-37)</f>
        <v>398</v>
      </c>
      <c r="C291">
        <f>MINUTE(Table146[[#This Row],[Corrected time]])</f>
        <v>41</v>
      </c>
      <c r="D291" s="1">
        <v>0.48747019675925929</v>
      </c>
      <c r="E291" s="1">
        <f>Table146[[#This Row],[Time]]-TIME(0,0,1)</f>
        <v>0.48745862268518519</v>
      </c>
      <c r="F291" t="s">
        <v>9</v>
      </c>
      <c r="G291">
        <v>-121</v>
      </c>
      <c r="H291">
        <f>Table146[[#This Row],[RSSI]]</f>
        <v>-121</v>
      </c>
      <c r="I291">
        <v>-7.7</v>
      </c>
      <c r="L291">
        <f>390+2*(Table257[[#This Row],[min value (corrected)]]-27)</f>
        <v>398</v>
      </c>
      <c r="M291">
        <f>MINUTE(Table257[[#This Row],[Corrected time]])</f>
        <v>31</v>
      </c>
      <c r="N291" s="1">
        <v>0.52210214120370368</v>
      </c>
      <c r="O291" s="1">
        <f>Table257[[#This Row],[Time]]-TIME(0,0,3)</f>
        <v>0.52206741898148146</v>
      </c>
      <c r="P291" t="s">
        <v>9</v>
      </c>
      <c r="Q291">
        <v>-121</v>
      </c>
      <c r="R291">
        <f>Table257[[#This Row],[RSSI]]</f>
        <v>-121</v>
      </c>
      <c r="S291">
        <v>-7.7</v>
      </c>
    </row>
    <row r="292" spans="2:19" x14ac:dyDescent="0.25">
      <c r="B292">
        <f>390+2*(Table146[[#This Row],[min value (corrected)]]-37)</f>
        <v>398</v>
      </c>
      <c r="C292">
        <f>MINUTE(Table146[[#This Row],[Corrected time]])</f>
        <v>41</v>
      </c>
      <c r="D292" s="1">
        <v>0.48748324074074079</v>
      </c>
      <c r="E292" s="1">
        <f>Table146[[#This Row],[Time]]-TIME(0,0,1)</f>
        <v>0.48747166666666669</v>
      </c>
      <c r="F292" t="s">
        <v>9</v>
      </c>
      <c r="G292">
        <v>-121</v>
      </c>
      <c r="H292">
        <f>Table146[[#This Row],[RSSI]]</f>
        <v>-121</v>
      </c>
      <c r="I292">
        <v>-8.3000000000000007</v>
      </c>
      <c r="L292">
        <f>390+2*(Table257[[#This Row],[min value (corrected)]]-27)</f>
        <v>398</v>
      </c>
      <c r="M292">
        <f>MINUTE(Table257[[#This Row],[Corrected time]])</f>
        <v>31</v>
      </c>
      <c r="N292" s="1">
        <v>0.52211517361111104</v>
      </c>
      <c r="O292" s="1">
        <f>Table257[[#This Row],[Time]]-TIME(0,0,3)</f>
        <v>0.52208045138888881</v>
      </c>
      <c r="P292" t="s">
        <v>9</v>
      </c>
      <c r="Q292">
        <v>-121</v>
      </c>
      <c r="R292">
        <f>Table257[[#This Row],[RSSI]]</f>
        <v>-121</v>
      </c>
      <c r="S292">
        <v>-7.5</v>
      </c>
    </row>
    <row r="293" spans="2:19" x14ac:dyDescent="0.25">
      <c r="B293">
        <f>390+2*(Table146[[#This Row],[min value (corrected)]]-37)</f>
        <v>398</v>
      </c>
      <c r="C293">
        <f>MINUTE(Table146[[#This Row],[Corrected time]])</f>
        <v>41</v>
      </c>
      <c r="D293" s="1">
        <v>0.48749627314814814</v>
      </c>
      <c r="E293" s="1">
        <f>Table146[[#This Row],[Time]]-TIME(0,0,1)</f>
        <v>0.48748469907407405</v>
      </c>
      <c r="F293" t="s">
        <v>9</v>
      </c>
      <c r="G293">
        <v>-122</v>
      </c>
      <c r="H293">
        <f>Table146[[#This Row],[RSSI]]</f>
        <v>-122</v>
      </c>
      <c r="I293">
        <v>-8.8000000000000007</v>
      </c>
      <c r="L293">
        <f>390+2*(Table257[[#This Row],[min value (corrected)]]-27)</f>
        <v>398</v>
      </c>
      <c r="M293">
        <f>MINUTE(Table257[[#This Row],[Corrected time]])</f>
        <v>31</v>
      </c>
      <c r="N293" s="1">
        <v>0.5221282060185185</v>
      </c>
      <c r="O293" s="1">
        <f>Table257[[#This Row],[Time]]-TIME(0,0,3)</f>
        <v>0.52209348379629628</v>
      </c>
      <c r="P293" t="s">
        <v>9</v>
      </c>
      <c r="Q293">
        <v>-122</v>
      </c>
      <c r="R293">
        <f>Table257[[#This Row],[RSSI]]</f>
        <v>-122</v>
      </c>
      <c r="S293">
        <v>-8</v>
      </c>
    </row>
    <row r="294" spans="2:19" x14ac:dyDescent="0.25">
      <c r="B294">
        <f>390+2*(Table146[[#This Row],[min value (corrected)]]-37)</f>
        <v>400</v>
      </c>
      <c r="C294">
        <f>MINUTE(Table146[[#This Row],[Corrected time]])</f>
        <v>42</v>
      </c>
      <c r="D294" s="1">
        <v>0.48750930555555549</v>
      </c>
      <c r="E294" s="1">
        <f>Table146[[#This Row],[Time]]-TIME(0,0,1)</f>
        <v>0.4874977314814814</v>
      </c>
      <c r="F294" t="s">
        <v>9</v>
      </c>
      <c r="G294">
        <v>-122</v>
      </c>
      <c r="H294">
        <f>Table146[[#This Row],[RSSI]]</f>
        <v>-122</v>
      </c>
      <c r="I294">
        <v>-8.5</v>
      </c>
      <c r="L294">
        <f>390+2*(Table257[[#This Row],[min value (corrected)]]-27)</f>
        <v>398</v>
      </c>
      <c r="M294">
        <f>MINUTE(Table257[[#This Row],[Corrected time]])</f>
        <v>31</v>
      </c>
      <c r="N294" s="1">
        <v>0.52214122685185183</v>
      </c>
      <c r="O294" s="1">
        <f>Table257[[#This Row],[Time]]-TIME(0,0,3)</f>
        <v>0.5221065046296296</v>
      </c>
      <c r="P294" t="s">
        <v>9</v>
      </c>
      <c r="Q294">
        <v>-121</v>
      </c>
      <c r="R294">
        <f>Table257[[#This Row],[RSSI]]</f>
        <v>-121</v>
      </c>
      <c r="S294">
        <v>-7.7</v>
      </c>
    </row>
    <row r="295" spans="2:19" x14ac:dyDescent="0.25">
      <c r="B295">
        <f>390+2*(Table146[[#This Row],[min value (corrected)]]-37)</f>
        <v>400</v>
      </c>
      <c r="C295">
        <f>MINUTE(Table146[[#This Row],[Corrected time]])</f>
        <v>42</v>
      </c>
      <c r="D295" s="1">
        <v>0.48752233796296296</v>
      </c>
      <c r="E295" s="1">
        <f>Table146[[#This Row],[Time]]-TIME(0,0,1)</f>
        <v>0.48751076388888887</v>
      </c>
      <c r="F295" t="s">
        <v>9</v>
      </c>
      <c r="G295">
        <v>-122</v>
      </c>
      <c r="H295">
        <f>Table146[[#This Row],[RSSI]]</f>
        <v>-122</v>
      </c>
      <c r="I295">
        <v>-8</v>
      </c>
      <c r="L295">
        <f>390+2*(Table257[[#This Row],[min value (corrected)]]-27)</f>
        <v>398</v>
      </c>
      <c r="M295">
        <f>MINUTE(Table257[[#This Row],[Corrected time]])</f>
        <v>31</v>
      </c>
      <c r="N295" s="1">
        <v>0.52215427083333332</v>
      </c>
      <c r="O295" s="1">
        <f>Table257[[#This Row],[Time]]-TIME(0,0,3)</f>
        <v>0.5221195486111111</v>
      </c>
      <c r="P295" t="s">
        <v>9</v>
      </c>
      <c r="Q295">
        <v>-120</v>
      </c>
      <c r="R295">
        <f>Table257[[#This Row],[RSSI]]</f>
        <v>-120</v>
      </c>
      <c r="S295">
        <v>-7</v>
      </c>
    </row>
    <row r="296" spans="2:19" x14ac:dyDescent="0.25">
      <c r="B296">
        <f>390+2*(Table146[[#This Row],[min value (corrected)]]-37)</f>
        <v>400</v>
      </c>
      <c r="C296">
        <f>MINUTE(Table146[[#This Row],[Corrected time]])</f>
        <v>42</v>
      </c>
      <c r="D296" s="1">
        <v>0.48753535879629628</v>
      </c>
      <c r="E296" s="1">
        <f>Table146[[#This Row],[Time]]-TIME(0,0,1)</f>
        <v>0.48752378472222219</v>
      </c>
      <c r="F296" t="s">
        <v>9</v>
      </c>
      <c r="G296">
        <v>-122</v>
      </c>
      <c r="H296">
        <f>Table146[[#This Row],[RSSI]]</f>
        <v>-122</v>
      </c>
      <c r="I296">
        <v>-8.5</v>
      </c>
      <c r="L296">
        <f>390+2*(Table257[[#This Row],[min value (corrected)]]-27)</f>
        <v>398</v>
      </c>
      <c r="M296">
        <f>MINUTE(Table257[[#This Row],[Corrected time]])</f>
        <v>31</v>
      </c>
      <c r="N296" s="1">
        <v>0.52216730324074068</v>
      </c>
      <c r="O296" s="1">
        <f>Table257[[#This Row],[Time]]-TIME(0,0,3)</f>
        <v>0.52213258101851845</v>
      </c>
      <c r="P296" t="s">
        <v>9</v>
      </c>
      <c r="Q296">
        <v>-121</v>
      </c>
      <c r="R296">
        <f>Table257[[#This Row],[RSSI]]</f>
        <v>-121</v>
      </c>
      <c r="S296">
        <v>-7.5</v>
      </c>
    </row>
    <row r="297" spans="2:19" x14ac:dyDescent="0.25">
      <c r="B297">
        <f>390+2*(Table146[[#This Row],[min value (corrected)]]-37)</f>
        <v>400</v>
      </c>
      <c r="C297">
        <f>MINUTE(Table146[[#This Row],[Corrected time]])</f>
        <v>42</v>
      </c>
      <c r="D297" s="1">
        <v>0.48754840277777778</v>
      </c>
      <c r="E297" s="1">
        <f>Table146[[#This Row],[Time]]-TIME(0,0,1)</f>
        <v>0.48753682870370368</v>
      </c>
      <c r="F297" t="s">
        <v>9</v>
      </c>
      <c r="G297">
        <v>-122</v>
      </c>
      <c r="H297">
        <f>Table146[[#This Row],[RSSI]]</f>
        <v>-122</v>
      </c>
      <c r="I297">
        <v>-8</v>
      </c>
      <c r="L297">
        <f>390+2*(Table257[[#This Row],[min value (corrected)]]-27)</f>
        <v>398</v>
      </c>
      <c r="M297">
        <f>MINUTE(Table257[[#This Row],[Corrected time]])</f>
        <v>31</v>
      </c>
      <c r="N297" s="1">
        <v>0.52218033564814814</v>
      </c>
      <c r="O297" s="1">
        <f>Table257[[#This Row],[Time]]-TIME(0,0,3)</f>
        <v>0.52214561342592591</v>
      </c>
      <c r="P297" t="s">
        <v>9</v>
      </c>
      <c r="Q297">
        <v>-121</v>
      </c>
      <c r="R297">
        <f>Table257[[#This Row],[RSSI]]</f>
        <v>-121</v>
      </c>
      <c r="S297">
        <v>-7.7</v>
      </c>
    </row>
    <row r="298" spans="2:19" x14ac:dyDescent="0.25">
      <c r="B298">
        <f>390+2*(Table146[[#This Row],[min value (corrected)]]-37)</f>
        <v>400</v>
      </c>
      <c r="C298">
        <f>MINUTE(Table146[[#This Row],[Corrected time]])</f>
        <v>42</v>
      </c>
      <c r="D298" s="1">
        <v>0.48756143518518513</v>
      </c>
      <c r="E298" s="1">
        <f>Table146[[#This Row],[Time]]-TIME(0,0,1)</f>
        <v>0.48754986111111104</v>
      </c>
      <c r="F298" t="s">
        <v>13</v>
      </c>
      <c r="G298">
        <f>G297</f>
        <v>-122</v>
      </c>
      <c r="H298">
        <f>Table146[[#This Row],[RSSI]]</f>
        <v>-122</v>
      </c>
      <c r="I298">
        <f>I297</f>
        <v>-8</v>
      </c>
      <c r="L298">
        <f>390+2*(Table257[[#This Row],[min value (corrected)]]-27)</f>
        <v>398</v>
      </c>
      <c r="M298">
        <f>MINUTE(Table257[[#This Row],[Corrected time]])</f>
        <v>31</v>
      </c>
      <c r="N298" s="1">
        <v>0.5221933680555555</v>
      </c>
      <c r="O298" s="1">
        <f>Table257[[#This Row],[Time]]-TIME(0,0,3)</f>
        <v>0.52215864583333327</v>
      </c>
      <c r="P298" t="s">
        <v>9</v>
      </c>
      <c r="Q298">
        <v>-121</v>
      </c>
      <c r="R298">
        <f>Table257[[#This Row],[RSSI]]</f>
        <v>-121</v>
      </c>
      <c r="S298">
        <v>-7.7</v>
      </c>
    </row>
    <row r="299" spans="2:19" x14ac:dyDescent="0.25">
      <c r="B299">
        <f>390+2*(Table146[[#This Row],[min value (corrected)]]-37)</f>
        <v>400</v>
      </c>
      <c r="C299">
        <f>MINUTE(Table146[[#This Row],[Corrected time]])</f>
        <v>42</v>
      </c>
      <c r="D299" s="1">
        <v>0.4875744675925926</v>
      </c>
      <c r="E299" s="1">
        <f>Table146[[#This Row],[Time]]-TIME(0,0,1)</f>
        <v>0.4875628935185185</v>
      </c>
      <c r="F299" t="s">
        <v>9</v>
      </c>
      <c r="G299">
        <v>-121</v>
      </c>
      <c r="H299">
        <f>Table146[[#This Row],[RSSI]]</f>
        <v>-121</v>
      </c>
      <c r="I299">
        <v>-7.7</v>
      </c>
      <c r="L299">
        <f>390+2*(Table257[[#This Row],[min value (corrected)]]-27)</f>
        <v>398</v>
      </c>
      <c r="M299">
        <f>MINUTE(Table257[[#This Row],[Corrected time]])</f>
        <v>31</v>
      </c>
      <c r="N299" s="1">
        <v>0.52220640046296296</v>
      </c>
      <c r="O299" s="1">
        <f>Table257[[#This Row],[Time]]-TIME(0,0,3)</f>
        <v>0.52217167824074073</v>
      </c>
      <c r="P299" t="s">
        <v>9</v>
      </c>
      <c r="Q299">
        <v>-121</v>
      </c>
      <c r="R299">
        <f>Table257[[#This Row],[RSSI]]</f>
        <v>-121</v>
      </c>
      <c r="S299">
        <v>-7.2</v>
      </c>
    </row>
    <row r="300" spans="2:19" x14ac:dyDescent="0.25">
      <c r="B300">
        <f>390+2*(Table146[[#This Row],[min value (corrected)]]-37)</f>
        <v>400</v>
      </c>
      <c r="C300">
        <f>MINUTE(Table146[[#This Row],[Corrected time]])</f>
        <v>42</v>
      </c>
      <c r="D300" s="1">
        <v>0.48758749999999995</v>
      </c>
      <c r="E300" s="1">
        <f>Table146[[#This Row],[Time]]-TIME(0,0,1)</f>
        <v>0.48757592592592586</v>
      </c>
      <c r="F300" t="s">
        <v>13</v>
      </c>
      <c r="G300">
        <f>G299</f>
        <v>-121</v>
      </c>
      <c r="H300">
        <f>Table146[[#This Row],[RSSI]]</f>
        <v>-121</v>
      </c>
      <c r="I300">
        <f>I299</f>
        <v>-7.7</v>
      </c>
      <c r="L300">
        <f>390+2*(Table257[[#This Row],[min value (corrected)]]-27)</f>
        <v>398</v>
      </c>
      <c r="M300">
        <f>MINUTE(Table257[[#This Row],[Corrected time]])</f>
        <v>31</v>
      </c>
      <c r="N300" s="1">
        <v>0.52221943287037031</v>
      </c>
      <c r="O300" s="1">
        <f>Table257[[#This Row],[Time]]-TIME(0,0,3)</f>
        <v>0.52218471064814809</v>
      </c>
      <c r="P300" t="s">
        <v>9</v>
      </c>
      <c r="Q300">
        <v>-121</v>
      </c>
      <c r="R300">
        <f>Table257[[#This Row],[RSSI]]</f>
        <v>-121</v>
      </c>
      <c r="S300">
        <v>-7</v>
      </c>
    </row>
    <row r="301" spans="2:19" x14ac:dyDescent="0.25">
      <c r="B301">
        <f>390+2*(Table146[[#This Row],[min value (corrected)]]-37)</f>
        <v>400</v>
      </c>
      <c r="C301">
        <f>MINUTE(Table146[[#This Row],[Corrected time]])</f>
        <v>42</v>
      </c>
      <c r="D301" s="1">
        <v>0.48760053240740742</v>
      </c>
      <c r="E301" s="1">
        <f>Table146[[#This Row],[Time]]-TIME(0,0,1)</f>
        <v>0.48758895833333332</v>
      </c>
      <c r="F301" t="s">
        <v>9</v>
      </c>
      <c r="G301">
        <v>-122</v>
      </c>
      <c r="H301">
        <f>Table146[[#This Row],[RSSI]]</f>
        <v>-122</v>
      </c>
      <c r="I301">
        <v>-8.5</v>
      </c>
      <c r="L301">
        <f>390+2*(Table257[[#This Row],[min value (corrected)]]-27)</f>
        <v>398</v>
      </c>
      <c r="M301">
        <f>MINUTE(Table257[[#This Row],[Corrected time]])</f>
        <v>31</v>
      </c>
      <c r="N301" s="1">
        <v>0.52223246527777778</v>
      </c>
      <c r="O301" s="1">
        <f>Table257[[#This Row],[Time]]-TIME(0,0,3)</f>
        <v>0.52219774305555555</v>
      </c>
      <c r="P301" t="s">
        <v>9</v>
      </c>
      <c r="Q301">
        <v>-122</v>
      </c>
      <c r="R301">
        <f>Table257[[#This Row],[RSSI]]</f>
        <v>-122</v>
      </c>
      <c r="S301">
        <v>-7.7</v>
      </c>
    </row>
    <row r="302" spans="2:19" x14ac:dyDescent="0.25">
      <c r="B302">
        <f>390+2*(Table146[[#This Row],[min value (corrected)]]-37)</f>
        <v>400</v>
      </c>
      <c r="C302">
        <f>MINUTE(Table146[[#This Row],[Corrected time]])</f>
        <v>42</v>
      </c>
      <c r="D302" s="1">
        <v>0.48761355324074074</v>
      </c>
      <c r="E302" s="1">
        <f>Table146[[#This Row],[Time]]-TIME(0,0,1)</f>
        <v>0.48760197916666664</v>
      </c>
      <c r="F302" t="s">
        <v>9</v>
      </c>
      <c r="G302">
        <v>-121</v>
      </c>
      <c r="H302">
        <f>Table146[[#This Row],[RSSI]]</f>
        <v>-121</v>
      </c>
      <c r="I302">
        <v>-7.5</v>
      </c>
      <c r="L302">
        <f>390+2*(Table257[[#This Row],[min value (corrected)]]-27)</f>
        <v>398</v>
      </c>
      <c r="M302">
        <f>MINUTE(Table257[[#This Row],[Corrected time]])</f>
        <v>31</v>
      </c>
      <c r="N302" s="1">
        <v>0.5222454861111111</v>
      </c>
      <c r="O302" s="1">
        <f>Table257[[#This Row],[Time]]-TIME(0,0,3)</f>
        <v>0.52221076388888887</v>
      </c>
      <c r="P302" t="s">
        <v>9</v>
      </c>
      <c r="Q302">
        <v>-118</v>
      </c>
      <c r="R302">
        <f>Table257[[#This Row],[RSSI]]</f>
        <v>-118</v>
      </c>
      <c r="S302">
        <v>-7.5</v>
      </c>
    </row>
    <row r="303" spans="2:19" x14ac:dyDescent="0.25">
      <c r="B303">
        <f>390+2*(Table146[[#This Row],[min value (corrected)]]-37)</f>
        <v>400</v>
      </c>
      <c r="C303">
        <f>MINUTE(Table146[[#This Row],[Corrected time]])</f>
        <v>42</v>
      </c>
      <c r="D303" s="1">
        <v>0.48762659722222224</v>
      </c>
      <c r="E303" s="1">
        <f>Table146[[#This Row],[Time]]-TIME(0,0,1)</f>
        <v>0.48761502314814814</v>
      </c>
      <c r="F303" t="s">
        <v>13</v>
      </c>
      <c r="G303">
        <f>G302</f>
        <v>-121</v>
      </c>
      <c r="H303">
        <f>Table146[[#This Row],[RSSI]]</f>
        <v>-121</v>
      </c>
      <c r="I303">
        <f>I302</f>
        <v>-7.5</v>
      </c>
      <c r="L303">
        <f>390+2*(Table257[[#This Row],[min value (corrected)]]-27)</f>
        <v>400</v>
      </c>
      <c r="M303">
        <f>MINUTE(Table257[[#This Row],[Corrected time]])</f>
        <v>32</v>
      </c>
      <c r="N303" s="1">
        <v>0.5222585300925926</v>
      </c>
      <c r="O303" s="1">
        <f>Table257[[#This Row],[Time]]-TIME(0,0,3)</f>
        <v>0.52222380787037037</v>
      </c>
      <c r="P303" t="s">
        <v>9</v>
      </c>
      <c r="Q303">
        <v>-122</v>
      </c>
      <c r="R303">
        <f>Table257[[#This Row],[RSSI]]</f>
        <v>-122</v>
      </c>
      <c r="S303">
        <v>-8</v>
      </c>
    </row>
    <row r="304" spans="2:19" x14ac:dyDescent="0.25">
      <c r="B304">
        <f>390+2*(Table146[[#This Row],[min value (corrected)]]-37)</f>
        <v>400</v>
      </c>
      <c r="C304">
        <f>MINUTE(Table146[[#This Row],[Corrected time]])</f>
        <v>42</v>
      </c>
      <c r="D304" s="1">
        <v>0.48763962962962959</v>
      </c>
      <c r="E304" s="1">
        <f>Table146[[#This Row],[Time]]-TIME(0,0,1)</f>
        <v>0.4876280555555555</v>
      </c>
      <c r="F304" t="s">
        <v>9</v>
      </c>
      <c r="G304">
        <v>-122</v>
      </c>
      <c r="H304">
        <f>Table146[[#This Row],[RSSI]]</f>
        <v>-122</v>
      </c>
      <c r="I304">
        <v>-8.5</v>
      </c>
      <c r="L304">
        <f>390+2*(Table257[[#This Row],[min value (corrected)]]-27)</f>
        <v>400</v>
      </c>
      <c r="M304">
        <f>MINUTE(Table257[[#This Row],[Corrected time]])</f>
        <v>32</v>
      </c>
      <c r="N304" s="1">
        <v>0.52227156249999995</v>
      </c>
      <c r="O304" s="1">
        <f>Table257[[#This Row],[Time]]-TIME(0,0,3)</f>
        <v>0.52223684027777773</v>
      </c>
      <c r="P304" t="s">
        <v>9</v>
      </c>
      <c r="Q304">
        <v>-121</v>
      </c>
      <c r="R304">
        <f>Table257[[#This Row],[RSSI]]</f>
        <v>-121</v>
      </c>
      <c r="S304">
        <v>-8</v>
      </c>
    </row>
    <row r="305" spans="2:19" x14ac:dyDescent="0.25">
      <c r="B305">
        <f>390+2*(Table146[[#This Row],[min value (corrected)]]-37)</f>
        <v>400</v>
      </c>
      <c r="C305">
        <f>MINUTE(Table146[[#This Row],[Corrected time]])</f>
        <v>42</v>
      </c>
      <c r="D305" s="1">
        <v>0.48765265046296297</v>
      </c>
      <c r="E305" s="1">
        <f>Table146[[#This Row],[Time]]-TIME(0,0,1)</f>
        <v>0.48764107638888887</v>
      </c>
      <c r="F305" t="s">
        <v>13</v>
      </c>
      <c r="G305">
        <f>G304</f>
        <v>-122</v>
      </c>
      <c r="H305">
        <f>Table146[[#This Row],[RSSI]]</f>
        <v>-122</v>
      </c>
      <c r="I305">
        <f>I304</f>
        <v>-8.5</v>
      </c>
      <c r="L305">
        <f>390+2*(Table257[[#This Row],[min value (corrected)]]-27)</f>
        <v>400</v>
      </c>
      <c r="M305">
        <f>MINUTE(Table257[[#This Row],[Corrected time]])</f>
        <v>32</v>
      </c>
      <c r="N305" s="1">
        <v>0.52228459490740742</v>
      </c>
      <c r="O305" s="1">
        <f>Table257[[#This Row],[Time]]-TIME(0,0,3)</f>
        <v>0.52224987268518519</v>
      </c>
      <c r="P305" t="s">
        <v>9</v>
      </c>
      <c r="Q305">
        <v>-121</v>
      </c>
      <c r="R305">
        <f>Table257[[#This Row],[RSSI]]</f>
        <v>-121</v>
      </c>
      <c r="S305">
        <v>-8.5</v>
      </c>
    </row>
    <row r="306" spans="2:19" x14ac:dyDescent="0.25">
      <c r="B306">
        <f>390+2*(Table146[[#This Row],[min value (corrected)]]-37)</f>
        <v>400</v>
      </c>
      <c r="C306">
        <f>MINUTE(Table146[[#This Row],[Corrected time]])</f>
        <v>42</v>
      </c>
      <c r="D306" s="1">
        <v>0.48766568287037038</v>
      </c>
      <c r="E306" s="1">
        <f>Table146[[#This Row],[Time]]-TIME(0,0,1)</f>
        <v>0.48765410879629628</v>
      </c>
      <c r="F306" t="s">
        <v>9</v>
      </c>
      <c r="G306">
        <v>-122</v>
      </c>
      <c r="H306">
        <f>Table146[[#This Row],[RSSI]]</f>
        <v>-122</v>
      </c>
      <c r="I306">
        <v>-8.3000000000000007</v>
      </c>
      <c r="L306">
        <f>390+2*(Table257[[#This Row],[min value (corrected)]]-27)</f>
        <v>400</v>
      </c>
      <c r="M306">
        <f>MINUTE(Table257[[#This Row],[Corrected time]])</f>
        <v>32</v>
      </c>
      <c r="N306" s="1">
        <v>0.52229762731481477</v>
      </c>
      <c r="O306" s="1">
        <f>Table257[[#This Row],[Time]]-TIME(0,0,3)</f>
        <v>0.52226290509259254</v>
      </c>
      <c r="P306" t="s">
        <v>13</v>
      </c>
      <c r="Q306">
        <f>Q305</f>
        <v>-121</v>
      </c>
      <c r="R306">
        <f>Table257[[#This Row],[RSSI]]</f>
        <v>-121</v>
      </c>
      <c r="S306">
        <f>S305</f>
        <v>-8.5</v>
      </c>
    </row>
    <row r="307" spans="2:19" x14ac:dyDescent="0.25">
      <c r="B307">
        <f>390+2*(Table146[[#This Row],[min value (corrected)]]-37)</f>
        <v>400</v>
      </c>
      <c r="C307">
        <f>MINUTE(Table146[[#This Row],[Corrected time]])</f>
        <v>42</v>
      </c>
      <c r="D307" s="1">
        <v>0.48767872685185187</v>
      </c>
      <c r="E307" s="1">
        <f>Table146[[#This Row],[Time]]-TIME(0,0,1)</f>
        <v>0.48766715277777778</v>
      </c>
      <c r="F307" t="s">
        <v>9</v>
      </c>
      <c r="G307">
        <v>-121</v>
      </c>
      <c r="H307">
        <f>Table146[[#This Row],[RSSI]]</f>
        <v>-121</v>
      </c>
      <c r="I307">
        <v>-7.7</v>
      </c>
      <c r="L307">
        <f>390+2*(Table257[[#This Row],[min value (corrected)]]-27)</f>
        <v>400</v>
      </c>
      <c r="M307">
        <f>MINUTE(Table257[[#This Row],[Corrected time]])</f>
        <v>32</v>
      </c>
      <c r="N307" s="1">
        <v>0.52231065972222224</v>
      </c>
      <c r="O307" s="1">
        <f>Table257[[#This Row],[Time]]-TIME(0,0,3)</f>
        <v>0.52227593750000001</v>
      </c>
      <c r="P307" t="s">
        <v>9</v>
      </c>
      <c r="Q307">
        <v>-122</v>
      </c>
      <c r="R307">
        <f>Table257[[#This Row],[RSSI]]</f>
        <v>-122</v>
      </c>
      <c r="S307">
        <v>-8.3000000000000007</v>
      </c>
    </row>
    <row r="308" spans="2:19" x14ac:dyDescent="0.25">
      <c r="B308">
        <f>390+2*(Table146[[#This Row],[min value (corrected)]]-37)</f>
        <v>400</v>
      </c>
      <c r="C308">
        <f>MINUTE(Table146[[#This Row],[Corrected time]])</f>
        <v>42</v>
      </c>
      <c r="D308" s="1">
        <v>0.4876917476851852</v>
      </c>
      <c r="E308" s="1">
        <f>Table146[[#This Row],[Time]]-TIME(0,0,1)</f>
        <v>0.4876801736111111</v>
      </c>
      <c r="F308" t="s">
        <v>9</v>
      </c>
      <c r="G308">
        <v>-122</v>
      </c>
      <c r="H308">
        <f>Table146[[#This Row],[RSSI]]</f>
        <v>-122</v>
      </c>
      <c r="I308">
        <v>-8.3000000000000007</v>
      </c>
      <c r="L308">
        <f>390+2*(Table257[[#This Row],[min value (corrected)]]-27)</f>
        <v>400</v>
      </c>
      <c r="M308">
        <f>MINUTE(Table257[[#This Row],[Corrected time]])</f>
        <v>32</v>
      </c>
      <c r="N308" s="1">
        <v>0.52232369212962959</v>
      </c>
      <c r="O308" s="1">
        <f>Table257[[#This Row],[Time]]-TIME(0,0,3)</f>
        <v>0.52228896990740736</v>
      </c>
      <c r="P308" t="s">
        <v>9</v>
      </c>
      <c r="Q308">
        <v>-121</v>
      </c>
      <c r="R308">
        <f>Table257[[#This Row],[RSSI]]</f>
        <v>-121</v>
      </c>
      <c r="S308">
        <v>-8</v>
      </c>
    </row>
    <row r="309" spans="2:19" x14ac:dyDescent="0.25">
      <c r="B309">
        <f>390+2*(Table146[[#This Row],[min value (corrected)]]-37)</f>
        <v>400</v>
      </c>
      <c r="C309">
        <f>MINUTE(Table146[[#This Row],[Corrected time]])</f>
        <v>42</v>
      </c>
      <c r="D309" s="1">
        <v>0.4877047800925926</v>
      </c>
      <c r="E309" s="1">
        <f>Table146[[#This Row],[Time]]-TIME(0,0,1)</f>
        <v>0.48769320601851851</v>
      </c>
      <c r="F309" t="s">
        <v>9</v>
      </c>
      <c r="G309">
        <v>-121</v>
      </c>
      <c r="H309">
        <f>Table146[[#This Row],[RSSI]]</f>
        <v>-121</v>
      </c>
      <c r="I309">
        <v>-8</v>
      </c>
      <c r="L309">
        <f>390+2*(Table257[[#This Row],[min value (corrected)]]-27)</f>
        <v>400</v>
      </c>
      <c r="M309">
        <f>MINUTE(Table257[[#This Row],[Corrected time]])</f>
        <v>32</v>
      </c>
      <c r="N309" s="1">
        <v>0.52233672453703694</v>
      </c>
      <c r="O309" s="1">
        <f>Table257[[#This Row],[Time]]-TIME(0,0,3)</f>
        <v>0.52230200231481472</v>
      </c>
      <c r="P309" t="s">
        <v>9</v>
      </c>
      <c r="Q309">
        <v>-121</v>
      </c>
      <c r="R309">
        <f>Table257[[#This Row],[RSSI]]</f>
        <v>-121</v>
      </c>
      <c r="S309">
        <v>-7.2</v>
      </c>
    </row>
    <row r="310" spans="2:19" x14ac:dyDescent="0.25">
      <c r="B310">
        <f>390+2*(Table146[[#This Row],[min value (corrected)]]-37)</f>
        <v>400</v>
      </c>
      <c r="C310">
        <f>MINUTE(Table146[[#This Row],[Corrected time]])</f>
        <v>42</v>
      </c>
      <c r="D310" s="1">
        <v>0.48771782407407405</v>
      </c>
      <c r="E310" s="1">
        <f>Table146[[#This Row],[Time]]-TIME(0,0,1)</f>
        <v>0.48770624999999995</v>
      </c>
      <c r="F310" t="s">
        <v>9</v>
      </c>
      <c r="G310">
        <v>-122</v>
      </c>
      <c r="H310">
        <f>Table146[[#This Row],[RSSI]]</f>
        <v>-122</v>
      </c>
      <c r="I310">
        <v>-8</v>
      </c>
      <c r="L310">
        <f>390+2*(Table257[[#This Row],[min value (corrected)]]-27)</f>
        <v>400</v>
      </c>
      <c r="M310">
        <f>MINUTE(Table257[[#This Row],[Corrected time]])</f>
        <v>32</v>
      </c>
      <c r="N310" s="1">
        <v>0.52234974537037038</v>
      </c>
      <c r="O310" s="1">
        <f>Table257[[#This Row],[Time]]-TIME(0,0,3)</f>
        <v>0.52231502314814815</v>
      </c>
      <c r="P310" t="s">
        <v>9</v>
      </c>
      <c r="Q310">
        <v>-122</v>
      </c>
      <c r="R310">
        <f>Table257[[#This Row],[RSSI]]</f>
        <v>-122</v>
      </c>
      <c r="S310">
        <v>-8.8000000000000007</v>
      </c>
    </row>
    <row r="311" spans="2:19" x14ac:dyDescent="0.25">
      <c r="B311">
        <f>390+2*(Table146[[#This Row],[min value (corrected)]]-37)</f>
        <v>400</v>
      </c>
      <c r="C311">
        <f>MINUTE(Table146[[#This Row],[Corrected time]])</f>
        <v>42</v>
      </c>
      <c r="D311" s="1">
        <v>0.48773085648148151</v>
      </c>
      <c r="E311" s="1">
        <f>Table146[[#This Row],[Time]]-TIME(0,0,1)</f>
        <v>0.48771928240740742</v>
      </c>
      <c r="F311" t="s">
        <v>9</v>
      </c>
      <c r="G311">
        <v>-121</v>
      </c>
      <c r="H311">
        <f>Table146[[#This Row],[RSSI]]</f>
        <v>-121</v>
      </c>
      <c r="I311">
        <v>-7.7</v>
      </c>
      <c r="L311">
        <f>390+2*(Table257[[#This Row],[min value (corrected)]]-27)</f>
        <v>400</v>
      </c>
      <c r="M311">
        <f>MINUTE(Table257[[#This Row],[Corrected time]])</f>
        <v>32</v>
      </c>
      <c r="N311" s="1">
        <v>0.52236278935185176</v>
      </c>
      <c r="O311" s="1">
        <f>Table257[[#This Row],[Time]]-TIME(0,0,3)</f>
        <v>0.52232806712962954</v>
      </c>
      <c r="P311" t="s">
        <v>9</v>
      </c>
      <c r="Q311">
        <v>-121</v>
      </c>
      <c r="R311">
        <f>Table257[[#This Row],[RSSI]]</f>
        <v>-121</v>
      </c>
      <c r="S311">
        <v>-7.5</v>
      </c>
    </row>
    <row r="312" spans="2:19" x14ac:dyDescent="0.25">
      <c r="B312">
        <f>390+2*(Table146[[#This Row],[min value (corrected)]]-37)</f>
        <v>400</v>
      </c>
      <c r="C312">
        <f>MINUTE(Table146[[#This Row],[Corrected time]])</f>
        <v>42</v>
      </c>
      <c r="D312" s="1">
        <v>0.48774388888888887</v>
      </c>
      <c r="E312" s="1">
        <f>Table146[[#This Row],[Time]]-TIME(0,0,1)</f>
        <v>0.48773231481481477</v>
      </c>
      <c r="F312" t="s">
        <v>9</v>
      </c>
      <c r="G312">
        <v>-121</v>
      </c>
      <c r="H312">
        <f>Table146[[#This Row],[RSSI]]</f>
        <v>-121</v>
      </c>
      <c r="I312">
        <v>-8</v>
      </c>
      <c r="L312">
        <f>390+2*(Table257[[#This Row],[min value (corrected)]]-27)</f>
        <v>400</v>
      </c>
      <c r="M312">
        <f>MINUTE(Table257[[#This Row],[Corrected time]])</f>
        <v>32</v>
      </c>
      <c r="N312" s="1">
        <v>0.52237582175925923</v>
      </c>
      <c r="O312" s="1">
        <f>Table257[[#This Row],[Time]]-TIME(0,0,3)</f>
        <v>0.522341099537037</v>
      </c>
      <c r="P312" t="s">
        <v>9</v>
      </c>
      <c r="Q312">
        <v>-121</v>
      </c>
      <c r="R312">
        <f>Table257[[#This Row],[RSSI]]</f>
        <v>-121</v>
      </c>
      <c r="S312">
        <v>-7.7</v>
      </c>
    </row>
    <row r="313" spans="2:19" x14ac:dyDescent="0.25">
      <c r="B313">
        <f>390+2*(Table146[[#This Row],[min value (corrected)]]-37)</f>
        <v>400</v>
      </c>
      <c r="C313">
        <f>MINUTE(Table146[[#This Row],[Corrected time]])</f>
        <v>42</v>
      </c>
      <c r="D313" s="1">
        <v>0.48775692129629628</v>
      </c>
      <c r="E313" s="1">
        <f>Table146[[#This Row],[Time]]-TIME(0,0,1)</f>
        <v>0.48774534722222218</v>
      </c>
      <c r="F313" t="s">
        <v>9</v>
      </c>
      <c r="G313">
        <v>-122</v>
      </c>
      <c r="H313">
        <f>Table146[[#This Row],[RSSI]]</f>
        <v>-122</v>
      </c>
      <c r="I313">
        <v>-8.3000000000000007</v>
      </c>
      <c r="L313">
        <f>390+2*(Table257[[#This Row],[min value (corrected)]]-27)</f>
        <v>400</v>
      </c>
      <c r="M313">
        <f>MINUTE(Table257[[#This Row],[Corrected time]])</f>
        <v>32</v>
      </c>
      <c r="N313" s="1">
        <v>0.52238884259259255</v>
      </c>
      <c r="O313" s="1">
        <f>Table257[[#This Row],[Time]]-TIME(0,0,3)</f>
        <v>0.52235412037037032</v>
      </c>
      <c r="P313" t="s">
        <v>9</v>
      </c>
      <c r="Q313">
        <v>-122</v>
      </c>
      <c r="R313">
        <f>Table257[[#This Row],[RSSI]]</f>
        <v>-122</v>
      </c>
      <c r="S313">
        <v>-8</v>
      </c>
    </row>
    <row r="314" spans="2:19" x14ac:dyDescent="0.25">
      <c r="B314">
        <f>390+2*(Table146[[#This Row],[min value (corrected)]]-37)</f>
        <v>400</v>
      </c>
      <c r="C314">
        <f>MINUTE(Table146[[#This Row],[Corrected time]])</f>
        <v>42</v>
      </c>
      <c r="D314" s="1">
        <v>0.48776995370370368</v>
      </c>
      <c r="E314" s="1">
        <f>Table146[[#This Row],[Time]]-TIME(0,0,1)</f>
        <v>0.48775837962962959</v>
      </c>
      <c r="F314" t="s">
        <v>13</v>
      </c>
      <c r="G314">
        <f>G313</f>
        <v>-122</v>
      </c>
      <c r="H314">
        <f>Table146[[#This Row],[RSSI]]</f>
        <v>-122</v>
      </c>
      <c r="I314">
        <f>I313</f>
        <v>-8.3000000000000007</v>
      </c>
      <c r="L314">
        <f>390+2*(Table257[[#This Row],[min value (corrected)]]-27)</f>
        <v>400</v>
      </c>
      <c r="M314">
        <f>MINUTE(Table257[[#This Row],[Corrected time]])</f>
        <v>32</v>
      </c>
      <c r="N314" s="1">
        <v>0.52240188657407405</v>
      </c>
      <c r="O314" s="1">
        <f>Table257[[#This Row],[Time]]-TIME(0,0,3)</f>
        <v>0.52236716435185182</v>
      </c>
      <c r="P314" t="s">
        <v>9</v>
      </c>
      <c r="Q314">
        <v>-121</v>
      </c>
      <c r="R314">
        <f>Table257[[#This Row],[RSSI]]</f>
        <v>-121</v>
      </c>
      <c r="S314">
        <v>-7.7</v>
      </c>
    </row>
    <row r="315" spans="2:19" x14ac:dyDescent="0.25">
      <c r="B315">
        <f>390+2*(Table146[[#This Row],[min value (corrected)]]-37)</f>
        <v>400</v>
      </c>
      <c r="C315">
        <f>MINUTE(Table146[[#This Row],[Corrected time]])</f>
        <v>42</v>
      </c>
      <c r="D315" s="1">
        <v>0.48778297453703706</v>
      </c>
      <c r="E315" s="1">
        <f>Table146[[#This Row],[Time]]-TIME(0,0,1)</f>
        <v>0.48777140046296297</v>
      </c>
      <c r="F315" t="s">
        <v>9</v>
      </c>
      <c r="G315">
        <v>-122</v>
      </c>
      <c r="H315">
        <f>Table146[[#This Row],[RSSI]]</f>
        <v>-122</v>
      </c>
      <c r="I315">
        <v>-8</v>
      </c>
      <c r="L315">
        <f>390+2*(Table257[[#This Row],[min value (corrected)]]-27)</f>
        <v>400</v>
      </c>
      <c r="M315">
        <f>MINUTE(Table257[[#This Row],[Corrected time]])</f>
        <v>32</v>
      </c>
      <c r="N315" s="1">
        <v>0.5224149189814814</v>
      </c>
      <c r="O315" s="1">
        <f>Table257[[#This Row],[Time]]-TIME(0,0,3)</f>
        <v>0.52238019675925917</v>
      </c>
      <c r="P315" t="s">
        <v>9</v>
      </c>
      <c r="Q315">
        <v>-121</v>
      </c>
      <c r="R315">
        <f>Table257[[#This Row],[RSSI]]</f>
        <v>-121</v>
      </c>
      <c r="S315">
        <v>-7.7</v>
      </c>
    </row>
    <row r="316" spans="2:19" x14ac:dyDescent="0.25">
      <c r="B316">
        <f>390+2*(Table146[[#This Row],[min value (corrected)]]-37)</f>
        <v>400</v>
      </c>
      <c r="C316">
        <f>MINUTE(Table146[[#This Row],[Corrected time]])</f>
        <v>42</v>
      </c>
      <c r="D316" s="1">
        <v>0.4877960185185185</v>
      </c>
      <c r="E316" s="1">
        <f>Table146[[#This Row],[Time]]-TIME(0,0,1)</f>
        <v>0.48778444444444441</v>
      </c>
      <c r="F316" t="s">
        <v>9</v>
      </c>
      <c r="G316">
        <v>-121</v>
      </c>
      <c r="H316">
        <f>Table146[[#This Row],[RSSI]]</f>
        <v>-121</v>
      </c>
      <c r="I316">
        <v>-8</v>
      </c>
      <c r="L316">
        <f>390+2*(Table257[[#This Row],[min value (corrected)]]-27)</f>
        <v>400</v>
      </c>
      <c r="M316">
        <f>MINUTE(Table257[[#This Row],[Corrected time]])</f>
        <v>32</v>
      </c>
      <c r="N316" s="1">
        <v>0.52242795138888887</v>
      </c>
      <c r="O316" s="1">
        <f>Table257[[#This Row],[Time]]-TIME(0,0,3)</f>
        <v>0.52239322916666664</v>
      </c>
      <c r="P316" t="s">
        <v>9</v>
      </c>
      <c r="Q316">
        <v>-121</v>
      </c>
      <c r="R316">
        <f>Table257[[#This Row],[RSSI]]</f>
        <v>-121</v>
      </c>
      <c r="S316">
        <v>-7</v>
      </c>
    </row>
    <row r="317" spans="2:19" x14ac:dyDescent="0.25">
      <c r="B317">
        <f>390+2*(Table146[[#This Row],[min value (corrected)]]-37)</f>
        <v>400</v>
      </c>
      <c r="C317">
        <f>MINUTE(Table146[[#This Row],[Corrected time]])</f>
        <v>42</v>
      </c>
      <c r="D317" s="1">
        <v>0.48780905092592591</v>
      </c>
      <c r="E317" s="1">
        <f>Table146[[#This Row],[Time]]-TIME(0,0,1)</f>
        <v>0.48779747685185182</v>
      </c>
      <c r="F317" t="s">
        <v>9</v>
      </c>
      <c r="G317">
        <v>-121</v>
      </c>
      <c r="H317">
        <f>Table146[[#This Row],[RSSI]]</f>
        <v>-121</v>
      </c>
      <c r="I317">
        <v>-7.2</v>
      </c>
      <c r="L317">
        <f>390+2*(Table257[[#This Row],[min value (corrected)]]-27)</f>
        <v>400</v>
      </c>
      <c r="M317">
        <f>MINUTE(Table257[[#This Row],[Corrected time]])</f>
        <v>32</v>
      </c>
      <c r="N317" s="1">
        <v>0.52244097222222219</v>
      </c>
      <c r="O317" s="1">
        <f>Table257[[#This Row],[Time]]-TIME(0,0,3)</f>
        <v>0.52240624999999996</v>
      </c>
      <c r="P317" t="s">
        <v>9</v>
      </c>
      <c r="Q317">
        <v>-122</v>
      </c>
      <c r="R317">
        <f>Table257[[#This Row],[RSSI]]</f>
        <v>-122</v>
      </c>
      <c r="S317">
        <v>-8</v>
      </c>
    </row>
    <row r="318" spans="2:19" x14ac:dyDescent="0.25">
      <c r="B318">
        <f>390+2*(Table146[[#This Row],[min value (corrected)]]-37)</f>
        <v>400</v>
      </c>
      <c r="C318">
        <f>MINUTE(Table146[[#This Row],[Corrected time]])</f>
        <v>42</v>
      </c>
      <c r="D318" s="1">
        <v>0.48782208333333332</v>
      </c>
      <c r="E318" s="1">
        <f>Table146[[#This Row],[Time]]-TIME(0,0,1)</f>
        <v>0.48781050925925923</v>
      </c>
      <c r="F318" t="s">
        <v>9</v>
      </c>
      <c r="G318">
        <v>-121</v>
      </c>
      <c r="H318">
        <f>Table146[[#This Row],[RSSI]]</f>
        <v>-121</v>
      </c>
      <c r="I318">
        <v>-7.7</v>
      </c>
      <c r="L318">
        <f>390+2*(Table257[[#This Row],[min value (corrected)]]-27)</f>
        <v>400</v>
      </c>
      <c r="M318">
        <f>MINUTE(Table257[[#This Row],[Corrected time]])</f>
        <v>32</v>
      </c>
      <c r="N318" s="1">
        <v>0.52245401620370369</v>
      </c>
      <c r="O318" s="1">
        <f>Table257[[#This Row],[Time]]-TIME(0,0,3)</f>
        <v>0.52241929398148146</v>
      </c>
      <c r="P318" t="s">
        <v>9</v>
      </c>
      <c r="Q318">
        <v>-121</v>
      </c>
      <c r="R318">
        <f>Table257[[#This Row],[RSSI]]</f>
        <v>-121</v>
      </c>
      <c r="S318">
        <v>-7.7</v>
      </c>
    </row>
    <row r="319" spans="2:19" x14ac:dyDescent="0.25">
      <c r="B319">
        <f>390+2*(Table146[[#This Row],[min value (corrected)]]-37)</f>
        <v>400</v>
      </c>
      <c r="C319">
        <f>MINUTE(Table146[[#This Row],[Corrected time]])</f>
        <v>42</v>
      </c>
      <c r="D319" s="1">
        <v>0.48783511574074073</v>
      </c>
      <c r="E319" s="1">
        <f>Table146[[#This Row],[Time]]-TIME(0,0,1)</f>
        <v>0.48782354166666664</v>
      </c>
      <c r="F319" t="s">
        <v>9</v>
      </c>
      <c r="G319">
        <v>-122</v>
      </c>
      <c r="H319">
        <f>Table146[[#This Row],[RSSI]]</f>
        <v>-122</v>
      </c>
      <c r="I319">
        <v>-8.3000000000000007</v>
      </c>
      <c r="L319">
        <f>390+2*(Table257[[#This Row],[min value (corrected)]]-27)</f>
        <v>400</v>
      </c>
      <c r="M319">
        <f>MINUTE(Table257[[#This Row],[Corrected time]])</f>
        <v>32</v>
      </c>
      <c r="N319" s="1">
        <v>0.52246704861111104</v>
      </c>
      <c r="O319" s="1">
        <f>Table257[[#This Row],[Time]]-TIME(0,0,3)</f>
        <v>0.52243232638888881</v>
      </c>
      <c r="P319" t="s">
        <v>9</v>
      </c>
      <c r="Q319">
        <v>-121</v>
      </c>
      <c r="R319">
        <f>Table257[[#This Row],[RSSI]]</f>
        <v>-121</v>
      </c>
      <c r="S319">
        <v>-7.2</v>
      </c>
    </row>
    <row r="320" spans="2:19" x14ac:dyDescent="0.25">
      <c r="B320">
        <f>390+2*(Table146[[#This Row],[min value (corrected)]]-37)</f>
        <v>400</v>
      </c>
      <c r="C320">
        <f>MINUTE(Table146[[#This Row],[Corrected time]])</f>
        <v>42</v>
      </c>
      <c r="D320" s="1">
        <v>0.48784814814814814</v>
      </c>
      <c r="E320" s="1">
        <f>Table146[[#This Row],[Time]]-TIME(0,0,1)</f>
        <v>0.48783657407407405</v>
      </c>
      <c r="F320" t="s">
        <v>9</v>
      </c>
      <c r="G320">
        <v>-121</v>
      </c>
      <c r="H320">
        <f>Table146[[#This Row],[RSSI]]</f>
        <v>-121</v>
      </c>
      <c r="I320">
        <v>-7.5</v>
      </c>
      <c r="L320">
        <f>390+2*(Table257[[#This Row],[min value (corrected)]]-27)</f>
        <v>400</v>
      </c>
      <c r="M320">
        <f>MINUTE(Table257[[#This Row],[Corrected time]])</f>
        <v>32</v>
      </c>
      <c r="N320" s="1">
        <v>0.52248008101851851</v>
      </c>
      <c r="O320" s="1">
        <f>Table257[[#This Row],[Time]]-TIME(0,0,3)</f>
        <v>0.52244535879629628</v>
      </c>
      <c r="P320" t="s">
        <v>9</v>
      </c>
      <c r="Q320">
        <v>-121</v>
      </c>
      <c r="R320">
        <f>Table257[[#This Row],[RSSI]]</f>
        <v>-121</v>
      </c>
      <c r="S320">
        <v>-7.7</v>
      </c>
    </row>
    <row r="321" spans="2:19" x14ac:dyDescent="0.25">
      <c r="B321">
        <f>390+2*(Table146[[#This Row],[min value (corrected)]]-37)</f>
        <v>400</v>
      </c>
      <c r="C321">
        <f>MINUTE(Table146[[#This Row],[Corrected time]])</f>
        <v>42</v>
      </c>
      <c r="D321" s="1">
        <v>0.48786118055555555</v>
      </c>
      <c r="E321" s="1">
        <f>Table146[[#This Row],[Time]]-TIME(0,0,1)</f>
        <v>0.48784960648148146</v>
      </c>
      <c r="F321" t="s">
        <v>9</v>
      </c>
      <c r="G321">
        <v>-121</v>
      </c>
      <c r="H321">
        <f>Table146[[#This Row],[RSSI]]</f>
        <v>-121</v>
      </c>
      <c r="I321">
        <v>-8.3000000000000007</v>
      </c>
      <c r="L321">
        <f>390+2*(Table257[[#This Row],[min value (corrected)]]-27)</f>
        <v>400</v>
      </c>
      <c r="M321">
        <f>MINUTE(Table257[[#This Row],[Corrected time]])</f>
        <v>32</v>
      </c>
      <c r="N321" s="1">
        <v>0.52249311342592586</v>
      </c>
      <c r="O321" s="1">
        <f>Table257[[#This Row],[Time]]-TIME(0,0,3)</f>
        <v>0.52245839120370363</v>
      </c>
      <c r="P321" t="s">
        <v>9</v>
      </c>
      <c r="Q321">
        <v>-121</v>
      </c>
      <c r="R321">
        <f>Table257[[#This Row],[RSSI]]</f>
        <v>-121</v>
      </c>
      <c r="S321">
        <v>-7.5</v>
      </c>
    </row>
    <row r="322" spans="2:19" x14ac:dyDescent="0.25">
      <c r="B322">
        <f>390+2*(Table146[[#This Row],[min value (corrected)]]-37)</f>
        <v>400</v>
      </c>
      <c r="C322">
        <f>MINUTE(Table146[[#This Row],[Corrected time]])</f>
        <v>42</v>
      </c>
      <c r="D322" s="1">
        <v>0.48787420138888887</v>
      </c>
      <c r="E322" s="1">
        <f>Table146[[#This Row],[Time]]-TIME(0,0,1)</f>
        <v>0.48786262731481478</v>
      </c>
      <c r="F322" t="s">
        <v>9</v>
      </c>
      <c r="G322">
        <v>-121</v>
      </c>
      <c r="H322">
        <f>Table146[[#This Row],[RSSI]]</f>
        <v>-121</v>
      </c>
      <c r="I322">
        <v>-7.5</v>
      </c>
      <c r="L322">
        <f>390+2*(Table257[[#This Row],[min value (corrected)]]-27)</f>
        <v>400</v>
      </c>
      <c r="M322">
        <f>MINUTE(Table257[[#This Row],[Corrected time]])</f>
        <v>32</v>
      </c>
      <c r="N322" s="1">
        <v>0.52250614583333332</v>
      </c>
      <c r="O322" s="1">
        <f>Table257[[#This Row],[Time]]-TIME(0,0,3)</f>
        <v>0.5224714236111111</v>
      </c>
      <c r="P322" t="s">
        <v>9</v>
      </c>
      <c r="Q322">
        <v>-121</v>
      </c>
      <c r="R322">
        <f>Table257[[#This Row],[RSSI]]</f>
        <v>-121</v>
      </c>
      <c r="S322">
        <v>-8</v>
      </c>
    </row>
    <row r="323" spans="2:19" x14ac:dyDescent="0.25">
      <c r="B323">
        <f>390+2*(Table146[[#This Row],[min value (corrected)]]-37)</f>
        <v>400</v>
      </c>
      <c r="C323">
        <f>MINUTE(Table146[[#This Row],[Corrected time]])</f>
        <v>42</v>
      </c>
      <c r="D323" s="1">
        <v>0.48788723379629634</v>
      </c>
      <c r="E323" s="1">
        <f>Table146[[#This Row],[Time]]-TIME(0,0,1)</f>
        <v>0.48787565972222224</v>
      </c>
      <c r="F323" t="s">
        <v>9</v>
      </c>
      <c r="G323">
        <v>-122</v>
      </c>
      <c r="H323">
        <f>Table146[[#This Row],[RSSI]]</f>
        <v>-122</v>
      </c>
      <c r="I323">
        <v>-8.5</v>
      </c>
      <c r="L323">
        <f>390+2*(Table257[[#This Row],[min value (corrected)]]-27)</f>
        <v>400</v>
      </c>
      <c r="M323">
        <f>MINUTE(Table257[[#This Row],[Corrected time]])</f>
        <v>32</v>
      </c>
      <c r="N323" s="1">
        <v>0.52251917824074068</v>
      </c>
      <c r="O323" s="1">
        <f>Table257[[#This Row],[Time]]-TIME(0,0,3)</f>
        <v>0.52248445601851845</v>
      </c>
      <c r="P323" t="s">
        <v>9</v>
      </c>
      <c r="Q323">
        <v>-118</v>
      </c>
      <c r="R323">
        <f>Table257[[#This Row],[RSSI]]</f>
        <v>-118</v>
      </c>
      <c r="S323">
        <v>-7</v>
      </c>
    </row>
    <row r="324" spans="2:19" x14ac:dyDescent="0.25">
      <c r="B324">
        <f>390+2*(Table146[[#This Row],[min value (corrected)]]-37)</f>
        <v>400</v>
      </c>
      <c r="C324">
        <f>MINUTE(Table146[[#This Row],[Corrected time]])</f>
        <v>42</v>
      </c>
      <c r="D324" s="1">
        <v>0.48790027777777778</v>
      </c>
      <c r="E324" s="1">
        <f>Table146[[#This Row],[Time]]-TIME(0,0,1)</f>
        <v>0.48788870370370369</v>
      </c>
      <c r="F324" t="s">
        <v>9</v>
      </c>
      <c r="G324">
        <v>-122</v>
      </c>
      <c r="H324">
        <f>Table146[[#This Row],[RSSI]]</f>
        <v>-122</v>
      </c>
      <c r="I324">
        <v>-8.3000000000000007</v>
      </c>
      <c r="L324">
        <f>390+2*(Table257[[#This Row],[min value (corrected)]]-27)</f>
        <v>400</v>
      </c>
      <c r="M324">
        <f>MINUTE(Table257[[#This Row],[Corrected time]])</f>
        <v>32</v>
      </c>
      <c r="N324" s="1">
        <v>0.52253219907407411</v>
      </c>
      <c r="O324" s="1">
        <f>Table257[[#This Row],[Time]]-TIME(0,0,3)</f>
        <v>0.52249747685185188</v>
      </c>
      <c r="P324" t="s">
        <v>9</v>
      </c>
      <c r="Q324">
        <v>-121</v>
      </c>
      <c r="R324">
        <f>Table257[[#This Row],[RSSI]]</f>
        <v>-121</v>
      </c>
      <c r="S324">
        <v>-7.7</v>
      </c>
    </row>
    <row r="325" spans="2:19" x14ac:dyDescent="0.25">
      <c r="B325">
        <f>390+2*(Table146[[#This Row],[min value (corrected)]]-37)</f>
        <v>400</v>
      </c>
      <c r="C325">
        <f>MINUTE(Table146[[#This Row],[Corrected time]])</f>
        <v>42</v>
      </c>
      <c r="D325" s="1">
        <v>0.48791329861111116</v>
      </c>
      <c r="E325" s="1">
        <f>Table146[[#This Row],[Time]]-TIME(0,0,1)</f>
        <v>0.48790172453703706</v>
      </c>
      <c r="F325" t="s">
        <v>9</v>
      </c>
      <c r="G325">
        <v>-121</v>
      </c>
      <c r="H325">
        <f>Table146[[#This Row],[RSSI]]</f>
        <v>-121</v>
      </c>
      <c r="I325">
        <v>-7.7</v>
      </c>
      <c r="L325">
        <f>390+2*(Table257[[#This Row],[min value (corrected)]]-27)</f>
        <v>400</v>
      </c>
      <c r="M325">
        <f>MINUTE(Table257[[#This Row],[Corrected time]])</f>
        <v>32</v>
      </c>
      <c r="N325" s="1">
        <v>0.5225452430555555</v>
      </c>
      <c r="O325" s="1">
        <f>Table257[[#This Row],[Time]]-TIME(0,0,3)</f>
        <v>0.52251052083333327</v>
      </c>
      <c r="P325" t="s">
        <v>9</v>
      </c>
      <c r="Q325">
        <v>-122</v>
      </c>
      <c r="R325">
        <f>Table257[[#This Row],[RSSI]]</f>
        <v>-122</v>
      </c>
      <c r="S325">
        <v>-7.7</v>
      </c>
    </row>
    <row r="326" spans="2:19" x14ac:dyDescent="0.25">
      <c r="B326">
        <f>390+2*(Table146[[#This Row],[min value (corrected)]]-37)</f>
        <v>400</v>
      </c>
      <c r="C326">
        <f>MINUTE(Table146[[#This Row],[Corrected time]])</f>
        <v>42</v>
      </c>
      <c r="D326" s="1">
        <v>0.48792634259259265</v>
      </c>
      <c r="E326" s="1">
        <f>Table146[[#This Row],[Time]]-TIME(0,0,1)</f>
        <v>0.48791476851851856</v>
      </c>
      <c r="F326" t="s">
        <v>9</v>
      </c>
      <c r="G326">
        <v>-121</v>
      </c>
      <c r="H326">
        <f>Table146[[#This Row],[RSSI]]</f>
        <v>-121</v>
      </c>
      <c r="I326">
        <v>-7.7</v>
      </c>
      <c r="L326">
        <f>390+2*(Table257[[#This Row],[min value (corrected)]]-27)</f>
        <v>400</v>
      </c>
      <c r="M326">
        <f>MINUTE(Table257[[#This Row],[Corrected time]])</f>
        <v>32</v>
      </c>
      <c r="N326" s="1">
        <v>0.52255827546296296</v>
      </c>
      <c r="O326" s="1">
        <f>Table257[[#This Row],[Time]]-TIME(0,0,3)</f>
        <v>0.52252355324074073</v>
      </c>
      <c r="P326" t="s">
        <v>9</v>
      </c>
      <c r="Q326">
        <v>-121</v>
      </c>
      <c r="R326">
        <f>Table257[[#This Row],[RSSI]]</f>
        <v>-121</v>
      </c>
      <c r="S326">
        <v>-8</v>
      </c>
    </row>
    <row r="327" spans="2:19" x14ac:dyDescent="0.25">
      <c r="B327">
        <f>390+2*(Table146[[#This Row],[min value (corrected)]]-37)</f>
        <v>400</v>
      </c>
      <c r="C327">
        <f>MINUTE(Table146[[#This Row],[Corrected time]])</f>
        <v>42</v>
      </c>
      <c r="D327" s="1">
        <v>0.48793937500000001</v>
      </c>
      <c r="E327" s="1">
        <f>Table146[[#This Row],[Time]]-TIME(0,0,1)</f>
        <v>0.48792780092592591</v>
      </c>
      <c r="F327" t="s">
        <v>13</v>
      </c>
      <c r="G327">
        <f>G326</f>
        <v>-121</v>
      </c>
      <c r="H327">
        <f>Table146[[#This Row],[RSSI]]</f>
        <v>-121</v>
      </c>
      <c r="I327">
        <f>I326</f>
        <v>-7.7</v>
      </c>
      <c r="L327">
        <f>390+2*(Table257[[#This Row],[min value (corrected)]]-27)</f>
        <v>400</v>
      </c>
      <c r="M327">
        <f>MINUTE(Table257[[#This Row],[Corrected time]])</f>
        <v>32</v>
      </c>
      <c r="N327" s="1">
        <v>0.52257130787037032</v>
      </c>
      <c r="O327" s="1">
        <f>Table257[[#This Row],[Time]]-TIME(0,0,3)</f>
        <v>0.52253658564814809</v>
      </c>
      <c r="P327" t="s">
        <v>9</v>
      </c>
      <c r="Q327">
        <v>-121</v>
      </c>
      <c r="R327">
        <f>Table257[[#This Row],[RSSI]]</f>
        <v>-121</v>
      </c>
      <c r="S327">
        <v>-8</v>
      </c>
    </row>
    <row r="328" spans="2:19" x14ac:dyDescent="0.25">
      <c r="B328">
        <f>390+2*(Table146[[#This Row],[min value (corrected)]]-37)</f>
        <v>400</v>
      </c>
      <c r="C328">
        <f>MINUTE(Table146[[#This Row],[Corrected time]])</f>
        <v>42</v>
      </c>
      <c r="D328" s="1">
        <v>0.48795240740740747</v>
      </c>
      <c r="E328" s="1">
        <f>Table146[[#This Row],[Time]]-TIME(0,0,1)</f>
        <v>0.48794083333333338</v>
      </c>
      <c r="F328" t="s">
        <v>9</v>
      </c>
      <c r="G328">
        <v>-122</v>
      </c>
      <c r="H328">
        <f>Table146[[#This Row],[RSSI]]</f>
        <v>-122</v>
      </c>
      <c r="I328">
        <v>-8</v>
      </c>
      <c r="L328">
        <f>390+2*(Table257[[#This Row],[min value (corrected)]]-27)</f>
        <v>400</v>
      </c>
      <c r="M328">
        <f>MINUTE(Table257[[#This Row],[Corrected time]])</f>
        <v>32</v>
      </c>
      <c r="N328" s="1">
        <v>0.52258432870370375</v>
      </c>
      <c r="O328" s="1">
        <f>Table257[[#This Row],[Time]]-TIME(0,0,3)</f>
        <v>0.52254960648148152</v>
      </c>
      <c r="P328" t="s">
        <v>9</v>
      </c>
      <c r="Q328">
        <v>-121</v>
      </c>
      <c r="R328">
        <f>Table257[[#This Row],[RSSI]]</f>
        <v>-121</v>
      </c>
      <c r="S328">
        <v>-7.5</v>
      </c>
    </row>
    <row r="329" spans="2:19" x14ac:dyDescent="0.25">
      <c r="B329">
        <f>390+2*(Table146[[#This Row],[min value (corrected)]]-37)</f>
        <v>400</v>
      </c>
      <c r="C329">
        <f>MINUTE(Table146[[#This Row],[Corrected time]])</f>
        <v>42</v>
      </c>
      <c r="D329" s="1">
        <v>0.48796543981481483</v>
      </c>
      <c r="E329" s="1">
        <f>Table146[[#This Row],[Time]]-TIME(0,0,1)</f>
        <v>0.48795386574074073</v>
      </c>
      <c r="F329" t="s">
        <v>9</v>
      </c>
      <c r="G329">
        <v>-121</v>
      </c>
      <c r="H329">
        <f>Table146[[#This Row],[RSSI]]</f>
        <v>-121</v>
      </c>
      <c r="I329">
        <v>-8.3000000000000007</v>
      </c>
      <c r="L329">
        <f>390+2*(Table257[[#This Row],[min value (corrected)]]-27)</f>
        <v>400</v>
      </c>
      <c r="M329">
        <f>MINUTE(Table257[[#This Row],[Corrected time]])</f>
        <v>32</v>
      </c>
      <c r="N329" s="1">
        <v>0.52259737268518514</v>
      </c>
      <c r="O329" s="1">
        <f>Table257[[#This Row],[Time]]-TIME(0,0,3)</f>
        <v>0.52256265046296291</v>
      </c>
      <c r="P329" t="s">
        <v>9</v>
      </c>
      <c r="Q329">
        <v>-121</v>
      </c>
      <c r="R329">
        <f>Table257[[#This Row],[RSSI]]</f>
        <v>-121</v>
      </c>
      <c r="S329">
        <v>-7.5</v>
      </c>
    </row>
    <row r="330" spans="2:19" x14ac:dyDescent="0.25">
      <c r="B330">
        <f>390+2*(Table146[[#This Row],[min value (corrected)]]-37)</f>
        <v>400</v>
      </c>
      <c r="C330">
        <f>MINUTE(Table146[[#This Row],[Corrected time]])</f>
        <v>42</v>
      </c>
      <c r="D330" s="1">
        <v>0.48797846064814815</v>
      </c>
      <c r="E330" s="1">
        <f>Table146[[#This Row],[Time]]-TIME(0,0,1)</f>
        <v>0.48796688657407405</v>
      </c>
      <c r="F330" t="s">
        <v>9</v>
      </c>
      <c r="G330">
        <v>-121</v>
      </c>
      <c r="H330">
        <f>Table146[[#This Row],[RSSI]]</f>
        <v>-121</v>
      </c>
      <c r="I330">
        <v>-7.7</v>
      </c>
      <c r="L330">
        <f>390+2*(Table257[[#This Row],[min value (corrected)]]-27)</f>
        <v>400</v>
      </c>
      <c r="M330">
        <f>MINUTE(Table257[[#This Row],[Corrected time]])</f>
        <v>32</v>
      </c>
      <c r="N330" s="1">
        <v>0.5226104050925926</v>
      </c>
      <c r="O330" s="1">
        <f>Table257[[#This Row],[Time]]-TIME(0,0,3)</f>
        <v>0.52257568287037037</v>
      </c>
      <c r="P330" t="s">
        <v>9</v>
      </c>
      <c r="Q330">
        <v>-121</v>
      </c>
      <c r="R330">
        <f>Table257[[#This Row],[RSSI]]</f>
        <v>-121</v>
      </c>
      <c r="S330">
        <v>-7.7</v>
      </c>
    </row>
    <row r="331" spans="2:19" x14ac:dyDescent="0.25">
      <c r="B331">
        <f>390+2*(Table146[[#This Row],[min value (corrected)]]-37)</f>
        <v>400</v>
      </c>
      <c r="C331">
        <f>MINUTE(Table146[[#This Row],[Corrected time]])</f>
        <v>42</v>
      </c>
      <c r="D331" s="1">
        <v>0.4879914930555555</v>
      </c>
      <c r="E331" s="1">
        <f>Table146[[#This Row],[Time]]-TIME(0,0,1)</f>
        <v>0.48797991898148141</v>
      </c>
      <c r="F331" t="s">
        <v>9</v>
      </c>
      <c r="G331">
        <v>-122</v>
      </c>
      <c r="H331">
        <f>Table146[[#This Row],[RSSI]]</f>
        <v>-122</v>
      </c>
      <c r="I331">
        <v>-7.7</v>
      </c>
      <c r="L331">
        <f>390+2*(Table257[[#This Row],[min value (corrected)]]-27)</f>
        <v>400</v>
      </c>
      <c r="M331">
        <f>MINUTE(Table257[[#This Row],[Corrected time]])</f>
        <v>32</v>
      </c>
      <c r="N331" s="1">
        <v>0.52262343750000007</v>
      </c>
      <c r="O331" s="1">
        <f>Table257[[#This Row],[Time]]-TIME(0,0,3)</f>
        <v>0.52258871527777784</v>
      </c>
      <c r="P331" t="s">
        <v>9</v>
      </c>
      <c r="Q331">
        <v>-121</v>
      </c>
      <c r="R331">
        <f>Table257[[#This Row],[RSSI]]</f>
        <v>-121</v>
      </c>
      <c r="S331">
        <v>-7.5</v>
      </c>
    </row>
    <row r="332" spans="2:19" x14ac:dyDescent="0.25">
      <c r="B332">
        <f>390+2*(Table146[[#This Row],[min value (corrected)]]-37)</f>
        <v>400</v>
      </c>
      <c r="C332">
        <f>MINUTE(Table146[[#This Row],[Corrected time]])</f>
        <v>42</v>
      </c>
      <c r="D332" s="1">
        <v>0.488004537037037</v>
      </c>
      <c r="E332" s="1">
        <f>Table146[[#This Row],[Time]]-TIME(0,0,1)</f>
        <v>0.48799296296296291</v>
      </c>
      <c r="F332" t="s">
        <v>9</v>
      </c>
      <c r="G332">
        <v>-122</v>
      </c>
      <c r="H332">
        <f>Table146[[#This Row],[RSSI]]</f>
        <v>-122</v>
      </c>
      <c r="I332">
        <v>-8</v>
      </c>
      <c r="L332">
        <f>390+2*(Table257[[#This Row],[min value (corrected)]]-27)</f>
        <v>400</v>
      </c>
      <c r="M332">
        <f>MINUTE(Table257[[#This Row],[Corrected time]])</f>
        <v>32</v>
      </c>
      <c r="N332" s="1">
        <v>0.52263646990740742</v>
      </c>
      <c r="O332" s="1">
        <f>Table257[[#This Row],[Time]]-TIME(0,0,3)</f>
        <v>0.52260174768518519</v>
      </c>
      <c r="P332" t="s">
        <v>9</v>
      </c>
      <c r="Q332">
        <v>-121</v>
      </c>
      <c r="R332">
        <f>Table257[[#This Row],[RSSI]]</f>
        <v>-121</v>
      </c>
      <c r="S332">
        <v>-7.2</v>
      </c>
    </row>
    <row r="333" spans="2:19" x14ac:dyDescent="0.25">
      <c r="B333">
        <f>390+2*(Table146[[#This Row],[min value (corrected)]]-37)</f>
        <v>400</v>
      </c>
      <c r="C333">
        <f>MINUTE(Table146[[#This Row],[Corrected time]])</f>
        <v>42</v>
      </c>
      <c r="D333" s="1">
        <v>0.48801756944444447</v>
      </c>
      <c r="E333" s="1">
        <f>Table146[[#This Row],[Time]]-TIME(0,0,1)</f>
        <v>0.48800599537037037</v>
      </c>
      <c r="F333" t="s">
        <v>9</v>
      </c>
      <c r="G333">
        <v>-121</v>
      </c>
      <c r="H333">
        <f>Table146[[#This Row],[RSSI]]</f>
        <v>-121</v>
      </c>
      <c r="I333">
        <v>-7.7</v>
      </c>
      <c r="L333">
        <f>390+2*(Table257[[#This Row],[min value (corrected)]]-27)</f>
        <v>400</v>
      </c>
      <c r="M333">
        <f>MINUTE(Table257[[#This Row],[Corrected time]])</f>
        <v>32</v>
      </c>
      <c r="N333" s="1">
        <v>0.52264950231481488</v>
      </c>
      <c r="O333" s="1">
        <f>Table257[[#This Row],[Time]]-TIME(0,0,3)</f>
        <v>0.52261478009259266</v>
      </c>
      <c r="P333" t="s">
        <v>9</v>
      </c>
      <c r="Q333">
        <v>-121</v>
      </c>
      <c r="R333">
        <f>Table257[[#This Row],[RSSI]]</f>
        <v>-121</v>
      </c>
      <c r="S333">
        <v>-7.2</v>
      </c>
    </row>
    <row r="334" spans="2:19" x14ac:dyDescent="0.25">
      <c r="B334">
        <f>390+2*(Table146[[#This Row],[min value (corrected)]]-37)</f>
        <v>400</v>
      </c>
      <c r="C334">
        <f>MINUTE(Table146[[#This Row],[Corrected time]])</f>
        <v>42</v>
      </c>
      <c r="D334" s="1">
        <v>0.48803060185185182</v>
      </c>
      <c r="E334" s="1">
        <f>Table146[[#This Row],[Time]]-TIME(0,0,1)</f>
        <v>0.48801902777777773</v>
      </c>
      <c r="F334" t="s">
        <v>9</v>
      </c>
      <c r="G334">
        <v>-122</v>
      </c>
      <c r="H334">
        <f>Table146[[#This Row],[RSSI]]</f>
        <v>-122</v>
      </c>
      <c r="I334">
        <v>-8</v>
      </c>
      <c r="L334">
        <f>390+2*(Table257[[#This Row],[min value (corrected)]]-27)</f>
        <v>400</v>
      </c>
      <c r="M334">
        <f>MINUTE(Table257[[#This Row],[Corrected time]])</f>
        <v>32</v>
      </c>
      <c r="N334" s="1">
        <v>0.52266252314814821</v>
      </c>
      <c r="O334" s="1">
        <f>Table257[[#This Row],[Time]]-TIME(0,0,3)</f>
        <v>0.52262780092592598</v>
      </c>
      <c r="P334" t="s">
        <v>9</v>
      </c>
      <c r="Q334">
        <v>-121</v>
      </c>
      <c r="R334">
        <f>Table257[[#This Row],[RSSI]]</f>
        <v>-121</v>
      </c>
      <c r="S334">
        <v>-7.5</v>
      </c>
    </row>
    <row r="335" spans="2:19" x14ac:dyDescent="0.25">
      <c r="B335">
        <f>390+2*(Table146[[#This Row],[min value (corrected)]]-37)</f>
        <v>400</v>
      </c>
      <c r="C335">
        <f>MINUTE(Table146[[#This Row],[Corrected time]])</f>
        <v>42</v>
      </c>
      <c r="D335" s="1">
        <v>0.48804363425925928</v>
      </c>
      <c r="E335" s="1">
        <f>Table146[[#This Row],[Time]]-TIME(0,0,1)</f>
        <v>0.48803206018518519</v>
      </c>
      <c r="F335" t="s">
        <v>9</v>
      </c>
      <c r="G335">
        <v>-121</v>
      </c>
      <c r="H335">
        <f>Table146[[#This Row],[RSSI]]</f>
        <v>-121</v>
      </c>
      <c r="I335">
        <v>-7.5</v>
      </c>
      <c r="L335">
        <f>390+2*(Table257[[#This Row],[min value (corrected)]]-27)</f>
        <v>400</v>
      </c>
      <c r="M335">
        <f>MINUTE(Table257[[#This Row],[Corrected time]])</f>
        <v>32</v>
      </c>
      <c r="N335" s="1">
        <v>0.5226755671296297</v>
      </c>
      <c r="O335" s="1">
        <f>Table257[[#This Row],[Time]]-TIME(0,0,3)</f>
        <v>0.52264084490740748</v>
      </c>
      <c r="P335" t="s">
        <v>9</v>
      </c>
      <c r="Q335">
        <v>-122</v>
      </c>
      <c r="R335">
        <f>Table257[[#This Row],[RSSI]]</f>
        <v>-122</v>
      </c>
      <c r="S335">
        <v>-8</v>
      </c>
    </row>
    <row r="336" spans="2:19" x14ac:dyDescent="0.25">
      <c r="B336">
        <f>390+2*(Table146[[#This Row],[min value (corrected)]]-37)</f>
        <v>400</v>
      </c>
      <c r="C336">
        <f>MINUTE(Table146[[#This Row],[Corrected time]])</f>
        <v>42</v>
      </c>
      <c r="D336" s="1">
        <v>0.48805665509259261</v>
      </c>
      <c r="E336" s="1">
        <f>Table146[[#This Row],[Time]]-TIME(0,0,1)</f>
        <v>0.48804508101851851</v>
      </c>
      <c r="F336" t="s">
        <v>9</v>
      </c>
      <c r="G336">
        <v>-119</v>
      </c>
      <c r="H336">
        <f>Table146[[#This Row],[RSSI]]</f>
        <v>-119</v>
      </c>
      <c r="I336">
        <v>-7.5</v>
      </c>
      <c r="L336">
        <f>390+2*(Table257[[#This Row],[min value (corrected)]]-27)</f>
        <v>400</v>
      </c>
      <c r="M336">
        <f>MINUTE(Table257[[#This Row],[Corrected time]])</f>
        <v>32</v>
      </c>
      <c r="N336" s="1">
        <v>0.52268859953703706</v>
      </c>
      <c r="O336" s="1">
        <f>Table257[[#This Row],[Time]]-TIME(0,0,3)</f>
        <v>0.52265387731481483</v>
      </c>
      <c r="P336" t="s">
        <v>9</v>
      </c>
      <c r="Q336">
        <v>-121</v>
      </c>
      <c r="R336">
        <f>Table257[[#This Row],[RSSI]]</f>
        <v>-121</v>
      </c>
      <c r="S336">
        <v>-7.7</v>
      </c>
    </row>
    <row r="337" spans="2:19" x14ac:dyDescent="0.25">
      <c r="B337">
        <f>390+2*(Table146[[#This Row],[min value (corrected)]]-37)</f>
        <v>400</v>
      </c>
      <c r="C337">
        <f>MINUTE(Table146[[#This Row],[Corrected time]])</f>
        <v>42</v>
      </c>
      <c r="D337" s="1">
        <v>0.4880696990740741</v>
      </c>
      <c r="E337" s="1">
        <f>Table146[[#This Row],[Time]]-TIME(0,0,1)</f>
        <v>0.48805812500000001</v>
      </c>
      <c r="F337" t="s">
        <v>9</v>
      </c>
      <c r="G337">
        <v>-121</v>
      </c>
      <c r="H337">
        <f>Table146[[#This Row],[RSSI]]</f>
        <v>-121</v>
      </c>
      <c r="I337">
        <v>-7.7</v>
      </c>
      <c r="L337">
        <f>390+2*(Table257[[#This Row],[min value (corrected)]]-27)</f>
        <v>400</v>
      </c>
      <c r="M337">
        <f>MINUTE(Table257[[#This Row],[Corrected time]])</f>
        <v>32</v>
      </c>
      <c r="N337" s="1">
        <v>0.52270163194444452</v>
      </c>
      <c r="O337" s="1">
        <f>Table257[[#This Row],[Time]]-TIME(0,0,3)</f>
        <v>0.52266690972222229</v>
      </c>
      <c r="P337" t="s">
        <v>9</v>
      </c>
      <c r="Q337">
        <v>-121</v>
      </c>
      <c r="R337">
        <f>Table257[[#This Row],[RSSI]]</f>
        <v>-121</v>
      </c>
      <c r="S337">
        <v>-7.5</v>
      </c>
    </row>
    <row r="338" spans="2:19" x14ac:dyDescent="0.25">
      <c r="B338">
        <f>390+2*(Table146[[#This Row],[min value (corrected)]]-37)</f>
        <v>400</v>
      </c>
      <c r="C338">
        <f>MINUTE(Table146[[#This Row],[Corrected time]])</f>
        <v>42</v>
      </c>
      <c r="D338" s="1">
        <v>0.48808273148148146</v>
      </c>
      <c r="E338" s="1">
        <f>Table146[[#This Row],[Time]]-TIME(0,0,1)</f>
        <v>0.48807115740740736</v>
      </c>
      <c r="F338" t="s">
        <v>9</v>
      </c>
      <c r="G338">
        <v>-122</v>
      </c>
      <c r="H338">
        <f>Table146[[#This Row],[RSSI]]</f>
        <v>-122</v>
      </c>
      <c r="I338">
        <v>-7.7</v>
      </c>
      <c r="L338">
        <f>390+2*(Table257[[#This Row],[min value (corrected)]]-27)</f>
        <v>400</v>
      </c>
      <c r="M338">
        <f>MINUTE(Table257[[#This Row],[Corrected time]])</f>
        <v>32</v>
      </c>
      <c r="N338" s="1">
        <v>0.52271466435185188</v>
      </c>
      <c r="O338" s="1">
        <f>Table257[[#This Row],[Time]]-TIME(0,0,3)</f>
        <v>0.52267994212962965</v>
      </c>
      <c r="P338" t="s">
        <v>9</v>
      </c>
      <c r="Q338">
        <v>-122</v>
      </c>
      <c r="R338">
        <f>Table257[[#This Row],[RSSI]]</f>
        <v>-122</v>
      </c>
      <c r="S338">
        <v>-8</v>
      </c>
    </row>
    <row r="339" spans="2:19" x14ac:dyDescent="0.25">
      <c r="B339">
        <f>390+2*(Table146[[#This Row],[min value (corrected)]]-37)</f>
        <v>400</v>
      </c>
      <c r="C339">
        <f>MINUTE(Table146[[#This Row],[Corrected time]])</f>
        <v>42</v>
      </c>
      <c r="D339" s="1">
        <v>0.48809575231481478</v>
      </c>
      <c r="E339" s="1">
        <f>Table146[[#This Row],[Time]]-TIME(0,0,1)</f>
        <v>0.48808417824074068</v>
      </c>
      <c r="F339" t="s">
        <v>9</v>
      </c>
      <c r="G339">
        <v>-121</v>
      </c>
      <c r="H339">
        <f>Table146[[#This Row],[RSSI]]</f>
        <v>-121</v>
      </c>
      <c r="I339">
        <v>-7.5</v>
      </c>
      <c r="L339">
        <f>390+2*(Table257[[#This Row],[min value (corrected)]]-27)</f>
        <v>400</v>
      </c>
      <c r="M339">
        <f>MINUTE(Table257[[#This Row],[Corrected time]])</f>
        <v>32</v>
      </c>
      <c r="N339" s="1">
        <v>0.5227276851851852</v>
      </c>
      <c r="O339" s="1">
        <f>Table257[[#This Row],[Time]]-TIME(0,0,3)</f>
        <v>0.52269296296296297</v>
      </c>
      <c r="P339" t="s">
        <v>9</v>
      </c>
      <c r="Q339">
        <v>-121</v>
      </c>
      <c r="R339">
        <f>Table257[[#This Row],[RSSI]]</f>
        <v>-121</v>
      </c>
      <c r="S339">
        <v>-8</v>
      </c>
    </row>
    <row r="340" spans="2:19" x14ac:dyDescent="0.25">
      <c r="B340">
        <f>390+2*(Table146[[#This Row],[min value (corrected)]]-37)</f>
        <v>400</v>
      </c>
      <c r="C340">
        <f>MINUTE(Table146[[#This Row],[Corrected time]])</f>
        <v>42</v>
      </c>
      <c r="D340" s="1">
        <v>0.48810878472222224</v>
      </c>
      <c r="E340" s="1">
        <f>Table146[[#This Row],[Time]]-TIME(0,0,1)</f>
        <v>0.48809721064814815</v>
      </c>
      <c r="F340" t="s">
        <v>9</v>
      </c>
      <c r="G340">
        <v>-122</v>
      </c>
      <c r="H340">
        <f>Table146[[#This Row],[RSSI]]</f>
        <v>-122</v>
      </c>
      <c r="I340">
        <v>-8.3000000000000007</v>
      </c>
      <c r="L340">
        <f>390+2*(Table257[[#This Row],[min value (corrected)]]-27)</f>
        <v>400</v>
      </c>
      <c r="M340">
        <f>MINUTE(Table257[[#This Row],[Corrected time]])</f>
        <v>32</v>
      </c>
      <c r="N340" s="1">
        <v>0.5227407291666667</v>
      </c>
      <c r="O340" s="1">
        <f>Table257[[#This Row],[Time]]-TIME(0,0,3)</f>
        <v>0.52270600694444447</v>
      </c>
      <c r="P340" t="s">
        <v>9</v>
      </c>
      <c r="Q340">
        <v>-121</v>
      </c>
      <c r="R340">
        <f>Table257[[#This Row],[RSSI]]</f>
        <v>-121</v>
      </c>
      <c r="S340">
        <v>-8</v>
      </c>
    </row>
    <row r="341" spans="2:19" x14ac:dyDescent="0.25">
      <c r="B341">
        <f>390+2*(Table146[[#This Row],[min value (corrected)]]-37)</f>
        <v>400</v>
      </c>
      <c r="C341">
        <f>MINUTE(Table146[[#This Row],[Corrected time]])</f>
        <v>42</v>
      </c>
      <c r="D341" s="1">
        <v>0.48812182870370374</v>
      </c>
      <c r="E341" s="1">
        <f>Table146[[#This Row],[Time]]-TIME(0,0,1)</f>
        <v>0.48811025462962965</v>
      </c>
      <c r="F341" t="s">
        <v>9</v>
      </c>
      <c r="G341">
        <v>-121</v>
      </c>
      <c r="H341">
        <f>Table146[[#This Row],[RSSI]]</f>
        <v>-121</v>
      </c>
      <c r="I341">
        <v>-7.5</v>
      </c>
      <c r="L341">
        <f>390+2*(Table257[[#This Row],[min value (corrected)]]-27)</f>
        <v>400</v>
      </c>
      <c r="M341">
        <f>MINUTE(Table257[[#This Row],[Corrected time]])</f>
        <v>32</v>
      </c>
      <c r="N341" s="1">
        <v>0.52275376157407416</v>
      </c>
      <c r="O341" s="1">
        <f>Table257[[#This Row],[Time]]-TIME(0,0,3)</f>
        <v>0.52271903935185193</v>
      </c>
      <c r="P341" t="s">
        <v>9</v>
      </c>
      <c r="Q341">
        <v>-121</v>
      </c>
      <c r="R341">
        <f>Table257[[#This Row],[RSSI]]</f>
        <v>-121</v>
      </c>
      <c r="S341">
        <v>-7.7</v>
      </c>
    </row>
    <row r="342" spans="2:19" x14ac:dyDescent="0.25">
      <c r="B342">
        <f>390+2*(Table146[[#This Row],[min value (corrected)]]-37)</f>
        <v>400</v>
      </c>
      <c r="C342">
        <f>MINUTE(Table146[[#This Row],[Corrected time]])</f>
        <v>42</v>
      </c>
      <c r="D342" s="1">
        <v>0.4881348611111111</v>
      </c>
      <c r="E342" s="1">
        <f>Table146[[#This Row],[Time]]-TIME(0,0,1)</f>
        <v>0.488123287037037</v>
      </c>
      <c r="F342" t="s">
        <v>9</v>
      </c>
      <c r="G342">
        <v>-121</v>
      </c>
      <c r="H342">
        <f>Table146[[#This Row],[RSSI]]</f>
        <v>-121</v>
      </c>
      <c r="I342">
        <v>-7.5</v>
      </c>
      <c r="L342">
        <f>390+2*(Table257[[#This Row],[min value (corrected)]]-27)</f>
        <v>400</v>
      </c>
      <c r="M342">
        <f>MINUTE(Table257[[#This Row],[Corrected time]])</f>
        <v>32</v>
      </c>
      <c r="N342" s="1">
        <v>0.52276679398148151</v>
      </c>
      <c r="O342" s="1">
        <f>Table257[[#This Row],[Time]]-TIME(0,0,3)</f>
        <v>0.52273207175925929</v>
      </c>
      <c r="P342" t="s">
        <v>9</v>
      </c>
      <c r="Q342">
        <v>-121</v>
      </c>
      <c r="R342">
        <f>Table257[[#This Row],[RSSI]]</f>
        <v>-121</v>
      </c>
      <c r="S342">
        <v>-7.5</v>
      </c>
    </row>
    <row r="343" spans="2:19" x14ac:dyDescent="0.25">
      <c r="B343">
        <f>390+2*(Table146[[#This Row],[min value (corrected)]]-37)</f>
        <v>400</v>
      </c>
      <c r="C343">
        <f>MINUTE(Table146[[#This Row],[Corrected time]])</f>
        <v>42</v>
      </c>
      <c r="D343" s="1">
        <v>0.48814789351851856</v>
      </c>
      <c r="E343" s="1">
        <f>Table146[[#This Row],[Time]]-TIME(0,0,1)</f>
        <v>0.48813631944444447</v>
      </c>
      <c r="F343" t="s">
        <v>13</v>
      </c>
      <c r="G343">
        <f>G342</f>
        <v>-121</v>
      </c>
      <c r="H343">
        <f>Table146[[#This Row],[RSSI]]</f>
        <v>-121</v>
      </c>
      <c r="I343">
        <f>I342</f>
        <v>-7.5</v>
      </c>
      <c r="L343">
        <f>390+2*(Table257[[#This Row],[min value (corrected)]]-27)</f>
        <v>400</v>
      </c>
      <c r="M343">
        <f>MINUTE(Table257[[#This Row],[Corrected time]])</f>
        <v>32</v>
      </c>
      <c r="N343" s="1">
        <v>0.52277982638888898</v>
      </c>
      <c r="O343" s="1">
        <f>Table257[[#This Row],[Time]]-TIME(0,0,3)</f>
        <v>0.52274510416666675</v>
      </c>
      <c r="P343" t="s">
        <v>9</v>
      </c>
      <c r="Q343">
        <v>-121</v>
      </c>
      <c r="R343">
        <f>Table257[[#This Row],[RSSI]]</f>
        <v>-121</v>
      </c>
      <c r="S343">
        <v>-7.5</v>
      </c>
    </row>
    <row r="344" spans="2:19" x14ac:dyDescent="0.25">
      <c r="B344">
        <f>390+2*(Table146[[#This Row],[min value (corrected)]]-37)</f>
        <v>400</v>
      </c>
      <c r="C344">
        <f>MINUTE(Table146[[#This Row],[Corrected time]])</f>
        <v>42</v>
      </c>
      <c r="D344" s="1">
        <v>0.48816092592592591</v>
      </c>
      <c r="E344" s="1">
        <f>Table146[[#This Row],[Time]]-TIME(0,0,1)</f>
        <v>0.48814935185185182</v>
      </c>
      <c r="F344" t="s">
        <v>9</v>
      </c>
      <c r="G344">
        <v>-122</v>
      </c>
      <c r="H344">
        <f>Table146[[#This Row],[RSSI]]</f>
        <v>-122</v>
      </c>
      <c r="I344">
        <v>-8.3000000000000007</v>
      </c>
      <c r="L344">
        <f>390+2*(Table257[[#This Row],[min value (corrected)]]-27)</f>
        <v>400</v>
      </c>
      <c r="M344">
        <f>MINUTE(Table257[[#This Row],[Corrected time]])</f>
        <v>32</v>
      </c>
      <c r="N344" s="1">
        <v>0.52279285879629633</v>
      </c>
      <c r="O344" s="1">
        <f>Table257[[#This Row],[Time]]-TIME(0,0,3)</f>
        <v>0.52275813657407411</v>
      </c>
      <c r="P344" t="s">
        <v>9</v>
      </c>
      <c r="Q344">
        <v>-121</v>
      </c>
      <c r="R344">
        <f>Table257[[#This Row],[RSSI]]</f>
        <v>-121</v>
      </c>
      <c r="S344">
        <v>-7.7</v>
      </c>
    </row>
    <row r="345" spans="2:19" x14ac:dyDescent="0.25">
      <c r="B345">
        <f>390+2*(Table146[[#This Row],[min value (corrected)]]-37)</f>
        <v>400</v>
      </c>
      <c r="C345">
        <f>MINUTE(Table146[[#This Row],[Corrected time]])</f>
        <v>42</v>
      </c>
      <c r="D345" s="1">
        <v>0.48817395833333338</v>
      </c>
      <c r="E345" s="1">
        <f>Table146[[#This Row],[Time]]-TIME(0,0,1)</f>
        <v>0.48816238425925929</v>
      </c>
      <c r="F345" t="s">
        <v>9</v>
      </c>
      <c r="G345">
        <v>-122</v>
      </c>
      <c r="H345">
        <f>Table146[[#This Row],[RSSI]]</f>
        <v>-122</v>
      </c>
      <c r="I345">
        <v>-8.3000000000000007</v>
      </c>
      <c r="L345">
        <f>390+2*(Table257[[#This Row],[min value (corrected)]]-27)</f>
        <v>400</v>
      </c>
      <c r="M345">
        <f>MINUTE(Table257[[#This Row],[Corrected time]])</f>
        <v>32</v>
      </c>
      <c r="N345" s="1">
        <v>0.52280589120370369</v>
      </c>
      <c r="O345" s="1">
        <f>Table257[[#This Row],[Time]]-TIME(0,0,3)</f>
        <v>0.52277116898148146</v>
      </c>
      <c r="P345" t="s">
        <v>9</v>
      </c>
      <c r="Q345">
        <v>-122</v>
      </c>
      <c r="R345">
        <f>Table257[[#This Row],[RSSI]]</f>
        <v>-122</v>
      </c>
      <c r="S345">
        <v>-8.5</v>
      </c>
    </row>
    <row r="346" spans="2:19" x14ac:dyDescent="0.25">
      <c r="B346">
        <f>390+2*(Table146[[#This Row],[min value (corrected)]]-37)</f>
        <v>400</v>
      </c>
      <c r="C346">
        <f>MINUTE(Table146[[#This Row],[Corrected time]])</f>
        <v>42</v>
      </c>
      <c r="D346" s="1">
        <v>0.48818699074074073</v>
      </c>
      <c r="E346" s="1">
        <f>Table146[[#This Row],[Time]]-TIME(0,0,1)</f>
        <v>0.48817541666666664</v>
      </c>
      <c r="F346" t="s">
        <v>9</v>
      </c>
      <c r="G346">
        <v>-121</v>
      </c>
      <c r="H346">
        <f>Table146[[#This Row],[RSSI]]</f>
        <v>-121</v>
      </c>
      <c r="I346">
        <v>-7.7</v>
      </c>
      <c r="L346">
        <f>390+2*(Table257[[#This Row],[min value (corrected)]]-27)</f>
        <v>400</v>
      </c>
      <c r="M346">
        <f>MINUTE(Table257[[#This Row],[Corrected time]])</f>
        <v>32</v>
      </c>
      <c r="N346" s="1">
        <v>0.52281892361111115</v>
      </c>
      <c r="O346" s="1">
        <f>Table257[[#This Row],[Time]]-TIME(0,0,3)</f>
        <v>0.52278420138888892</v>
      </c>
      <c r="P346" t="s">
        <v>9</v>
      </c>
      <c r="Q346">
        <v>-121</v>
      </c>
      <c r="R346">
        <f>Table257[[#This Row],[RSSI]]</f>
        <v>-121</v>
      </c>
      <c r="S346">
        <v>-8</v>
      </c>
    </row>
    <row r="347" spans="2:19" x14ac:dyDescent="0.25">
      <c r="B347">
        <f>390+2*(Table146[[#This Row],[min value (corrected)]]-37)</f>
        <v>400</v>
      </c>
      <c r="C347">
        <f>MINUTE(Table146[[#This Row],[Corrected time]])</f>
        <v>42</v>
      </c>
      <c r="D347" s="1">
        <v>0.4882000231481482</v>
      </c>
      <c r="E347" s="1">
        <f>Table146[[#This Row],[Time]]-TIME(0,0,1)</f>
        <v>0.4881884490740741</v>
      </c>
      <c r="F347" t="s">
        <v>9</v>
      </c>
      <c r="G347">
        <v>-121</v>
      </c>
      <c r="H347">
        <f>Table146[[#This Row],[RSSI]]</f>
        <v>-121</v>
      </c>
      <c r="I347">
        <v>-7.7</v>
      </c>
      <c r="L347">
        <f>390+2*(Table257[[#This Row],[min value (corrected)]]-27)</f>
        <v>400</v>
      </c>
      <c r="M347">
        <f>MINUTE(Table257[[#This Row],[Corrected time]])</f>
        <v>32</v>
      </c>
      <c r="N347" s="1">
        <v>0.52283194444444447</v>
      </c>
      <c r="O347" s="1">
        <f>Table257[[#This Row],[Time]]-TIME(0,0,3)</f>
        <v>0.52279722222222225</v>
      </c>
      <c r="P347" t="s">
        <v>9</v>
      </c>
      <c r="Q347">
        <v>-121</v>
      </c>
      <c r="R347">
        <f>Table257[[#This Row],[RSSI]]</f>
        <v>-121</v>
      </c>
      <c r="S347">
        <v>-7</v>
      </c>
    </row>
    <row r="348" spans="2:19" x14ac:dyDescent="0.25">
      <c r="B348">
        <f>390+2*(Table146[[#This Row],[min value (corrected)]]-37)</f>
        <v>402</v>
      </c>
      <c r="C348">
        <f>MINUTE(Table146[[#This Row],[Corrected time]])</f>
        <v>43</v>
      </c>
      <c r="D348" s="1">
        <v>0.48821304398148152</v>
      </c>
      <c r="E348" s="1">
        <f>Table146[[#This Row],[Time]]-TIME(0,0,1)</f>
        <v>0.48820146990740743</v>
      </c>
      <c r="F348" t="s">
        <v>9</v>
      </c>
      <c r="G348">
        <v>-122</v>
      </c>
      <c r="H348">
        <f>Table146[[#This Row],[RSSI]]</f>
        <v>-122</v>
      </c>
      <c r="I348">
        <v>-8.5</v>
      </c>
      <c r="L348">
        <f>390+2*(Table257[[#This Row],[min value (corrected)]]-27)</f>
        <v>400</v>
      </c>
      <c r="M348">
        <f>MINUTE(Table257[[#This Row],[Corrected time]])</f>
        <v>32</v>
      </c>
      <c r="N348" s="1">
        <v>0.52284498842592597</v>
      </c>
      <c r="O348" s="1">
        <f>Table257[[#This Row],[Time]]-TIME(0,0,3)</f>
        <v>0.52281026620370374</v>
      </c>
      <c r="P348" t="s">
        <v>9</v>
      </c>
      <c r="Q348">
        <v>-121</v>
      </c>
      <c r="R348">
        <f>Table257[[#This Row],[RSSI]]</f>
        <v>-121</v>
      </c>
      <c r="S348">
        <v>-7.5</v>
      </c>
    </row>
    <row r="349" spans="2:19" x14ac:dyDescent="0.25">
      <c r="B349">
        <f>390+2*(Table146[[#This Row],[min value (corrected)]]-37)</f>
        <v>402</v>
      </c>
      <c r="C349">
        <f>MINUTE(Table146[[#This Row],[Corrected time]])</f>
        <v>43</v>
      </c>
      <c r="D349" s="1">
        <v>0.48822608796296291</v>
      </c>
      <c r="E349" s="1">
        <f>Table146[[#This Row],[Time]]-TIME(0,0,1)</f>
        <v>0.48821451388888881</v>
      </c>
      <c r="F349" t="s">
        <v>9</v>
      </c>
      <c r="G349">
        <v>-122</v>
      </c>
      <c r="H349">
        <f>Table146[[#This Row],[RSSI]]</f>
        <v>-122</v>
      </c>
      <c r="I349">
        <v>-8.5</v>
      </c>
      <c r="L349">
        <f>390+2*(Table257[[#This Row],[min value (corrected)]]-27)</f>
        <v>400</v>
      </c>
      <c r="M349">
        <f>MINUTE(Table257[[#This Row],[Corrected time]])</f>
        <v>32</v>
      </c>
      <c r="N349" s="1">
        <v>0.52285802083333333</v>
      </c>
      <c r="O349" s="1">
        <f>Table257[[#This Row],[Time]]-TIME(0,0,3)</f>
        <v>0.5228232986111111</v>
      </c>
      <c r="P349" t="s">
        <v>9</v>
      </c>
      <c r="Q349">
        <v>-121</v>
      </c>
      <c r="R349">
        <f>Table257[[#This Row],[RSSI]]</f>
        <v>-121</v>
      </c>
      <c r="S349">
        <v>-7.2</v>
      </c>
    </row>
    <row r="350" spans="2:19" x14ac:dyDescent="0.25">
      <c r="B350">
        <f>390+2*(Table146[[#This Row],[min value (corrected)]]-37)</f>
        <v>402</v>
      </c>
      <c r="C350">
        <f>MINUTE(Table146[[#This Row],[Corrected time]])</f>
        <v>43</v>
      </c>
      <c r="D350" s="1">
        <v>0.48823910879629628</v>
      </c>
      <c r="E350" s="1">
        <f>Table146[[#This Row],[Time]]-TIME(0,0,1)</f>
        <v>0.48822753472222219</v>
      </c>
      <c r="F350" t="s">
        <v>27</v>
      </c>
      <c r="G350">
        <f>G349</f>
        <v>-122</v>
      </c>
      <c r="H350">
        <f>Table146[[#This Row],[RSSI]]</f>
        <v>-122</v>
      </c>
      <c r="I350">
        <f>I349</f>
        <v>-8.5</v>
      </c>
      <c r="L350">
        <f>390+2*(Table257[[#This Row],[min value (corrected)]]-27)</f>
        <v>400</v>
      </c>
      <c r="M350">
        <f>MINUTE(Table257[[#This Row],[Corrected time]])</f>
        <v>32</v>
      </c>
      <c r="N350" s="1">
        <v>0.52287105324074079</v>
      </c>
      <c r="O350" s="1">
        <f>Table257[[#This Row],[Time]]-TIME(0,0,3)</f>
        <v>0.52283633101851856</v>
      </c>
      <c r="P350" t="s">
        <v>9</v>
      </c>
      <c r="Q350">
        <v>-121</v>
      </c>
      <c r="R350">
        <f>Table257[[#This Row],[RSSI]]</f>
        <v>-121</v>
      </c>
      <c r="S350">
        <v>-7.7</v>
      </c>
    </row>
    <row r="351" spans="2:19" x14ac:dyDescent="0.25">
      <c r="B351">
        <f>390+2*(Table146[[#This Row],[min value (corrected)]]-37)</f>
        <v>402</v>
      </c>
      <c r="C351">
        <f>MINUTE(Table146[[#This Row],[Corrected time]])</f>
        <v>43</v>
      </c>
      <c r="D351" s="1">
        <v>0.48825215277777773</v>
      </c>
      <c r="E351" s="1">
        <f>Table146[[#This Row],[Time]]-TIME(0,0,1)</f>
        <v>0.48824057870370363</v>
      </c>
      <c r="F351" t="s">
        <v>9</v>
      </c>
      <c r="G351">
        <v>-122</v>
      </c>
      <c r="H351">
        <f>Table146[[#This Row],[RSSI]]</f>
        <v>-122</v>
      </c>
      <c r="I351">
        <v>-8.8000000000000007</v>
      </c>
      <c r="L351">
        <f>390+2*(Table257[[#This Row],[min value (corrected)]]-27)</f>
        <v>400</v>
      </c>
      <c r="M351">
        <f>MINUTE(Table257[[#This Row],[Corrected time]])</f>
        <v>32</v>
      </c>
      <c r="N351" s="1">
        <v>0.52288408564814814</v>
      </c>
      <c r="O351" s="1">
        <f>Table257[[#This Row],[Time]]-TIME(0,0,3)</f>
        <v>0.52284936342592592</v>
      </c>
      <c r="P351" t="s">
        <v>9</v>
      </c>
      <c r="Q351">
        <v>-121</v>
      </c>
      <c r="R351">
        <f>Table257[[#This Row],[RSSI]]</f>
        <v>-121</v>
      </c>
      <c r="S351">
        <v>-8</v>
      </c>
    </row>
    <row r="352" spans="2:19" x14ac:dyDescent="0.25">
      <c r="B352">
        <f>390+2*(Table146[[#This Row],[min value (corrected)]]-37)</f>
        <v>402</v>
      </c>
      <c r="C352">
        <f>MINUTE(Table146[[#This Row],[Corrected time]])</f>
        <v>43</v>
      </c>
      <c r="D352" s="1">
        <v>0.4882651736111111</v>
      </c>
      <c r="E352" s="1">
        <f>Table146[[#This Row],[Time]]-TIME(0,0,1)</f>
        <v>0.48825359953703701</v>
      </c>
      <c r="F352" t="s">
        <v>9</v>
      </c>
      <c r="G352">
        <v>-122</v>
      </c>
      <c r="H352">
        <f>Table146[[#This Row],[RSSI]]</f>
        <v>-122</v>
      </c>
      <c r="I352">
        <v>-7.7</v>
      </c>
      <c r="L352">
        <f>390+2*(Table257[[#This Row],[min value (corrected)]]-27)</f>
        <v>400</v>
      </c>
      <c r="M352">
        <f>MINUTE(Table257[[#This Row],[Corrected time]])</f>
        <v>32</v>
      </c>
      <c r="N352" s="1">
        <v>0.52289711805555561</v>
      </c>
      <c r="O352" s="1">
        <f>Table257[[#This Row],[Time]]-TIME(0,0,3)</f>
        <v>0.52286239583333338</v>
      </c>
      <c r="P352" t="s">
        <v>9</v>
      </c>
      <c r="Q352">
        <v>-121</v>
      </c>
      <c r="R352">
        <f>Table257[[#This Row],[RSSI]]</f>
        <v>-121</v>
      </c>
      <c r="S352">
        <v>-7.2</v>
      </c>
    </row>
    <row r="353" spans="2:19" x14ac:dyDescent="0.25">
      <c r="B353">
        <f>390+2*(Table146[[#This Row],[min value (corrected)]]-37)</f>
        <v>402</v>
      </c>
      <c r="C353">
        <f>MINUTE(Table146[[#This Row],[Corrected time]])</f>
        <v>43</v>
      </c>
      <c r="D353" s="1">
        <v>0.48827821759259254</v>
      </c>
      <c r="E353" s="1">
        <f>Table146[[#This Row],[Time]]-TIME(0,0,1)</f>
        <v>0.48826664351851845</v>
      </c>
      <c r="F353" t="s">
        <v>9</v>
      </c>
      <c r="G353">
        <v>-122</v>
      </c>
      <c r="H353">
        <f>Table146[[#This Row],[RSSI]]</f>
        <v>-122</v>
      </c>
      <c r="I353">
        <v>-8.3000000000000007</v>
      </c>
      <c r="L353">
        <f>390+2*(Table257[[#This Row],[min value (corrected)]]-27)</f>
        <v>400</v>
      </c>
      <c r="M353">
        <f>MINUTE(Table257[[#This Row],[Corrected time]])</f>
        <v>32</v>
      </c>
      <c r="N353" s="1">
        <v>0.52291015046296296</v>
      </c>
      <c r="O353" s="1">
        <f>Table257[[#This Row],[Time]]-TIME(0,0,3)</f>
        <v>0.52287542824074074</v>
      </c>
      <c r="P353" t="s">
        <v>9</v>
      </c>
      <c r="Q353">
        <v>-121</v>
      </c>
      <c r="R353">
        <f>Table257[[#This Row],[RSSI]]</f>
        <v>-121</v>
      </c>
      <c r="S353">
        <v>-7.2</v>
      </c>
    </row>
    <row r="354" spans="2:19" x14ac:dyDescent="0.25">
      <c r="B354">
        <f>390+2*(Table146[[#This Row],[min value (corrected)]]-37)</f>
        <v>402</v>
      </c>
      <c r="C354">
        <f>MINUTE(Table146[[#This Row],[Corrected time]])</f>
        <v>43</v>
      </c>
      <c r="D354" s="1">
        <v>0.48829123842592592</v>
      </c>
      <c r="E354" s="1">
        <f>Table146[[#This Row],[Time]]-TIME(0,0,1)</f>
        <v>0.48827966435185183</v>
      </c>
      <c r="F354" t="s">
        <v>9</v>
      </c>
      <c r="G354">
        <v>-122</v>
      </c>
      <c r="H354">
        <f>Table146[[#This Row],[RSSI]]</f>
        <v>-122</v>
      </c>
      <c r="I354">
        <v>-8.5</v>
      </c>
      <c r="L354">
        <f>390+2*(Table257[[#This Row],[min value (corrected)]]-27)</f>
        <v>400</v>
      </c>
      <c r="M354">
        <f>MINUTE(Table257[[#This Row],[Corrected time]])</f>
        <v>32</v>
      </c>
      <c r="N354" s="1">
        <v>0.52292318287037043</v>
      </c>
      <c r="O354" s="1">
        <f>Table257[[#This Row],[Time]]-TIME(0,0,3)</f>
        <v>0.5228884606481482</v>
      </c>
      <c r="P354" t="s">
        <v>9</v>
      </c>
      <c r="Q354">
        <v>-121</v>
      </c>
      <c r="R354">
        <f>Table257[[#This Row],[RSSI]]</f>
        <v>-121</v>
      </c>
      <c r="S354">
        <v>-7.2</v>
      </c>
    </row>
    <row r="355" spans="2:19" x14ac:dyDescent="0.25">
      <c r="B355">
        <f>390+2*(Table146[[#This Row],[min value (corrected)]]-37)</f>
        <v>402</v>
      </c>
      <c r="C355">
        <f>MINUTE(Table146[[#This Row],[Corrected time]])</f>
        <v>43</v>
      </c>
      <c r="D355" s="1">
        <v>0.48830428240740736</v>
      </c>
      <c r="E355" s="1">
        <f>Table146[[#This Row],[Time]]-TIME(0,0,1)</f>
        <v>0.48829270833333327</v>
      </c>
      <c r="F355" t="s">
        <v>9</v>
      </c>
      <c r="G355">
        <v>-122</v>
      </c>
      <c r="H355">
        <f>Table146[[#This Row],[RSSI]]</f>
        <v>-122</v>
      </c>
      <c r="I355">
        <v>-8</v>
      </c>
      <c r="L355">
        <f>390+2*(Table257[[#This Row],[min value (corrected)]]-27)</f>
        <v>400</v>
      </c>
      <c r="M355">
        <f>MINUTE(Table257[[#This Row],[Corrected time]])</f>
        <v>32</v>
      </c>
      <c r="N355" s="1">
        <v>0.52293621527777778</v>
      </c>
      <c r="O355" s="1">
        <f>Table257[[#This Row],[Time]]-TIME(0,0,3)</f>
        <v>0.52290149305555556</v>
      </c>
      <c r="P355" t="s">
        <v>9</v>
      </c>
      <c r="Q355">
        <v>-121</v>
      </c>
      <c r="R355">
        <f>Table257[[#This Row],[RSSI]]</f>
        <v>-121</v>
      </c>
      <c r="S355">
        <v>-7.2</v>
      </c>
    </row>
    <row r="356" spans="2:19" x14ac:dyDescent="0.25">
      <c r="B356">
        <f>390+2*(Table146[[#This Row],[min value (corrected)]]-37)</f>
        <v>402</v>
      </c>
      <c r="C356">
        <f>MINUTE(Table146[[#This Row],[Corrected time]])</f>
        <v>43</v>
      </c>
      <c r="D356" s="1">
        <v>0.48831731481481483</v>
      </c>
      <c r="E356" s="1">
        <f>Table146[[#This Row],[Time]]-TIME(0,0,1)</f>
        <v>0.48830574074074073</v>
      </c>
      <c r="F356" t="s">
        <v>13</v>
      </c>
      <c r="G356">
        <f>G355</f>
        <v>-122</v>
      </c>
      <c r="H356">
        <f>Table146[[#This Row],[RSSI]]</f>
        <v>-122</v>
      </c>
      <c r="I356">
        <f>I355</f>
        <v>-8</v>
      </c>
      <c r="L356">
        <f>390+2*(Table257[[#This Row],[min value (corrected)]]-27)</f>
        <v>402</v>
      </c>
      <c r="M356">
        <f>MINUTE(Table257[[#This Row],[Corrected time]])</f>
        <v>33</v>
      </c>
      <c r="N356" s="1">
        <v>0.52294924768518525</v>
      </c>
      <c r="O356" s="1">
        <f>Table257[[#This Row],[Time]]-TIME(0,0,3)</f>
        <v>0.52291452546296302</v>
      </c>
      <c r="P356" t="s">
        <v>9</v>
      </c>
      <c r="Q356">
        <v>-122</v>
      </c>
      <c r="R356">
        <f>Table257[[#This Row],[RSSI]]</f>
        <v>-122</v>
      </c>
      <c r="S356">
        <v>-8.3000000000000007</v>
      </c>
    </row>
    <row r="357" spans="2:19" x14ac:dyDescent="0.25">
      <c r="B357">
        <f>390+2*(Table146[[#This Row],[min value (corrected)]]-37)</f>
        <v>402</v>
      </c>
      <c r="C357">
        <f>MINUTE(Table146[[#This Row],[Corrected time]])</f>
        <v>43</v>
      </c>
      <c r="D357" s="1">
        <v>0.48833034722222218</v>
      </c>
      <c r="E357" s="1">
        <f>Table146[[#This Row],[Time]]-TIME(0,0,1)</f>
        <v>0.48831877314814809</v>
      </c>
      <c r="F357" t="s">
        <v>9</v>
      </c>
      <c r="G357">
        <v>-121</v>
      </c>
      <c r="H357">
        <f>Table146[[#This Row],[RSSI]]</f>
        <v>-121</v>
      </c>
      <c r="I357">
        <v>-8</v>
      </c>
      <c r="L357">
        <f>390+2*(Table257[[#This Row],[min value (corrected)]]-27)</f>
        <v>402</v>
      </c>
      <c r="M357">
        <f>MINUTE(Table257[[#This Row],[Corrected time]])</f>
        <v>33</v>
      </c>
      <c r="N357" s="1">
        <v>0.5229622800925926</v>
      </c>
      <c r="O357" s="1">
        <f>Table257[[#This Row],[Time]]-TIME(0,0,3)</f>
        <v>0.52292755787037037</v>
      </c>
      <c r="P357" t="s">
        <v>9</v>
      </c>
      <c r="Q357">
        <v>-122</v>
      </c>
      <c r="R357">
        <f>Table257[[#This Row],[RSSI]]</f>
        <v>-122</v>
      </c>
      <c r="S357">
        <v>-8.5</v>
      </c>
    </row>
    <row r="358" spans="2:19" x14ac:dyDescent="0.25">
      <c r="B358">
        <f>390+2*(Table146[[#This Row],[min value (corrected)]]-37)</f>
        <v>402</v>
      </c>
      <c r="C358">
        <f>MINUTE(Table146[[#This Row],[Corrected time]])</f>
        <v>43</v>
      </c>
      <c r="D358" s="1">
        <v>0.48834337962962965</v>
      </c>
      <c r="E358" s="1">
        <f>Table146[[#This Row],[Time]]-TIME(0,0,1)</f>
        <v>0.48833180555555555</v>
      </c>
      <c r="F358" t="s">
        <v>9</v>
      </c>
      <c r="G358">
        <v>-122</v>
      </c>
      <c r="H358">
        <f>Table146[[#This Row],[RSSI]]</f>
        <v>-122</v>
      </c>
      <c r="I358">
        <v>-9</v>
      </c>
      <c r="L358">
        <f>390+2*(Table257[[#This Row],[min value (corrected)]]-27)</f>
        <v>402</v>
      </c>
      <c r="M358">
        <f>MINUTE(Table257[[#This Row],[Corrected time]])</f>
        <v>33</v>
      </c>
      <c r="N358" s="1">
        <v>0.52297531250000007</v>
      </c>
      <c r="O358" s="1">
        <f>Table257[[#This Row],[Time]]-TIME(0,0,3)</f>
        <v>0.52294059027777784</v>
      </c>
      <c r="P358" t="s">
        <v>9</v>
      </c>
      <c r="Q358">
        <v>-121</v>
      </c>
      <c r="R358">
        <f>Table257[[#This Row],[RSSI]]</f>
        <v>-121</v>
      </c>
      <c r="S358">
        <v>-8</v>
      </c>
    </row>
    <row r="359" spans="2:19" x14ac:dyDescent="0.25">
      <c r="B359">
        <f>390+2*(Table146[[#This Row],[min value (corrected)]]-37)</f>
        <v>402</v>
      </c>
      <c r="C359">
        <f>MINUTE(Table146[[#This Row],[Corrected time]])</f>
        <v>43</v>
      </c>
      <c r="D359" s="1">
        <v>0.488356412037037</v>
      </c>
      <c r="E359" s="1">
        <f>Table146[[#This Row],[Time]]-TIME(0,0,1)</f>
        <v>0.48834483796296291</v>
      </c>
      <c r="F359" t="s">
        <v>9</v>
      </c>
      <c r="G359">
        <v>-121</v>
      </c>
      <c r="H359">
        <f>Table146[[#This Row],[RSSI]]</f>
        <v>-121</v>
      </c>
      <c r="I359">
        <v>-7.5</v>
      </c>
      <c r="L359">
        <f>390+2*(Table257[[#This Row],[min value (corrected)]]-27)</f>
        <v>402</v>
      </c>
      <c r="M359">
        <f>MINUTE(Table257[[#This Row],[Corrected time]])</f>
        <v>33</v>
      </c>
      <c r="N359" s="1">
        <v>0.52298834490740742</v>
      </c>
      <c r="O359" s="1">
        <f>Table257[[#This Row],[Time]]-TIME(0,0,3)</f>
        <v>0.52295362268518519</v>
      </c>
      <c r="P359" t="s">
        <v>13</v>
      </c>
      <c r="Q359">
        <f>Q358</f>
        <v>-121</v>
      </c>
      <c r="R359">
        <f>Table257[[#This Row],[RSSI]]</f>
        <v>-121</v>
      </c>
      <c r="S359">
        <f>S358</f>
        <v>-8</v>
      </c>
    </row>
    <row r="360" spans="2:19" x14ac:dyDescent="0.25">
      <c r="B360">
        <f>390+2*(Table146[[#This Row],[min value (corrected)]]-37)</f>
        <v>402</v>
      </c>
      <c r="C360">
        <f>MINUTE(Table146[[#This Row],[Corrected time]])</f>
        <v>43</v>
      </c>
      <c r="D360" s="1">
        <v>0.48836944444444447</v>
      </c>
      <c r="E360" s="1">
        <f>Table146[[#This Row],[Time]]-TIME(0,0,1)</f>
        <v>0.48835787037037037</v>
      </c>
      <c r="F360" t="s">
        <v>9</v>
      </c>
      <c r="G360">
        <v>-121</v>
      </c>
      <c r="H360">
        <f>Table146[[#This Row],[RSSI]]</f>
        <v>-121</v>
      </c>
      <c r="I360">
        <v>-7.7</v>
      </c>
      <c r="L360">
        <f>390+2*(Table257[[#This Row],[min value (corrected)]]-27)</f>
        <v>402</v>
      </c>
      <c r="M360">
        <f>MINUTE(Table257[[#This Row],[Corrected time]])</f>
        <v>33</v>
      </c>
      <c r="N360" s="1">
        <v>0.52300136574074074</v>
      </c>
      <c r="O360" s="1">
        <f>Table257[[#This Row],[Time]]-TIME(0,0,3)</f>
        <v>0.52296664351851851</v>
      </c>
      <c r="P360" t="s">
        <v>9</v>
      </c>
      <c r="Q360">
        <v>-121</v>
      </c>
      <c r="R360">
        <f>Table257[[#This Row],[RSSI]]</f>
        <v>-121</v>
      </c>
      <c r="S360">
        <v>-7.7</v>
      </c>
    </row>
    <row r="361" spans="2:19" x14ac:dyDescent="0.25">
      <c r="B361">
        <f>390+2*(Table146[[#This Row],[min value (corrected)]]-37)</f>
        <v>402</v>
      </c>
      <c r="C361">
        <f>MINUTE(Table146[[#This Row],[Corrected time]])</f>
        <v>43</v>
      </c>
      <c r="D361" s="1">
        <v>0.48838247685185182</v>
      </c>
      <c r="E361" s="1">
        <f>Table146[[#This Row],[Time]]-TIME(0,0,1)</f>
        <v>0.48837090277777773</v>
      </c>
      <c r="F361" t="s">
        <v>9</v>
      </c>
      <c r="G361">
        <v>-122</v>
      </c>
      <c r="H361">
        <f>Table146[[#This Row],[RSSI]]</f>
        <v>-122</v>
      </c>
      <c r="I361">
        <v>-8.3000000000000007</v>
      </c>
      <c r="L361">
        <f>390+2*(Table257[[#This Row],[min value (corrected)]]-27)</f>
        <v>402</v>
      </c>
      <c r="M361">
        <f>MINUTE(Table257[[#This Row],[Corrected time]])</f>
        <v>33</v>
      </c>
      <c r="N361" s="1">
        <v>0.52301440972222224</v>
      </c>
      <c r="O361" s="1">
        <f>Table257[[#This Row],[Time]]-TIME(0,0,3)</f>
        <v>0.52297968750000001</v>
      </c>
      <c r="P361" t="s">
        <v>9</v>
      </c>
      <c r="Q361">
        <v>-122</v>
      </c>
      <c r="R361">
        <f>Table257[[#This Row],[RSSI]]</f>
        <v>-122</v>
      </c>
      <c r="S361">
        <v>-8</v>
      </c>
    </row>
    <row r="362" spans="2:19" x14ac:dyDescent="0.25">
      <c r="B362">
        <f>390+2*(Table146[[#This Row],[min value (corrected)]]-37)</f>
        <v>402</v>
      </c>
      <c r="C362">
        <f>MINUTE(Table146[[#This Row],[Corrected time]])</f>
        <v>43</v>
      </c>
      <c r="D362" s="1">
        <v>0.48839548611111117</v>
      </c>
      <c r="E362" s="1">
        <f>Table146[[#This Row],[Time]]-TIME(0,0,1)</f>
        <v>0.48838391203703707</v>
      </c>
      <c r="F362" t="s">
        <v>13</v>
      </c>
      <c r="G362">
        <f>G361</f>
        <v>-122</v>
      </c>
      <c r="H362">
        <f>Table146[[#This Row],[RSSI]]</f>
        <v>-122</v>
      </c>
      <c r="I362">
        <f>I361</f>
        <v>-8.3000000000000007</v>
      </c>
      <c r="L362">
        <f>390+2*(Table257[[#This Row],[min value (corrected)]]-27)</f>
        <v>402</v>
      </c>
      <c r="M362">
        <f>MINUTE(Table257[[#This Row],[Corrected time]])</f>
        <v>33</v>
      </c>
      <c r="N362" s="1">
        <v>0.5230274421296297</v>
      </c>
      <c r="O362" s="1">
        <f>Table257[[#This Row],[Time]]-TIME(0,0,3)</f>
        <v>0.52299271990740748</v>
      </c>
      <c r="P362" t="s">
        <v>9</v>
      </c>
      <c r="Q362">
        <v>-121</v>
      </c>
      <c r="R362">
        <f>Table257[[#This Row],[RSSI]]</f>
        <v>-121</v>
      </c>
      <c r="S362">
        <v>-7.7</v>
      </c>
    </row>
    <row r="363" spans="2:19" x14ac:dyDescent="0.25">
      <c r="B363">
        <f>390+2*(Table146[[#This Row],[min value (corrected)]]-37)</f>
        <v>402</v>
      </c>
      <c r="C363">
        <f>MINUTE(Table146[[#This Row],[Corrected time]])</f>
        <v>43</v>
      </c>
      <c r="D363" s="1">
        <v>0.48840851851851852</v>
      </c>
      <c r="E363" s="1">
        <f>Table146[[#This Row],[Time]]-TIME(0,0,1)</f>
        <v>0.48839694444444443</v>
      </c>
      <c r="F363" t="s">
        <v>9</v>
      </c>
      <c r="G363">
        <v>-121</v>
      </c>
      <c r="H363">
        <f>Table146[[#This Row],[RSSI]]</f>
        <v>-121</v>
      </c>
      <c r="I363">
        <v>-8</v>
      </c>
      <c r="L363">
        <f>390+2*(Table257[[#This Row],[min value (corrected)]]-27)</f>
        <v>402</v>
      </c>
      <c r="M363">
        <f>MINUTE(Table257[[#This Row],[Corrected time]])</f>
        <v>33</v>
      </c>
      <c r="N363" s="1">
        <v>0.52304046296296303</v>
      </c>
      <c r="O363" s="1">
        <f>Table257[[#This Row],[Time]]-TIME(0,0,3)</f>
        <v>0.5230057407407408</v>
      </c>
      <c r="P363" t="s">
        <v>9</v>
      </c>
      <c r="Q363">
        <v>-122</v>
      </c>
      <c r="R363">
        <f>Table257[[#This Row],[RSSI]]</f>
        <v>-122</v>
      </c>
      <c r="S363">
        <v>-8.3000000000000007</v>
      </c>
    </row>
    <row r="364" spans="2:19" x14ac:dyDescent="0.25">
      <c r="B364">
        <f>390+2*(Table146[[#This Row],[min value (corrected)]]-37)</f>
        <v>402</v>
      </c>
      <c r="C364">
        <f>MINUTE(Table146[[#This Row],[Corrected time]])</f>
        <v>43</v>
      </c>
      <c r="D364" s="1">
        <v>0.48842157407407411</v>
      </c>
      <c r="E364" s="1">
        <f>Table146[[#This Row],[Time]]-TIME(0,0,1)</f>
        <v>0.48841000000000001</v>
      </c>
      <c r="F364" t="s">
        <v>9</v>
      </c>
      <c r="G364">
        <v>-121</v>
      </c>
      <c r="H364">
        <f>Table146[[#This Row],[RSSI]]</f>
        <v>-121</v>
      </c>
      <c r="I364">
        <v>-7.7</v>
      </c>
      <c r="L364">
        <f>390+2*(Table257[[#This Row],[min value (corrected)]]-27)</f>
        <v>402</v>
      </c>
      <c r="M364">
        <f>MINUTE(Table257[[#This Row],[Corrected time]])</f>
        <v>33</v>
      </c>
      <c r="N364" s="1">
        <v>0.52305349537037038</v>
      </c>
      <c r="O364" s="1">
        <f>Table257[[#This Row],[Time]]-TIME(0,0,3)</f>
        <v>0.52301877314814815</v>
      </c>
      <c r="P364" t="s">
        <v>9</v>
      </c>
      <c r="Q364">
        <v>-121</v>
      </c>
      <c r="R364">
        <f>Table257[[#This Row],[RSSI]]</f>
        <v>-121</v>
      </c>
      <c r="S364">
        <v>-7.5</v>
      </c>
    </row>
    <row r="365" spans="2:19" x14ac:dyDescent="0.25">
      <c r="B365">
        <f>390+2*(Table146[[#This Row],[min value (corrected)]]-37)</f>
        <v>402</v>
      </c>
      <c r="C365">
        <f>MINUTE(Table146[[#This Row],[Corrected time]])</f>
        <v>43</v>
      </c>
      <c r="D365" s="1">
        <v>0.48843459490740743</v>
      </c>
      <c r="E365" s="1">
        <f>Table146[[#This Row],[Time]]-TIME(0,0,1)</f>
        <v>0.48842302083333333</v>
      </c>
      <c r="F365" t="s">
        <v>9</v>
      </c>
      <c r="G365">
        <v>-121</v>
      </c>
      <c r="H365">
        <f>Table146[[#This Row],[RSSI]]</f>
        <v>-121</v>
      </c>
      <c r="I365">
        <v>-8.3000000000000007</v>
      </c>
      <c r="L365">
        <f>390+2*(Table257[[#This Row],[min value (corrected)]]-27)</f>
        <v>402</v>
      </c>
      <c r="M365">
        <f>MINUTE(Table257[[#This Row],[Corrected time]])</f>
        <v>33</v>
      </c>
      <c r="N365" s="1">
        <v>0.52306653935185188</v>
      </c>
      <c r="O365" s="1">
        <f>Table257[[#This Row],[Time]]-TIME(0,0,3)</f>
        <v>0.52303181712962965</v>
      </c>
      <c r="P365" t="s">
        <v>9</v>
      </c>
      <c r="Q365">
        <v>-121</v>
      </c>
      <c r="R365">
        <f>Table257[[#This Row],[RSSI]]</f>
        <v>-121</v>
      </c>
      <c r="S365">
        <v>-7.5</v>
      </c>
    </row>
    <row r="366" spans="2:19" x14ac:dyDescent="0.25">
      <c r="B366">
        <f>390+2*(Table146[[#This Row],[min value (corrected)]]-37)</f>
        <v>402</v>
      </c>
      <c r="C366">
        <f>MINUTE(Table146[[#This Row],[Corrected time]])</f>
        <v>43</v>
      </c>
      <c r="D366" s="1">
        <v>0.48844763888888887</v>
      </c>
      <c r="E366" s="1">
        <f>Table146[[#This Row],[Time]]-TIME(0,0,1)</f>
        <v>0.48843606481481477</v>
      </c>
      <c r="F366" t="s">
        <v>9</v>
      </c>
      <c r="G366">
        <v>-122</v>
      </c>
      <c r="H366">
        <f>Table146[[#This Row],[RSSI]]</f>
        <v>-122</v>
      </c>
      <c r="I366">
        <v>-7.7</v>
      </c>
      <c r="L366">
        <f>390+2*(Table257[[#This Row],[min value (corrected)]]-27)</f>
        <v>402</v>
      </c>
      <c r="M366">
        <f>MINUTE(Table257[[#This Row],[Corrected time]])</f>
        <v>33</v>
      </c>
      <c r="N366" s="1">
        <v>0.52307957175925923</v>
      </c>
      <c r="O366" s="1">
        <f>Table257[[#This Row],[Time]]-TIME(0,0,3)</f>
        <v>0.523044849537037</v>
      </c>
      <c r="P366" t="s">
        <v>9</v>
      </c>
      <c r="Q366">
        <v>-121</v>
      </c>
      <c r="R366">
        <f>Table257[[#This Row],[RSSI]]</f>
        <v>-121</v>
      </c>
      <c r="S366">
        <v>-7</v>
      </c>
    </row>
    <row r="367" spans="2:19" x14ac:dyDescent="0.25">
      <c r="B367">
        <f>390+2*(Table146[[#This Row],[min value (corrected)]]-37)</f>
        <v>402</v>
      </c>
      <c r="C367">
        <f>MINUTE(Table146[[#This Row],[Corrected time]])</f>
        <v>43</v>
      </c>
      <c r="D367" s="1">
        <v>0.48846067129629628</v>
      </c>
      <c r="E367" s="1">
        <f>Table146[[#This Row],[Time]]-TIME(0,0,1)</f>
        <v>0.48844909722222218</v>
      </c>
      <c r="F367" t="s">
        <v>9</v>
      </c>
      <c r="G367">
        <v>-122</v>
      </c>
      <c r="H367">
        <f>Table146[[#This Row],[RSSI]]</f>
        <v>-122</v>
      </c>
      <c r="I367">
        <v>-8.3000000000000007</v>
      </c>
      <c r="L367">
        <f>390+2*(Table257[[#This Row],[min value (corrected)]]-27)</f>
        <v>402</v>
      </c>
      <c r="M367">
        <f>MINUTE(Table257[[#This Row],[Corrected time]])</f>
        <v>33</v>
      </c>
      <c r="N367" s="1">
        <v>0.52309259259259255</v>
      </c>
      <c r="O367" s="1">
        <f>Table257[[#This Row],[Time]]-TIME(0,0,3)</f>
        <v>0.52305787037037033</v>
      </c>
      <c r="P367" t="s">
        <v>9</v>
      </c>
      <c r="Q367">
        <v>-122</v>
      </c>
      <c r="R367">
        <f>Table257[[#This Row],[RSSI]]</f>
        <v>-122</v>
      </c>
      <c r="S367">
        <v>-8</v>
      </c>
    </row>
    <row r="368" spans="2:19" x14ac:dyDescent="0.25">
      <c r="B368">
        <f>390+2*(Table146[[#This Row],[min value (corrected)]]-37)</f>
        <v>402</v>
      </c>
      <c r="C368">
        <f>MINUTE(Table146[[#This Row],[Corrected time]])</f>
        <v>43</v>
      </c>
      <c r="D368" s="1">
        <v>0.48847370370370369</v>
      </c>
      <c r="E368" s="1">
        <f>Table146[[#This Row],[Time]]-TIME(0,0,1)</f>
        <v>0.48846212962962959</v>
      </c>
      <c r="F368" t="s">
        <v>9</v>
      </c>
      <c r="G368">
        <v>-121</v>
      </c>
      <c r="H368">
        <f>Table146[[#This Row],[RSSI]]</f>
        <v>-121</v>
      </c>
      <c r="I368">
        <v>-7.7</v>
      </c>
      <c r="L368">
        <f>390+2*(Table257[[#This Row],[min value (corrected)]]-27)</f>
        <v>402</v>
      </c>
      <c r="M368">
        <f>MINUTE(Table257[[#This Row],[Corrected time]])</f>
        <v>33</v>
      </c>
      <c r="N368" s="1">
        <v>0.52310563657407405</v>
      </c>
      <c r="O368" s="1">
        <f>Table257[[#This Row],[Time]]-TIME(0,0,3)</f>
        <v>0.52307091435185182</v>
      </c>
      <c r="P368" t="s">
        <v>9</v>
      </c>
      <c r="Q368">
        <v>-121</v>
      </c>
      <c r="R368">
        <f>Table257[[#This Row],[RSSI]]</f>
        <v>-121</v>
      </c>
      <c r="S368">
        <v>-7.5</v>
      </c>
    </row>
    <row r="369" spans="2:19" x14ac:dyDescent="0.25">
      <c r="B369">
        <f>390+2*(Table146[[#This Row],[min value (corrected)]]-37)</f>
        <v>402</v>
      </c>
      <c r="C369">
        <f>MINUTE(Table146[[#This Row],[Corrected time]])</f>
        <v>43</v>
      </c>
      <c r="D369" s="1">
        <v>0.4884867361111111</v>
      </c>
      <c r="E369" s="1">
        <f>Table146[[#This Row],[Time]]-TIME(0,0,1)</f>
        <v>0.488475162037037</v>
      </c>
      <c r="F369" t="s">
        <v>9</v>
      </c>
      <c r="G369">
        <v>-122</v>
      </c>
      <c r="H369">
        <f>Table146[[#This Row],[RSSI]]</f>
        <v>-122</v>
      </c>
      <c r="I369">
        <v>-7.7</v>
      </c>
      <c r="L369">
        <f>390+2*(Table257[[#This Row],[min value (corrected)]]-27)</f>
        <v>402</v>
      </c>
      <c r="M369">
        <f>MINUTE(Table257[[#This Row],[Corrected time]])</f>
        <v>33</v>
      </c>
      <c r="N369" s="1">
        <v>0.52311866898148152</v>
      </c>
      <c r="O369" s="1">
        <f>Table257[[#This Row],[Time]]-TIME(0,0,3)</f>
        <v>0.52308394675925929</v>
      </c>
      <c r="P369" t="s">
        <v>9</v>
      </c>
      <c r="Q369">
        <v>-121</v>
      </c>
      <c r="R369">
        <f>Table257[[#This Row],[RSSI]]</f>
        <v>-121</v>
      </c>
      <c r="S369">
        <v>-7.7</v>
      </c>
    </row>
    <row r="370" spans="2:19" x14ac:dyDescent="0.25">
      <c r="B370">
        <f>390+2*(Table146[[#This Row],[min value (corrected)]]-37)</f>
        <v>402</v>
      </c>
      <c r="C370">
        <f>MINUTE(Table146[[#This Row],[Corrected time]])</f>
        <v>43</v>
      </c>
      <c r="D370" s="1">
        <v>0.48849975694444447</v>
      </c>
      <c r="E370" s="1">
        <f>Table146[[#This Row],[Time]]-TIME(0,0,1)</f>
        <v>0.48848818287037038</v>
      </c>
      <c r="F370" t="s">
        <v>9</v>
      </c>
      <c r="G370">
        <v>-122</v>
      </c>
      <c r="H370">
        <f>Table146[[#This Row],[RSSI]]</f>
        <v>-122</v>
      </c>
      <c r="I370">
        <v>-8.8000000000000007</v>
      </c>
      <c r="L370">
        <f>390+2*(Table257[[#This Row],[min value (corrected)]]-27)</f>
        <v>402</v>
      </c>
      <c r="M370">
        <f>MINUTE(Table257[[#This Row],[Corrected time]])</f>
        <v>33</v>
      </c>
      <c r="N370" s="1">
        <v>0.52313170138888887</v>
      </c>
      <c r="O370" s="1">
        <f>Table257[[#This Row],[Time]]-TIME(0,0,3)</f>
        <v>0.52309697916666664</v>
      </c>
      <c r="P370" t="s">
        <v>9</v>
      </c>
      <c r="Q370">
        <v>-122</v>
      </c>
      <c r="R370">
        <f>Table257[[#This Row],[RSSI]]</f>
        <v>-122</v>
      </c>
      <c r="S370">
        <v>-8.3000000000000007</v>
      </c>
    </row>
    <row r="371" spans="2:19" x14ac:dyDescent="0.25">
      <c r="B371">
        <f>390+2*(Table146[[#This Row],[min value (corrected)]]-37)</f>
        <v>402</v>
      </c>
      <c r="C371">
        <f>MINUTE(Table146[[#This Row],[Corrected time]])</f>
        <v>43</v>
      </c>
      <c r="D371" s="1">
        <v>0.48851278935185183</v>
      </c>
      <c r="E371" s="1">
        <f>Table146[[#This Row],[Time]]-TIME(0,0,1)</f>
        <v>0.48850121527777773</v>
      </c>
      <c r="F371" t="s">
        <v>9</v>
      </c>
      <c r="G371">
        <v>-121</v>
      </c>
      <c r="H371">
        <f>Table146[[#This Row],[RSSI]]</f>
        <v>-121</v>
      </c>
      <c r="I371">
        <v>-7.5</v>
      </c>
      <c r="L371">
        <f>390+2*(Table257[[#This Row],[min value (corrected)]]-27)</f>
        <v>402</v>
      </c>
      <c r="M371">
        <f>MINUTE(Table257[[#This Row],[Corrected time]])</f>
        <v>33</v>
      </c>
      <c r="N371" s="1">
        <v>0.52314473379629634</v>
      </c>
      <c r="O371" s="1">
        <f>Table257[[#This Row],[Time]]-TIME(0,0,3)</f>
        <v>0.52311001157407411</v>
      </c>
      <c r="P371" t="s">
        <v>9</v>
      </c>
      <c r="Q371">
        <v>-121</v>
      </c>
      <c r="R371">
        <f>Table257[[#This Row],[RSSI]]</f>
        <v>-121</v>
      </c>
      <c r="S371">
        <v>-7.5</v>
      </c>
    </row>
    <row r="372" spans="2:19" x14ac:dyDescent="0.25">
      <c r="B372">
        <f>390+2*(Table146[[#This Row],[min value (corrected)]]-37)</f>
        <v>402</v>
      </c>
      <c r="C372">
        <f>MINUTE(Table146[[#This Row],[Corrected time]])</f>
        <v>43</v>
      </c>
      <c r="D372" s="1">
        <v>0.48852581018518515</v>
      </c>
      <c r="E372" s="1">
        <f>Table146[[#This Row],[Time]]-TIME(0,0,1)</f>
        <v>0.48851423611111106</v>
      </c>
      <c r="F372" t="s">
        <v>9</v>
      </c>
      <c r="G372">
        <v>-122</v>
      </c>
      <c r="H372">
        <f>Table146[[#This Row],[RSSI]]</f>
        <v>-122</v>
      </c>
      <c r="I372">
        <v>-8.3000000000000007</v>
      </c>
      <c r="L372">
        <f>390+2*(Table257[[#This Row],[min value (corrected)]]-27)</f>
        <v>402</v>
      </c>
      <c r="M372">
        <f>MINUTE(Table257[[#This Row],[Corrected time]])</f>
        <v>33</v>
      </c>
      <c r="N372" s="1">
        <v>0.52315776620370369</v>
      </c>
      <c r="O372" s="1">
        <f>Table257[[#This Row],[Time]]-TIME(0,0,3)</f>
        <v>0.52312304398148146</v>
      </c>
      <c r="P372" t="s">
        <v>9</v>
      </c>
      <c r="Q372">
        <v>-121</v>
      </c>
      <c r="R372">
        <f>Table257[[#This Row],[RSSI]]</f>
        <v>-121</v>
      </c>
      <c r="S372">
        <v>-7.5</v>
      </c>
    </row>
    <row r="373" spans="2:19" x14ac:dyDescent="0.25">
      <c r="B373">
        <f>390+2*(Table146[[#This Row],[min value (corrected)]]-37)</f>
        <v>402</v>
      </c>
      <c r="C373">
        <f>MINUTE(Table146[[#This Row],[Corrected time]])</f>
        <v>43</v>
      </c>
      <c r="D373" s="1">
        <v>0.48853886574074074</v>
      </c>
      <c r="E373" s="1">
        <f>Table146[[#This Row],[Time]]-TIME(0,0,1)</f>
        <v>0.48852729166666664</v>
      </c>
      <c r="F373" t="s">
        <v>9</v>
      </c>
      <c r="G373">
        <v>-121</v>
      </c>
      <c r="H373">
        <f>Table146[[#This Row],[RSSI]]</f>
        <v>-121</v>
      </c>
      <c r="I373">
        <v>-8.5</v>
      </c>
      <c r="L373">
        <f>390+2*(Table257[[#This Row],[min value (corrected)]]-27)</f>
        <v>402</v>
      </c>
      <c r="M373">
        <f>MINUTE(Table257[[#This Row],[Corrected time]])</f>
        <v>33</v>
      </c>
      <c r="N373" s="1">
        <v>0.52317079861111115</v>
      </c>
      <c r="O373" s="1">
        <f>Table257[[#This Row],[Time]]-TIME(0,0,3)</f>
        <v>0.52313607638888893</v>
      </c>
      <c r="P373" t="s">
        <v>9</v>
      </c>
      <c r="Q373">
        <v>-122</v>
      </c>
      <c r="R373">
        <f>Table257[[#This Row],[RSSI]]</f>
        <v>-122</v>
      </c>
      <c r="S373">
        <v>-8.3000000000000007</v>
      </c>
    </row>
    <row r="374" spans="2:19" x14ac:dyDescent="0.25">
      <c r="B374">
        <f>390+2*(Table146[[#This Row],[min value (corrected)]]-37)</f>
        <v>402</v>
      </c>
      <c r="C374">
        <f>MINUTE(Table146[[#This Row],[Corrected time]])</f>
        <v>43</v>
      </c>
      <c r="D374" s="1">
        <v>0.48855189814814814</v>
      </c>
      <c r="E374" s="1">
        <f>Table146[[#This Row],[Time]]-TIME(0,0,1)</f>
        <v>0.48854032407407405</v>
      </c>
      <c r="F374" t="s">
        <v>9</v>
      </c>
      <c r="G374">
        <v>-121</v>
      </c>
      <c r="H374">
        <f>Table146[[#This Row],[RSSI]]</f>
        <v>-121</v>
      </c>
      <c r="I374">
        <v>-7.2</v>
      </c>
      <c r="L374">
        <f>390+2*(Table257[[#This Row],[min value (corrected)]]-27)</f>
        <v>402</v>
      </c>
      <c r="M374">
        <f>MINUTE(Table257[[#This Row],[Corrected time]])</f>
        <v>33</v>
      </c>
      <c r="N374" s="1">
        <v>0.52318383101851851</v>
      </c>
      <c r="O374" s="1">
        <f>Table257[[#This Row],[Time]]-TIME(0,0,3)</f>
        <v>0.52314910879629628</v>
      </c>
      <c r="P374" t="s">
        <v>9</v>
      </c>
      <c r="Q374">
        <v>-121</v>
      </c>
      <c r="R374">
        <f>Table257[[#This Row],[RSSI]]</f>
        <v>-121</v>
      </c>
      <c r="S374">
        <v>-7.5</v>
      </c>
    </row>
    <row r="375" spans="2:19" x14ac:dyDescent="0.25">
      <c r="B375">
        <f>390+2*(Table146[[#This Row],[min value (corrected)]]-37)</f>
        <v>402</v>
      </c>
      <c r="C375">
        <f>MINUTE(Table146[[#This Row],[Corrected time]])</f>
        <v>43</v>
      </c>
      <c r="D375" s="1">
        <v>0.48856493055555555</v>
      </c>
      <c r="E375" s="1">
        <f>Table146[[#This Row],[Time]]-TIME(0,0,1)</f>
        <v>0.48855335648148146</v>
      </c>
      <c r="F375" t="s">
        <v>9</v>
      </c>
      <c r="G375">
        <v>-121</v>
      </c>
      <c r="H375">
        <f>Table146[[#This Row],[RSSI]]</f>
        <v>-121</v>
      </c>
      <c r="I375">
        <v>-7.5</v>
      </c>
      <c r="L375">
        <f>390+2*(Table257[[#This Row],[min value (corrected)]]-27)</f>
        <v>402</v>
      </c>
      <c r="M375">
        <f>MINUTE(Table257[[#This Row],[Corrected time]])</f>
        <v>33</v>
      </c>
      <c r="N375" s="1">
        <v>0.52319686342592597</v>
      </c>
      <c r="O375" s="1">
        <f>Table257[[#This Row],[Time]]-TIME(0,0,3)</f>
        <v>0.52316214120370375</v>
      </c>
      <c r="P375" t="s">
        <v>9</v>
      </c>
      <c r="Q375">
        <v>-122</v>
      </c>
      <c r="R375">
        <f>Table257[[#This Row],[RSSI]]</f>
        <v>-122</v>
      </c>
      <c r="S375">
        <v>-8.3000000000000007</v>
      </c>
    </row>
    <row r="376" spans="2:19" x14ac:dyDescent="0.25">
      <c r="B376">
        <f>390+2*(Table146[[#This Row],[min value (corrected)]]-37)</f>
        <v>402</v>
      </c>
      <c r="C376">
        <f>MINUTE(Table146[[#This Row],[Corrected time]])</f>
        <v>43</v>
      </c>
      <c r="D376" s="1">
        <v>0.48857795138888893</v>
      </c>
      <c r="E376" s="1">
        <f>Table146[[#This Row],[Time]]-TIME(0,0,1)</f>
        <v>0.48856637731481484</v>
      </c>
      <c r="F376" t="s">
        <v>9</v>
      </c>
      <c r="G376">
        <v>-122</v>
      </c>
      <c r="H376">
        <f>Table146[[#This Row],[RSSI]]</f>
        <v>-122</v>
      </c>
      <c r="I376">
        <v>-8.3000000000000007</v>
      </c>
      <c r="L376">
        <f>390+2*(Table257[[#This Row],[min value (corrected)]]-27)</f>
        <v>402</v>
      </c>
      <c r="M376">
        <f>MINUTE(Table257[[#This Row],[Corrected time]])</f>
        <v>33</v>
      </c>
      <c r="N376" s="1">
        <v>0.52320988425925929</v>
      </c>
      <c r="O376" s="1">
        <f>Table257[[#This Row],[Time]]-TIME(0,0,3)</f>
        <v>0.52317516203703707</v>
      </c>
      <c r="P376" t="s">
        <v>9</v>
      </c>
      <c r="Q376">
        <v>-120</v>
      </c>
      <c r="R376">
        <f>Table257[[#This Row],[RSSI]]</f>
        <v>-120</v>
      </c>
      <c r="S376">
        <v>-7.2</v>
      </c>
    </row>
    <row r="377" spans="2:19" x14ac:dyDescent="0.25">
      <c r="B377">
        <f>390+2*(Table146[[#This Row],[min value (corrected)]]-37)</f>
        <v>402</v>
      </c>
      <c r="C377">
        <f>MINUTE(Table146[[#This Row],[Corrected time]])</f>
        <v>43</v>
      </c>
      <c r="D377" s="1">
        <v>0.48859099537037037</v>
      </c>
      <c r="E377" s="1">
        <f>Table146[[#This Row],[Time]]-TIME(0,0,1)</f>
        <v>0.48857942129629628</v>
      </c>
      <c r="F377" t="s">
        <v>9</v>
      </c>
      <c r="G377">
        <v>-121</v>
      </c>
      <c r="H377">
        <f>Table146[[#This Row],[RSSI]]</f>
        <v>-121</v>
      </c>
      <c r="I377">
        <v>-7.7</v>
      </c>
      <c r="L377">
        <f>390+2*(Table257[[#This Row],[min value (corrected)]]-27)</f>
        <v>402</v>
      </c>
      <c r="M377">
        <f>MINUTE(Table257[[#This Row],[Corrected time]])</f>
        <v>33</v>
      </c>
      <c r="N377" s="1">
        <v>0.52322292824074079</v>
      </c>
      <c r="O377" s="1">
        <f>Table257[[#This Row],[Time]]-TIME(0,0,3)</f>
        <v>0.52318820601851856</v>
      </c>
      <c r="P377" t="s">
        <v>9</v>
      </c>
      <c r="Q377">
        <v>-121</v>
      </c>
      <c r="R377">
        <f>Table257[[#This Row],[RSSI]]</f>
        <v>-121</v>
      </c>
      <c r="S377">
        <v>-7</v>
      </c>
    </row>
    <row r="378" spans="2:19" x14ac:dyDescent="0.25">
      <c r="B378">
        <f>390+2*(Table146[[#This Row],[min value (corrected)]]-37)</f>
        <v>402</v>
      </c>
      <c r="C378">
        <f>MINUTE(Table146[[#This Row],[Corrected time]])</f>
        <v>43</v>
      </c>
      <c r="D378" s="1">
        <v>0.48860402777777778</v>
      </c>
      <c r="E378" s="1">
        <f>Table146[[#This Row],[Time]]-TIME(0,0,1)</f>
        <v>0.48859245370370369</v>
      </c>
      <c r="F378" t="s">
        <v>9</v>
      </c>
      <c r="G378">
        <v>-121</v>
      </c>
      <c r="H378">
        <f>Table146[[#This Row],[RSSI]]</f>
        <v>-121</v>
      </c>
      <c r="I378">
        <v>-8</v>
      </c>
      <c r="L378">
        <f>390+2*(Table257[[#This Row],[min value (corrected)]]-27)</f>
        <v>402</v>
      </c>
      <c r="M378">
        <f>MINUTE(Table257[[#This Row],[Corrected time]])</f>
        <v>33</v>
      </c>
      <c r="N378" s="1">
        <v>0.52323594907407411</v>
      </c>
      <c r="O378" s="1">
        <f>Table257[[#This Row],[Time]]-TIME(0,0,3)</f>
        <v>0.52320122685185189</v>
      </c>
      <c r="P378" t="s">
        <v>9</v>
      </c>
      <c r="Q378">
        <v>-121</v>
      </c>
      <c r="R378">
        <f>Table257[[#This Row],[RSSI]]</f>
        <v>-121</v>
      </c>
      <c r="S378">
        <v>-7.2</v>
      </c>
    </row>
    <row r="379" spans="2:19" x14ac:dyDescent="0.25">
      <c r="B379">
        <f>390+2*(Table146[[#This Row],[min value (corrected)]]-37)</f>
        <v>402</v>
      </c>
      <c r="C379">
        <f>MINUTE(Table146[[#This Row],[Corrected time]])</f>
        <v>43</v>
      </c>
      <c r="D379" s="1">
        <v>0.48861706018518519</v>
      </c>
      <c r="E379" s="1">
        <f>Table146[[#This Row],[Time]]-TIME(0,0,1)</f>
        <v>0.4886054861111111</v>
      </c>
      <c r="F379" t="s">
        <v>13</v>
      </c>
      <c r="G379">
        <f>G378</f>
        <v>-121</v>
      </c>
      <c r="H379">
        <f>Table146[[#This Row],[RSSI]]</f>
        <v>-121</v>
      </c>
      <c r="I379">
        <f>I378</f>
        <v>-8</v>
      </c>
      <c r="L379">
        <f>390+2*(Table257[[#This Row],[min value (corrected)]]-27)</f>
        <v>402</v>
      </c>
      <c r="M379">
        <f>MINUTE(Table257[[#This Row],[Corrected time]])</f>
        <v>33</v>
      </c>
      <c r="N379" s="1">
        <v>0.52324899305555561</v>
      </c>
      <c r="O379" s="1">
        <f>Table257[[#This Row],[Time]]-TIME(0,0,3)</f>
        <v>0.52321427083333338</v>
      </c>
      <c r="P379" t="s">
        <v>9</v>
      </c>
      <c r="Q379">
        <v>-121</v>
      </c>
      <c r="R379">
        <f>Table257[[#This Row],[RSSI]]</f>
        <v>-121</v>
      </c>
      <c r="S379">
        <v>-7.7</v>
      </c>
    </row>
    <row r="380" spans="2:19" x14ac:dyDescent="0.25">
      <c r="B380">
        <f>390+2*(Table146[[#This Row],[min value (corrected)]]-37)</f>
        <v>402</v>
      </c>
      <c r="C380">
        <f>MINUTE(Table146[[#This Row],[Corrected time]])</f>
        <v>43</v>
      </c>
      <c r="D380" s="1">
        <v>0.4886300925925926</v>
      </c>
      <c r="E380" s="1">
        <f>Table146[[#This Row],[Time]]-TIME(0,0,1)</f>
        <v>0.48861851851851851</v>
      </c>
      <c r="F380" t="s">
        <v>9</v>
      </c>
      <c r="G380">
        <v>-121</v>
      </c>
      <c r="H380">
        <f>Table146[[#This Row],[RSSI]]</f>
        <v>-121</v>
      </c>
      <c r="I380">
        <v>-7.5</v>
      </c>
      <c r="L380">
        <f>390+2*(Table257[[#This Row],[min value (corrected)]]-27)</f>
        <v>402</v>
      </c>
      <c r="M380">
        <f>MINUTE(Table257[[#This Row],[Corrected time]])</f>
        <v>33</v>
      </c>
      <c r="N380" s="1">
        <v>0.52326202546296297</v>
      </c>
      <c r="O380" s="1">
        <f>Table257[[#This Row],[Time]]-TIME(0,0,3)</f>
        <v>0.52322730324074074</v>
      </c>
      <c r="P380" t="s">
        <v>9</v>
      </c>
      <c r="Q380">
        <v>-122</v>
      </c>
      <c r="R380">
        <f>Table257[[#This Row],[RSSI]]</f>
        <v>-122</v>
      </c>
      <c r="S380">
        <v>-8</v>
      </c>
    </row>
    <row r="381" spans="2:19" x14ac:dyDescent="0.25">
      <c r="B381">
        <f>390+2*(Table146[[#This Row],[min value (corrected)]]-37)</f>
        <v>402</v>
      </c>
      <c r="C381">
        <f>MINUTE(Table146[[#This Row],[Corrected time]])</f>
        <v>43</v>
      </c>
      <c r="D381" s="1">
        <v>0.48864311342592592</v>
      </c>
      <c r="E381" s="1">
        <f>Table146[[#This Row],[Time]]-TIME(0,0,1)</f>
        <v>0.48863153935185183</v>
      </c>
      <c r="F381" t="s">
        <v>9</v>
      </c>
      <c r="G381">
        <v>-122</v>
      </c>
      <c r="H381">
        <f>Table146[[#This Row],[RSSI]]</f>
        <v>-122</v>
      </c>
      <c r="I381">
        <v>-8</v>
      </c>
      <c r="L381">
        <f>390+2*(Table257[[#This Row],[min value (corrected)]]-27)</f>
        <v>402</v>
      </c>
      <c r="M381">
        <f>MINUTE(Table257[[#This Row],[Corrected time]])</f>
        <v>33</v>
      </c>
      <c r="N381" s="1">
        <v>0.52327505787037032</v>
      </c>
      <c r="O381" s="1">
        <f>Table257[[#This Row],[Time]]-TIME(0,0,3)</f>
        <v>0.52324033564814809</v>
      </c>
      <c r="P381" t="s">
        <v>9</v>
      </c>
      <c r="Q381">
        <v>-121</v>
      </c>
      <c r="R381">
        <f>Table257[[#This Row],[RSSI]]</f>
        <v>-121</v>
      </c>
      <c r="S381">
        <v>-7.2</v>
      </c>
    </row>
    <row r="382" spans="2:19" x14ac:dyDescent="0.25">
      <c r="B382">
        <f>390+2*(Table146[[#This Row],[min value (corrected)]]-37)</f>
        <v>402</v>
      </c>
      <c r="C382">
        <f>MINUTE(Table146[[#This Row],[Corrected time]])</f>
        <v>43</v>
      </c>
      <c r="D382" s="1">
        <v>0.48865615740740742</v>
      </c>
      <c r="E382" s="1">
        <f>Table146[[#This Row],[Time]]-TIME(0,0,1)</f>
        <v>0.48864458333333333</v>
      </c>
      <c r="F382" t="s">
        <v>9</v>
      </c>
      <c r="G382">
        <v>-121</v>
      </c>
      <c r="H382">
        <f>Table146[[#This Row],[RSSI]]</f>
        <v>-121</v>
      </c>
      <c r="I382">
        <v>-7.7</v>
      </c>
      <c r="L382">
        <f>390+2*(Table257[[#This Row],[min value (corrected)]]-27)</f>
        <v>402</v>
      </c>
      <c r="M382">
        <f>MINUTE(Table257[[#This Row],[Corrected time]])</f>
        <v>33</v>
      </c>
      <c r="N382" s="1">
        <v>0.52328809027777778</v>
      </c>
      <c r="O382" s="1">
        <f>Table257[[#This Row],[Time]]-TIME(0,0,3)</f>
        <v>0.52325336805555556</v>
      </c>
      <c r="P382" t="s">
        <v>9</v>
      </c>
      <c r="Q382">
        <v>-121</v>
      </c>
      <c r="R382">
        <f>Table257[[#This Row],[RSSI]]</f>
        <v>-121</v>
      </c>
      <c r="S382">
        <v>-7.5</v>
      </c>
    </row>
    <row r="383" spans="2:19" x14ac:dyDescent="0.25">
      <c r="B383">
        <f>390+2*(Table146[[#This Row],[min value (corrected)]]-37)</f>
        <v>402</v>
      </c>
      <c r="C383">
        <f>MINUTE(Table146[[#This Row],[Corrected time]])</f>
        <v>43</v>
      </c>
      <c r="D383" s="1">
        <v>0.48866917824074074</v>
      </c>
      <c r="E383" s="1">
        <f>Table146[[#This Row],[Time]]-TIME(0,0,1)</f>
        <v>0.48865760416666665</v>
      </c>
      <c r="F383" t="s">
        <v>9</v>
      </c>
      <c r="G383">
        <v>-122</v>
      </c>
      <c r="H383">
        <f>Table146[[#This Row],[RSSI]]</f>
        <v>-122</v>
      </c>
      <c r="I383">
        <v>-8</v>
      </c>
      <c r="L383">
        <f>390+2*(Table257[[#This Row],[min value (corrected)]]-27)</f>
        <v>402</v>
      </c>
      <c r="M383">
        <f>MINUTE(Table257[[#This Row],[Corrected time]])</f>
        <v>33</v>
      </c>
      <c r="N383" s="1">
        <v>0.52330112268518514</v>
      </c>
      <c r="O383" s="1">
        <f>Table257[[#This Row],[Time]]-TIME(0,0,3)</f>
        <v>0.52326640046296291</v>
      </c>
      <c r="P383" t="s">
        <v>9</v>
      </c>
      <c r="Q383">
        <v>-121</v>
      </c>
      <c r="R383">
        <f>Table257[[#This Row],[RSSI]]</f>
        <v>-121</v>
      </c>
      <c r="S383">
        <v>-8</v>
      </c>
    </row>
    <row r="384" spans="2:19" x14ac:dyDescent="0.25">
      <c r="B384">
        <f>390+2*(Table146[[#This Row],[min value (corrected)]]-37)</f>
        <v>402</v>
      </c>
      <c r="C384">
        <f>MINUTE(Table146[[#This Row],[Corrected time]])</f>
        <v>43</v>
      </c>
      <c r="D384" s="1">
        <v>0.4886822106481481</v>
      </c>
      <c r="E384" s="1">
        <f>Table146[[#This Row],[Time]]-TIME(0,0,1)</f>
        <v>0.488670636574074</v>
      </c>
      <c r="F384" t="s">
        <v>9</v>
      </c>
      <c r="G384">
        <v>-121</v>
      </c>
      <c r="H384">
        <f>Table146[[#This Row],[RSSI]]</f>
        <v>-121</v>
      </c>
      <c r="I384">
        <v>-7.7</v>
      </c>
      <c r="L384">
        <f>390+2*(Table257[[#This Row],[min value (corrected)]]-27)</f>
        <v>402</v>
      </c>
      <c r="M384">
        <f>MINUTE(Table257[[#This Row],[Corrected time]])</f>
        <v>33</v>
      </c>
      <c r="N384" s="1">
        <v>0.5233141550925926</v>
      </c>
      <c r="O384" s="1">
        <f>Table257[[#This Row],[Time]]-TIME(0,0,3)</f>
        <v>0.52327943287037038</v>
      </c>
      <c r="P384" t="s">
        <v>9</v>
      </c>
      <c r="Q384">
        <v>-121</v>
      </c>
      <c r="R384">
        <f>Table257[[#This Row],[RSSI]]</f>
        <v>-121</v>
      </c>
      <c r="S384">
        <v>-7.5</v>
      </c>
    </row>
    <row r="385" spans="2:19" x14ac:dyDescent="0.25">
      <c r="B385">
        <f>390+2*(Table146[[#This Row],[min value (corrected)]]-37)</f>
        <v>402</v>
      </c>
      <c r="C385">
        <f>MINUTE(Table146[[#This Row],[Corrected time]])</f>
        <v>43</v>
      </c>
      <c r="D385" s="1">
        <v>0.48869524305555556</v>
      </c>
      <c r="E385" s="1">
        <f>Table146[[#This Row],[Time]]-TIME(0,0,1)</f>
        <v>0.48868366898148147</v>
      </c>
      <c r="F385" t="s">
        <v>9</v>
      </c>
      <c r="G385">
        <v>-121</v>
      </c>
      <c r="H385">
        <f>Table146[[#This Row],[RSSI]]</f>
        <v>-121</v>
      </c>
      <c r="I385">
        <v>-7.7</v>
      </c>
      <c r="L385">
        <f>390+2*(Table257[[#This Row],[min value (corrected)]]-27)</f>
        <v>402</v>
      </c>
      <c r="M385">
        <f>MINUTE(Table257[[#This Row],[Corrected time]])</f>
        <v>33</v>
      </c>
      <c r="N385" s="1">
        <v>0.52332717592592592</v>
      </c>
      <c r="O385" s="1">
        <f>Table257[[#This Row],[Time]]-TIME(0,0,3)</f>
        <v>0.5232924537037037</v>
      </c>
      <c r="P385" t="s">
        <v>9</v>
      </c>
      <c r="Q385">
        <v>-121</v>
      </c>
      <c r="R385">
        <f>Table257[[#This Row],[RSSI]]</f>
        <v>-121</v>
      </c>
      <c r="S385">
        <v>-8</v>
      </c>
    </row>
    <row r="386" spans="2:19" x14ac:dyDescent="0.25">
      <c r="B386">
        <f>390+2*(Table146[[#This Row],[min value (corrected)]]-37)</f>
        <v>402</v>
      </c>
      <c r="C386">
        <f>MINUTE(Table146[[#This Row],[Corrected time]])</f>
        <v>43</v>
      </c>
      <c r="D386" s="1">
        <v>0.48870828703703706</v>
      </c>
      <c r="E386" s="1">
        <f>Table146[[#This Row],[Time]]-TIME(0,0,1)</f>
        <v>0.48869671296296296</v>
      </c>
      <c r="F386" t="s">
        <v>9</v>
      </c>
      <c r="G386">
        <v>-122</v>
      </c>
      <c r="H386">
        <f>Table146[[#This Row],[RSSI]]</f>
        <v>-122</v>
      </c>
      <c r="I386">
        <v>-8</v>
      </c>
      <c r="L386">
        <f>390+2*(Table257[[#This Row],[min value (corrected)]]-27)</f>
        <v>402</v>
      </c>
      <c r="M386">
        <f>MINUTE(Table257[[#This Row],[Corrected time]])</f>
        <v>33</v>
      </c>
      <c r="N386" s="1">
        <v>0.52334021990740742</v>
      </c>
      <c r="O386" s="1">
        <f>Table257[[#This Row],[Time]]-TIME(0,0,3)</f>
        <v>0.52330549768518519</v>
      </c>
      <c r="P386" t="s">
        <v>9</v>
      </c>
      <c r="Q386">
        <v>-121</v>
      </c>
      <c r="R386">
        <f>Table257[[#This Row],[RSSI]]</f>
        <v>-121</v>
      </c>
      <c r="S386">
        <v>-7.5</v>
      </c>
    </row>
    <row r="387" spans="2:19" x14ac:dyDescent="0.25">
      <c r="B387">
        <f>390+2*(Table146[[#This Row],[min value (corrected)]]-37)</f>
        <v>402</v>
      </c>
      <c r="C387">
        <f>MINUTE(Table146[[#This Row],[Corrected time]])</f>
        <v>43</v>
      </c>
      <c r="D387" s="1">
        <v>0.48872131944444441</v>
      </c>
      <c r="E387" s="1">
        <f>Table146[[#This Row],[Time]]-TIME(0,0,1)</f>
        <v>0.48870974537037032</v>
      </c>
      <c r="F387" t="s">
        <v>9</v>
      </c>
      <c r="G387">
        <v>-121</v>
      </c>
      <c r="H387">
        <f>Table146[[#This Row],[RSSI]]</f>
        <v>-121</v>
      </c>
      <c r="I387">
        <v>-7.7</v>
      </c>
      <c r="L387">
        <f>390+2*(Table257[[#This Row],[min value (corrected)]]-27)</f>
        <v>402</v>
      </c>
      <c r="M387">
        <f>MINUTE(Table257[[#This Row],[Corrected time]])</f>
        <v>33</v>
      </c>
      <c r="N387" s="1">
        <v>0.52335325231481478</v>
      </c>
      <c r="O387" s="1">
        <f>Table257[[#This Row],[Time]]-TIME(0,0,3)</f>
        <v>0.52331853009259255</v>
      </c>
      <c r="P387" t="s">
        <v>9</v>
      </c>
      <c r="Q387">
        <v>-121</v>
      </c>
      <c r="R387">
        <f>Table257[[#This Row],[RSSI]]</f>
        <v>-121</v>
      </c>
      <c r="S387">
        <v>-7.5</v>
      </c>
    </row>
    <row r="388" spans="2:19" x14ac:dyDescent="0.25">
      <c r="B388">
        <f>390+2*(Table146[[#This Row],[min value (corrected)]]-37)</f>
        <v>402</v>
      </c>
      <c r="C388">
        <f>MINUTE(Table146[[#This Row],[Corrected time]])</f>
        <v>43</v>
      </c>
      <c r="D388" s="1">
        <v>0.48873435185185188</v>
      </c>
      <c r="E388" s="1">
        <f>Table146[[#This Row],[Time]]-TIME(0,0,1)</f>
        <v>0.48872277777777778</v>
      </c>
      <c r="F388" t="s">
        <v>9</v>
      </c>
      <c r="G388">
        <v>-122</v>
      </c>
      <c r="H388">
        <f>Table146[[#This Row],[RSSI]]</f>
        <v>-122</v>
      </c>
      <c r="I388">
        <v>-8.3000000000000007</v>
      </c>
      <c r="L388">
        <f>390+2*(Table257[[#This Row],[min value (corrected)]]-27)</f>
        <v>402</v>
      </c>
      <c r="M388">
        <f>MINUTE(Table257[[#This Row],[Corrected time]])</f>
        <v>33</v>
      </c>
      <c r="N388" s="1">
        <v>0.52336628472222224</v>
      </c>
      <c r="O388" s="1">
        <f>Table257[[#This Row],[Time]]-TIME(0,0,3)</f>
        <v>0.52333156250000001</v>
      </c>
      <c r="P388" t="s">
        <v>9</v>
      </c>
      <c r="Q388">
        <v>-121</v>
      </c>
      <c r="R388">
        <f>Table257[[#This Row],[RSSI]]</f>
        <v>-121</v>
      </c>
      <c r="S388">
        <v>-7.2</v>
      </c>
    </row>
    <row r="389" spans="2:19" x14ac:dyDescent="0.25">
      <c r="B389">
        <f>390+2*(Table146[[#This Row],[min value (corrected)]]-37)</f>
        <v>402</v>
      </c>
      <c r="C389">
        <f>MINUTE(Table146[[#This Row],[Corrected time]])</f>
        <v>43</v>
      </c>
      <c r="D389" s="1">
        <v>0.4887473726851852</v>
      </c>
      <c r="E389" s="1">
        <f>Table146[[#This Row],[Time]]-TIME(0,0,1)</f>
        <v>0.48873579861111111</v>
      </c>
      <c r="F389" t="s">
        <v>9</v>
      </c>
      <c r="G389">
        <v>-121</v>
      </c>
      <c r="H389">
        <f>Table146[[#This Row],[RSSI]]</f>
        <v>-121</v>
      </c>
      <c r="I389">
        <v>-7.2</v>
      </c>
      <c r="L389">
        <f>390+2*(Table257[[#This Row],[min value (corrected)]]-27)</f>
        <v>402</v>
      </c>
      <c r="M389">
        <f>MINUTE(Table257[[#This Row],[Corrected time]])</f>
        <v>33</v>
      </c>
      <c r="N389" s="1">
        <v>0.5233793171296296</v>
      </c>
      <c r="O389" s="1">
        <f>Table257[[#This Row],[Time]]-TIME(0,0,3)</f>
        <v>0.52334459490740737</v>
      </c>
      <c r="P389" t="s">
        <v>9</v>
      </c>
      <c r="Q389">
        <v>-121</v>
      </c>
      <c r="R389">
        <f>Table257[[#This Row],[RSSI]]</f>
        <v>-121</v>
      </c>
      <c r="S389">
        <v>-7</v>
      </c>
    </row>
    <row r="390" spans="2:19" x14ac:dyDescent="0.25">
      <c r="B390">
        <f>390+2*(Table146[[#This Row],[min value (corrected)]]-37)</f>
        <v>402</v>
      </c>
      <c r="C390">
        <f>MINUTE(Table146[[#This Row],[Corrected time]])</f>
        <v>43</v>
      </c>
      <c r="D390" s="1">
        <v>0.48876040509259255</v>
      </c>
      <c r="E390" s="1">
        <f>Table146[[#This Row],[Time]]-TIME(0,0,1)</f>
        <v>0.48874883101851846</v>
      </c>
      <c r="F390" t="s">
        <v>9</v>
      </c>
      <c r="G390">
        <v>-122</v>
      </c>
      <c r="H390">
        <f>Table146[[#This Row],[RSSI]]</f>
        <v>-122</v>
      </c>
      <c r="I390">
        <v>-8</v>
      </c>
      <c r="L390">
        <f>390+2*(Table257[[#This Row],[min value (corrected)]]-27)</f>
        <v>402</v>
      </c>
      <c r="M390">
        <f>MINUTE(Table257[[#This Row],[Corrected time]])</f>
        <v>33</v>
      </c>
      <c r="N390" s="1">
        <v>0.52339233796296292</v>
      </c>
      <c r="O390" s="1">
        <f>Table257[[#This Row],[Time]]-TIME(0,0,3)</f>
        <v>0.52335761574074069</v>
      </c>
      <c r="P390" t="s">
        <v>9</v>
      </c>
      <c r="Q390">
        <v>-121</v>
      </c>
      <c r="R390">
        <f>Table257[[#This Row],[RSSI]]</f>
        <v>-121</v>
      </c>
      <c r="S390">
        <v>-7</v>
      </c>
    </row>
    <row r="391" spans="2:19" x14ac:dyDescent="0.25">
      <c r="B391">
        <f>390+2*(Table146[[#This Row],[min value (corrected)]]-37)</f>
        <v>402</v>
      </c>
      <c r="C391">
        <f>MINUTE(Table146[[#This Row],[Corrected time]])</f>
        <v>43</v>
      </c>
      <c r="D391" s="1">
        <v>0.48877343750000002</v>
      </c>
      <c r="E391" s="1">
        <f>Table146[[#This Row],[Time]]-TIME(0,0,1)</f>
        <v>0.48876186342592592</v>
      </c>
      <c r="F391" t="s">
        <v>9</v>
      </c>
      <c r="G391">
        <v>-122</v>
      </c>
      <c r="H391">
        <f>Table146[[#This Row],[RSSI]]</f>
        <v>-122</v>
      </c>
      <c r="I391">
        <v>-8.3000000000000007</v>
      </c>
      <c r="L391">
        <f>390+2*(Table257[[#This Row],[min value (corrected)]]-27)</f>
        <v>402</v>
      </c>
      <c r="M391">
        <f>MINUTE(Table257[[#This Row],[Corrected time]])</f>
        <v>33</v>
      </c>
      <c r="N391" s="1">
        <v>0.52340538194444441</v>
      </c>
      <c r="O391" s="1">
        <f>Table257[[#This Row],[Time]]-TIME(0,0,3)</f>
        <v>0.52337065972222219</v>
      </c>
      <c r="P391" t="s">
        <v>9</v>
      </c>
      <c r="Q391">
        <v>-121</v>
      </c>
      <c r="R391">
        <f>Table257[[#This Row],[RSSI]]</f>
        <v>-121</v>
      </c>
      <c r="S391">
        <v>-7.5</v>
      </c>
    </row>
    <row r="392" spans="2:19" x14ac:dyDescent="0.25">
      <c r="B392">
        <f>390+2*(Table146[[#This Row],[min value (corrected)]]-37)</f>
        <v>402</v>
      </c>
      <c r="C392">
        <f>MINUTE(Table146[[#This Row],[Corrected time]])</f>
        <v>43</v>
      </c>
      <c r="D392" s="1">
        <v>0.48878648148148152</v>
      </c>
      <c r="E392" s="1">
        <f>Table146[[#This Row],[Time]]-TIME(0,0,1)</f>
        <v>0.48877490740740742</v>
      </c>
      <c r="F392" t="s">
        <v>9</v>
      </c>
      <c r="G392">
        <v>-122</v>
      </c>
      <c r="H392">
        <f>Table146[[#This Row],[RSSI]]</f>
        <v>-122</v>
      </c>
      <c r="I392">
        <v>-8.3000000000000007</v>
      </c>
      <c r="L392">
        <f>390+2*(Table257[[#This Row],[min value (corrected)]]-27)</f>
        <v>402</v>
      </c>
      <c r="M392">
        <f>MINUTE(Table257[[#This Row],[Corrected time]])</f>
        <v>33</v>
      </c>
      <c r="N392" s="1">
        <v>0.52341840277777774</v>
      </c>
      <c r="O392" s="1">
        <f>Table257[[#This Row],[Time]]-TIME(0,0,3)</f>
        <v>0.52338368055555551</v>
      </c>
      <c r="P392" t="s">
        <v>9</v>
      </c>
      <c r="Q392">
        <v>-122</v>
      </c>
      <c r="R392">
        <f>Table257[[#This Row],[RSSI]]</f>
        <v>-122</v>
      </c>
      <c r="S392">
        <v>-7.7</v>
      </c>
    </row>
    <row r="393" spans="2:19" x14ac:dyDescent="0.25">
      <c r="B393">
        <f>390+2*(Table146[[#This Row],[min value (corrected)]]-37)</f>
        <v>402</v>
      </c>
      <c r="C393">
        <f>MINUTE(Table146[[#This Row],[Corrected time]])</f>
        <v>43</v>
      </c>
      <c r="D393" s="1">
        <v>0.48879951388888887</v>
      </c>
      <c r="E393" s="1">
        <f>Table146[[#This Row],[Time]]-TIME(0,0,1)</f>
        <v>0.48878793981481478</v>
      </c>
      <c r="F393" t="s">
        <v>9</v>
      </c>
      <c r="G393">
        <v>-121</v>
      </c>
      <c r="H393">
        <f>Table146[[#This Row],[RSSI]]</f>
        <v>-121</v>
      </c>
      <c r="I393">
        <v>-7.7</v>
      </c>
      <c r="L393">
        <f>390+2*(Table257[[#This Row],[min value (corrected)]]-27)</f>
        <v>402</v>
      </c>
      <c r="M393">
        <f>MINUTE(Table257[[#This Row],[Corrected time]])</f>
        <v>33</v>
      </c>
      <c r="N393" s="1">
        <v>0.52343144675925923</v>
      </c>
      <c r="O393" s="1">
        <f>Table257[[#This Row],[Time]]-TIME(0,0,3)</f>
        <v>0.52339672453703701</v>
      </c>
      <c r="P393" t="s">
        <v>9</v>
      </c>
      <c r="Q393">
        <v>-121</v>
      </c>
      <c r="R393">
        <f>Table257[[#This Row],[RSSI]]</f>
        <v>-121</v>
      </c>
      <c r="S393">
        <v>-7.2</v>
      </c>
    </row>
    <row r="394" spans="2:19" x14ac:dyDescent="0.25">
      <c r="B394">
        <f>390+2*(Table146[[#This Row],[min value (corrected)]]-37)</f>
        <v>402</v>
      </c>
      <c r="C394">
        <f>MINUTE(Table146[[#This Row],[Corrected time]])</f>
        <v>43</v>
      </c>
      <c r="D394" s="1">
        <v>0.48881253472222219</v>
      </c>
      <c r="E394" s="1">
        <f>Table146[[#This Row],[Time]]-TIME(0,0,1)</f>
        <v>0.4888009606481481</v>
      </c>
      <c r="F394" t="s">
        <v>9</v>
      </c>
      <c r="G394">
        <v>-122</v>
      </c>
      <c r="H394">
        <f>Table146[[#This Row],[RSSI]]</f>
        <v>-122</v>
      </c>
      <c r="I394">
        <v>-8</v>
      </c>
      <c r="L394">
        <f>390+2*(Table257[[#This Row],[min value (corrected)]]-27)</f>
        <v>402</v>
      </c>
      <c r="M394">
        <f>MINUTE(Table257[[#This Row],[Corrected time]])</f>
        <v>33</v>
      </c>
      <c r="N394" s="1">
        <v>0.5234444791666667</v>
      </c>
      <c r="O394" s="1">
        <f>Table257[[#This Row],[Time]]-TIME(0,0,3)</f>
        <v>0.52340975694444447</v>
      </c>
      <c r="P394" t="s">
        <v>9</v>
      </c>
      <c r="Q394">
        <v>-121</v>
      </c>
      <c r="R394">
        <f>Table257[[#This Row],[RSSI]]</f>
        <v>-121</v>
      </c>
      <c r="S394">
        <v>-7.5</v>
      </c>
    </row>
    <row r="395" spans="2:19" x14ac:dyDescent="0.25">
      <c r="B395">
        <f>390+2*(Table146[[#This Row],[min value (corrected)]]-37)</f>
        <v>402</v>
      </c>
      <c r="C395">
        <f>MINUTE(Table146[[#This Row],[Corrected time]])</f>
        <v>43</v>
      </c>
      <c r="D395" s="1">
        <v>0.48882557870370369</v>
      </c>
      <c r="E395" s="1">
        <f>Table146[[#This Row],[Time]]-TIME(0,0,1)</f>
        <v>0.48881400462962959</v>
      </c>
      <c r="F395" t="s">
        <v>9</v>
      </c>
      <c r="G395">
        <v>-121</v>
      </c>
      <c r="H395">
        <f>Table146[[#This Row],[RSSI]]</f>
        <v>-121</v>
      </c>
      <c r="I395">
        <v>-7.7</v>
      </c>
      <c r="L395">
        <f>390+2*(Table257[[#This Row],[min value (corrected)]]-27)</f>
        <v>402</v>
      </c>
      <c r="M395">
        <f>MINUTE(Table257[[#This Row],[Corrected time]])</f>
        <v>33</v>
      </c>
      <c r="N395" s="1">
        <v>0.52345750000000002</v>
      </c>
      <c r="O395" s="1">
        <f>Table257[[#This Row],[Time]]-TIME(0,0,3)</f>
        <v>0.52342277777777779</v>
      </c>
      <c r="P395" t="s">
        <v>9</v>
      </c>
      <c r="Q395">
        <v>-121</v>
      </c>
      <c r="R395">
        <f>Table257[[#This Row],[RSSI]]</f>
        <v>-121</v>
      </c>
      <c r="S395">
        <v>-7.5</v>
      </c>
    </row>
    <row r="396" spans="2:19" x14ac:dyDescent="0.25">
      <c r="B396">
        <f>390+2*(Table146[[#This Row],[min value (corrected)]]-37)</f>
        <v>402</v>
      </c>
      <c r="C396">
        <f>MINUTE(Table146[[#This Row],[Corrected time]])</f>
        <v>43</v>
      </c>
      <c r="D396" s="1">
        <v>0.48883859953703701</v>
      </c>
      <c r="E396" s="1">
        <f>Table146[[#This Row],[Time]]-TIME(0,0,1)</f>
        <v>0.48882702546296292</v>
      </c>
      <c r="F396" t="s">
        <v>9</v>
      </c>
      <c r="G396">
        <v>-122</v>
      </c>
      <c r="H396">
        <f>Table146[[#This Row],[RSSI]]</f>
        <v>-122</v>
      </c>
      <c r="I396">
        <v>-8</v>
      </c>
      <c r="L396">
        <f>390+2*(Table257[[#This Row],[min value (corrected)]]-27)</f>
        <v>402</v>
      </c>
      <c r="M396">
        <f>MINUTE(Table257[[#This Row],[Corrected time]])</f>
        <v>33</v>
      </c>
      <c r="N396" s="1">
        <v>0.52347054398148152</v>
      </c>
      <c r="O396" s="1">
        <f>Table257[[#This Row],[Time]]-TIME(0,0,3)</f>
        <v>0.52343582175925929</v>
      </c>
      <c r="P396" t="s">
        <v>9</v>
      </c>
      <c r="Q396">
        <v>-121</v>
      </c>
      <c r="R396">
        <f>Table257[[#This Row],[RSSI]]</f>
        <v>-121</v>
      </c>
      <c r="S396">
        <v>-8</v>
      </c>
    </row>
    <row r="397" spans="2:19" x14ac:dyDescent="0.25">
      <c r="B397">
        <f>390+2*(Table146[[#This Row],[min value (corrected)]]-37)</f>
        <v>402</v>
      </c>
      <c r="C397">
        <f>MINUTE(Table146[[#This Row],[Corrected time]])</f>
        <v>43</v>
      </c>
      <c r="D397" s="1">
        <v>0.48885164351851851</v>
      </c>
      <c r="E397" s="1">
        <f>Table146[[#This Row],[Time]]-TIME(0,0,1)</f>
        <v>0.48884006944444441</v>
      </c>
      <c r="F397" t="s">
        <v>9</v>
      </c>
      <c r="G397">
        <v>-121</v>
      </c>
      <c r="H397">
        <f>Table146[[#This Row],[RSSI]]</f>
        <v>-121</v>
      </c>
      <c r="I397">
        <v>-8</v>
      </c>
      <c r="L397">
        <f>390+2*(Table257[[#This Row],[min value (corrected)]]-27)</f>
        <v>402</v>
      </c>
      <c r="M397">
        <f>MINUTE(Table257[[#This Row],[Corrected time]])</f>
        <v>33</v>
      </c>
      <c r="N397" s="1">
        <v>0.52348357638888887</v>
      </c>
      <c r="O397" s="1">
        <f>Table257[[#This Row],[Time]]-TIME(0,0,3)</f>
        <v>0.52344885416666664</v>
      </c>
      <c r="P397" t="s">
        <v>9</v>
      </c>
      <c r="Q397">
        <v>-122</v>
      </c>
      <c r="R397">
        <f>Table257[[#This Row],[RSSI]]</f>
        <v>-122</v>
      </c>
      <c r="S397">
        <v>-7.7</v>
      </c>
    </row>
    <row r="398" spans="2:19" x14ac:dyDescent="0.25">
      <c r="B398">
        <f>390+2*(Table146[[#This Row],[min value (corrected)]]-37)</f>
        <v>402</v>
      </c>
      <c r="C398">
        <f>MINUTE(Table146[[#This Row],[Corrected time]])</f>
        <v>43</v>
      </c>
      <c r="D398" s="1">
        <v>0.48886466435185183</v>
      </c>
      <c r="E398" s="1">
        <f>Table146[[#This Row],[Time]]-TIME(0,0,1)</f>
        <v>0.48885309027777774</v>
      </c>
      <c r="F398" t="s">
        <v>9</v>
      </c>
      <c r="G398">
        <v>-121</v>
      </c>
      <c r="H398">
        <f>Table146[[#This Row],[RSSI]]</f>
        <v>-121</v>
      </c>
      <c r="I398">
        <v>-7.2</v>
      </c>
      <c r="L398">
        <f>390+2*(Table257[[#This Row],[min value (corrected)]]-27)</f>
        <v>402</v>
      </c>
      <c r="M398">
        <f>MINUTE(Table257[[#This Row],[Corrected time]])</f>
        <v>33</v>
      </c>
      <c r="N398" s="1">
        <v>0.52349660879629634</v>
      </c>
      <c r="O398" s="1">
        <f>Table257[[#This Row],[Time]]-TIME(0,0,3)</f>
        <v>0.52346188657407411</v>
      </c>
      <c r="P398" t="s">
        <v>9</v>
      </c>
      <c r="Q398">
        <v>-121</v>
      </c>
      <c r="R398">
        <f>Table257[[#This Row],[RSSI]]</f>
        <v>-121</v>
      </c>
      <c r="S398">
        <v>-7.5</v>
      </c>
    </row>
    <row r="399" spans="2:19" x14ac:dyDescent="0.25">
      <c r="B399">
        <f>390+2*(Table146[[#This Row],[min value (corrected)]]-37)</f>
        <v>402</v>
      </c>
      <c r="C399">
        <f>MINUTE(Table146[[#This Row],[Corrected time]])</f>
        <v>43</v>
      </c>
      <c r="D399" s="1">
        <v>0.48887770833333333</v>
      </c>
      <c r="E399" s="1">
        <f>Table146[[#This Row],[Time]]-TIME(0,0,1)</f>
        <v>0.48886613425925923</v>
      </c>
      <c r="F399" t="s">
        <v>9</v>
      </c>
      <c r="G399">
        <v>-121</v>
      </c>
      <c r="H399">
        <f>Table146[[#This Row],[RSSI]]</f>
        <v>-121</v>
      </c>
      <c r="I399">
        <v>-7.7</v>
      </c>
      <c r="L399">
        <f>390+2*(Table257[[#This Row],[min value (corrected)]]-27)</f>
        <v>402</v>
      </c>
      <c r="M399">
        <f>MINUTE(Table257[[#This Row],[Corrected time]])</f>
        <v>33</v>
      </c>
      <c r="N399" s="1">
        <v>0.52350964120370369</v>
      </c>
      <c r="O399" s="1">
        <f>Table257[[#This Row],[Time]]-TIME(0,0,3)</f>
        <v>0.52347491898148146</v>
      </c>
      <c r="P399" t="s">
        <v>9</v>
      </c>
      <c r="Q399">
        <v>-121</v>
      </c>
      <c r="R399">
        <f>Table257[[#This Row],[RSSI]]</f>
        <v>-121</v>
      </c>
      <c r="S399">
        <v>-7</v>
      </c>
    </row>
    <row r="400" spans="2:19" x14ac:dyDescent="0.25">
      <c r="B400">
        <f>390+2*(Table146[[#This Row],[min value (corrected)]]-37)</f>
        <v>402</v>
      </c>
      <c r="C400">
        <f>MINUTE(Table146[[#This Row],[Corrected time]])</f>
        <v>43</v>
      </c>
      <c r="D400" s="1">
        <v>0.48889074074074079</v>
      </c>
      <c r="E400" s="1">
        <f>Table146[[#This Row],[Time]]-TIME(0,0,1)</f>
        <v>0.4888791666666667</v>
      </c>
      <c r="F400" t="s">
        <v>9</v>
      </c>
      <c r="G400">
        <v>-121</v>
      </c>
      <c r="H400">
        <f>Table146[[#This Row],[RSSI]]</f>
        <v>-121</v>
      </c>
      <c r="I400">
        <v>-7.7</v>
      </c>
      <c r="L400">
        <f>390+2*(Table257[[#This Row],[min value (corrected)]]-27)</f>
        <v>402</v>
      </c>
      <c r="M400">
        <f>MINUTE(Table257[[#This Row],[Corrected time]])</f>
        <v>33</v>
      </c>
      <c r="N400" s="1">
        <v>0.52352266203703701</v>
      </c>
      <c r="O400" s="1">
        <f>Table257[[#This Row],[Time]]-TIME(0,0,3)</f>
        <v>0.52348793981481478</v>
      </c>
      <c r="P400" t="s">
        <v>9</v>
      </c>
      <c r="Q400">
        <v>-121</v>
      </c>
      <c r="R400">
        <f>Table257[[#This Row],[RSSI]]</f>
        <v>-121</v>
      </c>
      <c r="S400">
        <v>-8</v>
      </c>
    </row>
    <row r="401" spans="2:19" x14ac:dyDescent="0.25">
      <c r="B401">
        <f>390+2*(Table146[[#This Row],[min value (corrected)]]-37)</f>
        <v>404</v>
      </c>
      <c r="C401">
        <f>MINUTE(Table146[[#This Row],[Corrected time]])</f>
        <v>44</v>
      </c>
      <c r="D401" s="1">
        <v>0.48890377314814815</v>
      </c>
      <c r="E401" s="1">
        <f>Table146[[#This Row],[Time]]-TIME(0,0,1)</f>
        <v>0.48889219907407405</v>
      </c>
      <c r="F401" t="s">
        <v>9</v>
      </c>
      <c r="G401">
        <v>-121</v>
      </c>
      <c r="H401">
        <f>Table146[[#This Row],[RSSI]]</f>
        <v>-121</v>
      </c>
      <c r="I401">
        <v>-8</v>
      </c>
      <c r="L401">
        <f>390+2*(Table257[[#This Row],[min value (corrected)]]-27)</f>
        <v>402</v>
      </c>
      <c r="M401">
        <f>MINUTE(Table257[[#This Row],[Corrected time]])</f>
        <v>33</v>
      </c>
      <c r="N401" s="1">
        <v>0.52353570601851851</v>
      </c>
      <c r="O401" s="1">
        <f>Table257[[#This Row],[Time]]-TIME(0,0,3)</f>
        <v>0.52350098379629628</v>
      </c>
      <c r="P401" t="s">
        <v>9</v>
      </c>
      <c r="Q401">
        <v>-121</v>
      </c>
      <c r="R401">
        <f>Table257[[#This Row],[RSSI]]</f>
        <v>-121</v>
      </c>
      <c r="S401">
        <v>-7.2</v>
      </c>
    </row>
    <row r="402" spans="2:19" x14ac:dyDescent="0.25">
      <c r="B402">
        <f>390+2*(Table146[[#This Row],[min value (corrected)]]-37)</f>
        <v>404</v>
      </c>
      <c r="C402">
        <f>MINUTE(Table146[[#This Row],[Corrected time]])</f>
        <v>44</v>
      </c>
      <c r="D402" s="1">
        <v>0.4889168055555555</v>
      </c>
      <c r="E402" s="1">
        <f>Table146[[#This Row],[Time]]-TIME(0,0,1)</f>
        <v>0.48890523148148141</v>
      </c>
      <c r="F402" t="s">
        <v>9</v>
      </c>
      <c r="G402">
        <v>-121</v>
      </c>
      <c r="H402">
        <f>Table146[[#This Row],[RSSI]]</f>
        <v>-121</v>
      </c>
      <c r="I402">
        <v>-7.7</v>
      </c>
      <c r="L402">
        <f>390+2*(Table257[[#This Row],[min value (corrected)]]-27)</f>
        <v>402</v>
      </c>
      <c r="M402">
        <f>MINUTE(Table257[[#This Row],[Corrected time]])</f>
        <v>33</v>
      </c>
      <c r="N402" s="1">
        <v>0.52354873842592586</v>
      </c>
      <c r="O402" s="1">
        <f>Table257[[#This Row],[Time]]-TIME(0,0,3)</f>
        <v>0.52351401620370364</v>
      </c>
      <c r="P402" t="s">
        <v>9</v>
      </c>
      <c r="Q402">
        <v>-122</v>
      </c>
      <c r="R402">
        <f>Table257[[#This Row],[RSSI]]</f>
        <v>-122</v>
      </c>
      <c r="S402">
        <v>-8</v>
      </c>
    </row>
    <row r="403" spans="2:19" x14ac:dyDescent="0.25">
      <c r="B403">
        <f>390+2*(Table146[[#This Row],[min value (corrected)]]-37)</f>
        <v>404</v>
      </c>
      <c r="C403">
        <f>MINUTE(Table146[[#This Row],[Corrected time]])</f>
        <v>44</v>
      </c>
      <c r="D403" s="1">
        <v>0.48892983796296297</v>
      </c>
      <c r="E403" s="1">
        <f>Table146[[#This Row],[Time]]-TIME(0,0,1)</f>
        <v>0.48891826388888887</v>
      </c>
      <c r="F403" t="s">
        <v>9</v>
      </c>
      <c r="G403">
        <v>-121</v>
      </c>
      <c r="H403">
        <f>Table146[[#This Row],[RSSI]]</f>
        <v>-121</v>
      </c>
      <c r="I403">
        <v>-7.5</v>
      </c>
      <c r="L403">
        <f>390+2*(Table257[[#This Row],[min value (corrected)]]-27)</f>
        <v>402</v>
      </c>
      <c r="M403">
        <f>MINUTE(Table257[[#This Row],[Corrected time]])</f>
        <v>33</v>
      </c>
      <c r="N403" s="1">
        <v>0.52356177083333333</v>
      </c>
      <c r="O403" s="1">
        <f>Table257[[#This Row],[Time]]-TIME(0,0,3)</f>
        <v>0.5235270486111111</v>
      </c>
      <c r="P403" t="s">
        <v>9</v>
      </c>
      <c r="Q403">
        <v>-121</v>
      </c>
      <c r="R403">
        <f>Table257[[#This Row],[RSSI]]</f>
        <v>-121</v>
      </c>
      <c r="S403">
        <v>-7.5</v>
      </c>
    </row>
    <row r="404" spans="2:19" x14ac:dyDescent="0.25">
      <c r="B404">
        <f>390+2*(Table146[[#This Row],[min value (corrected)]]-37)</f>
        <v>404</v>
      </c>
      <c r="C404">
        <f>MINUTE(Table146[[#This Row],[Corrected time]])</f>
        <v>44</v>
      </c>
      <c r="D404" s="1">
        <v>0.48894287037037032</v>
      </c>
      <c r="E404" s="1">
        <f>Table146[[#This Row],[Time]]-TIME(0,0,1)</f>
        <v>0.48893129629629623</v>
      </c>
      <c r="F404" t="s">
        <v>9</v>
      </c>
      <c r="G404">
        <v>-122</v>
      </c>
      <c r="H404">
        <f>Table146[[#This Row],[RSSI]]</f>
        <v>-122</v>
      </c>
      <c r="I404">
        <v>-8.5</v>
      </c>
      <c r="L404">
        <f>390+2*(Table257[[#This Row],[min value (corrected)]]-27)</f>
        <v>402</v>
      </c>
      <c r="M404">
        <f>MINUTE(Table257[[#This Row],[Corrected time]])</f>
        <v>33</v>
      </c>
      <c r="N404" s="1">
        <v>0.52357480324074068</v>
      </c>
      <c r="O404" s="1">
        <f>Table257[[#This Row],[Time]]-TIME(0,0,3)</f>
        <v>0.52354008101851846</v>
      </c>
      <c r="P404" t="s">
        <v>9</v>
      </c>
      <c r="Q404">
        <v>-121</v>
      </c>
      <c r="R404">
        <f>Table257[[#This Row],[RSSI]]</f>
        <v>-121</v>
      </c>
      <c r="S404">
        <v>-7.2</v>
      </c>
    </row>
    <row r="405" spans="2:19" x14ac:dyDescent="0.25">
      <c r="B405">
        <f>390+2*(Table146[[#This Row],[min value (corrected)]]-37)</f>
        <v>404</v>
      </c>
      <c r="C405">
        <f>MINUTE(Table146[[#This Row],[Corrected time]])</f>
        <v>44</v>
      </c>
      <c r="D405" s="1">
        <v>0.48895590277777778</v>
      </c>
      <c r="E405" s="1">
        <f>Table146[[#This Row],[Time]]-TIME(0,0,1)</f>
        <v>0.48894432870370369</v>
      </c>
      <c r="F405" t="s">
        <v>13</v>
      </c>
      <c r="G405">
        <f>G404</f>
        <v>-122</v>
      </c>
      <c r="H405">
        <f>Table146[[#This Row],[RSSI]]</f>
        <v>-122</v>
      </c>
      <c r="I405">
        <f>I404</f>
        <v>-8.5</v>
      </c>
      <c r="L405">
        <f>390+2*(Table257[[#This Row],[min value (corrected)]]-27)</f>
        <v>402</v>
      </c>
      <c r="M405">
        <f>MINUTE(Table257[[#This Row],[Corrected time]])</f>
        <v>33</v>
      </c>
      <c r="N405" s="1">
        <v>0.52358783564814815</v>
      </c>
      <c r="O405" s="1">
        <f>Table257[[#This Row],[Time]]-TIME(0,0,3)</f>
        <v>0.52355311342592592</v>
      </c>
      <c r="P405" t="s">
        <v>9</v>
      </c>
      <c r="Q405">
        <v>-121</v>
      </c>
      <c r="R405">
        <f>Table257[[#This Row],[RSSI]]</f>
        <v>-121</v>
      </c>
      <c r="S405">
        <v>-7.5</v>
      </c>
    </row>
    <row r="406" spans="2:19" x14ac:dyDescent="0.25">
      <c r="B406">
        <f>390+2*(Table146[[#This Row],[min value (corrected)]]-37)</f>
        <v>404</v>
      </c>
      <c r="C406">
        <f>MINUTE(Table146[[#This Row],[Corrected time]])</f>
        <v>44</v>
      </c>
      <c r="D406" s="1">
        <v>0.48896892361111111</v>
      </c>
      <c r="E406" s="1">
        <f>Table146[[#This Row],[Time]]-TIME(0,0,1)</f>
        <v>0.48895734953703701</v>
      </c>
      <c r="F406" t="s">
        <v>9</v>
      </c>
      <c r="G406">
        <v>-122</v>
      </c>
      <c r="H406">
        <f>Table146[[#This Row],[RSSI]]</f>
        <v>-122</v>
      </c>
      <c r="I406">
        <v>-8.3000000000000007</v>
      </c>
      <c r="L406">
        <f>390+2*(Table257[[#This Row],[min value (corrected)]]-27)</f>
        <v>402</v>
      </c>
      <c r="M406">
        <f>MINUTE(Table257[[#This Row],[Corrected time]])</f>
        <v>33</v>
      </c>
      <c r="N406" s="1">
        <v>0.5236008680555555</v>
      </c>
      <c r="O406" s="1">
        <f>Table257[[#This Row],[Time]]-TIME(0,0,3)</f>
        <v>0.52356614583333327</v>
      </c>
      <c r="P406" t="s">
        <v>9</v>
      </c>
      <c r="Q406">
        <v>-121</v>
      </c>
      <c r="R406">
        <f>Table257[[#This Row],[RSSI]]</f>
        <v>-121</v>
      </c>
      <c r="S406">
        <v>-7</v>
      </c>
    </row>
    <row r="407" spans="2:19" x14ac:dyDescent="0.25">
      <c r="B407">
        <f>390+2*(Table146[[#This Row],[min value (corrected)]]-37)</f>
        <v>404</v>
      </c>
      <c r="C407">
        <f>MINUTE(Table146[[#This Row],[Corrected time]])</f>
        <v>44</v>
      </c>
      <c r="D407" s="1">
        <v>0.48898195601851852</v>
      </c>
      <c r="E407" s="1">
        <f>Table146[[#This Row],[Time]]-TIME(0,0,1)</f>
        <v>0.48897038194444442</v>
      </c>
      <c r="F407" t="s">
        <v>9</v>
      </c>
      <c r="G407">
        <v>-121</v>
      </c>
      <c r="H407">
        <f>Table146[[#This Row],[RSSI]]</f>
        <v>-121</v>
      </c>
      <c r="I407">
        <v>-7.7</v>
      </c>
      <c r="L407">
        <f>390+2*(Table257[[#This Row],[min value (corrected)]]-27)</f>
        <v>402</v>
      </c>
      <c r="M407">
        <f>MINUTE(Table257[[#This Row],[Corrected time]])</f>
        <v>33</v>
      </c>
      <c r="N407" s="1">
        <v>0.52361390046296297</v>
      </c>
      <c r="O407" s="1">
        <f>Table257[[#This Row],[Time]]-TIME(0,0,3)</f>
        <v>0.52357917824074074</v>
      </c>
      <c r="P407" t="s">
        <v>9</v>
      </c>
      <c r="Q407">
        <v>-121</v>
      </c>
      <c r="R407">
        <f>Table257[[#This Row],[RSSI]]</f>
        <v>-121</v>
      </c>
      <c r="S407">
        <v>-7.2</v>
      </c>
    </row>
    <row r="408" spans="2:19" x14ac:dyDescent="0.25">
      <c r="B408">
        <f>390+2*(Table146[[#This Row],[min value (corrected)]]-37)</f>
        <v>404</v>
      </c>
      <c r="C408">
        <f>MINUTE(Table146[[#This Row],[Corrected time]])</f>
        <v>44</v>
      </c>
      <c r="D408" s="1">
        <v>0.48899499999999996</v>
      </c>
      <c r="E408" s="1">
        <f>Table146[[#This Row],[Time]]-TIME(0,0,1)</f>
        <v>0.48898342592592586</v>
      </c>
      <c r="F408" t="s">
        <v>9</v>
      </c>
      <c r="G408">
        <v>-122</v>
      </c>
      <c r="H408">
        <f>Table146[[#This Row],[RSSI]]</f>
        <v>-122</v>
      </c>
      <c r="I408">
        <v>-8.3000000000000007</v>
      </c>
      <c r="L408">
        <f>390+2*(Table257[[#This Row],[min value (corrected)]]-27)</f>
        <v>402</v>
      </c>
      <c r="M408">
        <f>MINUTE(Table257[[#This Row],[Corrected time]])</f>
        <v>33</v>
      </c>
      <c r="N408" s="1">
        <v>0.52362693287037032</v>
      </c>
      <c r="O408" s="1">
        <f>Table257[[#This Row],[Time]]-TIME(0,0,3)</f>
        <v>0.52359221064814809</v>
      </c>
      <c r="P408" t="s">
        <v>9</v>
      </c>
      <c r="Q408">
        <v>-121</v>
      </c>
      <c r="R408">
        <f>Table257[[#This Row],[RSSI]]</f>
        <v>-121</v>
      </c>
      <c r="S408">
        <v>-7.5</v>
      </c>
    </row>
    <row r="409" spans="2:19" x14ac:dyDescent="0.25">
      <c r="B409">
        <f>390+2*(Table146[[#This Row],[min value (corrected)]]-37)</f>
        <v>404</v>
      </c>
      <c r="C409">
        <f>MINUTE(Table146[[#This Row],[Corrected time]])</f>
        <v>44</v>
      </c>
      <c r="D409" s="1">
        <v>0.48900803240740742</v>
      </c>
      <c r="E409" s="1">
        <f>Table146[[#This Row],[Time]]-TIME(0,0,1)</f>
        <v>0.48899645833333333</v>
      </c>
      <c r="F409" t="s">
        <v>13</v>
      </c>
      <c r="G409">
        <f t="shared" ref="G409:G410" si="9">G408</f>
        <v>-122</v>
      </c>
      <c r="H409">
        <f>Table146[[#This Row],[RSSI]]</f>
        <v>-122</v>
      </c>
      <c r="I409">
        <f t="shared" ref="I409:I410" si="10">I408</f>
        <v>-8.3000000000000007</v>
      </c>
      <c r="L409">
        <f>390+2*(Table257[[#This Row],[min value (corrected)]]-27)</f>
        <v>402</v>
      </c>
      <c r="M409">
        <f>MINUTE(Table257[[#This Row],[Corrected time]])</f>
        <v>33</v>
      </c>
      <c r="N409" s="1">
        <v>0.52363996527777779</v>
      </c>
      <c r="O409" s="1">
        <f>Table257[[#This Row],[Time]]-TIME(0,0,3)</f>
        <v>0.52360524305555556</v>
      </c>
      <c r="P409" t="s">
        <v>9</v>
      </c>
      <c r="Q409">
        <v>-121</v>
      </c>
      <c r="R409">
        <f>Table257[[#This Row],[RSSI]]</f>
        <v>-121</v>
      </c>
      <c r="S409">
        <v>-8</v>
      </c>
    </row>
    <row r="410" spans="2:19" x14ac:dyDescent="0.25">
      <c r="B410">
        <f>390+2*(Table146[[#This Row],[min value (corrected)]]-37)</f>
        <v>404</v>
      </c>
      <c r="C410">
        <f>MINUTE(Table146[[#This Row],[Corrected time]])</f>
        <v>44</v>
      </c>
      <c r="D410" s="1">
        <v>0.48902106481481478</v>
      </c>
      <c r="E410" s="1">
        <f>Table146[[#This Row],[Time]]-TIME(0,0,1)</f>
        <v>0.48900949074074068</v>
      </c>
      <c r="F410" t="s">
        <v>13</v>
      </c>
      <c r="G410">
        <f t="shared" si="9"/>
        <v>-122</v>
      </c>
      <c r="H410">
        <f>Table146[[#This Row],[RSSI]]</f>
        <v>-122</v>
      </c>
      <c r="I410">
        <f t="shared" si="10"/>
        <v>-8.3000000000000007</v>
      </c>
      <c r="L410">
        <f>390+2*(Table257[[#This Row],[min value (corrected)]]-27)</f>
        <v>404</v>
      </c>
      <c r="M410">
        <f>MINUTE(Table257[[#This Row],[Corrected time]])</f>
        <v>34</v>
      </c>
      <c r="N410" s="1">
        <v>0.52365298611111111</v>
      </c>
      <c r="O410" s="1">
        <f>Table257[[#This Row],[Time]]-TIME(0,0,3)</f>
        <v>0.52361826388888888</v>
      </c>
      <c r="P410" t="s">
        <v>9</v>
      </c>
      <c r="Q410">
        <v>-121</v>
      </c>
      <c r="R410">
        <f>Table257[[#This Row],[RSSI]]</f>
        <v>-121</v>
      </c>
      <c r="S410">
        <v>-7.5</v>
      </c>
    </row>
    <row r="411" spans="2:19" x14ac:dyDescent="0.25">
      <c r="B411">
        <f>390+2*(Table146[[#This Row],[min value (corrected)]]-37)</f>
        <v>404</v>
      </c>
      <c r="C411">
        <f>MINUTE(Table146[[#This Row],[Corrected time]])</f>
        <v>44</v>
      </c>
      <c r="D411" s="1">
        <v>0.48903409722222224</v>
      </c>
      <c r="E411" s="1">
        <f>Table146[[#This Row],[Time]]-TIME(0,0,1)</f>
        <v>0.48902252314814815</v>
      </c>
      <c r="F411" t="s">
        <v>9</v>
      </c>
      <c r="G411">
        <v>-121</v>
      </c>
      <c r="H411">
        <f>Table146[[#This Row],[RSSI]]</f>
        <v>-121</v>
      </c>
      <c r="I411">
        <v>-7.5</v>
      </c>
      <c r="L411">
        <f>390+2*(Table257[[#This Row],[min value (corrected)]]-27)</f>
        <v>404</v>
      </c>
      <c r="M411">
        <f>MINUTE(Table257[[#This Row],[Corrected time]])</f>
        <v>34</v>
      </c>
      <c r="N411" s="1">
        <v>0.52366601851851846</v>
      </c>
      <c r="O411" s="1">
        <f>Table257[[#This Row],[Time]]-TIME(0,0,3)</f>
        <v>0.52363129629629623</v>
      </c>
      <c r="P411" t="s">
        <v>9</v>
      </c>
      <c r="Q411">
        <v>-122</v>
      </c>
      <c r="R411">
        <f>Table257[[#This Row],[RSSI]]</f>
        <v>-122</v>
      </c>
      <c r="S411">
        <v>-8.3000000000000007</v>
      </c>
    </row>
    <row r="412" spans="2:19" x14ac:dyDescent="0.25">
      <c r="B412">
        <f>390+2*(Table146[[#This Row],[min value (corrected)]]-37)</f>
        <v>404</v>
      </c>
      <c r="C412">
        <f>MINUTE(Table146[[#This Row],[Corrected time]])</f>
        <v>44</v>
      </c>
      <c r="D412" s="1">
        <v>0.4890471296296296</v>
      </c>
      <c r="E412" s="1">
        <f>Table146[[#This Row],[Time]]-TIME(0,0,1)</f>
        <v>0.4890355555555555</v>
      </c>
      <c r="F412" t="s">
        <v>9</v>
      </c>
      <c r="G412">
        <v>-122</v>
      </c>
      <c r="H412">
        <f>Table146[[#This Row],[RSSI]]</f>
        <v>-122</v>
      </c>
      <c r="I412">
        <v>-8.3000000000000007</v>
      </c>
      <c r="L412">
        <f>390+2*(Table257[[#This Row],[min value (corrected)]]-27)</f>
        <v>404</v>
      </c>
      <c r="M412">
        <f>MINUTE(Table257[[#This Row],[Corrected time]])</f>
        <v>34</v>
      </c>
      <c r="N412" s="1">
        <v>0.52367906249999996</v>
      </c>
      <c r="O412" s="1">
        <f>Table257[[#This Row],[Time]]-TIME(0,0,3)</f>
        <v>0.52364434027777773</v>
      </c>
      <c r="P412" t="s">
        <v>9</v>
      </c>
      <c r="Q412">
        <v>-122</v>
      </c>
      <c r="R412">
        <f>Table257[[#This Row],[RSSI]]</f>
        <v>-122</v>
      </c>
      <c r="S412">
        <v>-8</v>
      </c>
    </row>
    <row r="413" spans="2:19" x14ac:dyDescent="0.25">
      <c r="B413">
        <f>390+2*(Table146[[#This Row],[min value (corrected)]]-37)</f>
        <v>404</v>
      </c>
      <c r="C413">
        <f>MINUTE(Table146[[#This Row],[Corrected time]])</f>
        <v>44</v>
      </c>
      <c r="D413" s="1">
        <v>0.48906016203703706</v>
      </c>
      <c r="E413" s="1">
        <f>Table146[[#This Row],[Time]]-TIME(0,0,1)</f>
        <v>0.48904858796296297</v>
      </c>
      <c r="F413" t="s">
        <v>9</v>
      </c>
      <c r="G413">
        <v>-122</v>
      </c>
      <c r="H413">
        <f>Table146[[#This Row],[RSSI]]</f>
        <v>-122</v>
      </c>
      <c r="I413">
        <v>-8.3000000000000007</v>
      </c>
      <c r="L413">
        <f>390+2*(Table257[[#This Row],[min value (corrected)]]-27)</f>
        <v>404</v>
      </c>
      <c r="M413">
        <f>MINUTE(Table257[[#This Row],[Corrected time]])</f>
        <v>34</v>
      </c>
      <c r="N413" s="1">
        <v>0.52369208333333328</v>
      </c>
      <c r="O413" s="1">
        <f>Table257[[#This Row],[Time]]-TIME(0,0,3)</f>
        <v>0.52365736111111105</v>
      </c>
      <c r="P413" t="s">
        <v>9</v>
      </c>
      <c r="Q413">
        <v>-121</v>
      </c>
      <c r="R413">
        <f>Table257[[#This Row],[RSSI]]</f>
        <v>-121</v>
      </c>
      <c r="S413">
        <v>-8</v>
      </c>
    </row>
    <row r="414" spans="2:19" x14ac:dyDescent="0.25">
      <c r="B414">
        <f>390+2*(Table146[[#This Row],[min value (corrected)]]-37)</f>
        <v>404</v>
      </c>
      <c r="C414">
        <f>MINUTE(Table146[[#This Row],[Corrected time]])</f>
        <v>44</v>
      </c>
      <c r="D414" s="1">
        <v>0.48907318287037038</v>
      </c>
      <c r="E414" s="1">
        <f>Table146[[#This Row],[Time]]-TIME(0,0,1)</f>
        <v>0.48906160879629629</v>
      </c>
      <c r="F414" t="s">
        <v>9</v>
      </c>
      <c r="G414">
        <v>-121</v>
      </c>
      <c r="H414">
        <f>Table146[[#This Row],[RSSI]]</f>
        <v>-121</v>
      </c>
      <c r="I414">
        <v>-8</v>
      </c>
      <c r="L414">
        <f>390+2*(Table257[[#This Row],[min value (corrected)]]-27)</f>
        <v>404</v>
      </c>
      <c r="M414">
        <f>MINUTE(Table257[[#This Row],[Corrected time]])</f>
        <v>34</v>
      </c>
      <c r="N414" s="1">
        <v>0.52370512731481478</v>
      </c>
      <c r="O414" s="1">
        <f>Table257[[#This Row],[Time]]-TIME(0,0,3)</f>
        <v>0.52367040509259255</v>
      </c>
      <c r="P414" t="s">
        <v>9</v>
      </c>
      <c r="Q414">
        <v>-121</v>
      </c>
      <c r="R414">
        <f>Table257[[#This Row],[RSSI]]</f>
        <v>-121</v>
      </c>
      <c r="S414">
        <v>-7.7</v>
      </c>
    </row>
    <row r="415" spans="2:19" x14ac:dyDescent="0.25">
      <c r="B415">
        <f>390+2*(Table146[[#This Row],[min value (corrected)]]-37)</f>
        <v>404</v>
      </c>
      <c r="C415">
        <f>MINUTE(Table146[[#This Row],[Corrected time]])</f>
        <v>44</v>
      </c>
      <c r="D415" s="1">
        <v>0.48908622685185188</v>
      </c>
      <c r="E415" s="1">
        <f>Table146[[#This Row],[Time]]-TIME(0,0,1)</f>
        <v>0.48907465277777779</v>
      </c>
      <c r="F415" t="s">
        <v>9</v>
      </c>
      <c r="G415">
        <v>-121</v>
      </c>
      <c r="H415">
        <f>Table146[[#This Row],[RSSI]]</f>
        <v>-121</v>
      </c>
      <c r="I415">
        <v>-8</v>
      </c>
      <c r="L415">
        <f>390+2*(Table257[[#This Row],[min value (corrected)]]-27)</f>
        <v>404</v>
      </c>
      <c r="M415">
        <f>MINUTE(Table257[[#This Row],[Corrected time]])</f>
        <v>34</v>
      </c>
      <c r="N415" s="1">
        <v>0.52371815972222224</v>
      </c>
      <c r="O415" s="1">
        <f>Table257[[#This Row],[Time]]-TIME(0,0,3)</f>
        <v>0.52368343750000002</v>
      </c>
      <c r="P415" t="s">
        <v>9</v>
      </c>
      <c r="Q415">
        <v>-121</v>
      </c>
      <c r="R415">
        <f>Table257[[#This Row],[RSSI]]</f>
        <v>-121</v>
      </c>
      <c r="S415">
        <v>-7.5</v>
      </c>
    </row>
    <row r="416" spans="2:19" x14ac:dyDescent="0.25">
      <c r="B416">
        <f>390+2*(Table146[[#This Row],[min value (corrected)]]-37)</f>
        <v>404</v>
      </c>
      <c r="C416">
        <f>MINUTE(Table146[[#This Row],[Corrected time]])</f>
        <v>44</v>
      </c>
      <c r="D416" s="1">
        <v>0.48909925925925923</v>
      </c>
      <c r="E416" s="1">
        <f>Table146[[#This Row],[Time]]-TIME(0,0,1)</f>
        <v>0.48908768518518514</v>
      </c>
      <c r="F416" t="s">
        <v>9</v>
      </c>
      <c r="G416">
        <v>-122</v>
      </c>
      <c r="H416">
        <f>Table146[[#This Row],[RSSI]]</f>
        <v>-122</v>
      </c>
      <c r="I416">
        <v>-8</v>
      </c>
      <c r="L416">
        <f>390+2*(Table257[[#This Row],[min value (corrected)]]-27)</f>
        <v>404</v>
      </c>
      <c r="M416">
        <f>MINUTE(Table257[[#This Row],[Corrected time]])</f>
        <v>34</v>
      </c>
      <c r="N416" s="1">
        <v>0.52373118055555556</v>
      </c>
      <c r="O416" s="1">
        <f>Table257[[#This Row],[Time]]-TIME(0,0,3)</f>
        <v>0.52369645833333334</v>
      </c>
      <c r="P416" t="s">
        <v>9</v>
      </c>
      <c r="Q416">
        <v>-122</v>
      </c>
      <c r="R416">
        <f>Table257[[#This Row],[RSSI]]</f>
        <v>-122</v>
      </c>
      <c r="S416">
        <v>-8.3000000000000007</v>
      </c>
    </row>
    <row r="417" spans="2:19" x14ac:dyDescent="0.25">
      <c r="B417">
        <f>390+2*(Table146[[#This Row],[min value (corrected)]]-37)</f>
        <v>404</v>
      </c>
      <c r="C417">
        <f>MINUTE(Table146[[#This Row],[Corrected time]])</f>
        <v>44</v>
      </c>
      <c r="D417" s="1">
        <v>0.48911228009259261</v>
      </c>
      <c r="E417" s="1">
        <f>Table146[[#This Row],[Time]]-TIME(0,0,1)</f>
        <v>0.48910070601851852</v>
      </c>
      <c r="F417" t="s">
        <v>9</v>
      </c>
      <c r="G417">
        <v>-122</v>
      </c>
      <c r="H417">
        <f>Table146[[#This Row],[RSSI]]</f>
        <v>-122</v>
      </c>
      <c r="I417">
        <v>-8.5</v>
      </c>
      <c r="L417">
        <f>390+2*(Table257[[#This Row],[min value (corrected)]]-27)</f>
        <v>404</v>
      </c>
      <c r="M417">
        <f>MINUTE(Table257[[#This Row],[Corrected time]])</f>
        <v>34</v>
      </c>
      <c r="N417" s="1">
        <v>0.52374422453703695</v>
      </c>
      <c r="O417" s="1">
        <f>Table257[[#This Row],[Time]]-TIME(0,0,3)</f>
        <v>0.52370950231481472</v>
      </c>
      <c r="P417" t="s">
        <v>9</v>
      </c>
      <c r="Q417">
        <v>-120</v>
      </c>
      <c r="R417">
        <f>Table257[[#This Row],[RSSI]]</f>
        <v>-120</v>
      </c>
      <c r="S417">
        <v>-7.5</v>
      </c>
    </row>
    <row r="418" spans="2:19" x14ac:dyDescent="0.25">
      <c r="B418">
        <f>390+2*(Table146[[#This Row],[min value (corrected)]]-37)</f>
        <v>404</v>
      </c>
      <c r="C418">
        <f>MINUTE(Table146[[#This Row],[Corrected time]])</f>
        <v>44</v>
      </c>
      <c r="D418" s="1">
        <v>0.48912532407407405</v>
      </c>
      <c r="E418" s="1">
        <f>Table146[[#This Row],[Time]]-TIME(0,0,1)</f>
        <v>0.48911374999999996</v>
      </c>
      <c r="F418" t="s">
        <v>9</v>
      </c>
      <c r="G418">
        <v>-121</v>
      </c>
      <c r="H418">
        <f>Table146[[#This Row],[RSSI]]</f>
        <v>-121</v>
      </c>
      <c r="I418">
        <v>-7.7</v>
      </c>
      <c r="L418">
        <f>390+2*(Table257[[#This Row],[min value (corrected)]]-27)</f>
        <v>404</v>
      </c>
      <c r="M418">
        <f>MINUTE(Table257[[#This Row],[Corrected time]])</f>
        <v>34</v>
      </c>
      <c r="N418" s="1">
        <v>0.52375724537037038</v>
      </c>
      <c r="O418" s="1">
        <f>Table257[[#This Row],[Time]]-TIME(0,0,3)</f>
        <v>0.52372252314814816</v>
      </c>
      <c r="P418" t="s">
        <v>9</v>
      </c>
      <c r="Q418">
        <v>-121</v>
      </c>
      <c r="R418">
        <f>Table257[[#This Row],[RSSI]]</f>
        <v>-121</v>
      </c>
      <c r="S418">
        <v>-7</v>
      </c>
    </row>
    <row r="419" spans="2:19" x14ac:dyDescent="0.25">
      <c r="B419">
        <f>390+2*(Table146[[#This Row],[min value (corrected)]]-37)</f>
        <v>404</v>
      </c>
      <c r="C419">
        <f>MINUTE(Table146[[#This Row],[Corrected time]])</f>
        <v>44</v>
      </c>
      <c r="D419" s="1">
        <v>0.48913835648148146</v>
      </c>
      <c r="E419" s="1">
        <f>Table146[[#This Row],[Time]]-TIME(0,0,1)</f>
        <v>0.48912678240740737</v>
      </c>
      <c r="F419" t="s">
        <v>9</v>
      </c>
      <c r="G419">
        <v>-121</v>
      </c>
      <c r="H419">
        <f>Table146[[#This Row],[RSSI]]</f>
        <v>-121</v>
      </c>
      <c r="I419">
        <v>-7.7</v>
      </c>
      <c r="L419">
        <f>390+2*(Table257[[#This Row],[min value (corrected)]]-27)</f>
        <v>404</v>
      </c>
      <c r="M419">
        <f>MINUTE(Table257[[#This Row],[Corrected time]])</f>
        <v>34</v>
      </c>
      <c r="N419" s="1">
        <v>0.52377028935185177</v>
      </c>
      <c r="O419" s="1">
        <f>Table257[[#This Row],[Time]]-TIME(0,0,3)</f>
        <v>0.52373556712962954</v>
      </c>
      <c r="P419" t="s">
        <v>9</v>
      </c>
      <c r="Q419">
        <v>-121</v>
      </c>
      <c r="R419">
        <f>Table257[[#This Row],[RSSI]]</f>
        <v>-121</v>
      </c>
      <c r="S419">
        <v>-7.7</v>
      </c>
    </row>
    <row r="420" spans="2:19" x14ac:dyDescent="0.25">
      <c r="B420">
        <f>390+2*(Table146[[#This Row],[min value (corrected)]]-37)</f>
        <v>404</v>
      </c>
      <c r="C420">
        <f>MINUTE(Table146[[#This Row],[Corrected time]])</f>
        <v>44</v>
      </c>
      <c r="D420" s="1">
        <v>0.48915138888888887</v>
      </c>
      <c r="E420" s="1">
        <f>Table146[[#This Row],[Time]]-TIME(0,0,1)</f>
        <v>0.48913981481481478</v>
      </c>
      <c r="F420" t="s">
        <v>9</v>
      </c>
      <c r="G420">
        <v>-121</v>
      </c>
      <c r="H420">
        <f>Table146[[#This Row],[RSSI]]</f>
        <v>-121</v>
      </c>
      <c r="I420">
        <v>-7.2</v>
      </c>
      <c r="L420">
        <f>390+2*(Table257[[#This Row],[min value (corrected)]]-27)</f>
        <v>404</v>
      </c>
      <c r="M420">
        <f>MINUTE(Table257[[#This Row],[Corrected time]])</f>
        <v>34</v>
      </c>
      <c r="N420" s="1">
        <v>0.52378332175925923</v>
      </c>
      <c r="O420" s="1">
        <f>Table257[[#This Row],[Time]]-TIME(0,0,3)</f>
        <v>0.52374859953703701</v>
      </c>
      <c r="P420" t="s">
        <v>9</v>
      </c>
      <c r="Q420">
        <v>-121</v>
      </c>
      <c r="R420">
        <f>Table257[[#This Row],[RSSI]]</f>
        <v>-121</v>
      </c>
      <c r="S420">
        <v>-8.3000000000000007</v>
      </c>
    </row>
    <row r="421" spans="2:19" x14ac:dyDescent="0.25">
      <c r="B421">
        <f>390+2*(Table146[[#This Row],[min value (corrected)]]-37)</f>
        <v>404</v>
      </c>
      <c r="C421">
        <f>MINUTE(Table146[[#This Row],[Corrected time]])</f>
        <v>44</v>
      </c>
      <c r="D421" s="1">
        <v>0.48916442129629628</v>
      </c>
      <c r="E421" s="1">
        <f>Table146[[#This Row],[Time]]-TIME(0,0,1)</f>
        <v>0.48915284722222219</v>
      </c>
      <c r="F421" t="s">
        <v>9</v>
      </c>
      <c r="G421">
        <v>-122</v>
      </c>
      <c r="H421">
        <f>Table146[[#This Row],[RSSI]]</f>
        <v>-122</v>
      </c>
      <c r="I421">
        <v>-8.5</v>
      </c>
      <c r="L421">
        <f>390+2*(Table257[[#This Row],[min value (corrected)]]-27)</f>
        <v>404</v>
      </c>
      <c r="M421">
        <f>MINUTE(Table257[[#This Row],[Corrected time]])</f>
        <v>34</v>
      </c>
      <c r="N421" s="1">
        <v>0.52379634259259256</v>
      </c>
      <c r="O421" s="1">
        <f>Table257[[#This Row],[Time]]-TIME(0,0,3)</f>
        <v>0.52376162037037033</v>
      </c>
      <c r="P421" t="s">
        <v>9</v>
      </c>
      <c r="Q421">
        <v>-121</v>
      </c>
      <c r="R421">
        <f>Table257[[#This Row],[RSSI]]</f>
        <v>-121</v>
      </c>
      <c r="S421">
        <v>-7.5</v>
      </c>
    </row>
    <row r="422" spans="2:19" x14ac:dyDescent="0.25">
      <c r="B422">
        <f>390+2*(Table146[[#This Row],[min value (corrected)]]-37)</f>
        <v>404</v>
      </c>
      <c r="C422">
        <f>MINUTE(Table146[[#This Row],[Corrected time]])</f>
        <v>44</v>
      </c>
      <c r="D422" s="1">
        <v>0.4891774421296296</v>
      </c>
      <c r="E422" s="1">
        <f>Table146[[#This Row],[Time]]-TIME(0,0,1)</f>
        <v>0.48916586805555551</v>
      </c>
      <c r="F422" t="s">
        <v>9</v>
      </c>
      <c r="G422">
        <v>-122</v>
      </c>
      <c r="H422">
        <f>Table146[[#This Row],[RSSI]]</f>
        <v>-122</v>
      </c>
      <c r="I422">
        <v>-8</v>
      </c>
      <c r="L422">
        <f>390+2*(Table257[[#This Row],[min value (corrected)]]-27)</f>
        <v>404</v>
      </c>
      <c r="M422">
        <f>MINUTE(Table257[[#This Row],[Corrected time]])</f>
        <v>34</v>
      </c>
      <c r="N422" s="1">
        <v>0.52380937500000002</v>
      </c>
      <c r="O422" s="1">
        <f>Table257[[#This Row],[Time]]-TIME(0,0,3)</f>
        <v>0.52377465277777779</v>
      </c>
      <c r="P422" t="s">
        <v>9</v>
      </c>
      <c r="Q422">
        <v>-121</v>
      </c>
      <c r="R422">
        <f>Table257[[#This Row],[RSSI]]</f>
        <v>-121</v>
      </c>
      <c r="S422">
        <v>-7.5</v>
      </c>
    </row>
    <row r="423" spans="2:19" x14ac:dyDescent="0.25">
      <c r="B423">
        <f>390+2*(Table146[[#This Row],[min value (corrected)]]-37)</f>
        <v>404</v>
      </c>
      <c r="C423">
        <f>MINUTE(Table146[[#This Row],[Corrected time]])</f>
        <v>44</v>
      </c>
      <c r="D423" s="1">
        <v>0.4891904861111111</v>
      </c>
      <c r="E423" s="1">
        <f>Table146[[#This Row],[Time]]-TIME(0,0,1)</f>
        <v>0.48917891203703701</v>
      </c>
      <c r="F423" t="s">
        <v>9</v>
      </c>
      <c r="G423">
        <v>-121</v>
      </c>
      <c r="H423">
        <f>Table146[[#This Row],[RSSI]]</f>
        <v>-121</v>
      </c>
      <c r="I423">
        <v>-7.7</v>
      </c>
      <c r="L423">
        <f>390+2*(Table257[[#This Row],[min value (corrected)]]-27)</f>
        <v>404</v>
      </c>
      <c r="M423">
        <f>MINUTE(Table257[[#This Row],[Corrected time]])</f>
        <v>34</v>
      </c>
      <c r="N423" s="1">
        <v>0.52382241898148141</v>
      </c>
      <c r="O423" s="1">
        <f>Table257[[#This Row],[Time]]-TIME(0,0,3)</f>
        <v>0.52378769675925918</v>
      </c>
      <c r="P423" t="s">
        <v>9</v>
      </c>
      <c r="Q423">
        <v>-122</v>
      </c>
      <c r="R423">
        <f>Table257[[#This Row],[RSSI]]</f>
        <v>-122</v>
      </c>
      <c r="S423">
        <v>-7.7</v>
      </c>
    </row>
    <row r="424" spans="2:19" x14ac:dyDescent="0.25">
      <c r="B424">
        <f>390+2*(Table146[[#This Row],[min value (corrected)]]-37)</f>
        <v>404</v>
      </c>
      <c r="C424">
        <f>MINUTE(Table146[[#This Row],[Corrected time]])</f>
        <v>44</v>
      </c>
      <c r="D424" s="1">
        <v>0.48920351851851851</v>
      </c>
      <c r="E424" s="1">
        <f>Table146[[#This Row],[Time]]-TIME(0,0,1)</f>
        <v>0.48919194444444442</v>
      </c>
      <c r="F424" t="s">
        <v>9</v>
      </c>
      <c r="G424">
        <v>-121</v>
      </c>
      <c r="H424">
        <f>Table146[[#This Row],[RSSI]]</f>
        <v>-121</v>
      </c>
      <c r="I424">
        <v>-7.7</v>
      </c>
      <c r="L424">
        <f>390+2*(Table257[[#This Row],[min value (corrected)]]-27)</f>
        <v>404</v>
      </c>
      <c r="M424">
        <f>MINUTE(Table257[[#This Row],[Corrected time]])</f>
        <v>34</v>
      </c>
      <c r="N424" s="1">
        <v>0.52383543981481484</v>
      </c>
      <c r="O424" s="1">
        <f>Table257[[#This Row],[Time]]-TIME(0,0,3)</f>
        <v>0.52380071759259261</v>
      </c>
      <c r="P424" t="s">
        <v>9</v>
      </c>
      <c r="Q424">
        <v>-122</v>
      </c>
      <c r="R424">
        <f>Table257[[#This Row],[RSSI]]</f>
        <v>-122</v>
      </c>
      <c r="S424">
        <v>-8.3000000000000007</v>
      </c>
    </row>
    <row r="425" spans="2:19" x14ac:dyDescent="0.25">
      <c r="B425">
        <f>390+2*(Table146[[#This Row],[min value (corrected)]]-37)</f>
        <v>404</v>
      </c>
      <c r="C425">
        <f>MINUTE(Table146[[#This Row],[Corrected time]])</f>
        <v>44</v>
      </c>
      <c r="D425" s="1">
        <v>0.48921655092592592</v>
      </c>
      <c r="E425" s="1">
        <f>Table146[[#This Row],[Time]]-TIME(0,0,1)</f>
        <v>0.48920497685185182</v>
      </c>
      <c r="F425" t="s">
        <v>9</v>
      </c>
      <c r="G425">
        <v>-121</v>
      </c>
      <c r="H425">
        <f>Table146[[#This Row],[RSSI]]</f>
        <v>-121</v>
      </c>
      <c r="I425">
        <v>-8</v>
      </c>
      <c r="L425">
        <f>390+2*(Table257[[#This Row],[min value (corrected)]]-27)</f>
        <v>404</v>
      </c>
      <c r="M425">
        <f>MINUTE(Table257[[#This Row],[Corrected time]])</f>
        <v>34</v>
      </c>
      <c r="N425" s="1">
        <v>0.52384848379629623</v>
      </c>
      <c r="O425" s="1">
        <f>Table257[[#This Row],[Time]]-TIME(0,0,3)</f>
        <v>0.523813761574074</v>
      </c>
      <c r="P425" t="s">
        <v>9</v>
      </c>
      <c r="Q425">
        <v>-121</v>
      </c>
      <c r="R425">
        <f>Table257[[#This Row],[RSSI]]</f>
        <v>-121</v>
      </c>
      <c r="S425">
        <v>-7.5</v>
      </c>
    </row>
    <row r="426" spans="2:19" x14ac:dyDescent="0.25">
      <c r="B426">
        <f>390+2*(Table146[[#This Row],[min value (corrected)]]-37)</f>
        <v>404</v>
      </c>
      <c r="C426">
        <f>MINUTE(Table146[[#This Row],[Corrected time]])</f>
        <v>44</v>
      </c>
      <c r="D426" s="1">
        <v>0.48922958333333333</v>
      </c>
      <c r="E426" s="1">
        <f>Table146[[#This Row],[Time]]-TIME(0,0,1)</f>
        <v>0.48921800925925923</v>
      </c>
      <c r="F426" t="s">
        <v>9</v>
      </c>
      <c r="G426">
        <v>-121</v>
      </c>
      <c r="H426">
        <f>Table146[[#This Row],[RSSI]]</f>
        <v>-121</v>
      </c>
      <c r="I426">
        <v>-7.7</v>
      </c>
      <c r="L426">
        <f>390+2*(Table257[[#This Row],[min value (corrected)]]-27)</f>
        <v>404</v>
      </c>
      <c r="M426">
        <f>MINUTE(Table257[[#This Row],[Corrected time]])</f>
        <v>34</v>
      </c>
      <c r="N426" s="1">
        <v>0.52386151620370369</v>
      </c>
      <c r="O426" s="1">
        <f>Table257[[#This Row],[Time]]-TIME(0,0,3)</f>
        <v>0.52382679398148146</v>
      </c>
      <c r="P426" t="s">
        <v>9</v>
      </c>
      <c r="Q426">
        <v>-121</v>
      </c>
      <c r="R426">
        <f>Table257[[#This Row],[RSSI]]</f>
        <v>-121</v>
      </c>
      <c r="S426">
        <v>-7.7</v>
      </c>
    </row>
    <row r="427" spans="2:19" x14ac:dyDescent="0.25">
      <c r="B427">
        <f>390+2*(Table146[[#This Row],[min value (corrected)]]-37)</f>
        <v>404</v>
      </c>
      <c r="C427">
        <f>MINUTE(Table146[[#This Row],[Corrected time]])</f>
        <v>44</v>
      </c>
      <c r="D427" s="1">
        <v>0.48924261574074074</v>
      </c>
      <c r="E427" s="1">
        <f>Table146[[#This Row],[Time]]-TIME(0,0,1)</f>
        <v>0.48923104166666664</v>
      </c>
      <c r="F427" t="s">
        <v>9</v>
      </c>
      <c r="G427">
        <v>-121</v>
      </c>
      <c r="H427">
        <f>Table146[[#This Row],[RSSI]]</f>
        <v>-121</v>
      </c>
      <c r="I427">
        <v>-7.7</v>
      </c>
      <c r="L427">
        <f>390+2*(Table257[[#This Row],[min value (corrected)]]-27)</f>
        <v>404</v>
      </c>
      <c r="M427">
        <f>MINUTE(Table257[[#This Row],[Corrected time]])</f>
        <v>34</v>
      </c>
      <c r="N427" s="1">
        <v>0.52387454861111105</v>
      </c>
      <c r="O427" s="1">
        <f>Table257[[#This Row],[Time]]-TIME(0,0,3)</f>
        <v>0.52383982638888882</v>
      </c>
      <c r="P427" t="s">
        <v>9</v>
      </c>
      <c r="Q427">
        <v>-121</v>
      </c>
      <c r="R427">
        <f>Table257[[#This Row],[RSSI]]</f>
        <v>-121</v>
      </c>
      <c r="S427">
        <v>-7.5</v>
      </c>
    </row>
    <row r="428" spans="2:19" x14ac:dyDescent="0.25">
      <c r="B428">
        <f>390+2*(Table146[[#This Row],[min value (corrected)]]-37)</f>
        <v>404</v>
      </c>
      <c r="C428">
        <f>MINUTE(Table146[[#This Row],[Corrected time]])</f>
        <v>44</v>
      </c>
      <c r="D428" s="1">
        <v>0.48925564814814815</v>
      </c>
      <c r="E428" s="1">
        <f>Table146[[#This Row],[Time]]-TIME(0,0,1)</f>
        <v>0.48924407407407405</v>
      </c>
      <c r="F428" t="s">
        <v>9</v>
      </c>
      <c r="G428">
        <v>-122</v>
      </c>
      <c r="H428">
        <f>Table146[[#This Row],[RSSI]]</f>
        <v>-122</v>
      </c>
      <c r="I428">
        <v>-7.7</v>
      </c>
      <c r="L428">
        <f>390+2*(Table257[[#This Row],[min value (corrected)]]-27)</f>
        <v>404</v>
      </c>
      <c r="M428">
        <f>MINUTE(Table257[[#This Row],[Corrected time]])</f>
        <v>34</v>
      </c>
      <c r="N428" s="1">
        <v>0.52388758101851851</v>
      </c>
      <c r="O428" s="1">
        <f>Table257[[#This Row],[Time]]-TIME(0,0,3)</f>
        <v>0.52385285879629628</v>
      </c>
      <c r="P428" t="s">
        <v>9</v>
      </c>
      <c r="Q428">
        <v>-121</v>
      </c>
      <c r="R428">
        <f>Table257[[#This Row],[RSSI]]</f>
        <v>-121</v>
      </c>
      <c r="S428">
        <v>-8</v>
      </c>
    </row>
    <row r="429" spans="2:19" x14ac:dyDescent="0.25">
      <c r="B429">
        <f>390+2*(Table146[[#This Row],[min value (corrected)]]-37)</f>
        <v>404</v>
      </c>
      <c r="C429">
        <f>MINUTE(Table146[[#This Row],[Corrected time]])</f>
        <v>44</v>
      </c>
      <c r="D429" s="1">
        <v>0.48926866898148152</v>
      </c>
      <c r="E429" s="1">
        <f>Table146[[#This Row],[Time]]-TIME(0,0,1)</f>
        <v>0.48925709490740743</v>
      </c>
      <c r="F429" t="s">
        <v>9</v>
      </c>
      <c r="G429">
        <v>-121</v>
      </c>
      <c r="H429">
        <f>Table146[[#This Row],[RSSI]]</f>
        <v>-121</v>
      </c>
      <c r="I429">
        <v>-8</v>
      </c>
      <c r="L429">
        <f>390+2*(Table257[[#This Row],[min value (corrected)]]-27)</f>
        <v>404</v>
      </c>
      <c r="M429">
        <f>MINUTE(Table257[[#This Row],[Corrected time]])</f>
        <v>34</v>
      </c>
      <c r="N429" s="1">
        <v>0.52390061342592587</v>
      </c>
      <c r="O429" s="1">
        <f>Table257[[#This Row],[Time]]-TIME(0,0,3)</f>
        <v>0.52386589120370364</v>
      </c>
      <c r="P429" t="s">
        <v>9</v>
      </c>
      <c r="Q429">
        <v>-122</v>
      </c>
      <c r="R429">
        <f>Table257[[#This Row],[RSSI]]</f>
        <v>-122</v>
      </c>
      <c r="S429">
        <v>-8</v>
      </c>
    </row>
    <row r="430" spans="2:19" x14ac:dyDescent="0.25">
      <c r="B430">
        <f>390+2*(Table146[[#This Row],[min value (corrected)]]-37)</f>
        <v>404</v>
      </c>
      <c r="C430">
        <f>MINUTE(Table146[[#This Row],[Corrected time]])</f>
        <v>44</v>
      </c>
      <c r="D430" s="1">
        <v>0.48928170138888888</v>
      </c>
      <c r="E430" s="1">
        <f>Table146[[#This Row],[Time]]-TIME(0,0,1)</f>
        <v>0.48927012731481478</v>
      </c>
      <c r="F430" t="s">
        <v>9</v>
      </c>
      <c r="G430">
        <v>-121</v>
      </c>
      <c r="H430">
        <f>Table146[[#This Row],[RSSI]]</f>
        <v>-121</v>
      </c>
      <c r="I430">
        <v>-7.5</v>
      </c>
      <c r="L430">
        <f>390+2*(Table257[[#This Row],[min value (corrected)]]-27)</f>
        <v>404</v>
      </c>
      <c r="M430">
        <f>MINUTE(Table257[[#This Row],[Corrected time]])</f>
        <v>34</v>
      </c>
      <c r="N430" s="1">
        <v>0.52391364583333333</v>
      </c>
      <c r="O430" s="1">
        <f>Table257[[#This Row],[Time]]-TIME(0,0,3)</f>
        <v>0.5238789236111111</v>
      </c>
      <c r="P430" t="s">
        <v>9</v>
      </c>
      <c r="Q430">
        <v>-121</v>
      </c>
      <c r="R430">
        <f>Table257[[#This Row],[RSSI]]</f>
        <v>-121</v>
      </c>
      <c r="S430">
        <v>-8</v>
      </c>
    </row>
    <row r="431" spans="2:19" x14ac:dyDescent="0.25">
      <c r="B431">
        <f>390+2*(Table146[[#This Row],[min value (corrected)]]-37)</f>
        <v>404</v>
      </c>
      <c r="C431">
        <f>MINUTE(Table146[[#This Row],[Corrected time]])</f>
        <v>44</v>
      </c>
      <c r="D431" s="1">
        <v>0.48929474537037038</v>
      </c>
      <c r="E431" s="1">
        <f>Table146[[#This Row],[Time]]-TIME(0,0,1)</f>
        <v>0.48928317129629628</v>
      </c>
      <c r="F431" t="s">
        <v>9</v>
      </c>
      <c r="G431">
        <v>-121</v>
      </c>
      <c r="H431">
        <f>Table146[[#This Row],[RSSI]]</f>
        <v>-121</v>
      </c>
      <c r="I431">
        <v>-7.7</v>
      </c>
      <c r="L431">
        <f>390+2*(Table257[[#This Row],[min value (corrected)]]-27)</f>
        <v>404</v>
      </c>
      <c r="M431">
        <f>MINUTE(Table257[[#This Row],[Corrected time]])</f>
        <v>34</v>
      </c>
      <c r="N431" s="1">
        <v>0.52392667824074068</v>
      </c>
      <c r="O431" s="1">
        <f>Table257[[#This Row],[Time]]-TIME(0,0,3)</f>
        <v>0.52389195601851846</v>
      </c>
      <c r="P431" t="s">
        <v>9</v>
      </c>
      <c r="Q431">
        <v>-121</v>
      </c>
      <c r="R431">
        <f>Table257[[#This Row],[RSSI]]</f>
        <v>-121</v>
      </c>
      <c r="S431">
        <v>-7.2</v>
      </c>
    </row>
    <row r="432" spans="2:19" x14ac:dyDescent="0.25">
      <c r="B432">
        <f>390+2*(Table146[[#This Row],[min value (corrected)]]-37)</f>
        <v>404</v>
      </c>
      <c r="C432">
        <f>MINUTE(Table146[[#This Row],[Corrected time]])</f>
        <v>44</v>
      </c>
      <c r="D432" s="1">
        <v>0.48930777777777779</v>
      </c>
      <c r="E432" s="1">
        <f>Table146[[#This Row],[Time]]-TIME(0,0,1)</f>
        <v>0.48929620370370369</v>
      </c>
      <c r="F432" t="s">
        <v>9</v>
      </c>
      <c r="G432">
        <v>-122</v>
      </c>
      <c r="H432">
        <f>Table146[[#This Row],[RSSI]]</f>
        <v>-122</v>
      </c>
      <c r="I432">
        <v>-8.3000000000000007</v>
      </c>
      <c r="L432">
        <f>390+2*(Table257[[#This Row],[min value (corrected)]]-27)</f>
        <v>404</v>
      </c>
      <c r="M432">
        <f>MINUTE(Table257[[#This Row],[Corrected time]])</f>
        <v>34</v>
      </c>
      <c r="N432" s="1">
        <v>0.52393971064814815</v>
      </c>
      <c r="O432" s="1">
        <f>Table257[[#This Row],[Time]]-TIME(0,0,3)</f>
        <v>0.52390498842592592</v>
      </c>
      <c r="P432" t="s">
        <v>9</v>
      </c>
      <c r="Q432">
        <v>-121</v>
      </c>
      <c r="R432">
        <f>Table257[[#This Row],[RSSI]]</f>
        <v>-121</v>
      </c>
      <c r="S432">
        <v>-8</v>
      </c>
    </row>
    <row r="433" spans="2:19" x14ac:dyDescent="0.25">
      <c r="B433">
        <f>390+2*(Table146[[#This Row],[min value (corrected)]]-37)</f>
        <v>404</v>
      </c>
      <c r="C433">
        <f>MINUTE(Table146[[#This Row],[Corrected time]])</f>
        <v>44</v>
      </c>
      <c r="D433" s="1">
        <v>0.48932079861111116</v>
      </c>
      <c r="E433" s="1">
        <f>Table146[[#This Row],[Time]]-TIME(0,0,1)</f>
        <v>0.48930922453703707</v>
      </c>
      <c r="F433" t="s">
        <v>9</v>
      </c>
      <c r="G433">
        <v>-121</v>
      </c>
      <c r="H433">
        <f>Table146[[#This Row],[RSSI]]</f>
        <v>-121</v>
      </c>
      <c r="I433">
        <v>-7.5</v>
      </c>
      <c r="L433">
        <f>390+2*(Table257[[#This Row],[min value (corrected)]]-27)</f>
        <v>404</v>
      </c>
      <c r="M433">
        <f>MINUTE(Table257[[#This Row],[Corrected time]])</f>
        <v>34</v>
      </c>
      <c r="N433" s="1">
        <v>0.52395273148148147</v>
      </c>
      <c r="O433" s="1">
        <f>Table257[[#This Row],[Time]]-TIME(0,0,3)</f>
        <v>0.52391800925925924</v>
      </c>
      <c r="P433" t="s">
        <v>9</v>
      </c>
      <c r="Q433">
        <v>-121</v>
      </c>
      <c r="R433">
        <f>Table257[[#This Row],[RSSI]]</f>
        <v>-121</v>
      </c>
      <c r="S433">
        <v>-7.7</v>
      </c>
    </row>
    <row r="434" spans="2:19" x14ac:dyDescent="0.25">
      <c r="B434">
        <f>390+2*(Table146[[#This Row],[min value (corrected)]]-37)</f>
        <v>404</v>
      </c>
      <c r="C434">
        <f>MINUTE(Table146[[#This Row],[Corrected time]])</f>
        <v>44</v>
      </c>
      <c r="D434" s="1">
        <v>0.4893338425925926</v>
      </c>
      <c r="E434" s="1">
        <f>Table146[[#This Row],[Time]]-TIME(0,0,1)</f>
        <v>0.48932226851851851</v>
      </c>
      <c r="F434" t="s">
        <v>9</v>
      </c>
      <c r="G434">
        <v>-121</v>
      </c>
      <c r="H434">
        <f>Table146[[#This Row],[RSSI]]</f>
        <v>-121</v>
      </c>
      <c r="I434">
        <v>-7.7</v>
      </c>
      <c r="L434">
        <f>390+2*(Table257[[#This Row],[min value (corrected)]]-27)</f>
        <v>404</v>
      </c>
      <c r="M434">
        <f>MINUTE(Table257[[#This Row],[Corrected time]])</f>
        <v>34</v>
      </c>
      <c r="N434" s="1">
        <v>0.52396577546296297</v>
      </c>
      <c r="O434" s="1">
        <f>Table257[[#This Row],[Time]]-TIME(0,0,3)</f>
        <v>0.52393105324074074</v>
      </c>
      <c r="P434" t="s">
        <v>9</v>
      </c>
      <c r="Q434">
        <v>-121</v>
      </c>
      <c r="R434">
        <f>Table257[[#This Row],[RSSI]]</f>
        <v>-121</v>
      </c>
      <c r="S434">
        <v>-7.5</v>
      </c>
    </row>
    <row r="435" spans="2:19" x14ac:dyDescent="0.25">
      <c r="B435">
        <f>390+2*(Table146[[#This Row],[min value (corrected)]]-37)</f>
        <v>404</v>
      </c>
      <c r="C435">
        <f>MINUTE(Table146[[#This Row],[Corrected time]])</f>
        <v>44</v>
      </c>
      <c r="D435" s="1">
        <v>0.48934687500000001</v>
      </c>
      <c r="E435" s="1">
        <f>Table146[[#This Row],[Time]]-TIME(0,0,1)</f>
        <v>0.48933530092592592</v>
      </c>
      <c r="F435" t="s">
        <v>9</v>
      </c>
      <c r="G435">
        <v>-122</v>
      </c>
      <c r="H435">
        <f>Table146[[#This Row],[RSSI]]</f>
        <v>-122</v>
      </c>
      <c r="I435">
        <v>-7.7</v>
      </c>
      <c r="L435">
        <f>390+2*(Table257[[#This Row],[min value (corrected)]]-27)</f>
        <v>404</v>
      </c>
      <c r="M435">
        <f>MINUTE(Table257[[#This Row],[Corrected time]])</f>
        <v>34</v>
      </c>
      <c r="N435" s="1">
        <v>0.52397879629629629</v>
      </c>
      <c r="O435" s="1">
        <f>Table257[[#This Row],[Time]]-TIME(0,0,3)</f>
        <v>0.52394407407407406</v>
      </c>
      <c r="P435" t="s">
        <v>9</v>
      </c>
      <c r="Q435">
        <v>-121</v>
      </c>
      <c r="R435">
        <f>Table257[[#This Row],[RSSI]]</f>
        <v>-121</v>
      </c>
      <c r="S435">
        <v>-7</v>
      </c>
    </row>
    <row r="436" spans="2:19" x14ac:dyDescent="0.25">
      <c r="B436">
        <f>390+2*(Table146[[#This Row],[min value (corrected)]]-37)</f>
        <v>404</v>
      </c>
      <c r="C436">
        <f>MINUTE(Table146[[#This Row],[Corrected time]])</f>
        <v>44</v>
      </c>
      <c r="D436" s="1">
        <v>0.48935989583333334</v>
      </c>
      <c r="E436" s="1">
        <f>Table146[[#This Row],[Time]]-TIME(0,0,1)</f>
        <v>0.48934832175925924</v>
      </c>
      <c r="F436" t="s">
        <v>9</v>
      </c>
      <c r="G436">
        <v>-121</v>
      </c>
      <c r="H436">
        <f>Table146[[#This Row],[RSSI]]</f>
        <v>-121</v>
      </c>
      <c r="I436">
        <v>-7.2</v>
      </c>
      <c r="L436">
        <f>390+2*(Table257[[#This Row],[min value (corrected)]]-27)</f>
        <v>404</v>
      </c>
      <c r="M436">
        <f>MINUTE(Table257[[#This Row],[Corrected time]])</f>
        <v>34</v>
      </c>
      <c r="N436" s="1">
        <v>0.52399184027777779</v>
      </c>
      <c r="O436" s="1">
        <f>Table257[[#This Row],[Time]]-TIME(0,0,3)</f>
        <v>0.52395711805555556</v>
      </c>
      <c r="P436" t="s">
        <v>9</v>
      </c>
      <c r="Q436">
        <v>-121</v>
      </c>
      <c r="R436">
        <f>Table257[[#This Row],[RSSI]]</f>
        <v>-121</v>
      </c>
      <c r="S436">
        <v>-8</v>
      </c>
    </row>
    <row r="437" spans="2:19" x14ac:dyDescent="0.25">
      <c r="B437">
        <f>390+2*(Table146[[#This Row],[min value (corrected)]]-37)</f>
        <v>404</v>
      </c>
      <c r="C437">
        <f>MINUTE(Table146[[#This Row],[Corrected time]])</f>
        <v>44</v>
      </c>
      <c r="D437" s="1">
        <v>0.48937293981481483</v>
      </c>
      <c r="E437" s="1">
        <f>Table146[[#This Row],[Time]]-TIME(0,0,1)</f>
        <v>0.48936136574074074</v>
      </c>
      <c r="F437" t="s">
        <v>9</v>
      </c>
      <c r="G437">
        <v>-122</v>
      </c>
      <c r="H437">
        <f>Table146[[#This Row],[RSSI]]</f>
        <v>-122</v>
      </c>
      <c r="I437">
        <v>-8.5</v>
      </c>
      <c r="L437">
        <f>390+2*(Table257[[#This Row],[min value (corrected)]]-27)</f>
        <v>404</v>
      </c>
      <c r="M437">
        <f>MINUTE(Table257[[#This Row],[Corrected time]])</f>
        <v>34</v>
      </c>
      <c r="N437" s="1">
        <v>0.52400484953703708</v>
      </c>
      <c r="O437" s="1">
        <f>Table257[[#This Row],[Time]]-TIME(0,0,3)</f>
        <v>0.52397012731481485</v>
      </c>
      <c r="P437" t="s">
        <v>9</v>
      </c>
      <c r="Q437">
        <v>-121</v>
      </c>
      <c r="R437">
        <f>Table257[[#This Row],[RSSI]]</f>
        <v>-121</v>
      </c>
      <c r="S437">
        <v>-7.7</v>
      </c>
    </row>
    <row r="438" spans="2:19" x14ac:dyDescent="0.25">
      <c r="B438">
        <f>390+2*(Table146[[#This Row],[min value (corrected)]]-37)</f>
        <v>404</v>
      </c>
      <c r="C438">
        <f>MINUTE(Table146[[#This Row],[Corrected time]])</f>
        <v>44</v>
      </c>
      <c r="D438" s="1">
        <v>0.48938597222222219</v>
      </c>
      <c r="E438" s="1">
        <f>Table146[[#This Row],[Time]]-TIME(0,0,1)</f>
        <v>0.48937439814814809</v>
      </c>
      <c r="F438" t="s">
        <v>9</v>
      </c>
      <c r="G438">
        <v>-122</v>
      </c>
      <c r="H438">
        <f>Table146[[#This Row],[RSSI]]</f>
        <v>-122</v>
      </c>
      <c r="I438">
        <v>-8.3000000000000007</v>
      </c>
      <c r="L438">
        <f>390+2*(Table257[[#This Row],[min value (corrected)]]-27)</f>
        <v>404</v>
      </c>
      <c r="M438">
        <f>MINUTE(Table257[[#This Row],[Corrected time]])</f>
        <v>34</v>
      </c>
      <c r="N438" s="1">
        <v>0.52401790509259261</v>
      </c>
      <c r="O438" s="1">
        <f>Table257[[#This Row],[Time]]-TIME(0,0,3)</f>
        <v>0.52398318287037038</v>
      </c>
      <c r="P438" t="s">
        <v>9</v>
      </c>
      <c r="Q438">
        <v>-121</v>
      </c>
      <c r="R438">
        <f>Table257[[#This Row],[RSSI]]</f>
        <v>-121</v>
      </c>
      <c r="S438">
        <v>-7.7</v>
      </c>
    </row>
    <row r="439" spans="2:19" x14ac:dyDescent="0.25">
      <c r="B439">
        <f>390+2*(Table146[[#This Row],[min value (corrected)]]-37)</f>
        <v>404</v>
      </c>
      <c r="C439">
        <f>MINUTE(Table146[[#This Row],[Corrected time]])</f>
        <v>44</v>
      </c>
      <c r="D439" s="1">
        <v>0.48939899305555551</v>
      </c>
      <c r="E439" s="1">
        <f>Table146[[#This Row],[Time]]-TIME(0,0,1)</f>
        <v>0.48938741898148141</v>
      </c>
      <c r="F439" t="s">
        <v>9</v>
      </c>
      <c r="G439">
        <v>-121</v>
      </c>
      <c r="H439">
        <f>Table146[[#This Row],[RSSI]]</f>
        <v>-121</v>
      </c>
      <c r="I439">
        <v>-7.5</v>
      </c>
      <c r="L439">
        <f>390+2*(Table257[[#This Row],[min value (corrected)]]-27)</f>
        <v>404</v>
      </c>
      <c r="M439">
        <f>MINUTE(Table257[[#This Row],[Corrected time]])</f>
        <v>34</v>
      </c>
      <c r="N439" s="1">
        <v>0.52403092592592593</v>
      </c>
      <c r="O439" s="1">
        <f>Table257[[#This Row],[Time]]-TIME(0,0,3)</f>
        <v>0.5239962037037037</v>
      </c>
      <c r="P439" t="s">
        <v>9</v>
      </c>
      <c r="Q439">
        <v>-121</v>
      </c>
      <c r="R439">
        <f>Table257[[#This Row],[RSSI]]</f>
        <v>-121</v>
      </c>
      <c r="S439">
        <v>-7.5</v>
      </c>
    </row>
    <row r="440" spans="2:19" x14ac:dyDescent="0.25">
      <c r="B440">
        <f>390+2*(Table146[[#This Row],[min value (corrected)]]-37)</f>
        <v>404</v>
      </c>
      <c r="C440">
        <f>MINUTE(Table146[[#This Row],[Corrected time]])</f>
        <v>44</v>
      </c>
      <c r="D440" s="1">
        <v>0.48941202546296297</v>
      </c>
      <c r="E440" s="1">
        <f>Table146[[#This Row],[Time]]-TIME(0,0,1)</f>
        <v>0.48940045138888888</v>
      </c>
      <c r="F440" t="s">
        <v>9</v>
      </c>
      <c r="G440">
        <v>-122</v>
      </c>
      <c r="H440">
        <f>Table146[[#This Row],[RSSI]]</f>
        <v>-122</v>
      </c>
      <c r="I440">
        <v>-8.3000000000000007</v>
      </c>
      <c r="L440">
        <f>390+2*(Table257[[#This Row],[min value (corrected)]]-27)</f>
        <v>404</v>
      </c>
      <c r="M440">
        <f>MINUTE(Table257[[#This Row],[Corrected time]])</f>
        <v>34</v>
      </c>
      <c r="N440" s="1">
        <v>0.52404396990740743</v>
      </c>
      <c r="O440" s="1">
        <f>Table257[[#This Row],[Time]]-TIME(0,0,3)</f>
        <v>0.5240092476851852</v>
      </c>
      <c r="P440" t="s">
        <v>9</v>
      </c>
      <c r="Q440">
        <v>-121</v>
      </c>
      <c r="R440">
        <f>Table257[[#This Row],[RSSI]]</f>
        <v>-121</v>
      </c>
      <c r="S440">
        <v>-7</v>
      </c>
    </row>
    <row r="441" spans="2:19" x14ac:dyDescent="0.25">
      <c r="B441">
        <f>390+2*(Table146[[#This Row],[min value (corrected)]]-37)</f>
        <v>404</v>
      </c>
      <c r="C441">
        <f>MINUTE(Table146[[#This Row],[Corrected time]])</f>
        <v>44</v>
      </c>
      <c r="D441" s="1">
        <v>0.48942505787037033</v>
      </c>
      <c r="E441" s="1">
        <f>Table146[[#This Row],[Time]]-TIME(0,0,1)</f>
        <v>0.48941348379629623</v>
      </c>
      <c r="F441" t="s">
        <v>9</v>
      </c>
      <c r="G441">
        <v>-122</v>
      </c>
      <c r="H441">
        <f>Table146[[#This Row],[RSSI]]</f>
        <v>-122</v>
      </c>
      <c r="I441">
        <v>-8.3000000000000007</v>
      </c>
      <c r="L441">
        <f>390+2*(Table257[[#This Row],[min value (corrected)]]-27)</f>
        <v>404</v>
      </c>
      <c r="M441">
        <f>MINUTE(Table257[[#This Row],[Corrected time]])</f>
        <v>34</v>
      </c>
      <c r="N441" s="1">
        <v>0.52405699074074075</v>
      </c>
      <c r="O441" s="1">
        <f>Table257[[#This Row],[Time]]-TIME(0,0,3)</f>
        <v>0.52402226851851852</v>
      </c>
      <c r="P441" t="s">
        <v>27</v>
      </c>
      <c r="Q441">
        <f>Q440</f>
        <v>-121</v>
      </c>
      <c r="R441">
        <f>Table257[[#This Row],[RSSI]]</f>
        <v>-121</v>
      </c>
      <c r="S441">
        <f>S440</f>
        <v>-7</v>
      </c>
    </row>
    <row r="442" spans="2:19" x14ac:dyDescent="0.25">
      <c r="B442">
        <f>390+2*(Table146[[#This Row],[min value (corrected)]]-37)</f>
        <v>404</v>
      </c>
      <c r="C442">
        <f>MINUTE(Table146[[#This Row],[Corrected time]])</f>
        <v>44</v>
      </c>
      <c r="D442" s="1">
        <v>0.48943809027777779</v>
      </c>
      <c r="E442" s="1">
        <f>Table146[[#This Row],[Time]]-TIME(0,0,1)</f>
        <v>0.4894265162037037</v>
      </c>
      <c r="F442" t="s">
        <v>9</v>
      </c>
      <c r="G442">
        <v>-121</v>
      </c>
      <c r="H442">
        <f>Table146[[#This Row],[RSSI]]</f>
        <v>-121</v>
      </c>
      <c r="I442">
        <v>-7.7</v>
      </c>
      <c r="L442">
        <f>390+2*(Table257[[#This Row],[min value (corrected)]]-27)</f>
        <v>404</v>
      </c>
      <c r="M442">
        <f>MINUTE(Table257[[#This Row],[Corrected time]])</f>
        <v>34</v>
      </c>
      <c r="N442" s="1">
        <v>0.52407003472222224</v>
      </c>
      <c r="O442" s="1">
        <f>Table257[[#This Row],[Time]]-TIME(0,0,3)</f>
        <v>0.52403531250000002</v>
      </c>
      <c r="P442" t="s">
        <v>9</v>
      </c>
      <c r="Q442">
        <v>-121</v>
      </c>
      <c r="R442">
        <f>Table257[[#This Row],[RSSI]]</f>
        <v>-121</v>
      </c>
      <c r="S442">
        <v>-7.5</v>
      </c>
    </row>
    <row r="443" spans="2:19" x14ac:dyDescent="0.25">
      <c r="B443">
        <f>390+2*(Table146[[#This Row],[min value (corrected)]]-37)</f>
        <v>404</v>
      </c>
      <c r="C443">
        <f>MINUTE(Table146[[#This Row],[Corrected time]])</f>
        <v>44</v>
      </c>
      <c r="D443" s="1">
        <v>0.48945112268518515</v>
      </c>
      <c r="E443" s="1">
        <f>Table146[[#This Row],[Time]]-TIME(0,0,1)</f>
        <v>0.48943954861111105</v>
      </c>
      <c r="F443" t="s">
        <v>9</v>
      </c>
      <c r="G443">
        <v>-121</v>
      </c>
      <c r="H443">
        <f>Table146[[#This Row],[RSSI]]</f>
        <v>-121</v>
      </c>
      <c r="I443">
        <v>-7.7</v>
      </c>
      <c r="L443">
        <f>390+2*(Table257[[#This Row],[min value (corrected)]]-27)</f>
        <v>404</v>
      </c>
      <c r="M443">
        <f>MINUTE(Table257[[#This Row],[Corrected time]])</f>
        <v>34</v>
      </c>
      <c r="N443" s="1">
        <v>0.5240830671296296</v>
      </c>
      <c r="O443" s="1">
        <f>Table257[[#This Row],[Time]]-TIME(0,0,3)</f>
        <v>0.52404834490740737</v>
      </c>
      <c r="P443" t="s">
        <v>9</v>
      </c>
      <c r="Q443">
        <v>-121</v>
      </c>
      <c r="R443">
        <f>Table257[[#This Row],[RSSI]]</f>
        <v>-121</v>
      </c>
      <c r="S443">
        <v>-7.5</v>
      </c>
    </row>
    <row r="444" spans="2:19" x14ac:dyDescent="0.25">
      <c r="B444">
        <f>390+2*(Table146[[#This Row],[min value (corrected)]]-37)</f>
        <v>404</v>
      </c>
      <c r="C444">
        <f>MINUTE(Table146[[#This Row],[Corrected time]])</f>
        <v>44</v>
      </c>
      <c r="D444" s="1">
        <v>0.48946416666666664</v>
      </c>
      <c r="E444" s="1">
        <f>Table146[[#This Row],[Time]]-TIME(0,0,1)</f>
        <v>0.48945259259259255</v>
      </c>
      <c r="F444" t="s">
        <v>9</v>
      </c>
      <c r="G444">
        <v>-121</v>
      </c>
      <c r="H444">
        <f>Table146[[#This Row],[RSSI]]</f>
        <v>-121</v>
      </c>
      <c r="I444">
        <v>-7.5</v>
      </c>
      <c r="L444">
        <f>390+2*(Table257[[#This Row],[min value (corrected)]]-27)</f>
        <v>404</v>
      </c>
      <c r="M444">
        <f>MINUTE(Table257[[#This Row],[Corrected time]])</f>
        <v>34</v>
      </c>
      <c r="N444" s="1">
        <v>0.52409609953703706</v>
      </c>
      <c r="O444" s="1">
        <f>Table257[[#This Row],[Time]]-TIME(0,0,3)</f>
        <v>0.52406137731481484</v>
      </c>
      <c r="P444" t="s">
        <v>9</v>
      </c>
      <c r="Q444">
        <v>-121</v>
      </c>
      <c r="R444">
        <f>Table257[[#This Row],[RSSI]]</f>
        <v>-121</v>
      </c>
      <c r="S444">
        <v>-7.7</v>
      </c>
    </row>
    <row r="445" spans="2:19" x14ac:dyDescent="0.25">
      <c r="B445">
        <f>390+2*(Table146[[#This Row],[min value (corrected)]]-37)</f>
        <v>404</v>
      </c>
      <c r="C445">
        <f>MINUTE(Table146[[#This Row],[Corrected time]])</f>
        <v>44</v>
      </c>
      <c r="D445" s="1">
        <v>0.48947718749999997</v>
      </c>
      <c r="E445" s="1">
        <f>Table146[[#This Row],[Time]]-TIME(0,0,1)</f>
        <v>0.48946561342592587</v>
      </c>
      <c r="F445" t="s">
        <v>9</v>
      </c>
      <c r="G445">
        <v>-121</v>
      </c>
      <c r="H445">
        <f>Table146[[#This Row],[RSSI]]</f>
        <v>-121</v>
      </c>
      <c r="I445">
        <v>-8.3000000000000007</v>
      </c>
      <c r="L445">
        <f>390+2*(Table257[[#This Row],[min value (corrected)]]-27)</f>
        <v>404</v>
      </c>
      <c r="M445">
        <f>MINUTE(Table257[[#This Row],[Corrected time]])</f>
        <v>34</v>
      </c>
      <c r="N445" s="1">
        <v>0.52410912037037038</v>
      </c>
      <c r="O445" s="1">
        <f>Table257[[#This Row],[Time]]-TIME(0,0,3)</f>
        <v>0.52407439814814816</v>
      </c>
      <c r="P445" t="s">
        <v>9</v>
      </c>
      <c r="Q445">
        <v>-121</v>
      </c>
      <c r="R445">
        <f>Table257[[#This Row],[RSSI]]</f>
        <v>-121</v>
      </c>
      <c r="S445">
        <v>-7.5</v>
      </c>
    </row>
    <row r="446" spans="2:19" x14ac:dyDescent="0.25">
      <c r="B446">
        <f>390+2*(Table146[[#This Row],[min value (corrected)]]-37)</f>
        <v>404</v>
      </c>
      <c r="C446">
        <f>MINUTE(Table146[[#This Row],[Corrected time]])</f>
        <v>44</v>
      </c>
      <c r="D446" s="1">
        <v>0.48949023148148146</v>
      </c>
      <c r="E446" s="1">
        <f>Table146[[#This Row],[Time]]-TIME(0,0,1)</f>
        <v>0.48947865740740737</v>
      </c>
      <c r="F446" t="s">
        <v>9</v>
      </c>
      <c r="G446">
        <v>-122</v>
      </c>
      <c r="H446">
        <f>Table146[[#This Row],[RSSI]]</f>
        <v>-122</v>
      </c>
      <c r="I446">
        <v>-8</v>
      </c>
      <c r="L446">
        <f>390+2*(Table257[[#This Row],[min value (corrected)]]-27)</f>
        <v>404</v>
      </c>
      <c r="M446">
        <f>MINUTE(Table257[[#This Row],[Corrected time]])</f>
        <v>34</v>
      </c>
      <c r="N446" s="1">
        <v>0.52412216435185188</v>
      </c>
      <c r="O446" s="1">
        <f>Table257[[#This Row],[Time]]-TIME(0,0,3)</f>
        <v>0.52408744212962965</v>
      </c>
      <c r="P446" t="s">
        <v>9</v>
      </c>
      <c r="Q446">
        <v>-122</v>
      </c>
      <c r="R446">
        <f>Table257[[#This Row],[RSSI]]</f>
        <v>-122</v>
      </c>
      <c r="S446">
        <v>-7.5</v>
      </c>
    </row>
    <row r="447" spans="2:19" x14ac:dyDescent="0.25">
      <c r="B447">
        <f>390+2*(Table146[[#This Row],[min value (corrected)]]-37)</f>
        <v>404</v>
      </c>
      <c r="C447">
        <f>MINUTE(Table146[[#This Row],[Corrected time]])</f>
        <v>44</v>
      </c>
      <c r="D447" s="1">
        <v>0.48950326388888893</v>
      </c>
      <c r="E447" s="1">
        <f>Table146[[#This Row],[Time]]-TIME(0,0,1)</f>
        <v>0.48949168981481483</v>
      </c>
      <c r="F447" t="s">
        <v>9</v>
      </c>
      <c r="G447">
        <v>-121</v>
      </c>
      <c r="H447">
        <f>Table146[[#This Row],[RSSI]]</f>
        <v>-121</v>
      </c>
      <c r="I447">
        <v>-7.5</v>
      </c>
      <c r="L447">
        <f>390+2*(Table257[[#This Row],[min value (corrected)]]-27)</f>
        <v>404</v>
      </c>
      <c r="M447">
        <f>MINUTE(Table257[[#This Row],[Corrected time]])</f>
        <v>34</v>
      </c>
      <c r="N447" s="1">
        <v>0.52413519675925924</v>
      </c>
      <c r="O447" s="1">
        <f>Table257[[#This Row],[Time]]-TIME(0,0,3)</f>
        <v>0.52410047453703701</v>
      </c>
      <c r="P447" t="s">
        <v>9</v>
      </c>
      <c r="Q447">
        <v>-121</v>
      </c>
      <c r="R447">
        <f>Table257[[#This Row],[RSSI]]</f>
        <v>-121</v>
      </c>
      <c r="S447">
        <v>-8</v>
      </c>
    </row>
    <row r="448" spans="2:19" x14ac:dyDescent="0.25">
      <c r="B448">
        <f>390+2*(Table146[[#This Row],[min value (corrected)]]-37)</f>
        <v>404</v>
      </c>
      <c r="C448">
        <f>MINUTE(Table146[[#This Row],[Corrected time]])</f>
        <v>44</v>
      </c>
      <c r="D448" s="1">
        <v>0.48951628472222225</v>
      </c>
      <c r="E448" s="1">
        <f>Table146[[#This Row],[Time]]-TIME(0,0,1)</f>
        <v>0.48950471064814816</v>
      </c>
      <c r="F448" t="s">
        <v>9</v>
      </c>
      <c r="G448">
        <v>-121</v>
      </c>
      <c r="H448">
        <f>Table146[[#This Row],[RSSI]]</f>
        <v>-121</v>
      </c>
      <c r="I448">
        <v>-8</v>
      </c>
      <c r="L448">
        <f>390+2*(Table257[[#This Row],[min value (corrected)]]-27)</f>
        <v>404</v>
      </c>
      <c r="M448">
        <f>MINUTE(Table257[[#This Row],[Corrected time]])</f>
        <v>34</v>
      </c>
      <c r="N448" s="1">
        <v>0.5241482291666667</v>
      </c>
      <c r="O448" s="1">
        <f>Table257[[#This Row],[Time]]-TIME(0,0,3)</f>
        <v>0.52411350694444447</v>
      </c>
      <c r="P448" t="s">
        <v>9</v>
      </c>
      <c r="Q448">
        <v>-121</v>
      </c>
      <c r="R448">
        <f>Table257[[#This Row],[RSSI]]</f>
        <v>-121</v>
      </c>
      <c r="S448">
        <v>-7.5</v>
      </c>
    </row>
    <row r="449" spans="2:19" x14ac:dyDescent="0.25">
      <c r="B449">
        <f>390+2*(Table146[[#This Row],[min value (corrected)]]-37)</f>
        <v>404</v>
      </c>
      <c r="C449">
        <f>MINUTE(Table146[[#This Row],[Corrected time]])</f>
        <v>44</v>
      </c>
      <c r="D449" s="1">
        <v>0.4895293171296296</v>
      </c>
      <c r="E449" s="1">
        <f>Table146[[#This Row],[Time]]-TIME(0,0,1)</f>
        <v>0.48951774305555551</v>
      </c>
      <c r="F449" t="s">
        <v>9</v>
      </c>
      <c r="G449">
        <v>-122</v>
      </c>
      <c r="H449">
        <f>Table146[[#This Row],[RSSI]]</f>
        <v>-122</v>
      </c>
      <c r="I449">
        <v>-8</v>
      </c>
      <c r="L449">
        <f>390+2*(Table257[[#This Row],[min value (corrected)]]-27)</f>
        <v>404</v>
      </c>
      <c r="M449">
        <f>MINUTE(Table257[[#This Row],[Corrected time]])</f>
        <v>34</v>
      </c>
      <c r="N449" s="1">
        <v>0.52416126157407406</v>
      </c>
      <c r="O449" s="1">
        <f>Table257[[#This Row],[Time]]-TIME(0,0,3)</f>
        <v>0.52412653935185183</v>
      </c>
      <c r="P449" t="s">
        <v>9</v>
      </c>
      <c r="Q449">
        <v>-121</v>
      </c>
      <c r="R449">
        <f>Table257[[#This Row],[RSSI]]</f>
        <v>-121</v>
      </c>
      <c r="S449">
        <v>-7.2</v>
      </c>
    </row>
    <row r="450" spans="2:19" x14ac:dyDescent="0.25">
      <c r="B450">
        <f>390+2*(Table146[[#This Row],[min value (corrected)]]-37)</f>
        <v>404</v>
      </c>
      <c r="C450">
        <f>MINUTE(Table146[[#This Row],[Corrected time]])</f>
        <v>44</v>
      </c>
      <c r="D450" s="1">
        <v>0.4895423611111111</v>
      </c>
      <c r="E450" s="1">
        <f>Table146[[#This Row],[Time]]-TIME(0,0,1)</f>
        <v>0.48953078703703701</v>
      </c>
      <c r="F450" t="s">
        <v>9</v>
      </c>
      <c r="G450">
        <v>-122</v>
      </c>
      <c r="H450">
        <f>Table146[[#This Row],[RSSI]]</f>
        <v>-122</v>
      </c>
      <c r="I450">
        <v>-8.3000000000000007</v>
      </c>
      <c r="L450">
        <f>390+2*(Table257[[#This Row],[min value (corrected)]]-27)</f>
        <v>404</v>
      </c>
      <c r="M450">
        <f>MINUTE(Table257[[#This Row],[Corrected time]])</f>
        <v>34</v>
      </c>
      <c r="N450" s="1">
        <v>0.52417428240740749</v>
      </c>
      <c r="O450" s="1">
        <f>Table257[[#This Row],[Time]]-TIME(0,0,3)</f>
        <v>0.52413956018518526</v>
      </c>
      <c r="P450" t="s">
        <v>9</v>
      </c>
      <c r="Q450">
        <v>-121</v>
      </c>
      <c r="R450">
        <f>Table257[[#This Row],[RSSI]]</f>
        <v>-121</v>
      </c>
      <c r="S450">
        <v>-7</v>
      </c>
    </row>
    <row r="451" spans="2:19" x14ac:dyDescent="0.25">
      <c r="B451">
        <f>390+2*(Table146[[#This Row],[min value (corrected)]]-37)</f>
        <v>404</v>
      </c>
      <c r="C451">
        <f>MINUTE(Table146[[#This Row],[Corrected time]])</f>
        <v>44</v>
      </c>
      <c r="D451" s="1">
        <v>0.48955538194444442</v>
      </c>
      <c r="E451" s="1">
        <f>Table146[[#This Row],[Time]]-TIME(0,0,1)</f>
        <v>0.48954380787037033</v>
      </c>
      <c r="F451" t="s">
        <v>9</v>
      </c>
      <c r="G451">
        <v>-121</v>
      </c>
      <c r="H451">
        <f>Table146[[#This Row],[RSSI]]</f>
        <v>-121</v>
      </c>
      <c r="I451">
        <v>-8.3000000000000007</v>
      </c>
      <c r="L451">
        <f>390+2*(Table257[[#This Row],[min value (corrected)]]-27)</f>
        <v>404</v>
      </c>
      <c r="M451">
        <f>MINUTE(Table257[[#This Row],[Corrected time]])</f>
        <v>34</v>
      </c>
      <c r="N451" s="1">
        <v>0.52418732638888887</v>
      </c>
      <c r="O451" s="1">
        <f>Table257[[#This Row],[Time]]-TIME(0,0,3)</f>
        <v>0.52415260416666665</v>
      </c>
      <c r="P451" t="s">
        <v>9</v>
      </c>
      <c r="Q451">
        <v>-121</v>
      </c>
      <c r="R451">
        <f>Table257[[#This Row],[RSSI]]</f>
        <v>-121</v>
      </c>
      <c r="S451">
        <v>-7.5</v>
      </c>
    </row>
    <row r="452" spans="2:19" x14ac:dyDescent="0.25">
      <c r="B452">
        <f>390+2*(Table146[[#This Row],[min value (corrected)]]-37)</f>
        <v>404</v>
      </c>
      <c r="C452">
        <f>MINUTE(Table146[[#This Row],[Corrected time]])</f>
        <v>44</v>
      </c>
      <c r="D452" s="1">
        <v>0.48956841435185189</v>
      </c>
      <c r="E452" s="1">
        <f>Table146[[#This Row],[Time]]-TIME(0,0,1)</f>
        <v>0.48955684027777779</v>
      </c>
      <c r="F452" t="s">
        <v>9</v>
      </c>
      <c r="G452">
        <v>-121</v>
      </c>
      <c r="H452">
        <f>Table146[[#This Row],[RSSI]]</f>
        <v>-121</v>
      </c>
      <c r="I452">
        <v>-7.5</v>
      </c>
      <c r="L452">
        <f>390+2*(Table257[[#This Row],[min value (corrected)]]-27)</f>
        <v>404</v>
      </c>
      <c r="M452">
        <f>MINUTE(Table257[[#This Row],[Corrected time]])</f>
        <v>34</v>
      </c>
      <c r="N452" s="1">
        <v>0.52420034722222231</v>
      </c>
      <c r="O452" s="1">
        <f>Table257[[#This Row],[Time]]-TIME(0,0,3)</f>
        <v>0.52416562500000008</v>
      </c>
      <c r="P452" t="s">
        <v>9</v>
      </c>
      <c r="Q452">
        <v>-121</v>
      </c>
      <c r="R452">
        <f>Table257[[#This Row],[RSSI]]</f>
        <v>-121</v>
      </c>
      <c r="S452">
        <v>-7.5</v>
      </c>
    </row>
    <row r="453" spans="2:19" x14ac:dyDescent="0.25">
      <c r="B453">
        <f>390+2*(Table146[[#This Row],[min value (corrected)]]-37)</f>
        <v>404</v>
      </c>
      <c r="C453">
        <f>MINUTE(Table146[[#This Row],[Corrected time]])</f>
        <v>44</v>
      </c>
      <c r="D453" s="1">
        <v>0.48958144675925924</v>
      </c>
      <c r="E453" s="1">
        <f>Table146[[#This Row],[Time]]-TIME(0,0,1)</f>
        <v>0.48956987268518515</v>
      </c>
      <c r="F453" t="s">
        <v>9</v>
      </c>
      <c r="G453">
        <v>-121</v>
      </c>
      <c r="H453">
        <f>Table146[[#This Row],[RSSI]]</f>
        <v>-121</v>
      </c>
      <c r="I453">
        <v>-7</v>
      </c>
      <c r="L453">
        <f>390+2*(Table257[[#This Row],[min value (corrected)]]-27)</f>
        <v>404</v>
      </c>
      <c r="M453">
        <f>MINUTE(Table257[[#This Row],[Corrected time]])</f>
        <v>34</v>
      </c>
      <c r="N453" s="1">
        <v>0.52421337962962966</v>
      </c>
      <c r="O453" s="1">
        <f>Table257[[#This Row],[Time]]-TIME(0,0,3)</f>
        <v>0.52417865740740743</v>
      </c>
      <c r="P453" t="s">
        <v>9</v>
      </c>
      <c r="Q453">
        <v>-121</v>
      </c>
      <c r="R453">
        <f>Table257[[#This Row],[RSSI]]</f>
        <v>-121</v>
      </c>
      <c r="S453">
        <v>-7.5</v>
      </c>
    </row>
    <row r="454" spans="2:19" x14ac:dyDescent="0.25">
      <c r="B454">
        <f>390+2*(Table146[[#This Row],[min value (corrected)]]-37)</f>
        <v>406</v>
      </c>
      <c r="C454">
        <f>MINUTE(Table146[[#This Row],[Corrected time]])</f>
        <v>45</v>
      </c>
      <c r="D454" s="1">
        <v>0.48959447916666671</v>
      </c>
      <c r="E454" s="1">
        <f>Table146[[#This Row],[Time]]-TIME(0,0,1)</f>
        <v>0.48958290509259261</v>
      </c>
      <c r="F454" t="s">
        <v>9</v>
      </c>
      <c r="G454">
        <v>-121</v>
      </c>
      <c r="H454">
        <f>Table146[[#This Row],[RSSI]]</f>
        <v>-121</v>
      </c>
      <c r="I454">
        <v>-8.5</v>
      </c>
      <c r="L454">
        <f>390+2*(Table257[[#This Row],[min value (corrected)]]-27)</f>
        <v>404</v>
      </c>
      <c r="M454">
        <f>MINUTE(Table257[[#This Row],[Corrected time]])</f>
        <v>34</v>
      </c>
      <c r="N454" s="1">
        <v>0.52422642361111116</v>
      </c>
      <c r="O454" s="1">
        <f>Table257[[#This Row],[Time]]-TIME(0,0,3)</f>
        <v>0.52419170138888893</v>
      </c>
      <c r="P454" t="s">
        <v>9</v>
      </c>
      <c r="Q454">
        <v>-121</v>
      </c>
      <c r="R454">
        <f>Table257[[#This Row],[RSSI]]</f>
        <v>-121</v>
      </c>
      <c r="S454">
        <v>-8</v>
      </c>
    </row>
    <row r="455" spans="2:19" x14ac:dyDescent="0.25">
      <c r="B455">
        <f>390+2*(Table146[[#This Row],[min value (corrected)]]-37)</f>
        <v>406</v>
      </c>
      <c r="C455">
        <f>MINUTE(Table146[[#This Row],[Corrected time]])</f>
        <v>45</v>
      </c>
      <c r="D455" s="1">
        <v>0.48960751157407406</v>
      </c>
      <c r="E455" s="1">
        <f>Table146[[#This Row],[Time]]-TIME(0,0,1)</f>
        <v>0.48959593749999997</v>
      </c>
      <c r="F455" t="s">
        <v>13</v>
      </c>
      <c r="G455">
        <f t="shared" ref="G455:G457" si="11">G454</f>
        <v>-121</v>
      </c>
      <c r="H455">
        <f>Table146[[#This Row],[RSSI]]</f>
        <v>-121</v>
      </c>
      <c r="I455">
        <f t="shared" ref="I455:I457" si="12">I454</f>
        <v>-8.5</v>
      </c>
      <c r="L455">
        <f>390+2*(Table257[[#This Row],[min value (corrected)]]-27)</f>
        <v>404</v>
      </c>
      <c r="M455">
        <f>MINUTE(Table257[[#This Row],[Corrected time]])</f>
        <v>34</v>
      </c>
      <c r="N455" s="1">
        <v>0.52423945601851851</v>
      </c>
      <c r="O455" s="1">
        <f>Table257[[#This Row],[Time]]-TIME(0,0,3)</f>
        <v>0.52420473379629628</v>
      </c>
      <c r="P455" t="s">
        <v>9</v>
      </c>
      <c r="Q455">
        <v>-121</v>
      </c>
      <c r="R455">
        <f>Table257[[#This Row],[RSSI]]</f>
        <v>-121</v>
      </c>
      <c r="S455">
        <v>-8</v>
      </c>
    </row>
    <row r="456" spans="2:19" x14ac:dyDescent="0.25">
      <c r="B456">
        <f>390+2*(Table146[[#This Row],[min value (corrected)]]-37)</f>
        <v>406</v>
      </c>
      <c r="C456">
        <f>MINUTE(Table146[[#This Row],[Corrected time]])</f>
        <v>45</v>
      </c>
      <c r="D456" s="1">
        <v>0.48962055555555556</v>
      </c>
      <c r="E456" s="1">
        <f>Table146[[#This Row],[Time]]-TIME(0,0,1)</f>
        <v>0.48960898148148146</v>
      </c>
      <c r="F456" t="s">
        <v>13</v>
      </c>
      <c r="G456">
        <f t="shared" si="11"/>
        <v>-121</v>
      </c>
      <c r="H456">
        <f>Table146[[#This Row],[RSSI]]</f>
        <v>-121</v>
      </c>
      <c r="I456">
        <f t="shared" si="12"/>
        <v>-8.5</v>
      </c>
      <c r="L456">
        <f>390+2*(Table257[[#This Row],[min value (corrected)]]-27)</f>
        <v>404</v>
      </c>
      <c r="M456">
        <f>MINUTE(Table257[[#This Row],[Corrected time]])</f>
        <v>34</v>
      </c>
      <c r="N456" s="1">
        <v>0.52425247685185183</v>
      </c>
      <c r="O456" s="1">
        <f>Table257[[#This Row],[Time]]-TIME(0,0,3)</f>
        <v>0.52421775462962961</v>
      </c>
      <c r="P456" t="s">
        <v>9</v>
      </c>
      <c r="Q456">
        <v>-121</v>
      </c>
      <c r="R456">
        <f>Table257[[#This Row],[RSSI]]</f>
        <v>-121</v>
      </c>
      <c r="S456">
        <v>-7.7</v>
      </c>
    </row>
    <row r="457" spans="2:19" x14ac:dyDescent="0.25">
      <c r="B457">
        <f>390+2*(Table146[[#This Row],[min value (corrected)]]-37)</f>
        <v>406</v>
      </c>
      <c r="C457">
        <f>MINUTE(Table146[[#This Row],[Corrected time]])</f>
        <v>45</v>
      </c>
      <c r="D457" s="1">
        <v>0.48963357638888888</v>
      </c>
      <c r="E457" s="1">
        <f>Table146[[#This Row],[Time]]-TIME(0,0,1)</f>
        <v>0.48962200231481479</v>
      </c>
      <c r="F457" t="s">
        <v>13</v>
      </c>
      <c r="G457">
        <f t="shared" si="11"/>
        <v>-121</v>
      </c>
      <c r="H457">
        <f>Table146[[#This Row],[RSSI]]</f>
        <v>-121</v>
      </c>
      <c r="I457">
        <f t="shared" si="12"/>
        <v>-8.5</v>
      </c>
      <c r="L457">
        <f>390+2*(Table257[[#This Row],[min value (corrected)]]-27)</f>
        <v>404</v>
      </c>
      <c r="M457">
        <f>MINUTE(Table257[[#This Row],[Corrected time]])</f>
        <v>34</v>
      </c>
      <c r="N457" s="1">
        <v>0.52426552083333333</v>
      </c>
      <c r="O457" s="1">
        <f>Table257[[#This Row],[Time]]-TIME(0,0,3)</f>
        <v>0.5242307986111111</v>
      </c>
      <c r="P457" t="s">
        <v>9</v>
      </c>
      <c r="Q457">
        <v>-121</v>
      </c>
      <c r="R457">
        <f>Table257[[#This Row],[RSSI]]</f>
        <v>-121</v>
      </c>
      <c r="S457">
        <v>-7.5</v>
      </c>
    </row>
    <row r="458" spans="2:19" x14ac:dyDescent="0.25">
      <c r="B458">
        <f>390+2*(Table146[[#This Row],[min value (corrected)]]-37)</f>
        <v>406</v>
      </c>
      <c r="C458">
        <f>MINUTE(Table146[[#This Row],[Corrected time]])</f>
        <v>45</v>
      </c>
      <c r="D458" s="1">
        <v>0.48964662037037038</v>
      </c>
      <c r="E458" s="1">
        <f>Table146[[#This Row],[Time]]-TIME(0,0,1)</f>
        <v>0.48963504629629628</v>
      </c>
      <c r="F458" t="s">
        <v>9</v>
      </c>
      <c r="G458">
        <v>-122</v>
      </c>
      <c r="H458">
        <f>Table146[[#This Row],[RSSI]]</f>
        <v>-122</v>
      </c>
      <c r="I458">
        <v>-8</v>
      </c>
      <c r="L458">
        <f>390+2*(Table257[[#This Row],[min value (corrected)]]-27)</f>
        <v>404</v>
      </c>
      <c r="M458">
        <f>MINUTE(Table257[[#This Row],[Corrected time]])</f>
        <v>34</v>
      </c>
      <c r="N458" s="1">
        <v>0.52427854166666665</v>
      </c>
      <c r="O458" s="1">
        <f>Table257[[#This Row],[Time]]-TIME(0,0,3)</f>
        <v>0.52424381944444443</v>
      </c>
      <c r="P458" t="s">
        <v>9</v>
      </c>
      <c r="Q458">
        <v>-121</v>
      </c>
      <c r="R458">
        <f>Table257[[#This Row],[RSSI]]</f>
        <v>-121</v>
      </c>
      <c r="S458">
        <v>-8</v>
      </c>
    </row>
    <row r="459" spans="2:19" x14ac:dyDescent="0.25">
      <c r="B459">
        <f>390+2*(Table146[[#This Row],[min value (corrected)]]-37)</f>
        <v>406</v>
      </c>
      <c r="C459">
        <f>MINUTE(Table146[[#This Row],[Corrected time]])</f>
        <v>45</v>
      </c>
      <c r="D459" s="1">
        <v>0.4896596412037037</v>
      </c>
      <c r="E459" s="1">
        <f>Table146[[#This Row],[Time]]-TIME(0,0,1)</f>
        <v>0.4896480671296296</v>
      </c>
      <c r="F459" t="s">
        <v>13</v>
      </c>
      <c r="G459">
        <f>G458</f>
        <v>-122</v>
      </c>
      <c r="H459">
        <f>Table146[[#This Row],[RSSI]]</f>
        <v>-122</v>
      </c>
      <c r="I459">
        <f>I458</f>
        <v>-8</v>
      </c>
      <c r="L459">
        <f>390+2*(Table257[[#This Row],[min value (corrected)]]-27)</f>
        <v>404</v>
      </c>
      <c r="M459">
        <f>MINUTE(Table257[[#This Row],[Corrected time]])</f>
        <v>34</v>
      </c>
      <c r="N459" s="1">
        <v>0.52429158564814815</v>
      </c>
      <c r="O459" s="1">
        <f>Table257[[#This Row],[Time]]-TIME(0,0,3)</f>
        <v>0.52425686342592592</v>
      </c>
      <c r="P459" t="s">
        <v>9</v>
      </c>
      <c r="Q459">
        <v>-121</v>
      </c>
      <c r="R459">
        <f>Table257[[#This Row],[RSSI]]</f>
        <v>-121</v>
      </c>
      <c r="S459">
        <v>-8.3000000000000007</v>
      </c>
    </row>
    <row r="460" spans="2:19" x14ac:dyDescent="0.25">
      <c r="B460">
        <f>390+2*(Table146[[#This Row],[min value (corrected)]]-37)</f>
        <v>406</v>
      </c>
      <c r="C460">
        <f>MINUTE(Table146[[#This Row],[Corrected time]])</f>
        <v>45</v>
      </c>
      <c r="D460" s="1">
        <v>0.48967267361111105</v>
      </c>
      <c r="E460" s="1">
        <f>Table146[[#This Row],[Time]]-TIME(0,0,1)</f>
        <v>0.48966109953703696</v>
      </c>
      <c r="F460" t="s">
        <v>9</v>
      </c>
      <c r="G460">
        <v>-122</v>
      </c>
      <c r="H460">
        <f>Table146[[#This Row],[RSSI]]</f>
        <v>-122</v>
      </c>
      <c r="I460">
        <v>-7.7</v>
      </c>
      <c r="L460">
        <f>390+2*(Table257[[#This Row],[min value (corrected)]]-27)</f>
        <v>404</v>
      </c>
      <c r="M460">
        <f>MINUTE(Table257[[#This Row],[Corrected time]])</f>
        <v>34</v>
      </c>
      <c r="N460" s="1">
        <v>0.52430460648148147</v>
      </c>
      <c r="O460" s="1">
        <f>Table257[[#This Row],[Time]]-TIME(0,0,3)</f>
        <v>0.52426988425925924</v>
      </c>
      <c r="P460" t="s">
        <v>9</v>
      </c>
      <c r="Q460">
        <v>-122</v>
      </c>
      <c r="R460">
        <f>Table257[[#This Row],[RSSI]]</f>
        <v>-122</v>
      </c>
      <c r="S460">
        <v>-8.3000000000000007</v>
      </c>
    </row>
    <row r="461" spans="2:19" x14ac:dyDescent="0.25">
      <c r="B461">
        <f>390+2*(Table146[[#This Row],[min value (corrected)]]-37)</f>
        <v>406</v>
      </c>
      <c r="C461">
        <f>MINUTE(Table146[[#This Row],[Corrected time]])</f>
        <v>45</v>
      </c>
      <c r="D461" s="1">
        <v>0.48968570601851852</v>
      </c>
      <c r="E461" s="1">
        <f>Table146[[#This Row],[Time]]-TIME(0,0,1)</f>
        <v>0.48967413194444442</v>
      </c>
      <c r="F461" t="s">
        <v>9</v>
      </c>
      <c r="G461">
        <v>-121</v>
      </c>
      <c r="H461">
        <f>Table146[[#This Row],[RSSI]]</f>
        <v>-121</v>
      </c>
      <c r="I461">
        <v>-7.7</v>
      </c>
      <c r="L461">
        <f>390+2*(Table257[[#This Row],[min value (corrected)]]-27)</f>
        <v>404</v>
      </c>
      <c r="M461">
        <f>MINUTE(Table257[[#This Row],[Corrected time]])</f>
        <v>34</v>
      </c>
      <c r="N461" s="1">
        <v>0.52431763888888894</v>
      </c>
      <c r="O461" s="1">
        <f>Table257[[#This Row],[Time]]-TIME(0,0,3)</f>
        <v>0.52428291666666671</v>
      </c>
      <c r="P461" t="s">
        <v>9</v>
      </c>
      <c r="Q461">
        <v>-121</v>
      </c>
      <c r="R461">
        <f>Table257[[#This Row],[RSSI]]</f>
        <v>-121</v>
      </c>
      <c r="S461">
        <v>-7.5</v>
      </c>
    </row>
    <row r="462" spans="2:19" x14ac:dyDescent="0.25">
      <c r="B462">
        <f>390+2*(Table146[[#This Row],[min value (corrected)]]-37)</f>
        <v>406</v>
      </c>
      <c r="C462">
        <f>MINUTE(Table146[[#This Row],[Corrected time]])</f>
        <v>45</v>
      </c>
      <c r="D462" s="1">
        <v>0.48969873842592587</v>
      </c>
      <c r="E462" s="1">
        <f>Table146[[#This Row],[Time]]-TIME(0,0,1)</f>
        <v>0.48968716435185178</v>
      </c>
      <c r="F462" t="s">
        <v>9</v>
      </c>
      <c r="G462">
        <v>-122</v>
      </c>
      <c r="H462">
        <f>Table146[[#This Row],[RSSI]]</f>
        <v>-122</v>
      </c>
      <c r="I462">
        <v>-8.3000000000000007</v>
      </c>
      <c r="L462">
        <f>390+2*(Table257[[#This Row],[min value (corrected)]]-27)</f>
        <v>404</v>
      </c>
      <c r="M462">
        <f>MINUTE(Table257[[#This Row],[Corrected time]])</f>
        <v>34</v>
      </c>
      <c r="N462" s="1">
        <v>0.52433067129629629</v>
      </c>
      <c r="O462" s="1">
        <f>Table257[[#This Row],[Time]]-TIME(0,0,3)</f>
        <v>0.52429594907407406</v>
      </c>
      <c r="P462" t="s">
        <v>9</v>
      </c>
      <c r="Q462">
        <v>-121</v>
      </c>
      <c r="R462">
        <f>Table257[[#This Row],[RSSI]]</f>
        <v>-121</v>
      </c>
      <c r="S462">
        <v>-7.7</v>
      </c>
    </row>
    <row r="463" spans="2:19" x14ac:dyDescent="0.25">
      <c r="B463">
        <f>390+2*(Table146[[#This Row],[min value (corrected)]]-37)</f>
        <v>406</v>
      </c>
      <c r="C463">
        <f>MINUTE(Table146[[#This Row],[Corrected time]])</f>
        <v>45</v>
      </c>
      <c r="D463" s="1">
        <v>0.48971177083333334</v>
      </c>
      <c r="E463" s="1">
        <f>Table146[[#This Row],[Time]]-TIME(0,0,1)</f>
        <v>0.48970019675925924</v>
      </c>
      <c r="F463" t="s">
        <v>13</v>
      </c>
      <c r="G463">
        <f>G462</f>
        <v>-122</v>
      </c>
      <c r="H463">
        <f>Table146[[#This Row],[RSSI]]</f>
        <v>-122</v>
      </c>
      <c r="I463">
        <f>I462</f>
        <v>-8.3000000000000007</v>
      </c>
      <c r="L463">
        <f>390+2*(Table257[[#This Row],[min value (corrected)]]-27)</f>
        <v>406</v>
      </c>
      <c r="M463">
        <f>MINUTE(Table257[[#This Row],[Corrected time]])</f>
        <v>35</v>
      </c>
      <c r="N463" s="1">
        <v>0.52434371527777779</v>
      </c>
      <c r="O463" s="1">
        <f>Table257[[#This Row],[Time]]-TIME(0,0,3)</f>
        <v>0.52430899305555556</v>
      </c>
      <c r="P463" t="s">
        <v>9</v>
      </c>
      <c r="Q463">
        <v>-122</v>
      </c>
      <c r="R463">
        <f>Table257[[#This Row],[RSSI]]</f>
        <v>-122</v>
      </c>
      <c r="S463">
        <v>-7.7</v>
      </c>
    </row>
    <row r="464" spans="2:19" x14ac:dyDescent="0.25">
      <c r="B464">
        <f>390+2*(Table146[[#This Row],[min value (corrected)]]-37)</f>
        <v>406</v>
      </c>
      <c r="C464">
        <f>MINUTE(Table146[[#This Row],[Corrected time]])</f>
        <v>45</v>
      </c>
      <c r="D464" s="1">
        <v>0.48972480324074069</v>
      </c>
      <c r="E464" s="1">
        <f>Table146[[#This Row],[Time]]-TIME(0,0,1)</f>
        <v>0.4897132291666666</v>
      </c>
      <c r="F464" t="s">
        <v>9</v>
      </c>
      <c r="G464">
        <v>-122</v>
      </c>
      <c r="H464">
        <f>Table146[[#This Row],[RSSI]]</f>
        <v>-122</v>
      </c>
      <c r="I464">
        <v>-8</v>
      </c>
      <c r="L464">
        <f>390+2*(Table257[[#This Row],[min value (corrected)]]-27)</f>
        <v>406</v>
      </c>
      <c r="M464">
        <f>MINUTE(Table257[[#This Row],[Corrected time]])</f>
        <v>35</v>
      </c>
      <c r="N464" s="1">
        <v>0.52435674768518525</v>
      </c>
      <c r="O464" s="1">
        <f>Table257[[#This Row],[Time]]-TIME(0,0,3)</f>
        <v>0.52432202546296303</v>
      </c>
      <c r="P464" t="s">
        <v>9</v>
      </c>
      <c r="Q464">
        <v>-122</v>
      </c>
      <c r="R464">
        <f>Table257[[#This Row],[RSSI]]</f>
        <v>-122</v>
      </c>
      <c r="S464">
        <v>-8</v>
      </c>
    </row>
    <row r="465" spans="2:19" x14ac:dyDescent="0.25">
      <c r="B465">
        <f>390+2*(Table146[[#This Row],[min value (corrected)]]-37)</f>
        <v>406</v>
      </c>
      <c r="C465">
        <f>MINUTE(Table146[[#This Row],[Corrected time]])</f>
        <v>45</v>
      </c>
      <c r="D465" s="1">
        <v>0.48973783564814816</v>
      </c>
      <c r="E465" s="1">
        <f>Table146[[#This Row],[Time]]-TIME(0,0,1)</f>
        <v>0.48972626157407406</v>
      </c>
      <c r="F465" t="s">
        <v>9</v>
      </c>
      <c r="G465">
        <v>-122</v>
      </c>
      <c r="H465">
        <f>Table146[[#This Row],[RSSI]]</f>
        <v>-122</v>
      </c>
      <c r="I465">
        <v>-8</v>
      </c>
      <c r="L465">
        <f>390+2*(Table257[[#This Row],[min value (corrected)]]-27)</f>
        <v>406</v>
      </c>
      <c r="M465">
        <f>MINUTE(Table257[[#This Row],[Corrected time]])</f>
        <v>35</v>
      </c>
      <c r="N465" s="1">
        <v>0.52436978009259261</v>
      </c>
      <c r="O465" s="1">
        <f>Table257[[#This Row],[Time]]-TIME(0,0,3)</f>
        <v>0.52433505787037038</v>
      </c>
      <c r="P465" t="s">
        <v>9</v>
      </c>
      <c r="Q465">
        <v>-122</v>
      </c>
      <c r="R465">
        <f>Table257[[#This Row],[RSSI]]</f>
        <v>-122</v>
      </c>
      <c r="S465">
        <v>-8</v>
      </c>
    </row>
    <row r="466" spans="2:19" x14ac:dyDescent="0.25">
      <c r="B466">
        <f>390+2*(Table146[[#This Row],[min value (corrected)]]-37)</f>
        <v>406</v>
      </c>
      <c r="C466">
        <f>MINUTE(Table146[[#This Row],[Corrected time]])</f>
        <v>45</v>
      </c>
      <c r="D466" s="1">
        <v>0.48975086805555557</v>
      </c>
      <c r="E466" s="1">
        <f>Table146[[#This Row],[Time]]-TIME(0,0,1)</f>
        <v>0.48973929398148147</v>
      </c>
      <c r="F466" t="s">
        <v>9</v>
      </c>
      <c r="G466">
        <v>-121</v>
      </c>
      <c r="H466">
        <f>Table146[[#This Row],[RSSI]]</f>
        <v>-121</v>
      </c>
      <c r="I466">
        <v>-8.3000000000000007</v>
      </c>
      <c r="L466">
        <f>390+2*(Table257[[#This Row],[min value (corrected)]]-27)</f>
        <v>406</v>
      </c>
      <c r="M466">
        <f>MINUTE(Table257[[#This Row],[Corrected time]])</f>
        <v>35</v>
      </c>
      <c r="N466" s="1">
        <v>0.52438281250000007</v>
      </c>
      <c r="O466" s="1">
        <f>Table257[[#This Row],[Time]]-TIME(0,0,3)</f>
        <v>0.52434809027777785</v>
      </c>
      <c r="P466" t="s">
        <v>9</v>
      </c>
      <c r="Q466">
        <v>-121</v>
      </c>
      <c r="R466">
        <f>Table257[[#This Row],[RSSI]]</f>
        <v>-121</v>
      </c>
      <c r="S466">
        <v>-8.3000000000000007</v>
      </c>
    </row>
    <row r="467" spans="2:19" x14ac:dyDescent="0.25">
      <c r="B467">
        <f>390+2*(Table146[[#This Row],[min value (corrected)]]-37)</f>
        <v>406</v>
      </c>
      <c r="C467">
        <f>MINUTE(Table146[[#This Row],[Corrected time]])</f>
        <v>45</v>
      </c>
      <c r="D467" s="1">
        <v>0.48976390046296298</v>
      </c>
      <c r="E467" s="1">
        <f>Table146[[#This Row],[Time]]-TIME(0,0,1)</f>
        <v>0.48975232638888888</v>
      </c>
      <c r="F467" t="s">
        <v>9</v>
      </c>
      <c r="G467">
        <v>-122</v>
      </c>
      <c r="H467">
        <f>Table146[[#This Row],[RSSI]]</f>
        <v>-122</v>
      </c>
      <c r="I467">
        <v>-8.3000000000000007</v>
      </c>
      <c r="L467">
        <f>390+2*(Table257[[#This Row],[min value (corrected)]]-27)</f>
        <v>406</v>
      </c>
      <c r="M467">
        <f>MINUTE(Table257[[#This Row],[Corrected time]])</f>
        <v>35</v>
      </c>
      <c r="N467" s="1">
        <v>0.52439584490740743</v>
      </c>
      <c r="O467" s="1">
        <f>Table257[[#This Row],[Time]]-TIME(0,0,3)</f>
        <v>0.5243611226851852</v>
      </c>
      <c r="P467" t="s">
        <v>9</v>
      </c>
      <c r="Q467">
        <v>-121</v>
      </c>
      <c r="R467">
        <f>Table257[[#This Row],[RSSI]]</f>
        <v>-121</v>
      </c>
      <c r="S467">
        <v>-7</v>
      </c>
    </row>
    <row r="468" spans="2:19" x14ac:dyDescent="0.25">
      <c r="B468">
        <f>390+2*(Table146[[#This Row],[min value (corrected)]]-37)</f>
        <v>406</v>
      </c>
      <c r="C468">
        <f>MINUTE(Table146[[#This Row],[Corrected time]])</f>
        <v>45</v>
      </c>
      <c r="D468" s="1">
        <v>0.48977693287037039</v>
      </c>
      <c r="E468" s="1">
        <f>Table146[[#This Row],[Time]]-TIME(0,0,1)</f>
        <v>0.48976535879629629</v>
      </c>
      <c r="F468" t="s">
        <v>9</v>
      </c>
      <c r="G468">
        <v>-121</v>
      </c>
      <c r="H468">
        <f>Table146[[#This Row],[RSSI]]</f>
        <v>-121</v>
      </c>
      <c r="I468">
        <v>-8</v>
      </c>
      <c r="L468">
        <f>390+2*(Table257[[#This Row],[min value (corrected)]]-27)</f>
        <v>406</v>
      </c>
      <c r="M468">
        <f>MINUTE(Table257[[#This Row],[Corrected time]])</f>
        <v>35</v>
      </c>
      <c r="N468" s="1">
        <v>0.52440887731481489</v>
      </c>
      <c r="O468" s="1">
        <f>Table257[[#This Row],[Time]]-TIME(0,0,3)</f>
        <v>0.52437415509259266</v>
      </c>
      <c r="P468" t="s">
        <v>9</v>
      </c>
      <c r="Q468">
        <v>-122</v>
      </c>
      <c r="R468">
        <f>Table257[[#This Row],[RSSI]]</f>
        <v>-122</v>
      </c>
      <c r="S468">
        <v>-8.5</v>
      </c>
    </row>
    <row r="469" spans="2:19" x14ac:dyDescent="0.25">
      <c r="B469">
        <f>390+2*(Table146[[#This Row],[min value (corrected)]]-37)</f>
        <v>406</v>
      </c>
      <c r="C469">
        <f>MINUTE(Table146[[#This Row],[Corrected time]])</f>
        <v>45</v>
      </c>
      <c r="D469" s="1">
        <v>0.48978996527777779</v>
      </c>
      <c r="E469" s="1">
        <f>Table146[[#This Row],[Time]]-TIME(0,0,1)</f>
        <v>0.4897783912037037</v>
      </c>
      <c r="F469" t="s">
        <v>9</v>
      </c>
      <c r="G469">
        <v>-121</v>
      </c>
      <c r="H469">
        <f>Table146[[#This Row],[RSSI]]</f>
        <v>-121</v>
      </c>
      <c r="I469">
        <v>-7.2</v>
      </c>
      <c r="L469">
        <f>390+2*(Table257[[#This Row],[min value (corrected)]]-27)</f>
        <v>406</v>
      </c>
      <c r="M469">
        <f>MINUTE(Table257[[#This Row],[Corrected time]])</f>
        <v>35</v>
      </c>
      <c r="N469" s="1">
        <v>0.52442190972222225</v>
      </c>
      <c r="O469" s="1">
        <f>Table257[[#This Row],[Time]]-TIME(0,0,3)</f>
        <v>0.52438718750000002</v>
      </c>
      <c r="P469" t="s">
        <v>13</v>
      </c>
      <c r="Q469">
        <f>Q468</f>
        <v>-122</v>
      </c>
      <c r="R469">
        <f>Table257[[#This Row],[RSSI]]</f>
        <v>-122</v>
      </c>
      <c r="S469">
        <f>S468</f>
        <v>-8.5</v>
      </c>
    </row>
    <row r="470" spans="2:19" x14ac:dyDescent="0.25">
      <c r="B470">
        <f>390+2*(Table146[[#This Row],[min value (corrected)]]-37)</f>
        <v>406</v>
      </c>
      <c r="C470">
        <f>MINUTE(Table146[[#This Row],[Corrected time]])</f>
        <v>45</v>
      </c>
      <c r="D470" s="1">
        <v>0.4898029976851852</v>
      </c>
      <c r="E470" s="1">
        <f>Table146[[#This Row],[Time]]-TIME(0,0,1)</f>
        <v>0.48979142361111111</v>
      </c>
      <c r="F470" t="s">
        <v>9</v>
      </c>
      <c r="G470">
        <v>-121</v>
      </c>
      <c r="H470">
        <f>Table146[[#This Row],[RSSI]]</f>
        <v>-121</v>
      </c>
      <c r="I470">
        <v>-7.5</v>
      </c>
      <c r="L470">
        <f>390+2*(Table257[[#This Row],[min value (corrected)]]-27)</f>
        <v>406</v>
      </c>
      <c r="M470">
        <f>MINUTE(Table257[[#This Row],[Corrected time]])</f>
        <v>35</v>
      </c>
      <c r="N470" s="1">
        <v>0.52443493055555557</v>
      </c>
      <c r="O470" s="1">
        <f>Table257[[#This Row],[Time]]-TIME(0,0,3)</f>
        <v>0.52440020833333334</v>
      </c>
      <c r="P470" t="s">
        <v>9</v>
      </c>
      <c r="Q470">
        <v>-121</v>
      </c>
      <c r="R470">
        <f>Table257[[#This Row],[RSSI]]</f>
        <v>-121</v>
      </c>
      <c r="S470">
        <v>-7.7</v>
      </c>
    </row>
    <row r="471" spans="2:19" x14ac:dyDescent="0.25">
      <c r="B471">
        <f>390+2*(Table146[[#This Row],[min value (corrected)]]-37)</f>
        <v>406</v>
      </c>
      <c r="C471">
        <f>MINUTE(Table146[[#This Row],[Corrected time]])</f>
        <v>45</v>
      </c>
      <c r="D471" s="1">
        <v>0.48981603009259261</v>
      </c>
      <c r="E471" s="1">
        <f>Table146[[#This Row],[Time]]-TIME(0,0,1)</f>
        <v>0.48980445601851852</v>
      </c>
      <c r="F471" t="s">
        <v>9</v>
      </c>
      <c r="G471">
        <v>-122</v>
      </c>
      <c r="H471">
        <f>Table146[[#This Row],[RSSI]]</f>
        <v>-122</v>
      </c>
      <c r="I471">
        <v>-8.3000000000000007</v>
      </c>
      <c r="L471">
        <f>390+2*(Table257[[#This Row],[min value (corrected)]]-27)</f>
        <v>406</v>
      </c>
      <c r="M471">
        <f>MINUTE(Table257[[#This Row],[Corrected time]])</f>
        <v>35</v>
      </c>
      <c r="N471" s="1">
        <v>0.52444797453703706</v>
      </c>
      <c r="O471" s="1">
        <f>Table257[[#This Row],[Time]]-TIME(0,0,3)</f>
        <v>0.52441325231481484</v>
      </c>
      <c r="P471" t="s">
        <v>9</v>
      </c>
      <c r="Q471">
        <v>-122</v>
      </c>
      <c r="R471">
        <f>Table257[[#This Row],[RSSI]]</f>
        <v>-122</v>
      </c>
      <c r="S471">
        <v>-8</v>
      </c>
    </row>
    <row r="472" spans="2:19" x14ac:dyDescent="0.25">
      <c r="B472">
        <f>390+2*(Table146[[#This Row],[min value (corrected)]]-37)</f>
        <v>406</v>
      </c>
      <c r="C472">
        <f>MINUTE(Table146[[#This Row],[Corrected time]])</f>
        <v>45</v>
      </c>
      <c r="D472" s="1">
        <v>0.48982906250000002</v>
      </c>
      <c r="E472" s="1">
        <f>Table146[[#This Row],[Time]]-TIME(0,0,1)</f>
        <v>0.48981748842592593</v>
      </c>
      <c r="F472" t="s">
        <v>9</v>
      </c>
      <c r="G472">
        <v>-121</v>
      </c>
      <c r="H472">
        <f>Table146[[#This Row],[RSSI]]</f>
        <v>-121</v>
      </c>
      <c r="I472">
        <v>-7.5</v>
      </c>
      <c r="L472">
        <f>390+2*(Table257[[#This Row],[min value (corrected)]]-27)</f>
        <v>406</v>
      </c>
      <c r="M472">
        <f>MINUTE(Table257[[#This Row],[Corrected time]])</f>
        <v>35</v>
      </c>
      <c r="N472" s="1">
        <v>0.52446100694444442</v>
      </c>
      <c r="O472" s="1">
        <f>Table257[[#This Row],[Time]]-TIME(0,0,3)</f>
        <v>0.52442628472222219</v>
      </c>
      <c r="P472" t="s">
        <v>9</v>
      </c>
      <c r="Q472">
        <v>-122</v>
      </c>
      <c r="R472">
        <f>Table257[[#This Row],[RSSI]]</f>
        <v>-122</v>
      </c>
      <c r="S472">
        <v>-8</v>
      </c>
    </row>
    <row r="473" spans="2:19" x14ac:dyDescent="0.25">
      <c r="B473">
        <f>390+2*(Table146[[#This Row],[min value (corrected)]]-37)</f>
        <v>406</v>
      </c>
      <c r="C473">
        <f>MINUTE(Table146[[#This Row],[Corrected time]])</f>
        <v>45</v>
      </c>
      <c r="D473" s="1">
        <v>0.48984208333333334</v>
      </c>
      <c r="E473" s="1">
        <f>Table146[[#This Row],[Time]]-TIME(0,0,1)</f>
        <v>0.48983050925925925</v>
      </c>
      <c r="F473" t="s">
        <v>9</v>
      </c>
      <c r="G473">
        <v>-122</v>
      </c>
      <c r="H473">
        <f>Table146[[#This Row],[RSSI]]</f>
        <v>-122</v>
      </c>
      <c r="I473">
        <v>-8.8000000000000007</v>
      </c>
      <c r="L473">
        <f>390+2*(Table257[[#This Row],[min value (corrected)]]-27)</f>
        <v>406</v>
      </c>
      <c r="M473">
        <f>MINUTE(Table257[[#This Row],[Corrected time]])</f>
        <v>35</v>
      </c>
      <c r="N473" s="1">
        <v>0.52447403935185188</v>
      </c>
      <c r="O473" s="1">
        <f>Table257[[#This Row],[Time]]-TIME(0,0,3)</f>
        <v>0.52443931712962966</v>
      </c>
      <c r="P473" t="s">
        <v>9</v>
      </c>
      <c r="Q473">
        <v>-121</v>
      </c>
      <c r="R473">
        <f>Table257[[#This Row],[RSSI]]</f>
        <v>-121</v>
      </c>
      <c r="S473">
        <v>-7.5</v>
      </c>
    </row>
    <row r="474" spans="2:19" x14ac:dyDescent="0.25">
      <c r="B474">
        <f>390+2*(Table146[[#This Row],[min value (corrected)]]-37)</f>
        <v>406</v>
      </c>
      <c r="C474">
        <f>MINUTE(Table146[[#This Row],[Corrected time]])</f>
        <v>45</v>
      </c>
      <c r="D474" s="1">
        <v>0.48985512731481484</v>
      </c>
      <c r="E474" s="1">
        <f>Table146[[#This Row],[Time]]-TIME(0,0,1)</f>
        <v>0.48984355324074075</v>
      </c>
      <c r="F474" t="s">
        <v>9</v>
      </c>
      <c r="G474">
        <v>-122</v>
      </c>
      <c r="H474">
        <f>Table146[[#This Row],[RSSI]]</f>
        <v>-122</v>
      </c>
      <c r="I474">
        <v>-8.3000000000000007</v>
      </c>
      <c r="L474">
        <f>390+2*(Table257[[#This Row],[min value (corrected)]]-27)</f>
        <v>406</v>
      </c>
      <c r="M474">
        <f>MINUTE(Table257[[#This Row],[Corrected time]])</f>
        <v>35</v>
      </c>
      <c r="N474" s="1">
        <v>0.52448707175925924</v>
      </c>
      <c r="O474" s="1">
        <f>Table257[[#This Row],[Time]]-TIME(0,0,3)</f>
        <v>0.52445234953703701</v>
      </c>
      <c r="P474" t="s">
        <v>9</v>
      </c>
      <c r="Q474">
        <v>-122</v>
      </c>
      <c r="R474">
        <f>Table257[[#This Row],[RSSI]]</f>
        <v>-122</v>
      </c>
      <c r="S474">
        <v>-8.3000000000000007</v>
      </c>
    </row>
    <row r="475" spans="2:19" x14ac:dyDescent="0.25">
      <c r="B475">
        <f>390+2*(Table146[[#This Row],[min value (corrected)]]-37)</f>
        <v>406</v>
      </c>
      <c r="C475">
        <f>MINUTE(Table146[[#This Row],[Corrected time]])</f>
        <v>45</v>
      </c>
      <c r="D475" s="1">
        <v>0.4898681597222222</v>
      </c>
      <c r="E475" s="1">
        <f>Table146[[#This Row],[Time]]-TIME(0,0,1)</f>
        <v>0.4898565856481481</v>
      </c>
      <c r="F475" t="s">
        <v>9</v>
      </c>
      <c r="G475">
        <v>-122</v>
      </c>
      <c r="H475">
        <f>Table146[[#This Row],[RSSI]]</f>
        <v>-122</v>
      </c>
      <c r="I475">
        <v>-8.3000000000000007</v>
      </c>
      <c r="L475">
        <f>390+2*(Table257[[#This Row],[min value (corrected)]]-27)</f>
        <v>406</v>
      </c>
      <c r="M475">
        <f>MINUTE(Table257[[#This Row],[Corrected time]])</f>
        <v>35</v>
      </c>
      <c r="N475" s="1">
        <v>0.5245001041666667</v>
      </c>
      <c r="O475" s="1">
        <f>Table257[[#This Row],[Time]]-TIME(0,0,3)</f>
        <v>0.52446538194444448</v>
      </c>
      <c r="P475" t="s">
        <v>9</v>
      </c>
      <c r="Q475">
        <v>-121</v>
      </c>
      <c r="R475">
        <f>Table257[[#This Row],[RSSI]]</f>
        <v>-121</v>
      </c>
      <c r="S475">
        <v>-7.5</v>
      </c>
    </row>
    <row r="476" spans="2:19" x14ac:dyDescent="0.25">
      <c r="B476">
        <f>390+2*(Table146[[#This Row],[min value (corrected)]]-37)</f>
        <v>406</v>
      </c>
      <c r="C476">
        <f>MINUTE(Table146[[#This Row],[Corrected time]])</f>
        <v>45</v>
      </c>
      <c r="D476" s="1">
        <v>0.48988119212962966</v>
      </c>
      <c r="E476" s="1">
        <f>Table146[[#This Row],[Time]]-TIME(0,0,1)</f>
        <v>0.48986961805555557</v>
      </c>
      <c r="F476" t="s">
        <v>9</v>
      </c>
      <c r="G476">
        <v>-122</v>
      </c>
      <c r="H476">
        <f>Table146[[#This Row],[RSSI]]</f>
        <v>-122</v>
      </c>
      <c r="I476">
        <v>-8</v>
      </c>
      <c r="L476">
        <f>390+2*(Table257[[#This Row],[min value (corrected)]]-27)</f>
        <v>406</v>
      </c>
      <c r="M476">
        <f>MINUTE(Table257[[#This Row],[Corrected time]])</f>
        <v>35</v>
      </c>
      <c r="N476" s="1">
        <v>0.52451313657407406</v>
      </c>
      <c r="O476" s="1">
        <f>Table257[[#This Row],[Time]]-TIME(0,0,3)</f>
        <v>0.52447841435185183</v>
      </c>
      <c r="P476" t="s">
        <v>9</v>
      </c>
      <c r="Q476">
        <v>-121</v>
      </c>
      <c r="R476">
        <f>Table257[[#This Row],[RSSI]]</f>
        <v>-121</v>
      </c>
      <c r="S476">
        <v>-7.2</v>
      </c>
    </row>
    <row r="477" spans="2:19" x14ac:dyDescent="0.25">
      <c r="B477">
        <f>390+2*(Table146[[#This Row],[min value (corrected)]]-37)</f>
        <v>406</v>
      </c>
      <c r="C477">
        <f>MINUTE(Table146[[#This Row],[Corrected time]])</f>
        <v>45</v>
      </c>
      <c r="D477" s="1">
        <v>0.48989422453703702</v>
      </c>
      <c r="E477" s="1">
        <f>Table146[[#This Row],[Time]]-TIME(0,0,1)</f>
        <v>0.48988265046296292</v>
      </c>
      <c r="F477" t="s">
        <v>9</v>
      </c>
      <c r="G477">
        <v>-122</v>
      </c>
      <c r="H477">
        <f>Table146[[#This Row],[RSSI]]</f>
        <v>-122</v>
      </c>
      <c r="I477">
        <v>-8.5</v>
      </c>
      <c r="L477">
        <f>390+2*(Table257[[#This Row],[min value (corrected)]]-27)</f>
        <v>406</v>
      </c>
      <c r="M477">
        <f>MINUTE(Table257[[#This Row],[Corrected time]])</f>
        <v>35</v>
      </c>
      <c r="N477" s="1">
        <v>0.52452616898148152</v>
      </c>
      <c r="O477" s="1">
        <f>Table257[[#This Row],[Time]]-TIME(0,0,3)</f>
        <v>0.52449144675925929</v>
      </c>
      <c r="P477" t="s">
        <v>9</v>
      </c>
      <c r="Q477">
        <v>-122</v>
      </c>
      <c r="R477">
        <f>Table257[[#This Row],[RSSI]]</f>
        <v>-122</v>
      </c>
      <c r="S477">
        <v>-8.3000000000000007</v>
      </c>
    </row>
    <row r="478" spans="2:19" x14ac:dyDescent="0.25">
      <c r="B478">
        <f>390+2*(Table146[[#This Row],[min value (corrected)]]-37)</f>
        <v>406</v>
      </c>
      <c r="C478">
        <f>MINUTE(Table146[[#This Row],[Corrected time]])</f>
        <v>45</v>
      </c>
      <c r="D478" s="1">
        <v>0.48990725694444448</v>
      </c>
      <c r="E478" s="1">
        <f>Table146[[#This Row],[Time]]-TIME(0,0,1)</f>
        <v>0.48989568287037039</v>
      </c>
      <c r="F478" t="s">
        <v>9</v>
      </c>
      <c r="G478">
        <v>-122</v>
      </c>
      <c r="H478">
        <f>Table146[[#This Row],[RSSI]]</f>
        <v>-122</v>
      </c>
      <c r="I478">
        <v>-8.3000000000000007</v>
      </c>
      <c r="L478">
        <f>390+2*(Table257[[#This Row],[min value (corrected)]]-27)</f>
        <v>406</v>
      </c>
      <c r="M478">
        <f>MINUTE(Table257[[#This Row],[Corrected time]])</f>
        <v>35</v>
      </c>
      <c r="N478" s="1">
        <v>0.52453920138888888</v>
      </c>
      <c r="O478" s="1">
        <f>Table257[[#This Row],[Time]]-TIME(0,0,3)</f>
        <v>0.52450447916666665</v>
      </c>
      <c r="P478" t="s">
        <v>9</v>
      </c>
      <c r="Q478">
        <v>-121</v>
      </c>
      <c r="R478">
        <f>Table257[[#This Row],[RSSI]]</f>
        <v>-121</v>
      </c>
      <c r="S478">
        <v>-6.7</v>
      </c>
    </row>
    <row r="479" spans="2:19" x14ac:dyDescent="0.25">
      <c r="B479">
        <f>390+2*(Table146[[#This Row],[min value (corrected)]]-37)</f>
        <v>406</v>
      </c>
      <c r="C479">
        <f>MINUTE(Table146[[#This Row],[Corrected time]])</f>
        <v>45</v>
      </c>
      <c r="D479" s="1">
        <v>0.48992028935185183</v>
      </c>
      <c r="E479" s="1">
        <f>Table146[[#This Row],[Time]]-TIME(0,0,1)</f>
        <v>0.48990871527777774</v>
      </c>
      <c r="F479" t="s">
        <v>9</v>
      </c>
      <c r="G479">
        <v>-121</v>
      </c>
      <c r="H479">
        <f>Table146[[#This Row],[RSSI]]</f>
        <v>-121</v>
      </c>
      <c r="I479">
        <v>-8</v>
      </c>
      <c r="L479">
        <f>390+2*(Table257[[#This Row],[min value (corrected)]]-27)</f>
        <v>406</v>
      </c>
      <c r="M479">
        <f>MINUTE(Table257[[#This Row],[Corrected time]])</f>
        <v>35</v>
      </c>
      <c r="N479" s="1">
        <v>0.5245522222222222</v>
      </c>
      <c r="O479" s="1">
        <f>Table257[[#This Row],[Time]]-TIME(0,0,3)</f>
        <v>0.52451749999999997</v>
      </c>
      <c r="P479" t="s">
        <v>9</v>
      </c>
      <c r="Q479">
        <v>-122</v>
      </c>
      <c r="R479">
        <f>Table257[[#This Row],[RSSI]]</f>
        <v>-122</v>
      </c>
      <c r="S479">
        <v>-8</v>
      </c>
    </row>
    <row r="480" spans="2:19" x14ac:dyDescent="0.25">
      <c r="B480">
        <f>390+2*(Table146[[#This Row],[min value (corrected)]]-37)</f>
        <v>406</v>
      </c>
      <c r="C480">
        <f>MINUTE(Table146[[#This Row],[Corrected time]])</f>
        <v>45</v>
      </c>
      <c r="D480" s="1">
        <v>0.4899333217592593</v>
      </c>
      <c r="E480" s="1">
        <f>Table146[[#This Row],[Time]]-TIME(0,0,1)</f>
        <v>0.4899217476851852</v>
      </c>
      <c r="F480" t="s">
        <v>9</v>
      </c>
      <c r="G480">
        <v>-121</v>
      </c>
      <c r="H480">
        <f>Table146[[#This Row],[RSSI]]</f>
        <v>-121</v>
      </c>
      <c r="I480">
        <v>-7.5</v>
      </c>
      <c r="L480">
        <f>390+2*(Table257[[#This Row],[min value (corrected)]]-27)</f>
        <v>406</v>
      </c>
      <c r="M480">
        <f>MINUTE(Table257[[#This Row],[Corrected time]])</f>
        <v>35</v>
      </c>
      <c r="N480" s="1">
        <v>0.5245652662037037</v>
      </c>
      <c r="O480" s="1">
        <f>Table257[[#This Row],[Time]]-TIME(0,0,3)</f>
        <v>0.52453054398148147</v>
      </c>
      <c r="P480" t="s">
        <v>9</v>
      </c>
      <c r="Q480">
        <v>-121</v>
      </c>
      <c r="R480">
        <f>Table257[[#This Row],[RSSI]]</f>
        <v>-121</v>
      </c>
      <c r="S480">
        <v>-7.2</v>
      </c>
    </row>
    <row r="481" spans="2:19" x14ac:dyDescent="0.25">
      <c r="B481">
        <f>390+2*(Table146[[#This Row],[min value (corrected)]]-37)</f>
        <v>406</v>
      </c>
      <c r="C481">
        <f>MINUTE(Table146[[#This Row],[Corrected time]])</f>
        <v>45</v>
      </c>
      <c r="D481" s="1">
        <v>0.48994635416666665</v>
      </c>
      <c r="E481" s="1">
        <f>Table146[[#This Row],[Time]]-TIME(0,0,1)</f>
        <v>0.48993478009259256</v>
      </c>
      <c r="F481" t="s">
        <v>9</v>
      </c>
      <c r="G481">
        <v>-121</v>
      </c>
      <c r="H481">
        <f>Table146[[#This Row],[RSSI]]</f>
        <v>-121</v>
      </c>
      <c r="I481">
        <v>-8</v>
      </c>
      <c r="L481">
        <f>390+2*(Table257[[#This Row],[min value (corrected)]]-27)</f>
        <v>406</v>
      </c>
      <c r="M481">
        <f>MINUTE(Table257[[#This Row],[Corrected time]])</f>
        <v>35</v>
      </c>
      <c r="N481" s="1">
        <v>0.52457829861111116</v>
      </c>
      <c r="O481" s="1">
        <f>Table257[[#This Row],[Time]]-TIME(0,0,3)</f>
        <v>0.52454357638888893</v>
      </c>
      <c r="P481" t="s">
        <v>9</v>
      </c>
      <c r="Q481">
        <v>-122</v>
      </c>
      <c r="R481">
        <f>Table257[[#This Row],[RSSI]]</f>
        <v>-122</v>
      </c>
      <c r="S481">
        <v>-8</v>
      </c>
    </row>
    <row r="482" spans="2:19" x14ac:dyDescent="0.25">
      <c r="B482">
        <f>390+2*(Table146[[#This Row],[min value (corrected)]]-37)</f>
        <v>406</v>
      </c>
      <c r="C482">
        <f>MINUTE(Table146[[#This Row],[Corrected time]])</f>
        <v>45</v>
      </c>
      <c r="D482" s="1">
        <v>0.48995938657407412</v>
      </c>
      <c r="E482" s="1">
        <f>Table146[[#This Row],[Time]]-TIME(0,0,1)</f>
        <v>0.48994781250000002</v>
      </c>
      <c r="F482" t="s">
        <v>9</v>
      </c>
      <c r="G482">
        <v>-120</v>
      </c>
      <c r="H482">
        <f>Table146[[#This Row],[RSSI]]</f>
        <v>-120</v>
      </c>
      <c r="I482">
        <v>-7.5</v>
      </c>
      <c r="L482">
        <f>390+2*(Table257[[#This Row],[min value (corrected)]]-27)</f>
        <v>406</v>
      </c>
      <c r="M482">
        <f>MINUTE(Table257[[#This Row],[Corrected time]])</f>
        <v>35</v>
      </c>
      <c r="N482" s="1">
        <v>0.52459133101851851</v>
      </c>
      <c r="O482" s="1">
        <f>Table257[[#This Row],[Time]]-TIME(0,0,3)</f>
        <v>0.52455660879629629</v>
      </c>
      <c r="P482" t="s">
        <v>9</v>
      </c>
      <c r="Q482">
        <v>-121</v>
      </c>
      <c r="R482">
        <f>Table257[[#This Row],[RSSI]]</f>
        <v>-121</v>
      </c>
      <c r="S482">
        <v>-7.2</v>
      </c>
    </row>
    <row r="483" spans="2:19" x14ac:dyDescent="0.25">
      <c r="B483">
        <f>390+2*(Table146[[#This Row],[min value (corrected)]]-37)</f>
        <v>406</v>
      </c>
      <c r="C483">
        <f>MINUTE(Table146[[#This Row],[Corrected time]])</f>
        <v>45</v>
      </c>
      <c r="D483" s="1">
        <v>0.48997241898148147</v>
      </c>
      <c r="E483" s="1">
        <f>Table146[[#This Row],[Time]]-TIME(0,0,1)</f>
        <v>0.48996084490740738</v>
      </c>
      <c r="F483" t="s">
        <v>9</v>
      </c>
      <c r="G483">
        <v>-122</v>
      </c>
      <c r="H483">
        <f>Table146[[#This Row],[RSSI]]</f>
        <v>-122</v>
      </c>
      <c r="I483">
        <v>-8.3000000000000007</v>
      </c>
      <c r="L483">
        <f>390+2*(Table257[[#This Row],[min value (corrected)]]-27)</f>
        <v>406</v>
      </c>
      <c r="M483">
        <f>MINUTE(Table257[[#This Row],[Corrected time]])</f>
        <v>35</v>
      </c>
      <c r="N483" s="1">
        <v>0.52460435185185184</v>
      </c>
      <c r="O483" s="1">
        <f>Table257[[#This Row],[Time]]-TIME(0,0,3)</f>
        <v>0.52456962962962961</v>
      </c>
      <c r="P483" t="s">
        <v>9</v>
      </c>
      <c r="Q483">
        <v>-121</v>
      </c>
      <c r="R483">
        <f>Table257[[#This Row],[RSSI]]</f>
        <v>-121</v>
      </c>
      <c r="S483">
        <v>-7.5</v>
      </c>
    </row>
    <row r="484" spans="2:19" x14ac:dyDescent="0.25">
      <c r="B484">
        <f>390+2*(Table146[[#This Row],[min value (corrected)]]-37)</f>
        <v>406</v>
      </c>
      <c r="C484">
        <f>MINUTE(Table146[[#This Row],[Corrected time]])</f>
        <v>45</v>
      </c>
      <c r="D484" s="1">
        <v>0.48998545138888894</v>
      </c>
      <c r="E484" s="1">
        <f>Table146[[#This Row],[Time]]-TIME(0,0,1)</f>
        <v>0.48997387731481484</v>
      </c>
      <c r="F484" t="s">
        <v>9</v>
      </c>
      <c r="G484">
        <v>-122</v>
      </c>
      <c r="H484">
        <f>Table146[[#This Row],[RSSI]]</f>
        <v>-122</v>
      </c>
      <c r="I484">
        <v>-8</v>
      </c>
      <c r="L484">
        <f>390+2*(Table257[[#This Row],[min value (corrected)]]-27)</f>
        <v>406</v>
      </c>
      <c r="M484">
        <f>MINUTE(Table257[[#This Row],[Corrected time]])</f>
        <v>35</v>
      </c>
      <c r="N484" s="1">
        <v>0.5246173842592593</v>
      </c>
      <c r="O484" s="1">
        <f>Table257[[#This Row],[Time]]-TIME(0,0,3)</f>
        <v>0.52458266203703707</v>
      </c>
      <c r="P484" t="s">
        <v>9</v>
      </c>
      <c r="Q484">
        <v>-122</v>
      </c>
      <c r="R484">
        <f>Table257[[#This Row],[RSSI]]</f>
        <v>-122</v>
      </c>
      <c r="S484">
        <v>-8.3000000000000007</v>
      </c>
    </row>
    <row r="485" spans="2:19" x14ac:dyDescent="0.25">
      <c r="B485">
        <f>390+2*(Table146[[#This Row],[min value (corrected)]]-37)</f>
        <v>406</v>
      </c>
      <c r="C485">
        <f>MINUTE(Table146[[#This Row],[Corrected time]])</f>
        <v>45</v>
      </c>
      <c r="D485" s="1">
        <v>0.48999848379629629</v>
      </c>
      <c r="E485" s="1">
        <f>Table146[[#This Row],[Time]]-TIME(0,0,1)</f>
        <v>0.4899869097222222</v>
      </c>
      <c r="F485" t="s">
        <v>9</v>
      </c>
      <c r="G485">
        <v>-121</v>
      </c>
      <c r="H485">
        <f>Table146[[#This Row],[RSSI]]</f>
        <v>-121</v>
      </c>
      <c r="I485">
        <v>-8</v>
      </c>
      <c r="L485">
        <f>390+2*(Table257[[#This Row],[min value (corrected)]]-27)</f>
        <v>406</v>
      </c>
      <c r="M485">
        <f>MINUTE(Table257[[#This Row],[Corrected time]])</f>
        <v>35</v>
      </c>
      <c r="N485" s="1">
        <v>0.5246304282407408</v>
      </c>
      <c r="O485" s="1">
        <f>Table257[[#This Row],[Time]]-TIME(0,0,3)</f>
        <v>0.52459570601851857</v>
      </c>
      <c r="P485" t="s">
        <v>9</v>
      </c>
      <c r="Q485">
        <v>-121</v>
      </c>
      <c r="R485">
        <f>Table257[[#This Row],[RSSI]]</f>
        <v>-121</v>
      </c>
      <c r="S485">
        <v>-8</v>
      </c>
    </row>
    <row r="486" spans="2:19" x14ac:dyDescent="0.25">
      <c r="B486">
        <f>390+2*(Table146[[#This Row],[min value (corrected)]]-37)</f>
        <v>406</v>
      </c>
      <c r="C486">
        <f>MINUTE(Table146[[#This Row],[Corrected time]])</f>
        <v>45</v>
      </c>
      <c r="D486" s="1">
        <v>0.49001151620370376</v>
      </c>
      <c r="E486" s="1">
        <f>Table146[[#This Row],[Time]]-TIME(0,0,1)</f>
        <v>0.48999994212962966</v>
      </c>
      <c r="F486" t="s">
        <v>9</v>
      </c>
      <c r="G486">
        <v>-122</v>
      </c>
      <c r="H486">
        <f>Table146[[#This Row],[RSSI]]</f>
        <v>-122</v>
      </c>
      <c r="I486">
        <v>-7.7</v>
      </c>
      <c r="L486">
        <f>390+2*(Table257[[#This Row],[min value (corrected)]]-27)</f>
        <v>406</v>
      </c>
      <c r="M486">
        <f>MINUTE(Table257[[#This Row],[Corrected time]])</f>
        <v>35</v>
      </c>
      <c r="N486" s="1">
        <v>0.52464346064814815</v>
      </c>
      <c r="O486" s="1">
        <f>Table257[[#This Row],[Time]]-TIME(0,0,3)</f>
        <v>0.52460873842592592</v>
      </c>
      <c r="P486" t="s">
        <v>9</v>
      </c>
      <c r="Q486">
        <v>-121</v>
      </c>
      <c r="R486">
        <f>Table257[[#This Row],[RSSI]]</f>
        <v>-121</v>
      </c>
      <c r="S486">
        <v>-7.7</v>
      </c>
    </row>
    <row r="487" spans="2:19" x14ac:dyDescent="0.25">
      <c r="B487">
        <f>390+2*(Table146[[#This Row],[min value (corrected)]]-37)</f>
        <v>406</v>
      </c>
      <c r="C487">
        <f>MINUTE(Table146[[#This Row],[Corrected time]])</f>
        <v>45</v>
      </c>
      <c r="D487" s="1">
        <v>0.49002454861111111</v>
      </c>
      <c r="E487" s="1">
        <f>Table146[[#This Row],[Time]]-TIME(0,0,1)</f>
        <v>0.49001297453703702</v>
      </c>
      <c r="F487" t="s">
        <v>9</v>
      </c>
      <c r="G487">
        <v>-122</v>
      </c>
      <c r="H487">
        <f>Table146[[#This Row],[RSSI]]</f>
        <v>-122</v>
      </c>
      <c r="I487">
        <v>-7.7</v>
      </c>
      <c r="L487">
        <f>390+2*(Table257[[#This Row],[min value (corrected)]]-27)</f>
        <v>406</v>
      </c>
      <c r="M487">
        <f>MINUTE(Table257[[#This Row],[Corrected time]])</f>
        <v>35</v>
      </c>
      <c r="N487" s="1">
        <v>0.52465648148148147</v>
      </c>
      <c r="O487" s="1">
        <f>Table257[[#This Row],[Time]]-TIME(0,0,3)</f>
        <v>0.52462175925925925</v>
      </c>
      <c r="P487" t="s">
        <v>9</v>
      </c>
      <c r="Q487">
        <v>-121</v>
      </c>
      <c r="R487">
        <f>Table257[[#This Row],[RSSI]]</f>
        <v>-121</v>
      </c>
      <c r="S487">
        <v>-7.7</v>
      </c>
    </row>
    <row r="488" spans="2:19" x14ac:dyDescent="0.25">
      <c r="B488">
        <f>390+2*(Table146[[#This Row],[min value (corrected)]]-37)</f>
        <v>406</v>
      </c>
      <c r="C488">
        <f>MINUTE(Table146[[#This Row],[Corrected time]])</f>
        <v>45</v>
      </c>
      <c r="D488" s="1">
        <v>0.49003758101851858</v>
      </c>
      <c r="E488" s="1">
        <f>Table146[[#This Row],[Time]]-TIME(0,0,1)</f>
        <v>0.49002600694444448</v>
      </c>
      <c r="F488" t="s">
        <v>9</v>
      </c>
      <c r="G488">
        <v>-121</v>
      </c>
      <c r="H488">
        <f>Table146[[#This Row],[RSSI]]</f>
        <v>-121</v>
      </c>
      <c r="I488">
        <v>-8</v>
      </c>
      <c r="L488">
        <f>390+2*(Table257[[#This Row],[min value (corrected)]]-27)</f>
        <v>406</v>
      </c>
      <c r="M488">
        <f>MINUTE(Table257[[#This Row],[Corrected time]])</f>
        <v>35</v>
      </c>
      <c r="N488" s="1">
        <v>0.52466952546296297</v>
      </c>
      <c r="O488" s="1">
        <f>Table257[[#This Row],[Time]]-TIME(0,0,3)</f>
        <v>0.52463480324074074</v>
      </c>
      <c r="P488" t="s">
        <v>9</v>
      </c>
      <c r="Q488">
        <v>-121</v>
      </c>
      <c r="R488">
        <f>Table257[[#This Row],[RSSI]]</f>
        <v>-121</v>
      </c>
      <c r="S488">
        <v>-8</v>
      </c>
    </row>
    <row r="489" spans="2:19" x14ac:dyDescent="0.25">
      <c r="B489">
        <f>390+2*(Table146[[#This Row],[min value (corrected)]]-37)</f>
        <v>406</v>
      </c>
      <c r="C489">
        <f>MINUTE(Table146[[#This Row],[Corrected time]])</f>
        <v>45</v>
      </c>
      <c r="D489" s="1">
        <v>0.49005061342592593</v>
      </c>
      <c r="E489" s="1">
        <f>Table146[[#This Row],[Time]]-TIME(0,0,1)</f>
        <v>0.49003903935185184</v>
      </c>
      <c r="F489" t="s">
        <v>9</v>
      </c>
      <c r="G489">
        <v>-121</v>
      </c>
      <c r="H489">
        <f>Table146[[#This Row],[RSSI]]</f>
        <v>-121</v>
      </c>
      <c r="I489">
        <v>-7.7</v>
      </c>
      <c r="L489">
        <f>390+2*(Table257[[#This Row],[min value (corrected)]]-27)</f>
        <v>406</v>
      </c>
      <c r="M489">
        <f>MINUTE(Table257[[#This Row],[Corrected time]])</f>
        <v>35</v>
      </c>
      <c r="N489" s="1">
        <v>0.52468255787037033</v>
      </c>
      <c r="O489" s="1">
        <f>Table257[[#This Row],[Time]]-TIME(0,0,3)</f>
        <v>0.5246478356481481</v>
      </c>
      <c r="P489" t="s">
        <v>9</v>
      </c>
      <c r="Q489">
        <v>-121</v>
      </c>
      <c r="R489">
        <f>Table257[[#This Row],[RSSI]]</f>
        <v>-121</v>
      </c>
      <c r="S489">
        <v>-7.5</v>
      </c>
    </row>
    <row r="490" spans="2:19" x14ac:dyDescent="0.25">
      <c r="B490">
        <f>390+2*(Table146[[#This Row],[min value (corrected)]]-37)</f>
        <v>406</v>
      </c>
      <c r="C490">
        <f>MINUTE(Table146[[#This Row],[Corrected time]])</f>
        <v>45</v>
      </c>
      <c r="D490" s="1">
        <v>0.49006364583333339</v>
      </c>
      <c r="E490" s="1">
        <f>Table146[[#This Row],[Time]]-TIME(0,0,1)</f>
        <v>0.4900520717592593</v>
      </c>
      <c r="F490" t="s">
        <v>9</v>
      </c>
      <c r="G490">
        <v>-122</v>
      </c>
      <c r="H490">
        <f>Table146[[#This Row],[RSSI]]</f>
        <v>-122</v>
      </c>
      <c r="I490">
        <v>-8.8000000000000007</v>
      </c>
      <c r="L490">
        <f>390+2*(Table257[[#This Row],[min value (corrected)]]-27)</f>
        <v>406</v>
      </c>
      <c r="M490">
        <f>MINUTE(Table257[[#This Row],[Corrected time]])</f>
        <v>35</v>
      </c>
      <c r="N490" s="1">
        <v>0.52469559027777779</v>
      </c>
      <c r="O490" s="1">
        <f>Table257[[#This Row],[Time]]-TIME(0,0,3)</f>
        <v>0.52466086805555556</v>
      </c>
      <c r="P490" t="s">
        <v>9</v>
      </c>
      <c r="Q490">
        <v>-121</v>
      </c>
      <c r="R490">
        <f>Table257[[#This Row],[RSSI]]</f>
        <v>-121</v>
      </c>
      <c r="S490">
        <v>-7.5</v>
      </c>
    </row>
    <row r="491" spans="2:19" x14ac:dyDescent="0.25">
      <c r="B491">
        <f>390+2*(Table146[[#This Row],[min value (corrected)]]-37)</f>
        <v>406</v>
      </c>
      <c r="C491">
        <f>MINUTE(Table146[[#This Row],[Corrected time]])</f>
        <v>45</v>
      </c>
      <c r="D491" s="1">
        <v>0.49007667824074075</v>
      </c>
      <c r="E491" s="1">
        <f>Table146[[#This Row],[Time]]-TIME(0,0,1)</f>
        <v>0.49006510416666665</v>
      </c>
      <c r="F491" t="s">
        <v>9</v>
      </c>
      <c r="G491">
        <v>-121</v>
      </c>
      <c r="H491">
        <f>Table146[[#This Row],[RSSI]]</f>
        <v>-121</v>
      </c>
      <c r="I491">
        <v>-7.7</v>
      </c>
      <c r="L491">
        <f>390+2*(Table257[[#This Row],[min value (corrected)]]-27)</f>
        <v>406</v>
      </c>
      <c r="M491">
        <f>MINUTE(Table257[[#This Row],[Corrected time]])</f>
        <v>35</v>
      </c>
      <c r="N491" s="1">
        <v>0.52470862268518514</v>
      </c>
      <c r="O491" s="1">
        <f>Table257[[#This Row],[Time]]-TIME(0,0,3)</f>
        <v>0.52467390046296292</v>
      </c>
      <c r="P491" t="s">
        <v>9</v>
      </c>
      <c r="Q491">
        <v>-121</v>
      </c>
      <c r="R491">
        <f>Table257[[#This Row],[RSSI]]</f>
        <v>-121</v>
      </c>
      <c r="S491">
        <v>-7.5</v>
      </c>
    </row>
    <row r="492" spans="2:19" x14ac:dyDescent="0.25">
      <c r="B492">
        <f>390+2*(Table146[[#This Row],[min value (corrected)]]-37)</f>
        <v>406</v>
      </c>
      <c r="C492">
        <f>MINUTE(Table146[[#This Row],[Corrected time]])</f>
        <v>45</v>
      </c>
      <c r="D492" s="1">
        <v>0.4900897106481481</v>
      </c>
      <c r="E492" s="1">
        <f>Table146[[#This Row],[Time]]-TIME(0,0,1)</f>
        <v>0.49007813657407401</v>
      </c>
      <c r="F492" t="s">
        <v>9</v>
      </c>
      <c r="G492">
        <v>-121</v>
      </c>
      <c r="H492">
        <f>Table146[[#This Row],[RSSI]]</f>
        <v>-121</v>
      </c>
      <c r="I492">
        <v>-8.3000000000000007</v>
      </c>
      <c r="L492">
        <f>390+2*(Table257[[#This Row],[min value (corrected)]]-27)</f>
        <v>406</v>
      </c>
      <c r="M492">
        <f>MINUTE(Table257[[#This Row],[Corrected time]])</f>
        <v>35</v>
      </c>
      <c r="N492" s="1">
        <v>0.52472165509259261</v>
      </c>
      <c r="O492" s="1">
        <f>Table257[[#This Row],[Time]]-TIME(0,0,3)</f>
        <v>0.52468693287037038</v>
      </c>
      <c r="P492" t="s">
        <v>9</v>
      </c>
      <c r="Q492">
        <v>-121</v>
      </c>
      <c r="R492">
        <f>Table257[[#This Row],[RSSI]]</f>
        <v>-121</v>
      </c>
      <c r="S492">
        <v>-8.3000000000000007</v>
      </c>
    </row>
    <row r="493" spans="2:19" x14ac:dyDescent="0.25">
      <c r="B493">
        <f>390+2*(Table146[[#This Row],[min value (corrected)]]-37)</f>
        <v>406</v>
      </c>
      <c r="C493">
        <f>MINUTE(Table146[[#This Row],[Corrected time]])</f>
        <v>45</v>
      </c>
      <c r="D493" s="1">
        <v>0.49010274305555557</v>
      </c>
      <c r="E493" s="1">
        <f>Table146[[#This Row],[Time]]-TIME(0,0,1)</f>
        <v>0.49009116898148147</v>
      </c>
      <c r="F493" t="s">
        <v>9</v>
      </c>
      <c r="G493">
        <v>-121</v>
      </c>
      <c r="H493">
        <f>Table146[[#This Row],[RSSI]]</f>
        <v>-121</v>
      </c>
      <c r="I493">
        <v>-7.7</v>
      </c>
      <c r="L493">
        <f>390+2*(Table257[[#This Row],[min value (corrected)]]-27)</f>
        <v>406</v>
      </c>
      <c r="M493">
        <f>MINUTE(Table257[[#This Row],[Corrected time]])</f>
        <v>35</v>
      </c>
      <c r="N493" s="1">
        <v>0.52473468749999996</v>
      </c>
      <c r="O493" s="1">
        <f>Table257[[#This Row],[Time]]-TIME(0,0,3)</f>
        <v>0.52469996527777774</v>
      </c>
      <c r="P493" t="s">
        <v>9</v>
      </c>
      <c r="Q493">
        <v>-122</v>
      </c>
      <c r="R493">
        <f>Table257[[#This Row],[RSSI]]</f>
        <v>-122</v>
      </c>
      <c r="S493">
        <v>-8.5</v>
      </c>
    </row>
    <row r="494" spans="2:19" x14ac:dyDescent="0.25">
      <c r="B494">
        <f>390+2*(Table146[[#This Row],[min value (corrected)]]-37)</f>
        <v>406</v>
      </c>
      <c r="C494">
        <f>MINUTE(Table146[[#This Row],[Corrected time]])</f>
        <v>45</v>
      </c>
      <c r="D494" s="1">
        <v>0.49011577546296292</v>
      </c>
      <c r="E494" s="1">
        <f>Table146[[#This Row],[Time]]-TIME(0,0,1)</f>
        <v>0.49010420138888883</v>
      </c>
      <c r="F494" t="s">
        <v>9</v>
      </c>
      <c r="G494">
        <v>-122</v>
      </c>
      <c r="H494">
        <f>Table146[[#This Row],[RSSI]]</f>
        <v>-122</v>
      </c>
      <c r="I494">
        <v>-8.3000000000000007</v>
      </c>
      <c r="L494">
        <f>390+2*(Table257[[#This Row],[min value (corrected)]]-27)</f>
        <v>406</v>
      </c>
      <c r="M494">
        <f>MINUTE(Table257[[#This Row],[Corrected time]])</f>
        <v>35</v>
      </c>
      <c r="N494" s="1">
        <v>0.52474770833333328</v>
      </c>
      <c r="O494" s="1">
        <f>Table257[[#This Row],[Time]]-TIME(0,0,3)</f>
        <v>0.52471298611111106</v>
      </c>
      <c r="P494" t="s">
        <v>9</v>
      </c>
      <c r="Q494">
        <v>-122</v>
      </c>
      <c r="R494">
        <f>Table257[[#This Row],[RSSI]]</f>
        <v>-122</v>
      </c>
      <c r="S494">
        <v>-8.5</v>
      </c>
    </row>
    <row r="495" spans="2:19" x14ac:dyDescent="0.25">
      <c r="B495">
        <f>390+2*(Table146[[#This Row],[min value (corrected)]]-37)</f>
        <v>406</v>
      </c>
      <c r="C495">
        <f>MINUTE(Table146[[#This Row],[Corrected time]])</f>
        <v>45</v>
      </c>
      <c r="D495" s="1">
        <v>0.49012880787037039</v>
      </c>
      <c r="E495" s="1">
        <f>Table146[[#This Row],[Time]]-TIME(0,0,1)</f>
        <v>0.49011723379629629</v>
      </c>
      <c r="F495" t="s">
        <v>9</v>
      </c>
      <c r="G495">
        <v>-122</v>
      </c>
      <c r="H495">
        <f>Table146[[#This Row],[RSSI]]</f>
        <v>-122</v>
      </c>
      <c r="I495">
        <v>-8.3000000000000007</v>
      </c>
      <c r="L495">
        <f>390+2*(Table257[[#This Row],[min value (corrected)]]-27)</f>
        <v>406</v>
      </c>
      <c r="M495">
        <f>MINUTE(Table257[[#This Row],[Corrected time]])</f>
        <v>35</v>
      </c>
      <c r="N495" s="1">
        <v>0.52476074074074075</v>
      </c>
      <c r="O495" s="1">
        <f>Table257[[#This Row],[Time]]-TIME(0,0,3)</f>
        <v>0.52472601851851852</v>
      </c>
      <c r="P495" t="s">
        <v>9</v>
      </c>
      <c r="Q495">
        <v>-122</v>
      </c>
      <c r="R495">
        <f>Table257[[#This Row],[RSSI]]</f>
        <v>-122</v>
      </c>
      <c r="S495">
        <v>-8</v>
      </c>
    </row>
    <row r="496" spans="2:19" x14ac:dyDescent="0.25">
      <c r="B496">
        <f>390+2*(Table146[[#This Row],[min value (corrected)]]-37)</f>
        <v>406</v>
      </c>
      <c r="C496">
        <f>MINUTE(Table146[[#This Row],[Corrected time]])</f>
        <v>45</v>
      </c>
      <c r="D496" s="1">
        <v>0.49014184027777774</v>
      </c>
      <c r="E496" s="1">
        <f>Table146[[#This Row],[Time]]-TIME(0,0,1)</f>
        <v>0.49013026620370365</v>
      </c>
      <c r="F496" t="s">
        <v>9</v>
      </c>
      <c r="G496">
        <v>-121</v>
      </c>
      <c r="H496">
        <f>Table146[[#This Row],[RSSI]]</f>
        <v>-121</v>
      </c>
      <c r="I496">
        <v>-7.7</v>
      </c>
      <c r="L496">
        <f>390+2*(Table257[[#This Row],[min value (corrected)]]-27)</f>
        <v>406</v>
      </c>
      <c r="M496">
        <f>MINUTE(Table257[[#This Row],[Corrected time]])</f>
        <v>35</v>
      </c>
      <c r="N496" s="1">
        <v>0.52477378472222225</v>
      </c>
      <c r="O496" s="1">
        <f>Table257[[#This Row],[Time]]-TIME(0,0,3)</f>
        <v>0.52473906250000002</v>
      </c>
      <c r="P496" t="s">
        <v>9</v>
      </c>
      <c r="Q496">
        <v>-120</v>
      </c>
      <c r="R496">
        <f>Table257[[#This Row],[RSSI]]</f>
        <v>-120</v>
      </c>
      <c r="S496">
        <v>-7</v>
      </c>
    </row>
    <row r="497" spans="2:19" x14ac:dyDescent="0.25">
      <c r="B497">
        <f>390+2*(Table146[[#This Row],[min value (corrected)]]-37)</f>
        <v>406</v>
      </c>
      <c r="C497">
        <f>MINUTE(Table146[[#This Row],[Corrected time]])</f>
        <v>45</v>
      </c>
      <c r="D497" s="1">
        <v>0.49015487268518521</v>
      </c>
      <c r="E497" s="1">
        <f>Table146[[#This Row],[Time]]-TIME(0,0,1)</f>
        <v>0.49014329861111111</v>
      </c>
      <c r="F497" t="s">
        <v>9</v>
      </c>
      <c r="G497">
        <v>-121</v>
      </c>
      <c r="H497">
        <f>Table146[[#This Row],[RSSI]]</f>
        <v>-121</v>
      </c>
      <c r="I497">
        <v>-8</v>
      </c>
      <c r="L497">
        <f>390+2*(Table257[[#This Row],[min value (corrected)]]-27)</f>
        <v>406</v>
      </c>
      <c r="M497">
        <f>MINUTE(Table257[[#This Row],[Corrected time]])</f>
        <v>35</v>
      </c>
      <c r="N497" s="1">
        <v>0.5247868171296296</v>
      </c>
      <c r="O497" s="1">
        <f>Table257[[#This Row],[Time]]-TIME(0,0,3)</f>
        <v>0.52475209490740737</v>
      </c>
      <c r="P497" t="s">
        <v>9</v>
      </c>
      <c r="Q497">
        <v>-121</v>
      </c>
      <c r="R497">
        <f>Table257[[#This Row],[RSSI]]</f>
        <v>-121</v>
      </c>
      <c r="S497">
        <v>-7.2</v>
      </c>
    </row>
    <row r="498" spans="2:19" x14ac:dyDescent="0.25">
      <c r="B498">
        <f>390+2*(Table146[[#This Row],[min value (corrected)]]-37)</f>
        <v>406</v>
      </c>
      <c r="C498">
        <f>MINUTE(Table146[[#This Row],[Corrected time]])</f>
        <v>45</v>
      </c>
      <c r="D498" s="1">
        <v>0.49016790509259256</v>
      </c>
      <c r="E498" s="1">
        <f>Table146[[#This Row],[Time]]-TIME(0,0,1)</f>
        <v>0.49015633101851847</v>
      </c>
      <c r="F498" t="s">
        <v>9</v>
      </c>
      <c r="G498">
        <v>-122</v>
      </c>
      <c r="H498">
        <f>Table146[[#This Row],[RSSI]]</f>
        <v>-122</v>
      </c>
      <c r="I498">
        <v>-8.5</v>
      </c>
      <c r="L498">
        <f>390+2*(Table257[[#This Row],[min value (corrected)]]-27)</f>
        <v>406</v>
      </c>
      <c r="M498">
        <f>MINUTE(Table257[[#This Row],[Corrected time]])</f>
        <v>35</v>
      </c>
      <c r="N498" s="1">
        <v>0.52479984953703707</v>
      </c>
      <c r="O498" s="1">
        <f>Table257[[#This Row],[Time]]-TIME(0,0,3)</f>
        <v>0.52476512731481484</v>
      </c>
      <c r="P498" t="s">
        <v>9</v>
      </c>
      <c r="Q498">
        <v>-121</v>
      </c>
      <c r="R498">
        <f>Table257[[#This Row],[RSSI]]</f>
        <v>-121</v>
      </c>
      <c r="S498">
        <v>-7.5</v>
      </c>
    </row>
    <row r="499" spans="2:19" x14ac:dyDescent="0.25">
      <c r="B499">
        <f>390+2*(Table146[[#This Row],[min value (corrected)]]-37)</f>
        <v>406</v>
      </c>
      <c r="C499">
        <f>MINUTE(Table146[[#This Row],[Corrected time]])</f>
        <v>45</v>
      </c>
      <c r="D499" s="1">
        <v>0.49018093750000002</v>
      </c>
      <c r="E499" s="1">
        <f>Table146[[#This Row],[Time]]-TIME(0,0,1)</f>
        <v>0.49016936342592593</v>
      </c>
      <c r="F499" t="s">
        <v>9</v>
      </c>
      <c r="G499">
        <v>-122</v>
      </c>
      <c r="H499">
        <f>Table146[[#This Row],[RSSI]]</f>
        <v>-122</v>
      </c>
      <c r="I499">
        <v>-8.8000000000000007</v>
      </c>
      <c r="L499">
        <f>390+2*(Table257[[#This Row],[min value (corrected)]]-27)</f>
        <v>406</v>
      </c>
      <c r="M499">
        <f>MINUTE(Table257[[#This Row],[Corrected time]])</f>
        <v>35</v>
      </c>
      <c r="N499" s="1">
        <v>0.52481288194444442</v>
      </c>
      <c r="O499" s="1">
        <f>Table257[[#This Row],[Time]]-TIME(0,0,3)</f>
        <v>0.52477815972222219</v>
      </c>
      <c r="P499" t="s">
        <v>9</v>
      </c>
      <c r="Q499">
        <v>-120</v>
      </c>
      <c r="R499">
        <f>Table257[[#This Row],[RSSI]]</f>
        <v>-120</v>
      </c>
      <c r="S499">
        <v>-6.7</v>
      </c>
    </row>
    <row r="500" spans="2:19" x14ac:dyDescent="0.25">
      <c r="B500">
        <f>390+2*(Table146[[#This Row],[min value (corrected)]]-37)</f>
        <v>406</v>
      </c>
      <c r="C500">
        <f>MINUTE(Table146[[#This Row],[Corrected time]])</f>
        <v>45</v>
      </c>
      <c r="D500" s="1">
        <v>0.49019396990740738</v>
      </c>
      <c r="E500" s="1">
        <f>Table146[[#This Row],[Time]]-TIME(0,0,1)</f>
        <v>0.49018239583333328</v>
      </c>
      <c r="F500" t="s">
        <v>9</v>
      </c>
      <c r="G500">
        <v>-121</v>
      </c>
      <c r="H500">
        <f>Table146[[#This Row],[RSSI]]</f>
        <v>-121</v>
      </c>
      <c r="I500">
        <v>-7.7</v>
      </c>
      <c r="L500">
        <f>390+2*(Table257[[#This Row],[min value (corrected)]]-27)</f>
        <v>406</v>
      </c>
      <c r="M500">
        <f>MINUTE(Table257[[#This Row],[Corrected time]])</f>
        <v>35</v>
      </c>
      <c r="N500" s="1">
        <v>0.52482590277777774</v>
      </c>
      <c r="O500" s="1">
        <f>Table257[[#This Row],[Time]]-TIME(0,0,3)</f>
        <v>0.52479118055555551</v>
      </c>
      <c r="P500" t="s">
        <v>13</v>
      </c>
      <c r="Q500">
        <f>Q499</f>
        <v>-120</v>
      </c>
      <c r="R500">
        <f>Table257[[#This Row],[RSSI]]</f>
        <v>-120</v>
      </c>
      <c r="S500">
        <f>S499</f>
        <v>-6.7</v>
      </c>
    </row>
    <row r="501" spans="2:19" x14ac:dyDescent="0.25">
      <c r="B501">
        <f>390+2*(Table146[[#This Row],[min value (corrected)]]-37)</f>
        <v>406</v>
      </c>
      <c r="C501">
        <f>MINUTE(Table146[[#This Row],[Corrected time]])</f>
        <v>45</v>
      </c>
      <c r="D501" s="1">
        <v>0.49020700231481484</v>
      </c>
      <c r="E501" s="1">
        <f>Table146[[#This Row],[Time]]-TIME(0,0,1)</f>
        <v>0.49019542824074075</v>
      </c>
      <c r="F501" t="s">
        <v>9</v>
      </c>
      <c r="G501">
        <v>-121</v>
      </c>
      <c r="H501">
        <f>Table146[[#This Row],[RSSI]]</f>
        <v>-121</v>
      </c>
      <c r="I501">
        <v>-8.5</v>
      </c>
      <c r="L501">
        <f>390+2*(Table257[[#This Row],[min value (corrected)]]-27)</f>
        <v>406</v>
      </c>
      <c r="M501">
        <f>MINUTE(Table257[[#This Row],[Corrected time]])</f>
        <v>35</v>
      </c>
      <c r="N501" s="1">
        <v>0.52483893518518521</v>
      </c>
      <c r="O501" s="1">
        <f>Table257[[#This Row],[Time]]-TIME(0,0,3)</f>
        <v>0.52480421296296298</v>
      </c>
      <c r="P501" t="s">
        <v>9</v>
      </c>
      <c r="Q501">
        <v>-121</v>
      </c>
      <c r="R501">
        <f>Table257[[#This Row],[RSSI]]</f>
        <v>-121</v>
      </c>
      <c r="S501">
        <v>-7.5</v>
      </c>
    </row>
    <row r="502" spans="2:19" x14ac:dyDescent="0.25">
      <c r="B502">
        <f>390+2*(Table146[[#This Row],[min value (corrected)]]-37)</f>
        <v>406</v>
      </c>
      <c r="C502">
        <f>MINUTE(Table146[[#This Row],[Corrected time]])</f>
        <v>45</v>
      </c>
      <c r="D502" s="1">
        <v>0.4902200347222222</v>
      </c>
      <c r="E502" s="1">
        <f>Table146[[#This Row],[Time]]-TIME(0,0,1)</f>
        <v>0.4902084606481481</v>
      </c>
      <c r="F502" t="s">
        <v>9</v>
      </c>
      <c r="G502">
        <v>-121</v>
      </c>
      <c r="H502">
        <f>Table146[[#This Row],[RSSI]]</f>
        <v>-121</v>
      </c>
      <c r="I502">
        <v>-8</v>
      </c>
      <c r="L502">
        <f>390+2*(Table257[[#This Row],[min value (corrected)]]-27)</f>
        <v>406</v>
      </c>
      <c r="M502">
        <f>MINUTE(Table257[[#This Row],[Corrected time]])</f>
        <v>35</v>
      </c>
      <c r="N502" s="1">
        <v>0.52485196759259256</v>
      </c>
      <c r="O502" s="1">
        <f>Table257[[#This Row],[Time]]-TIME(0,0,3)</f>
        <v>0.52481724537037033</v>
      </c>
      <c r="P502" t="s">
        <v>9</v>
      </c>
      <c r="Q502">
        <v>-121</v>
      </c>
      <c r="R502">
        <f>Table257[[#This Row],[RSSI]]</f>
        <v>-121</v>
      </c>
      <c r="S502">
        <v>-7.7</v>
      </c>
    </row>
    <row r="503" spans="2:19" x14ac:dyDescent="0.25">
      <c r="B503">
        <f>390+2*(Table146[[#This Row],[min value (corrected)]]-37)</f>
        <v>406</v>
      </c>
      <c r="C503">
        <f>MINUTE(Table146[[#This Row],[Corrected time]])</f>
        <v>45</v>
      </c>
      <c r="D503" s="1">
        <v>0.49023306712962966</v>
      </c>
      <c r="E503" s="1">
        <f>Table146[[#This Row],[Time]]-TIME(0,0,1)</f>
        <v>0.49022149305555557</v>
      </c>
      <c r="F503" t="s">
        <v>9</v>
      </c>
      <c r="G503">
        <v>-122</v>
      </c>
      <c r="H503">
        <f>Table146[[#This Row],[RSSI]]</f>
        <v>-122</v>
      </c>
      <c r="I503">
        <v>-8.3000000000000007</v>
      </c>
      <c r="L503">
        <f>390+2*(Table257[[#This Row],[min value (corrected)]]-27)</f>
        <v>406</v>
      </c>
      <c r="M503">
        <f>MINUTE(Table257[[#This Row],[Corrected time]])</f>
        <v>35</v>
      </c>
      <c r="N503" s="1">
        <v>0.52486501157407406</v>
      </c>
      <c r="O503" s="1">
        <f>Table257[[#This Row],[Time]]-TIME(0,0,3)</f>
        <v>0.52483028935185183</v>
      </c>
      <c r="P503" t="s">
        <v>9</v>
      </c>
      <c r="Q503">
        <v>-121</v>
      </c>
      <c r="R503">
        <f>Table257[[#This Row],[RSSI]]</f>
        <v>-121</v>
      </c>
      <c r="S503">
        <v>-7.2</v>
      </c>
    </row>
    <row r="504" spans="2:19" x14ac:dyDescent="0.25">
      <c r="B504">
        <f>390+2*(Table146[[#This Row],[min value (corrected)]]-37)</f>
        <v>406</v>
      </c>
      <c r="C504">
        <f>MINUTE(Table146[[#This Row],[Corrected time]])</f>
        <v>45</v>
      </c>
      <c r="D504" s="1">
        <v>0.49024609953703702</v>
      </c>
      <c r="E504" s="1">
        <f>Table146[[#This Row],[Time]]-TIME(0,0,1)</f>
        <v>0.49023452546296292</v>
      </c>
      <c r="F504" t="s">
        <v>9</v>
      </c>
      <c r="G504">
        <v>-122</v>
      </c>
      <c r="H504">
        <f>Table146[[#This Row],[RSSI]]</f>
        <v>-122</v>
      </c>
      <c r="I504">
        <v>-8</v>
      </c>
      <c r="L504">
        <f>390+2*(Table257[[#This Row],[min value (corrected)]]-27)</f>
        <v>406</v>
      </c>
      <c r="M504">
        <f>MINUTE(Table257[[#This Row],[Corrected time]])</f>
        <v>35</v>
      </c>
      <c r="N504" s="1">
        <v>0.52487803240740738</v>
      </c>
      <c r="O504" s="1">
        <f>Table257[[#This Row],[Time]]-TIME(0,0,3)</f>
        <v>0.52484331018518515</v>
      </c>
      <c r="P504" t="s">
        <v>9</v>
      </c>
      <c r="Q504">
        <v>-121</v>
      </c>
      <c r="R504">
        <f>Table257[[#This Row],[RSSI]]</f>
        <v>-121</v>
      </c>
      <c r="S504">
        <v>-7.7</v>
      </c>
    </row>
    <row r="505" spans="2:19" x14ac:dyDescent="0.25">
      <c r="B505">
        <f>390+2*(Table146[[#This Row],[min value (corrected)]]-37)</f>
        <v>406</v>
      </c>
      <c r="C505">
        <f>MINUTE(Table146[[#This Row],[Corrected time]])</f>
        <v>45</v>
      </c>
      <c r="D505" s="1">
        <v>0.49025913194444448</v>
      </c>
      <c r="E505" s="1">
        <f>Table146[[#This Row],[Time]]-TIME(0,0,1)</f>
        <v>0.49024755787037039</v>
      </c>
      <c r="F505" t="s">
        <v>9</v>
      </c>
      <c r="G505">
        <v>-121</v>
      </c>
      <c r="H505">
        <f>Table146[[#This Row],[RSSI]]</f>
        <v>-121</v>
      </c>
      <c r="I505">
        <v>-8</v>
      </c>
      <c r="L505">
        <f>390+2*(Table257[[#This Row],[min value (corrected)]]-27)</f>
        <v>406</v>
      </c>
      <c r="M505">
        <f>MINUTE(Table257[[#This Row],[Corrected time]])</f>
        <v>35</v>
      </c>
      <c r="N505" s="1">
        <v>0.52489107638888888</v>
      </c>
      <c r="O505" s="1">
        <f>Table257[[#This Row],[Time]]-TIME(0,0,3)</f>
        <v>0.52485635416666665</v>
      </c>
      <c r="P505" t="s">
        <v>9</v>
      </c>
      <c r="Q505">
        <v>-121</v>
      </c>
      <c r="R505">
        <f>Table257[[#This Row],[RSSI]]</f>
        <v>-121</v>
      </c>
      <c r="S505">
        <v>-7.5</v>
      </c>
    </row>
    <row r="506" spans="2:19" x14ac:dyDescent="0.25">
      <c r="B506">
        <f>390+2*(Table146[[#This Row],[min value (corrected)]]-37)</f>
        <v>406</v>
      </c>
      <c r="C506">
        <f>MINUTE(Table146[[#This Row],[Corrected time]])</f>
        <v>45</v>
      </c>
      <c r="D506" s="1">
        <v>0.49027216435185184</v>
      </c>
      <c r="E506" s="1">
        <f>Table146[[#This Row],[Time]]-TIME(0,0,1)</f>
        <v>0.49026059027777774</v>
      </c>
      <c r="F506" t="s">
        <v>9</v>
      </c>
      <c r="G506">
        <v>-122</v>
      </c>
      <c r="H506">
        <f>Table146[[#This Row],[RSSI]]</f>
        <v>-122</v>
      </c>
      <c r="I506">
        <v>-8.3000000000000007</v>
      </c>
      <c r="L506">
        <f>390+2*(Table257[[#This Row],[min value (corrected)]]-27)</f>
        <v>406</v>
      </c>
      <c r="M506">
        <f>MINUTE(Table257[[#This Row],[Corrected time]])</f>
        <v>35</v>
      </c>
      <c r="N506" s="1">
        <v>0.52490410879629623</v>
      </c>
      <c r="O506" s="1">
        <f>Table257[[#This Row],[Time]]-TIME(0,0,3)</f>
        <v>0.524869386574074</v>
      </c>
      <c r="P506" t="s">
        <v>9</v>
      </c>
      <c r="Q506">
        <v>-122</v>
      </c>
      <c r="R506">
        <f>Table257[[#This Row],[RSSI]]</f>
        <v>-122</v>
      </c>
      <c r="S506">
        <v>-8</v>
      </c>
    </row>
    <row r="507" spans="2:19" x14ac:dyDescent="0.25">
      <c r="B507">
        <f>390+2*(Table146[[#This Row],[min value (corrected)]]-37)</f>
        <v>408</v>
      </c>
      <c r="C507">
        <f>MINUTE(Table146[[#This Row],[Corrected time]])</f>
        <v>46</v>
      </c>
      <c r="D507" s="1">
        <v>0.4902851967592593</v>
      </c>
      <c r="E507" s="1">
        <f>Table146[[#This Row],[Time]]-TIME(0,0,1)</f>
        <v>0.49027362268518521</v>
      </c>
      <c r="F507" t="s">
        <v>9</v>
      </c>
      <c r="G507">
        <v>-121</v>
      </c>
      <c r="H507">
        <f>Table146[[#This Row],[RSSI]]</f>
        <v>-121</v>
      </c>
      <c r="I507">
        <v>-8.3000000000000007</v>
      </c>
      <c r="L507">
        <f>390+2*(Table257[[#This Row],[min value (corrected)]]-27)</f>
        <v>406</v>
      </c>
      <c r="M507">
        <f>MINUTE(Table257[[#This Row],[Corrected time]])</f>
        <v>35</v>
      </c>
      <c r="N507" s="1">
        <v>0.5249171412037037</v>
      </c>
      <c r="O507" s="1">
        <f>Table257[[#This Row],[Time]]-TIME(0,0,3)</f>
        <v>0.52488241898148147</v>
      </c>
      <c r="P507" t="s">
        <v>9</v>
      </c>
      <c r="Q507">
        <v>-122</v>
      </c>
      <c r="R507">
        <f>Table257[[#This Row],[RSSI]]</f>
        <v>-122</v>
      </c>
      <c r="S507">
        <v>-8</v>
      </c>
    </row>
    <row r="508" spans="2:19" x14ac:dyDescent="0.25">
      <c r="B508">
        <f>390+2*(Table146[[#This Row],[min value (corrected)]]-37)</f>
        <v>408</v>
      </c>
      <c r="C508">
        <f>MINUTE(Table146[[#This Row],[Corrected time]])</f>
        <v>46</v>
      </c>
      <c r="D508" s="1">
        <v>0.49029822916666665</v>
      </c>
      <c r="E508" s="1">
        <f>Table146[[#This Row],[Time]]-TIME(0,0,1)</f>
        <v>0.49028665509259256</v>
      </c>
      <c r="F508" t="s">
        <v>9</v>
      </c>
      <c r="G508">
        <v>-122</v>
      </c>
      <c r="H508">
        <f>Table146[[#This Row],[RSSI]]</f>
        <v>-122</v>
      </c>
      <c r="I508">
        <v>-8</v>
      </c>
      <c r="L508">
        <f>390+2*(Table257[[#This Row],[min value (corrected)]]-27)</f>
        <v>406</v>
      </c>
      <c r="M508">
        <f>MINUTE(Table257[[#This Row],[Corrected time]])</f>
        <v>35</v>
      </c>
      <c r="N508" s="1">
        <v>0.52493017361111105</v>
      </c>
      <c r="O508" s="1">
        <f>Table257[[#This Row],[Time]]-TIME(0,0,3)</f>
        <v>0.52489545138888882</v>
      </c>
      <c r="P508" t="s">
        <v>9</v>
      </c>
      <c r="Q508">
        <v>-121</v>
      </c>
      <c r="R508">
        <f>Table257[[#This Row],[RSSI]]</f>
        <v>-121</v>
      </c>
      <c r="S508">
        <v>-7.5</v>
      </c>
    </row>
    <row r="509" spans="2:19" x14ac:dyDescent="0.25">
      <c r="B509">
        <f>390+2*(Table146[[#This Row],[min value (corrected)]]-37)</f>
        <v>408</v>
      </c>
      <c r="C509">
        <f>MINUTE(Table146[[#This Row],[Corrected time]])</f>
        <v>46</v>
      </c>
      <c r="D509" s="1">
        <v>0.49031126157407401</v>
      </c>
      <c r="E509" s="1">
        <f>Table146[[#This Row],[Time]]-TIME(0,0,1)</f>
        <v>0.49029968749999991</v>
      </c>
      <c r="F509" t="s">
        <v>27</v>
      </c>
      <c r="G509">
        <f>G508</f>
        <v>-122</v>
      </c>
      <c r="H509">
        <f>Table146[[#This Row],[RSSI]]</f>
        <v>-122</v>
      </c>
      <c r="I509">
        <f>I508</f>
        <v>-8</v>
      </c>
      <c r="L509">
        <f>390+2*(Table257[[#This Row],[min value (corrected)]]-27)</f>
        <v>406</v>
      </c>
      <c r="M509">
        <f>MINUTE(Table257[[#This Row],[Corrected time]])</f>
        <v>35</v>
      </c>
      <c r="N509" s="1">
        <v>0.52494320601851852</v>
      </c>
      <c r="O509" s="1">
        <f>Table257[[#This Row],[Time]]-TIME(0,0,3)</f>
        <v>0.52490848379629629</v>
      </c>
      <c r="P509" t="s">
        <v>9</v>
      </c>
      <c r="Q509">
        <v>-121</v>
      </c>
      <c r="R509">
        <f>Table257[[#This Row],[RSSI]]</f>
        <v>-121</v>
      </c>
      <c r="S509">
        <v>-7.2</v>
      </c>
    </row>
    <row r="510" spans="2:19" x14ac:dyDescent="0.25">
      <c r="B510">
        <f>390+2*(Table146[[#This Row],[min value (corrected)]]-37)</f>
        <v>408</v>
      </c>
      <c r="C510">
        <f>MINUTE(Table146[[#This Row],[Corrected time]])</f>
        <v>46</v>
      </c>
      <c r="D510" s="1">
        <v>0.49032429398148147</v>
      </c>
      <c r="E510" s="1">
        <f>Table146[[#This Row],[Time]]-TIME(0,0,1)</f>
        <v>0.49031271990740738</v>
      </c>
      <c r="F510" t="s">
        <v>9</v>
      </c>
      <c r="G510">
        <v>-122</v>
      </c>
      <c r="H510">
        <f>Table146[[#This Row],[RSSI]]</f>
        <v>-122</v>
      </c>
      <c r="I510">
        <v>-8.5</v>
      </c>
      <c r="L510">
        <f>390+2*(Table257[[#This Row],[min value (corrected)]]-27)</f>
        <v>406</v>
      </c>
      <c r="M510">
        <f>MINUTE(Table257[[#This Row],[Corrected time]])</f>
        <v>35</v>
      </c>
      <c r="N510" s="1">
        <v>0.52495623842592587</v>
      </c>
      <c r="O510" s="1">
        <f>Table257[[#This Row],[Time]]-TIME(0,0,3)</f>
        <v>0.52492151620370364</v>
      </c>
      <c r="P510" t="s">
        <v>9</v>
      </c>
      <c r="Q510">
        <v>-121</v>
      </c>
      <c r="R510">
        <f>Table257[[#This Row],[RSSI]]</f>
        <v>-121</v>
      </c>
      <c r="S510">
        <v>-8.3000000000000007</v>
      </c>
    </row>
    <row r="511" spans="2:19" x14ac:dyDescent="0.25">
      <c r="B511">
        <f>390+2*(Table146[[#This Row],[min value (corrected)]]-37)</f>
        <v>408</v>
      </c>
      <c r="C511">
        <f>MINUTE(Table146[[#This Row],[Corrected time]])</f>
        <v>46</v>
      </c>
      <c r="D511" s="1">
        <v>0.49033732638888883</v>
      </c>
      <c r="E511" s="1">
        <f>Table146[[#This Row],[Time]]-TIME(0,0,1)</f>
        <v>0.49032575231481473</v>
      </c>
      <c r="F511" t="s">
        <v>9</v>
      </c>
      <c r="G511">
        <v>-122</v>
      </c>
      <c r="H511">
        <f>Table146[[#This Row],[RSSI]]</f>
        <v>-122</v>
      </c>
      <c r="I511">
        <v>-8.3000000000000007</v>
      </c>
      <c r="L511">
        <f>390+2*(Table257[[#This Row],[min value (corrected)]]-27)</f>
        <v>406</v>
      </c>
      <c r="M511">
        <f>MINUTE(Table257[[#This Row],[Corrected time]])</f>
        <v>35</v>
      </c>
      <c r="N511" s="1">
        <v>0.52496927083333333</v>
      </c>
      <c r="O511" s="1">
        <f>Table257[[#This Row],[Time]]-TIME(0,0,3)</f>
        <v>0.52493454861111111</v>
      </c>
      <c r="P511" t="s">
        <v>9</v>
      </c>
      <c r="Q511">
        <v>-121</v>
      </c>
      <c r="R511">
        <f>Table257[[#This Row],[RSSI]]</f>
        <v>-121</v>
      </c>
      <c r="S511">
        <v>-8.3000000000000007</v>
      </c>
    </row>
    <row r="512" spans="2:19" x14ac:dyDescent="0.25">
      <c r="B512">
        <f>390+2*(Table146[[#This Row],[min value (corrected)]]-37)</f>
        <v>408</v>
      </c>
      <c r="C512">
        <f>MINUTE(Table146[[#This Row],[Corrected time]])</f>
        <v>46</v>
      </c>
      <c r="D512" s="1">
        <v>0.49035035879629629</v>
      </c>
      <c r="E512" s="1">
        <f>Table146[[#This Row],[Time]]-TIME(0,0,1)</f>
        <v>0.4903387847222222</v>
      </c>
      <c r="F512" t="s">
        <v>9</v>
      </c>
      <c r="G512">
        <v>-122</v>
      </c>
      <c r="H512">
        <f>Table146[[#This Row],[RSSI]]</f>
        <v>-122</v>
      </c>
      <c r="I512">
        <v>-8.5</v>
      </c>
      <c r="L512">
        <f>390+2*(Table257[[#This Row],[min value (corrected)]]-27)</f>
        <v>406</v>
      </c>
      <c r="M512">
        <f>MINUTE(Table257[[#This Row],[Corrected time]])</f>
        <v>35</v>
      </c>
      <c r="N512" s="1">
        <v>0.52498230324074069</v>
      </c>
      <c r="O512" s="1">
        <f>Table257[[#This Row],[Time]]-TIME(0,0,3)</f>
        <v>0.52494758101851846</v>
      </c>
      <c r="P512" t="s">
        <v>9</v>
      </c>
      <c r="Q512">
        <v>-121</v>
      </c>
      <c r="R512">
        <f>Table257[[#This Row],[RSSI]]</f>
        <v>-121</v>
      </c>
      <c r="S512">
        <v>-7.7</v>
      </c>
    </row>
    <row r="513" spans="2:19" x14ac:dyDescent="0.25">
      <c r="B513">
        <f>390+2*(Table146[[#This Row],[min value (corrected)]]-37)</f>
        <v>408</v>
      </c>
      <c r="C513">
        <f>MINUTE(Table146[[#This Row],[Corrected time]])</f>
        <v>46</v>
      </c>
      <c r="D513" s="1">
        <v>0.49036339120370365</v>
      </c>
      <c r="E513" s="1">
        <f>Table146[[#This Row],[Time]]-TIME(0,0,1)</f>
        <v>0.49035181712962955</v>
      </c>
      <c r="F513" t="s">
        <v>9</v>
      </c>
      <c r="G513">
        <v>-122</v>
      </c>
      <c r="H513">
        <f>Table146[[#This Row],[RSSI]]</f>
        <v>-122</v>
      </c>
      <c r="I513">
        <v>-8.8000000000000007</v>
      </c>
      <c r="L513">
        <f>390+2*(Table257[[#This Row],[min value (corrected)]]-27)</f>
        <v>406</v>
      </c>
      <c r="M513">
        <f>MINUTE(Table257[[#This Row],[Corrected time]])</f>
        <v>35</v>
      </c>
      <c r="N513" s="1">
        <v>0.52499532407407401</v>
      </c>
      <c r="O513" s="1">
        <f>Table257[[#This Row],[Time]]-TIME(0,0,3)</f>
        <v>0.52496060185185178</v>
      </c>
      <c r="P513" t="s">
        <v>9</v>
      </c>
      <c r="Q513">
        <v>-121</v>
      </c>
      <c r="R513">
        <f>Table257[[#This Row],[RSSI]]</f>
        <v>-121</v>
      </c>
      <c r="S513">
        <v>-7.7</v>
      </c>
    </row>
    <row r="514" spans="2:19" x14ac:dyDescent="0.25">
      <c r="B514">
        <f>390+2*(Table146[[#This Row],[min value (corrected)]]-37)</f>
        <v>408</v>
      </c>
      <c r="C514">
        <f>MINUTE(Table146[[#This Row],[Corrected time]])</f>
        <v>46</v>
      </c>
      <c r="D514" s="1">
        <v>0.49037642361111111</v>
      </c>
      <c r="E514" s="1">
        <f>Table146[[#This Row],[Time]]-TIME(0,0,1)</f>
        <v>0.49036484953703702</v>
      </c>
      <c r="F514" t="s">
        <v>27</v>
      </c>
      <c r="G514">
        <f>G513</f>
        <v>-122</v>
      </c>
      <c r="H514">
        <f>Table146[[#This Row],[RSSI]]</f>
        <v>-122</v>
      </c>
      <c r="I514">
        <f>I513</f>
        <v>-8.8000000000000007</v>
      </c>
      <c r="L514">
        <f>390+2*(Table257[[#This Row],[min value (corrected)]]-27)</f>
        <v>406</v>
      </c>
      <c r="M514">
        <f>MINUTE(Table257[[#This Row],[Corrected time]])</f>
        <v>35</v>
      </c>
      <c r="N514" s="1">
        <v>0.52500836805555551</v>
      </c>
      <c r="O514" s="1">
        <f>Table257[[#This Row],[Time]]-TIME(0,0,3)</f>
        <v>0.52497364583333328</v>
      </c>
      <c r="P514" t="s">
        <v>9</v>
      </c>
      <c r="Q514">
        <v>-121</v>
      </c>
      <c r="R514">
        <f>Table257[[#This Row],[RSSI]]</f>
        <v>-121</v>
      </c>
      <c r="S514">
        <v>-8</v>
      </c>
    </row>
    <row r="515" spans="2:19" x14ac:dyDescent="0.25">
      <c r="B515">
        <f>390+2*(Table146[[#This Row],[min value (corrected)]]-37)</f>
        <v>408</v>
      </c>
      <c r="C515">
        <f>MINUTE(Table146[[#This Row],[Corrected time]])</f>
        <v>46</v>
      </c>
      <c r="D515" s="1">
        <v>0.49038945601851847</v>
      </c>
      <c r="E515" s="1">
        <f>Table146[[#This Row],[Time]]-TIME(0,0,1)</f>
        <v>0.49037788194444437</v>
      </c>
      <c r="F515" t="s">
        <v>9</v>
      </c>
      <c r="G515">
        <v>-122</v>
      </c>
      <c r="H515">
        <f>Table146[[#This Row],[RSSI]]</f>
        <v>-122</v>
      </c>
      <c r="I515">
        <v>-8.3000000000000007</v>
      </c>
      <c r="L515">
        <f>390+2*(Table257[[#This Row],[min value (corrected)]]-27)</f>
        <v>406</v>
      </c>
      <c r="M515">
        <f>MINUTE(Table257[[#This Row],[Corrected time]])</f>
        <v>35</v>
      </c>
      <c r="N515" s="1">
        <v>0.52502140046296297</v>
      </c>
      <c r="O515" s="1">
        <f>Table257[[#This Row],[Time]]-TIME(0,0,3)</f>
        <v>0.52498667824074075</v>
      </c>
      <c r="P515" t="s">
        <v>9</v>
      </c>
      <c r="Q515">
        <v>-122</v>
      </c>
      <c r="R515">
        <f>Table257[[#This Row],[RSSI]]</f>
        <v>-122</v>
      </c>
      <c r="S515">
        <v>-8.3000000000000007</v>
      </c>
    </row>
    <row r="516" spans="2:19" x14ac:dyDescent="0.25">
      <c r="B516">
        <f>390+2*(Table146[[#This Row],[min value (corrected)]]-37)</f>
        <v>408</v>
      </c>
      <c r="C516">
        <f>MINUTE(Table146[[#This Row],[Corrected time]])</f>
        <v>46</v>
      </c>
      <c r="D516" s="1">
        <v>0.49040248842592593</v>
      </c>
      <c r="E516" s="1">
        <f>Table146[[#This Row],[Time]]-TIME(0,0,1)</f>
        <v>0.49039091435185184</v>
      </c>
      <c r="F516" t="s">
        <v>9</v>
      </c>
      <c r="G516">
        <v>-121</v>
      </c>
      <c r="H516">
        <f>Table146[[#This Row],[RSSI]]</f>
        <v>-121</v>
      </c>
      <c r="I516">
        <v>-7.7</v>
      </c>
      <c r="L516">
        <f>390+2*(Table257[[#This Row],[min value (corrected)]]-27)</f>
        <v>408</v>
      </c>
      <c r="M516">
        <f>MINUTE(Table257[[#This Row],[Corrected time]])</f>
        <v>36</v>
      </c>
      <c r="N516" s="1">
        <v>0.52503443287037033</v>
      </c>
      <c r="O516" s="1">
        <f>Table257[[#This Row],[Time]]-TIME(0,0,3)</f>
        <v>0.5249997106481481</v>
      </c>
      <c r="P516" t="s">
        <v>27</v>
      </c>
      <c r="Q516">
        <f>Q515</f>
        <v>-122</v>
      </c>
      <c r="R516">
        <f>Table257[[#This Row],[RSSI]]</f>
        <v>-122</v>
      </c>
      <c r="S516">
        <f>S515</f>
        <v>-8.3000000000000007</v>
      </c>
    </row>
    <row r="517" spans="2:19" x14ac:dyDescent="0.25">
      <c r="B517">
        <f>390+2*(Table146[[#This Row],[min value (corrected)]]-37)</f>
        <v>408</v>
      </c>
      <c r="C517">
        <f>MINUTE(Table146[[#This Row],[Corrected time]])</f>
        <v>46</v>
      </c>
      <c r="D517" s="1">
        <v>0.49041552083333328</v>
      </c>
      <c r="E517" s="1">
        <f>Table146[[#This Row],[Time]]-TIME(0,0,1)</f>
        <v>0.49040394675925919</v>
      </c>
      <c r="F517" t="s">
        <v>9</v>
      </c>
      <c r="G517">
        <v>-121</v>
      </c>
      <c r="H517">
        <f>Table146[[#This Row],[RSSI]]</f>
        <v>-121</v>
      </c>
      <c r="I517">
        <v>-8</v>
      </c>
      <c r="L517">
        <f>390+2*(Table257[[#This Row],[min value (corrected)]]-27)</f>
        <v>408</v>
      </c>
      <c r="M517">
        <f>MINUTE(Table257[[#This Row],[Corrected time]])</f>
        <v>36</v>
      </c>
      <c r="N517" s="1">
        <v>0.52504746527777779</v>
      </c>
      <c r="O517" s="1">
        <f>Table257[[#This Row],[Time]]-TIME(0,0,3)</f>
        <v>0.52501274305555556</v>
      </c>
      <c r="P517" t="s">
        <v>9</v>
      </c>
      <c r="Q517">
        <v>-122</v>
      </c>
      <c r="R517">
        <f>Table257[[#This Row],[RSSI]]</f>
        <v>-122</v>
      </c>
      <c r="S517">
        <v>-7.7</v>
      </c>
    </row>
    <row r="518" spans="2:19" x14ac:dyDescent="0.25">
      <c r="B518">
        <f>390+2*(Table146[[#This Row],[min value (corrected)]]-37)</f>
        <v>408</v>
      </c>
      <c r="C518">
        <f>MINUTE(Table146[[#This Row],[Corrected time]])</f>
        <v>46</v>
      </c>
      <c r="D518" s="1">
        <v>0.49042855324074075</v>
      </c>
      <c r="E518" s="1">
        <f>Table146[[#This Row],[Time]]-TIME(0,0,1)</f>
        <v>0.49041697916666666</v>
      </c>
      <c r="F518" t="s">
        <v>9</v>
      </c>
      <c r="G518">
        <v>-121</v>
      </c>
      <c r="H518">
        <f>Table146[[#This Row],[RSSI]]</f>
        <v>-121</v>
      </c>
      <c r="I518">
        <v>-8</v>
      </c>
      <c r="L518">
        <f>390+2*(Table257[[#This Row],[min value (corrected)]]-27)</f>
        <v>408</v>
      </c>
      <c r="M518">
        <f>MINUTE(Table257[[#This Row],[Corrected time]])</f>
        <v>36</v>
      </c>
      <c r="N518" s="1">
        <v>0.52506049768518515</v>
      </c>
      <c r="O518" s="1">
        <f>Table257[[#This Row],[Time]]-TIME(0,0,3)</f>
        <v>0.52502577546296292</v>
      </c>
      <c r="P518" t="s">
        <v>9</v>
      </c>
      <c r="Q518">
        <v>-122</v>
      </c>
      <c r="R518">
        <f>Table257[[#This Row],[RSSI]]</f>
        <v>-122</v>
      </c>
      <c r="S518">
        <v>-8.5</v>
      </c>
    </row>
    <row r="519" spans="2:19" x14ac:dyDescent="0.25">
      <c r="B519">
        <f>390+2*(Table146[[#This Row],[min value (corrected)]]-37)</f>
        <v>408</v>
      </c>
      <c r="C519">
        <f>MINUTE(Table146[[#This Row],[Corrected time]])</f>
        <v>46</v>
      </c>
      <c r="D519" s="1">
        <v>0.4904415856481481</v>
      </c>
      <c r="E519" s="1">
        <f>Table146[[#This Row],[Time]]-TIME(0,0,1)</f>
        <v>0.49043001157407401</v>
      </c>
      <c r="F519" t="s">
        <v>9</v>
      </c>
      <c r="G519">
        <v>-121</v>
      </c>
      <c r="H519">
        <f>Table146[[#This Row],[RSSI]]</f>
        <v>-121</v>
      </c>
      <c r="I519">
        <v>-7.5</v>
      </c>
      <c r="L519">
        <f>390+2*(Table257[[#This Row],[min value (corrected)]]-27)</f>
        <v>408</v>
      </c>
      <c r="M519">
        <f>MINUTE(Table257[[#This Row],[Corrected time]])</f>
        <v>36</v>
      </c>
      <c r="N519" s="1">
        <v>0.52507353009259261</v>
      </c>
      <c r="O519" s="1">
        <f>Table257[[#This Row],[Time]]-TIME(0,0,3)</f>
        <v>0.52503880787037038</v>
      </c>
      <c r="P519" t="s">
        <v>9</v>
      </c>
      <c r="Q519">
        <v>-121</v>
      </c>
      <c r="R519">
        <f>Table257[[#This Row],[RSSI]]</f>
        <v>-121</v>
      </c>
      <c r="S519">
        <v>-7.7</v>
      </c>
    </row>
    <row r="520" spans="2:19" x14ac:dyDescent="0.25">
      <c r="B520">
        <f>390+2*(Table146[[#This Row],[min value (corrected)]]-37)</f>
        <v>408</v>
      </c>
      <c r="C520">
        <f>MINUTE(Table146[[#This Row],[Corrected time]])</f>
        <v>46</v>
      </c>
      <c r="D520" s="1">
        <v>0.49045460648148148</v>
      </c>
      <c r="E520" s="1">
        <f>Table146[[#This Row],[Time]]-TIME(0,0,1)</f>
        <v>0.49044303240740739</v>
      </c>
      <c r="F520" t="s">
        <v>9</v>
      </c>
      <c r="G520">
        <v>-121</v>
      </c>
      <c r="H520">
        <f>Table146[[#This Row],[RSSI]]</f>
        <v>-121</v>
      </c>
      <c r="I520">
        <v>-7.5</v>
      </c>
      <c r="L520">
        <f>390+2*(Table257[[#This Row],[min value (corrected)]]-27)</f>
        <v>408</v>
      </c>
      <c r="M520">
        <f>MINUTE(Table257[[#This Row],[Corrected time]])</f>
        <v>36</v>
      </c>
      <c r="N520" s="1">
        <v>0.52508655092592593</v>
      </c>
      <c r="O520" s="1">
        <f>Table257[[#This Row],[Time]]-TIME(0,0,3)</f>
        <v>0.5250518287037037</v>
      </c>
      <c r="P520" t="s">
        <v>9</v>
      </c>
      <c r="Q520">
        <v>-121</v>
      </c>
      <c r="R520">
        <f>Table257[[#This Row],[RSSI]]</f>
        <v>-121</v>
      </c>
      <c r="S520">
        <v>-7.5</v>
      </c>
    </row>
    <row r="521" spans="2:19" x14ac:dyDescent="0.25">
      <c r="B521">
        <f>390+2*(Table146[[#This Row],[min value (corrected)]]-37)</f>
        <v>408</v>
      </c>
      <c r="C521">
        <f>MINUTE(Table146[[#This Row],[Corrected time]])</f>
        <v>46</v>
      </c>
      <c r="D521" s="1">
        <v>0.49046765046296292</v>
      </c>
      <c r="E521" s="1">
        <f>Table146[[#This Row],[Time]]-TIME(0,0,1)</f>
        <v>0.49045607638888883</v>
      </c>
      <c r="F521" t="s">
        <v>9</v>
      </c>
      <c r="G521">
        <v>-122</v>
      </c>
      <c r="H521">
        <f>Table146[[#This Row],[RSSI]]</f>
        <v>-122</v>
      </c>
      <c r="I521">
        <v>-8.3000000000000007</v>
      </c>
      <c r="L521">
        <f>390+2*(Table257[[#This Row],[min value (corrected)]]-27)</f>
        <v>408</v>
      </c>
      <c r="M521">
        <f>MINUTE(Table257[[#This Row],[Corrected time]])</f>
        <v>36</v>
      </c>
      <c r="N521" s="1">
        <v>0.52509958333333329</v>
      </c>
      <c r="O521" s="1">
        <f>Table257[[#This Row],[Time]]-TIME(0,0,3)</f>
        <v>0.52506486111111106</v>
      </c>
      <c r="P521" t="s">
        <v>9</v>
      </c>
      <c r="Q521">
        <v>-121</v>
      </c>
      <c r="R521">
        <f>Table257[[#This Row],[RSSI]]</f>
        <v>-121</v>
      </c>
      <c r="S521">
        <v>-7.7</v>
      </c>
    </row>
    <row r="522" spans="2:19" x14ac:dyDescent="0.25">
      <c r="B522">
        <f>390+2*(Table146[[#This Row],[min value (corrected)]]-37)</f>
        <v>408</v>
      </c>
      <c r="C522">
        <f>MINUTE(Table146[[#This Row],[Corrected time]])</f>
        <v>46</v>
      </c>
      <c r="D522" s="1">
        <v>0.49048068287037039</v>
      </c>
      <c r="E522" s="1">
        <f>Table146[[#This Row],[Time]]-TIME(0,0,1)</f>
        <v>0.49046910879629629</v>
      </c>
      <c r="F522" t="s">
        <v>9</v>
      </c>
      <c r="G522">
        <v>-122</v>
      </c>
      <c r="H522">
        <f>Table146[[#This Row],[RSSI]]</f>
        <v>-122</v>
      </c>
      <c r="I522">
        <v>-8</v>
      </c>
      <c r="L522">
        <f>390+2*(Table257[[#This Row],[min value (corrected)]]-27)</f>
        <v>408</v>
      </c>
      <c r="M522">
        <f>MINUTE(Table257[[#This Row],[Corrected time]])</f>
        <v>36</v>
      </c>
      <c r="N522" s="1">
        <v>0.52511261574074075</v>
      </c>
      <c r="O522" s="1">
        <f>Table257[[#This Row],[Time]]-TIME(0,0,3)</f>
        <v>0.52507789351851852</v>
      </c>
      <c r="P522" t="s">
        <v>9</v>
      </c>
      <c r="Q522">
        <v>-121</v>
      </c>
      <c r="R522">
        <f>Table257[[#This Row],[RSSI]]</f>
        <v>-121</v>
      </c>
      <c r="S522">
        <v>-8.3000000000000007</v>
      </c>
    </row>
    <row r="523" spans="2:19" x14ac:dyDescent="0.25">
      <c r="B523">
        <f>390+2*(Table146[[#This Row],[min value (corrected)]]-37)</f>
        <v>408</v>
      </c>
      <c r="C523">
        <f>MINUTE(Table146[[#This Row],[Corrected time]])</f>
        <v>46</v>
      </c>
      <c r="D523" s="1">
        <v>0.49049371527777774</v>
      </c>
      <c r="E523" s="1">
        <f>Table146[[#This Row],[Time]]-TIME(0,0,1)</f>
        <v>0.49048214120370365</v>
      </c>
      <c r="F523" t="s">
        <v>9</v>
      </c>
      <c r="G523">
        <v>-121</v>
      </c>
      <c r="H523">
        <f>Table146[[#This Row],[RSSI]]</f>
        <v>-121</v>
      </c>
      <c r="I523">
        <v>-7.2</v>
      </c>
      <c r="L523">
        <f>390+2*(Table257[[#This Row],[min value (corrected)]]-27)</f>
        <v>408</v>
      </c>
      <c r="M523">
        <f>MINUTE(Table257[[#This Row],[Corrected time]])</f>
        <v>36</v>
      </c>
      <c r="N523" s="1">
        <v>0.52512565972222225</v>
      </c>
      <c r="O523" s="1">
        <f>Table257[[#This Row],[Time]]-TIME(0,0,3)</f>
        <v>0.52509093750000002</v>
      </c>
      <c r="P523" t="s">
        <v>9</v>
      </c>
      <c r="Q523">
        <v>-121</v>
      </c>
      <c r="R523">
        <f>Table257[[#This Row],[RSSI]]</f>
        <v>-121</v>
      </c>
      <c r="S523">
        <v>-7.5</v>
      </c>
    </row>
    <row r="524" spans="2:19" x14ac:dyDescent="0.25">
      <c r="B524">
        <f>390+2*(Table146[[#This Row],[min value (corrected)]]-37)</f>
        <v>408</v>
      </c>
      <c r="C524">
        <f>MINUTE(Table146[[#This Row],[Corrected time]])</f>
        <v>46</v>
      </c>
      <c r="D524" s="1">
        <v>0.49050674768518521</v>
      </c>
      <c r="E524" s="1">
        <f>Table146[[#This Row],[Time]]-TIME(0,0,1)</f>
        <v>0.49049517361111111</v>
      </c>
      <c r="F524" t="s">
        <v>9</v>
      </c>
      <c r="G524">
        <v>-121</v>
      </c>
      <c r="H524">
        <f>Table146[[#This Row],[RSSI]]</f>
        <v>-121</v>
      </c>
      <c r="I524">
        <v>-7.2</v>
      </c>
      <c r="L524">
        <f>390+2*(Table257[[#This Row],[min value (corrected)]]-27)</f>
        <v>408</v>
      </c>
      <c r="M524">
        <f>MINUTE(Table257[[#This Row],[Corrected time]])</f>
        <v>36</v>
      </c>
      <c r="N524" s="1">
        <v>0.5251386921296296</v>
      </c>
      <c r="O524" s="1">
        <f>Table257[[#This Row],[Time]]-TIME(0,0,3)</f>
        <v>0.52510396990740738</v>
      </c>
      <c r="P524" t="s">
        <v>13</v>
      </c>
      <c r="Q524">
        <f>Q523</f>
        <v>-121</v>
      </c>
      <c r="R524">
        <f>Table257[[#This Row],[RSSI]]</f>
        <v>-121</v>
      </c>
      <c r="S524">
        <f>S523</f>
        <v>-7.5</v>
      </c>
    </row>
    <row r="525" spans="2:19" x14ac:dyDescent="0.25">
      <c r="B525">
        <f>390+2*(Table146[[#This Row],[min value (corrected)]]-37)</f>
        <v>408</v>
      </c>
      <c r="C525">
        <f>MINUTE(Table146[[#This Row],[Corrected time]])</f>
        <v>46</v>
      </c>
      <c r="D525" s="1">
        <v>0.49051978009259256</v>
      </c>
      <c r="E525" s="1">
        <f>Table146[[#This Row],[Time]]-TIME(0,0,1)</f>
        <v>0.49050820601851847</v>
      </c>
      <c r="F525" t="s">
        <v>9</v>
      </c>
      <c r="G525">
        <v>-121</v>
      </c>
      <c r="H525">
        <f>Table146[[#This Row],[RSSI]]</f>
        <v>-121</v>
      </c>
      <c r="I525">
        <v>-7.7</v>
      </c>
      <c r="L525">
        <f>390+2*(Table257[[#This Row],[min value (corrected)]]-27)</f>
        <v>408</v>
      </c>
      <c r="M525">
        <f>MINUTE(Table257[[#This Row],[Corrected time]])</f>
        <v>36</v>
      </c>
      <c r="N525" s="1">
        <v>0.52515171296296292</v>
      </c>
      <c r="O525" s="1">
        <f>Table257[[#This Row],[Time]]-TIME(0,0,3)</f>
        <v>0.5251169907407407</v>
      </c>
      <c r="P525" t="s">
        <v>9</v>
      </c>
      <c r="Q525">
        <v>-121</v>
      </c>
      <c r="R525">
        <f>Table257[[#This Row],[RSSI]]</f>
        <v>-121</v>
      </c>
      <c r="S525">
        <v>-8</v>
      </c>
    </row>
    <row r="526" spans="2:19" x14ac:dyDescent="0.25">
      <c r="B526">
        <f>390+2*(Table146[[#This Row],[min value (corrected)]]-37)</f>
        <v>408</v>
      </c>
      <c r="C526">
        <f>MINUTE(Table146[[#This Row],[Corrected time]])</f>
        <v>46</v>
      </c>
      <c r="D526" s="1">
        <v>0.49053281250000003</v>
      </c>
      <c r="E526" s="1">
        <f>Table146[[#This Row],[Time]]-TIME(0,0,1)</f>
        <v>0.49052123842592593</v>
      </c>
      <c r="F526" t="s">
        <v>9</v>
      </c>
      <c r="G526">
        <v>-122</v>
      </c>
      <c r="H526">
        <f>Table146[[#This Row],[RSSI]]</f>
        <v>-122</v>
      </c>
      <c r="I526">
        <v>-7.7</v>
      </c>
      <c r="L526">
        <f>390+2*(Table257[[#This Row],[min value (corrected)]]-27)</f>
        <v>408</v>
      </c>
      <c r="M526">
        <f>MINUTE(Table257[[#This Row],[Corrected time]])</f>
        <v>36</v>
      </c>
      <c r="N526" s="1">
        <v>0.52516475694444442</v>
      </c>
      <c r="O526" s="1">
        <f>Table257[[#This Row],[Time]]-TIME(0,0,3)</f>
        <v>0.52513003472222219</v>
      </c>
      <c r="P526" t="s">
        <v>9</v>
      </c>
      <c r="Q526">
        <v>-121</v>
      </c>
      <c r="R526">
        <f>Table257[[#This Row],[RSSI]]</f>
        <v>-121</v>
      </c>
      <c r="S526">
        <v>-7.7</v>
      </c>
    </row>
    <row r="527" spans="2:19" x14ac:dyDescent="0.25">
      <c r="B527">
        <f>390+2*(Table146[[#This Row],[min value (corrected)]]-37)</f>
        <v>408</v>
      </c>
      <c r="C527">
        <f>MINUTE(Table146[[#This Row],[Corrected time]])</f>
        <v>46</v>
      </c>
      <c r="D527" s="1">
        <v>0.49054584490740744</v>
      </c>
      <c r="E527" s="1">
        <f>Table146[[#This Row],[Time]]-TIME(0,0,1)</f>
        <v>0.49053427083333334</v>
      </c>
      <c r="F527" t="s">
        <v>9</v>
      </c>
      <c r="G527">
        <v>-122</v>
      </c>
      <c r="H527">
        <f>Table146[[#This Row],[RSSI]]</f>
        <v>-122</v>
      </c>
      <c r="I527">
        <v>-9</v>
      </c>
      <c r="L527">
        <f>390+2*(Table257[[#This Row],[min value (corrected)]]-27)</f>
        <v>408</v>
      </c>
      <c r="M527">
        <f>MINUTE(Table257[[#This Row],[Corrected time]])</f>
        <v>36</v>
      </c>
      <c r="N527" s="1">
        <v>0.52517778935185178</v>
      </c>
      <c r="O527" s="1">
        <f>Table257[[#This Row],[Time]]-TIME(0,0,3)</f>
        <v>0.52514306712962955</v>
      </c>
      <c r="P527" t="s">
        <v>9</v>
      </c>
      <c r="Q527">
        <v>-121</v>
      </c>
      <c r="R527">
        <f>Table257[[#This Row],[RSSI]]</f>
        <v>-121</v>
      </c>
      <c r="S527">
        <v>-6.7</v>
      </c>
    </row>
    <row r="528" spans="2:19" x14ac:dyDescent="0.25">
      <c r="B528">
        <f>390+2*(Table146[[#This Row],[min value (corrected)]]-37)</f>
        <v>408</v>
      </c>
      <c r="C528">
        <f>MINUTE(Table146[[#This Row],[Corrected time]])</f>
        <v>46</v>
      </c>
      <c r="D528" s="1">
        <v>0.49055887731481479</v>
      </c>
      <c r="E528" s="1">
        <f>Table146[[#This Row],[Time]]-TIME(0,0,1)</f>
        <v>0.4905473032407407</v>
      </c>
      <c r="F528" t="s">
        <v>9</v>
      </c>
      <c r="G528">
        <v>-122</v>
      </c>
      <c r="H528">
        <f>Table146[[#This Row],[RSSI]]</f>
        <v>-122</v>
      </c>
      <c r="I528">
        <v>-8</v>
      </c>
      <c r="L528">
        <f>390+2*(Table257[[#This Row],[min value (corrected)]]-27)</f>
        <v>408</v>
      </c>
      <c r="M528">
        <f>MINUTE(Table257[[#This Row],[Corrected time]])</f>
        <v>36</v>
      </c>
      <c r="N528" s="1">
        <v>0.52519082175925924</v>
      </c>
      <c r="O528" s="1">
        <f>Table257[[#This Row],[Time]]-TIME(0,0,3)</f>
        <v>0.52515609953703701</v>
      </c>
      <c r="P528" t="s">
        <v>9</v>
      </c>
      <c r="Q528">
        <v>-122</v>
      </c>
      <c r="R528">
        <f>Table257[[#This Row],[RSSI]]</f>
        <v>-122</v>
      </c>
      <c r="S528">
        <v>-8</v>
      </c>
    </row>
    <row r="529" spans="2:19" x14ac:dyDescent="0.25">
      <c r="B529">
        <f>390+2*(Table146[[#This Row],[min value (corrected)]]-37)</f>
        <v>408</v>
      </c>
      <c r="C529">
        <f>MINUTE(Table146[[#This Row],[Corrected time]])</f>
        <v>46</v>
      </c>
      <c r="D529" s="1">
        <v>0.49057190972222225</v>
      </c>
      <c r="E529" s="1">
        <f>Table146[[#This Row],[Time]]-TIME(0,0,1)</f>
        <v>0.49056033564814816</v>
      </c>
      <c r="F529" t="s">
        <v>9</v>
      </c>
      <c r="G529">
        <v>-122</v>
      </c>
      <c r="H529">
        <f>Table146[[#This Row],[RSSI]]</f>
        <v>-122</v>
      </c>
      <c r="I529">
        <v>-7.7</v>
      </c>
      <c r="L529">
        <f>390+2*(Table257[[#This Row],[min value (corrected)]]-27)</f>
        <v>408</v>
      </c>
      <c r="M529">
        <f>MINUTE(Table257[[#This Row],[Corrected time]])</f>
        <v>36</v>
      </c>
      <c r="N529" s="1">
        <v>0.52520385416666659</v>
      </c>
      <c r="O529" s="1">
        <f>Table257[[#This Row],[Time]]-TIME(0,0,3)</f>
        <v>0.52516913194444437</v>
      </c>
      <c r="P529" t="s">
        <v>9</v>
      </c>
      <c r="Q529">
        <v>-121</v>
      </c>
      <c r="R529">
        <f>Table257[[#This Row],[RSSI]]</f>
        <v>-121</v>
      </c>
      <c r="S529">
        <v>-7.7</v>
      </c>
    </row>
    <row r="530" spans="2:19" x14ac:dyDescent="0.25">
      <c r="B530">
        <f>390+2*(Table146[[#This Row],[min value (corrected)]]-37)</f>
        <v>408</v>
      </c>
      <c r="C530">
        <f>MINUTE(Table146[[#This Row],[Corrected time]])</f>
        <v>46</v>
      </c>
      <c r="D530" s="1">
        <v>0.49058494212962961</v>
      </c>
      <c r="E530" s="1">
        <f>Table146[[#This Row],[Time]]-TIME(0,0,1)</f>
        <v>0.49057336805555551</v>
      </c>
      <c r="F530" t="s">
        <v>9</v>
      </c>
      <c r="G530">
        <v>-121</v>
      </c>
      <c r="H530">
        <f>Table146[[#This Row],[RSSI]]</f>
        <v>-121</v>
      </c>
      <c r="I530">
        <v>-7.7</v>
      </c>
      <c r="L530">
        <f>390+2*(Table257[[#This Row],[min value (corrected)]]-27)</f>
        <v>408</v>
      </c>
      <c r="M530">
        <f>MINUTE(Table257[[#This Row],[Corrected time]])</f>
        <v>36</v>
      </c>
      <c r="N530" s="1">
        <v>0.52521688657407406</v>
      </c>
      <c r="O530" s="1">
        <f>Table257[[#This Row],[Time]]-TIME(0,0,3)</f>
        <v>0.52518216435185183</v>
      </c>
      <c r="P530" t="s">
        <v>9</v>
      </c>
      <c r="Q530">
        <v>-121</v>
      </c>
      <c r="R530">
        <f>Table257[[#This Row],[RSSI]]</f>
        <v>-121</v>
      </c>
      <c r="S530">
        <v>-7.5</v>
      </c>
    </row>
    <row r="531" spans="2:19" x14ac:dyDescent="0.25">
      <c r="B531">
        <f>390+2*(Table146[[#This Row],[min value (corrected)]]-37)</f>
        <v>408</v>
      </c>
      <c r="C531">
        <f>MINUTE(Table146[[#This Row],[Corrected time]])</f>
        <v>46</v>
      </c>
      <c r="D531" s="1">
        <v>0.49059797453703707</v>
      </c>
      <c r="E531" s="1">
        <f>Table146[[#This Row],[Time]]-TIME(0,0,1)</f>
        <v>0.49058640046296298</v>
      </c>
      <c r="F531" t="s">
        <v>9</v>
      </c>
      <c r="G531">
        <v>-121</v>
      </c>
      <c r="H531">
        <f>Table146[[#This Row],[RSSI]]</f>
        <v>-121</v>
      </c>
      <c r="I531">
        <v>-7.2</v>
      </c>
      <c r="L531">
        <f>390+2*(Table257[[#This Row],[min value (corrected)]]-27)</f>
        <v>408</v>
      </c>
      <c r="M531">
        <f>MINUTE(Table257[[#This Row],[Corrected time]])</f>
        <v>36</v>
      </c>
      <c r="N531" s="1">
        <v>0.52522991898148141</v>
      </c>
      <c r="O531" s="1">
        <f>Table257[[#This Row],[Time]]-TIME(0,0,3)</f>
        <v>0.52519519675925919</v>
      </c>
      <c r="P531" t="s">
        <v>9</v>
      </c>
      <c r="Q531">
        <v>-121</v>
      </c>
      <c r="R531">
        <f>Table257[[#This Row],[RSSI]]</f>
        <v>-121</v>
      </c>
      <c r="S531">
        <v>-7.5</v>
      </c>
    </row>
    <row r="532" spans="2:19" x14ac:dyDescent="0.25">
      <c r="B532">
        <f>390+2*(Table146[[#This Row],[min value (corrected)]]-37)</f>
        <v>408</v>
      </c>
      <c r="C532">
        <f>MINUTE(Table146[[#This Row],[Corrected time]])</f>
        <v>46</v>
      </c>
      <c r="D532" s="1">
        <v>0.49061100694444443</v>
      </c>
      <c r="E532" s="1">
        <f>Table146[[#This Row],[Time]]-TIME(0,0,1)</f>
        <v>0.49059943287037033</v>
      </c>
      <c r="F532" t="s">
        <v>9</v>
      </c>
      <c r="G532">
        <v>-121</v>
      </c>
      <c r="H532">
        <f>Table146[[#This Row],[RSSI]]</f>
        <v>-121</v>
      </c>
      <c r="I532">
        <v>-8</v>
      </c>
      <c r="L532">
        <f>390+2*(Table257[[#This Row],[min value (corrected)]]-27)</f>
        <v>408</v>
      </c>
      <c r="M532">
        <f>MINUTE(Table257[[#This Row],[Corrected time]])</f>
        <v>36</v>
      </c>
      <c r="N532" s="1">
        <v>0.52524295138888888</v>
      </c>
      <c r="O532" s="1">
        <f>Table257[[#This Row],[Time]]-TIME(0,0,3)</f>
        <v>0.52520822916666665</v>
      </c>
      <c r="P532" t="s">
        <v>9</v>
      </c>
      <c r="Q532">
        <v>-121</v>
      </c>
      <c r="R532">
        <f>Table257[[#This Row],[RSSI]]</f>
        <v>-121</v>
      </c>
      <c r="S532">
        <v>-8</v>
      </c>
    </row>
    <row r="533" spans="2:19" x14ac:dyDescent="0.25">
      <c r="B533">
        <f>390+2*(Table146[[#This Row],[min value (corrected)]]-37)</f>
        <v>408</v>
      </c>
      <c r="C533">
        <f>MINUTE(Table146[[#This Row],[Corrected time]])</f>
        <v>46</v>
      </c>
      <c r="D533" s="1">
        <v>0.49062402777777775</v>
      </c>
      <c r="E533" s="1">
        <f>Table146[[#This Row],[Time]]-TIME(0,0,1)</f>
        <v>0.49061245370370365</v>
      </c>
      <c r="F533" t="s">
        <v>9</v>
      </c>
      <c r="G533">
        <v>-121</v>
      </c>
      <c r="H533">
        <f>Table146[[#This Row],[RSSI]]</f>
        <v>-121</v>
      </c>
      <c r="I533">
        <v>-8</v>
      </c>
      <c r="L533">
        <f>390+2*(Table257[[#This Row],[min value (corrected)]]-27)</f>
        <v>408</v>
      </c>
      <c r="M533">
        <f>MINUTE(Table257[[#This Row],[Corrected time]])</f>
        <v>36</v>
      </c>
      <c r="N533" s="1">
        <v>0.52525598379629623</v>
      </c>
      <c r="O533" s="1">
        <f>Table257[[#This Row],[Time]]-TIME(0,0,3)</f>
        <v>0.52522126157407401</v>
      </c>
      <c r="P533" t="s">
        <v>9</v>
      </c>
      <c r="Q533">
        <v>-122</v>
      </c>
      <c r="R533">
        <f>Table257[[#This Row],[RSSI]]</f>
        <v>-122</v>
      </c>
      <c r="S533">
        <v>-7.7</v>
      </c>
    </row>
    <row r="534" spans="2:19" x14ac:dyDescent="0.25">
      <c r="B534">
        <f>390+2*(Table146[[#This Row],[min value (corrected)]]-37)</f>
        <v>408</v>
      </c>
      <c r="C534">
        <f>MINUTE(Table146[[#This Row],[Corrected time]])</f>
        <v>46</v>
      </c>
      <c r="D534" s="1">
        <v>0.49063707175925925</v>
      </c>
      <c r="E534" s="1">
        <f>Table146[[#This Row],[Time]]-TIME(0,0,1)</f>
        <v>0.49062549768518515</v>
      </c>
      <c r="F534" t="s">
        <v>9</v>
      </c>
      <c r="G534">
        <v>-122</v>
      </c>
      <c r="H534">
        <f>Table146[[#This Row],[RSSI]]</f>
        <v>-122</v>
      </c>
      <c r="I534">
        <v>-8</v>
      </c>
      <c r="L534">
        <f>390+2*(Table257[[#This Row],[min value (corrected)]]-27)</f>
        <v>408</v>
      </c>
      <c r="M534">
        <f>MINUTE(Table257[[#This Row],[Corrected time]])</f>
        <v>36</v>
      </c>
      <c r="N534" s="1">
        <v>0.52526900462962967</v>
      </c>
      <c r="O534" s="1">
        <f>Table257[[#This Row],[Time]]-TIME(0,0,3)</f>
        <v>0.52523428240740744</v>
      </c>
      <c r="P534" t="s">
        <v>9</v>
      </c>
      <c r="Q534">
        <v>-121</v>
      </c>
      <c r="R534">
        <f>Table257[[#This Row],[RSSI]]</f>
        <v>-121</v>
      </c>
      <c r="S534">
        <v>-7.5</v>
      </c>
    </row>
    <row r="535" spans="2:19" x14ac:dyDescent="0.25">
      <c r="B535">
        <f>390+2*(Table146[[#This Row],[min value (corrected)]]-37)</f>
        <v>408</v>
      </c>
      <c r="C535">
        <f>MINUTE(Table146[[#This Row],[Corrected time]])</f>
        <v>46</v>
      </c>
      <c r="D535" s="1">
        <v>0.49065010416666671</v>
      </c>
      <c r="E535" s="1">
        <f>Table146[[#This Row],[Time]]-TIME(0,0,1)</f>
        <v>0.49063853009259262</v>
      </c>
      <c r="F535" t="s">
        <v>9</v>
      </c>
      <c r="G535">
        <v>-121</v>
      </c>
      <c r="H535">
        <f>Table146[[#This Row],[RSSI]]</f>
        <v>-121</v>
      </c>
      <c r="I535">
        <v>-7.5</v>
      </c>
      <c r="L535">
        <f>390+2*(Table257[[#This Row],[min value (corrected)]]-27)</f>
        <v>408</v>
      </c>
      <c r="M535">
        <f>MINUTE(Table257[[#This Row],[Corrected time]])</f>
        <v>36</v>
      </c>
      <c r="N535" s="1">
        <v>0.52528204861111105</v>
      </c>
      <c r="O535" s="1">
        <f>Table257[[#This Row],[Time]]-TIME(0,0,3)</f>
        <v>0.52524732638888882</v>
      </c>
      <c r="P535" t="s">
        <v>9</v>
      </c>
      <c r="Q535">
        <v>-121</v>
      </c>
      <c r="R535">
        <f>Table257[[#This Row],[RSSI]]</f>
        <v>-121</v>
      </c>
      <c r="S535">
        <v>-7.5</v>
      </c>
    </row>
    <row r="536" spans="2:19" x14ac:dyDescent="0.25">
      <c r="B536">
        <f>390+2*(Table146[[#This Row],[min value (corrected)]]-37)</f>
        <v>408</v>
      </c>
      <c r="C536">
        <f>MINUTE(Table146[[#This Row],[Corrected time]])</f>
        <v>46</v>
      </c>
      <c r="D536" s="1">
        <v>0.49066313657407407</v>
      </c>
      <c r="E536" s="1">
        <f>Table146[[#This Row],[Time]]-TIME(0,0,1)</f>
        <v>0.49065156249999997</v>
      </c>
      <c r="F536" t="s">
        <v>9</v>
      </c>
      <c r="G536">
        <v>-122</v>
      </c>
      <c r="H536">
        <f>Table146[[#This Row],[RSSI]]</f>
        <v>-122</v>
      </c>
      <c r="I536">
        <v>-8.3000000000000007</v>
      </c>
      <c r="L536">
        <f>390+2*(Table257[[#This Row],[min value (corrected)]]-27)</f>
        <v>408</v>
      </c>
      <c r="M536">
        <f>MINUTE(Table257[[#This Row],[Corrected time]])</f>
        <v>36</v>
      </c>
      <c r="N536" s="1">
        <v>0.52529508101851852</v>
      </c>
      <c r="O536" s="1">
        <f>Table257[[#This Row],[Time]]-TIME(0,0,3)</f>
        <v>0.52526035879629629</v>
      </c>
      <c r="P536" t="s">
        <v>9</v>
      </c>
      <c r="Q536">
        <v>-121</v>
      </c>
      <c r="R536">
        <f>Table257[[#This Row],[RSSI]]</f>
        <v>-121</v>
      </c>
      <c r="S536">
        <v>-7.2</v>
      </c>
    </row>
    <row r="537" spans="2:19" x14ac:dyDescent="0.25">
      <c r="B537">
        <f>390+2*(Table146[[#This Row],[min value (corrected)]]-37)</f>
        <v>408</v>
      </c>
      <c r="C537">
        <f>MINUTE(Table146[[#This Row],[Corrected time]])</f>
        <v>46</v>
      </c>
      <c r="D537" s="1">
        <v>0.49067616898148153</v>
      </c>
      <c r="E537" s="1">
        <f>Table146[[#This Row],[Time]]-TIME(0,0,1)</f>
        <v>0.49066459490740744</v>
      </c>
      <c r="F537" t="s">
        <v>9</v>
      </c>
      <c r="G537">
        <v>-122</v>
      </c>
      <c r="H537">
        <f>Table146[[#This Row],[RSSI]]</f>
        <v>-122</v>
      </c>
      <c r="I537">
        <v>-8.3000000000000007</v>
      </c>
      <c r="L537">
        <f>390+2*(Table257[[#This Row],[min value (corrected)]]-27)</f>
        <v>408</v>
      </c>
      <c r="M537">
        <f>MINUTE(Table257[[#This Row],[Corrected time]])</f>
        <v>36</v>
      </c>
      <c r="N537" s="1">
        <v>0.52530811342592587</v>
      </c>
      <c r="O537" s="1">
        <f>Table257[[#This Row],[Time]]-TIME(0,0,3)</f>
        <v>0.52527339120370364</v>
      </c>
      <c r="P537" t="s">
        <v>9</v>
      </c>
      <c r="Q537">
        <v>-121</v>
      </c>
      <c r="R537">
        <f>Table257[[#This Row],[RSSI]]</f>
        <v>-121</v>
      </c>
      <c r="S537">
        <v>-7</v>
      </c>
    </row>
    <row r="538" spans="2:19" x14ac:dyDescent="0.25">
      <c r="B538">
        <f>390+2*(Table146[[#This Row],[min value (corrected)]]-37)</f>
        <v>408</v>
      </c>
      <c r="C538">
        <f>MINUTE(Table146[[#This Row],[Corrected time]])</f>
        <v>46</v>
      </c>
      <c r="D538" s="1">
        <v>0.49068920138888888</v>
      </c>
      <c r="E538" s="1">
        <f>Table146[[#This Row],[Time]]-TIME(0,0,1)</f>
        <v>0.49067762731481479</v>
      </c>
      <c r="F538" t="s">
        <v>9</v>
      </c>
      <c r="G538">
        <v>-121</v>
      </c>
      <c r="H538">
        <f>Table146[[#This Row],[RSSI]]</f>
        <v>-121</v>
      </c>
      <c r="I538">
        <v>-7.2</v>
      </c>
      <c r="L538">
        <f>390+2*(Table257[[#This Row],[min value (corrected)]]-27)</f>
        <v>408</v>
      </c>
      <c r="M538">
        <f>MINUTE(Table257[[#This Row],[Corrected time]])</f>
        <v>36</v>
      </c>
      <c r="N538" s="1">
        <v>0.52532114583333334</v>
      </c>
      <c r="O538" s="1">
        <f>Table257[[#This Row],[Time]]-TIME(0,0,3)</f>
        <v>0.52528642361111111</v>
      </c>
      <c r="P538" t="s">
        <v>9</v>
      </c>
      <c r="Q538">
        <v>-122</v>
      </c>
      <c r="R538">
        <f>Table257[[#This Row],[RSSI]]</f>
        <v>-122</v>
      </c>
      <c r="S538">
        <v>-8.3000000000000007</v>
      </c>
    </row>
    <row r="539" spans="2:19" x14ac:dyDescent="0.25">
      <c r="B539">
        <f>390+2*(Table146[[#This Row],[min value (corrected)]]-37)</f>
        <v>408</v>
      </c>
      <c r="C539">
        <f>MINUTE(Table146[[#This Row],[Corrected time]])</f>
        <v>46</v>
      </c>
      <c r="D539" s="1">
        <v>0.49070223379629635</v>
      </c>
      <c r="E539" s="1">
        <f>Table146[[#This Row],[Time]]-TIME(0,0,1)</f>
        <v>0.49069065972222226</v>
      </c>
      <c r="F539" t="s">
        <v>9</v>
      </c>
      <c r="G539">
        <v>-121</v>
      </c>
      <c r="H539">
        <f>Table146[[#This Row],[RSSI]]</f>
        <v>-121</v>
      </c>
      <c r="I539">
        <v>-7.5</v>
      </c>
      <c r="L539">
        <f>390+2*(Table257[[#This Row],[min value (corrected)]]-27)</f>
        <v>408</v>
      </c>
      <c r="M539">
        <f>MINUTE(Table257[[#This Row],[Corrected time]])</f>
        <v>36</v>
      </c>
      <c r="N539" s="1">
        <v>0.52533417824074069</v>
      </c>
      <c r="O539" s="1">
        <f>Table257[[#This Row],[Time]]-TIME(0,0,3)</f>
        <v>0.52529945601851846</v>
      </c>
      <c r="P539" t="s">
        <v>9</v>
      </c>
      <c r="Q539">
        <v>-121</v>
      </c>
      <c r="R539">
        <f>Table257[[#This Row],[RSSI]]</f>
        <v>-121</v>
      </c>
      <c r="S539">
        <v>-8</v>
      </c>
    </row>
    <row r="540" spans="2:19" x14ac:dyDescent="0.25">
      <c r="B540">
        <f>390+2*(Table146[[#This Row],[min value (corrected)]]-37)</f>
        <v>408</v>
      </c>
      <c r="C540">
        <f>MINUTE(Table146[[#This Row],[Corrected time]])</f>
        <v>46</v>
      </c>
      <c r="D540" s="1">
        <v>0.4907152662037037</v>
      </c>
      <c r="E540" s="1">
        <f>Table146[[#This Row],[Time]]-TIME(0,0,1)</f>
        <v>0.49070369212962961</v>
      </c>
      <c r="F540" t="s">
        <v>9</v>
      </c>
      <c r="G540">
        <v>-122</v>
      </c>
      <c r="H540">
        <f>Table146[[#This Row],[RSSI]]</f>
        <v>-122</v>
      </c>
      <c r="I540">
        <v>-8.3000000000000007</v>
      </c>
      <c r="L540">
        <f>390+2*(Table257[[#This Row],[min value (corrected)]]-27)</f>
        <v>408</v>
      </c>
      <c r="M540">
        <f>MINUTE(Table257[[#This Row],[Corrected time]])</f>
        <v>36</v>
      </c>
      <c r="N540" s="1">
        <v>0.52534719907407412</v>
      </c>
      <c r="O540" s="1">
        <f>Table257[[#This Row],[Time]]-TIME(0,0,3)</f>
        <v>0.52531247685185189</v>
      </c>
      <c r="P540" t="s">
        <v>9</v>
      </c>
      <c r="Q540">
        <v>-121</v>
      </c>
      <c r="R540">
        <f>Table257[[#This Row],[RSSI]]</f>
        <v>-121</v>
      </c>
      <c r="S540">
        <v>-7.2</v>
      </c>
    </row>
    <row r="541" spans="2:19" x14ac:dyDescent="0.25">
      <c r="B541">
        <f>390+2*(Table146[[#This Row],[min value (corrected)]]-37)</f>
        <v>408</v>
      </c>
      <c r="C541">
        <f>MINUTE(Table146[[#This Row],[Corrected time]])</f>
        <v>46</v>
      </c>
      <c r="D541" s="1">
        <v>0.49072829861111117</v>
      </c>
      <c r="E541" s="1">
        <f>Table146[[#This Row],[Time]]-TIME(0,0,1)</f>
        <v>0.49071672453703707</v>
      </c>
      <c r="F541" t="s">
        <v>9</v>
      </c>
      <c r="G541">
        <v>-122</v>
      </c>
      <c r="H541">
        <f>Table146[[#This Row],[RSSI]]</f>
        <v>-122</v>
      </c>
      <c r="I541">
        <v>-8.3000000000000007</v>
      </c>
      <c r="L541">
        <f>390+2*(Table257[[#This Row],[min value (corrected)]]-27)</f>
        <v>408</v>
      </c>
      <c r="M541">
        <f>MINUTE(Table257[[#This Row],[Corrected time]])</f>
        <v>36</v>
      </c>
      <c r="N541" s="1">
        <v>0.52536024305555551</v>
      </c>
      <c r="O541" s="1">
        <f>Table257[[#This Row],[Time]]-TIME(0,0,3)</f>
        <v>0.52532552083333328</v>
      </c>
      <c r="P541" t="s">
        <v>9</v>
      </c>
      <c r="Q541">
        <v>-122</v>
      </c>
      <c r="R541">
        <f>Table257[[#This Row],[RSSI]]</f>
        <v>-122</v>
      </c>
      <c r="S541">
        <v>-8.3000000000000007</v>
      </c>
    </row>
    <row r="542" spans="2:19" x14ac:dyDescent="0.25">
      <c r="B542">
        <f>390+2*(Table146[[#This Row],[min value (corrected)]]-37)</f>
        <v>408</v>
      </c>
      <c r="C542">
        <f>MINUTE(Table146[[#This Row],[Corrected time]])</f>
        <v>46</v>
      </c>
      <c r="D542" s="1">
        <v>0.49074133101851852</v>
      </c>
      <c r="E542" s="1">
        <f>Table146[[#This Row],[Time]]-TIME(0,0,1)</f>
        <v>0.49072975694444443</v>
      </c>
      <c r="F542" t="s">
        <v>9</v>
      </c>
      <c r="G542">
        <v>-122</v>
      </c>
      <c r="H542">
        <f>Table146[[#This Row],[RSSI]]</f>
        <v>-122</v>
      </c>
      <c r="I542">
        <v>-8.3000000000000007</v>
      </c>
      <c r="L542">
        <f>390+2*(Table257[[#This Row],[min value (corrected)]]-27)</f>
        <v>408</v>
      </c>
      <c r="M542">
        <f>MINUTE(Table257[[#This Row],[Corrected time]])</f>
        <v>36</v>
      </c>
      <c r="N542" s="1">
        <v>0.52537327546296297</v>
      </c>
      <c r="O542" s="1">
        <f>Table257[[#This Row],[Time]]-TIME(0,0,3)</f>
        <v>0.52533855324074075</v>
      </c>
      <c r="P542" t="s">
        <v>9</v>
      </c>
      <c r="Q542">
        <v>-121</v>
      </c>
      <c r="R542">
        <f>Table257[[#This Row],[RSSI]]</f>
        <v>-121</v>
      </c>
      <c r="S542">
        <v>-7.5</v>
      </c>
    </row>
    <row r="543" spans="2:19" x14ac:dyDescent="0.25">
      <c r="B543">
        <f>390+2*(Table146[[#This Row],[min value (corrected)]]-37)</f>
        <v>408</v>
      </c>
      <c r="C543">
        <f>MINUTE(Table146[[#This Row],[Corrected time]])</f>
        <v>46</v>
      </c>
      <c r="D543" s="1">
        <v>0.49075436342592599</v>
      </c>
      <c r="E543" s="1">
        <f>Table146[[#This Row],[Time]]-TIME(0,0,1)</f>
        <v>0.49074278935185189</v>
      </c>
      <c r="F543" t="s">
        <v>9</v>
      </c>
      <c r="G543">
        <v>-122</v>
      </c>
      <c r="H543">
        <f>Table146[[#This Row],[RSSI]]</f>
        <v>-122</v>
      </c>
      <c r="I543">
        <v>-8.3000000000000007</v>
      </c>
      <c r="L543">
        <f>390+2*(Table257[[#This Row],[min value (corrected)]]-27)</f>
        <v>408</v>
      </c>
      <c r="M543">
        <f>MINUTE(Table257[[#This Row],[Corrected time]])</f>
        <v>36</v>
      </c>
      <c r="N543" s="1">
        <v>0.52538630787037033</v>
      </c>
      <c r="O543" s="1">
        <f>Table257[[#This Row],[Time]]-TIME(0,0,3)</f>
        <v>0.5253515856481481</v>
      </c>
      <c r="P543" t="s">
        <v>13</v>
      </c>
      <c r="Q543">
        <f>Q542</f>
        <v>-121</v>
      </c>
      <c r="R543">
        <f>Table257[[#This Row],[RSSI]]</f>
        <v>-121</v>
      </c>
      <c r="S543">
        <f>S542</f>
        <v>-7.5</v>
      </c>
    </row>
    <row r="544" spans="2:19" x14ac:dyDescent="0.25">
      <c r="B544">
        <f>390+2*(Table146[[#This Row],[min value (corrected)]]-37)</f>
        <v>408</v>
      </c>
      <c r="C544">
        <f>MINUTE(Table146[[#This Row],[Corrected time]])</f>
        <v>46</v>
      </c>
      <c r="D544" s="1">
        <v>0.49076738425925931</v>
      </c>
      <c r="E544" s="1">
        <f>Table146[[#This Row],[Time]]-TIME(0,0,1)</f>
        <v>0.49075581018518522</v>
      </c>
      <c r="F544" t="s">
        <v>9</v>
      </c>
      <c r="G544">
        <v>-122</v>
      </c>
      <c r="H544">
        <f>Table146[[#This Row],[RSSI]]</f>
        <v>-122</v>
      </c>
      <c r="I544">
        <v>-8.8000000000000007</v>
      </c>
      <c r="L544">
        <f>390+2*(Table257[[#This Row],[min value (corrected)]]-27)</f>
        <v>408</v>
      </c>
      <c r="M544">
        <f>MINUTE(Table257[[#This Row],[Corrected time]])</f>
        <v>36</v>
      </c>
      <c r="N544" s="1">
        <v>0.52539934027777779</v>
      </c>
      <c r="O544" s="1">
        <f>Table257[[#This Row],[Time]]-TIME(0,0,3)</f>
        <v>0.52536461805555557</v>
      </c>
      <c r="P544" t="s">
        <v>9</v>
      </c>
      <c r="Q544">
        <v>-121</v>
      </c>
      <c r="R544">
        <f>Table257[[#This Row],[RSSI]]</f>
        <v>-121</v>
      </c>
      <c r="S544">
        <v>-8</v>
      </c>
    </row>
    <row r="545" spans="2:19" x14ac:dyDescent="0.25">
      <c r="B545">
        <f>390+2*(Table146[[#This Row],[min value (corrected)]]-37)</f>
        <v>408</v>
      </c>
      <c r="C545">
        <f>MINUTE(Table146[[#This Row],[Corrected time]])</f>
        <v>46</v>
      </c>
      <c r="D545" s="1">
        <v>0.4907804282407407</v>
      </c>
      <c r="E545" s="1">
        <f>Table146[[#This Row],[Time]]-TIME(0,0,1)</f>
        <v>0.4907688541666666</v>
      </c>
      <c r="F545" t="s">
        <v>9</v>
      </c>
      <c r="G545">
        <v>-122</v>
      </c>
      <c r="H545">
        <f>Table146[[#This Row],[RSSI]]</f>
        <v>-122</v>
      </c>
      <c r="I545">
        <v>-8.8000000000000007</v>
      </c>
      <c r="L545">
        <f>390+2*(Table257[[#This Row],[min value (corrected)]]-27)</f>
        <v>408</v>
      </c>
      <c r="M545">
        <f>MINUTE(Table257[[#This Row],[Corrected time]])</f>
        <v>36</v>
      </c>
      <c r="N545" s="1">
        <v>0.52541237268518515</v>
      </c>
      <c r="O545" s="1">
        <f>Table257[[#This Row],[Time]]-TIME(0,0,3)</f>
        <v>0.52537765046296292</v>
      </c>
      <c r="P545" t="s">
        <v>9</v>
      </c>
      <c r="Q545">
        <v>-121</v>
      </c>
      <c r="R545">
        <f>Table257[[#This Row],[RSSI]]</f>
        <v>-121</v>
      </c>
      <c r="S545">
        <v>-8</v>
      </c>
    </row>
    <row r="546" spans="2:19" x14ac:dyDescent="0.25">
      <c r="B546">
        <f>390+2*(Table146[[#This Row],[min value (corrected)]]-37)</f>
        <v>408</v>
      </c>
      <c r="C546">
        <f>MINUTE(Table146[[#This Row],[Corrected time]])</f>
        <v>46</v>
      </c>
      <c r="D546" s="1">
        <v>0.49079346064814816</v>
      </c>
      <c r="E546" s="1">
        <f>Table146[[#This Row],[Time]]-TIME(0,0,1)</f>
        <v>0.49078188657407407</v>
      </c>
      <c r="F546" t="s">
        <v>9</v>
      </c>
      <c r="G546">
        <v>-122</v>
      </c>
      <c r="H546">
        <f>Table146[[#This Row],[RSSI]]</f>
        <v>-122</v>
      </c>
      <c r="I546">
        <v>-7.7</v>
      </c>
      <c r="L546">
        <f>390+2*(Table257[[#This Row],[min value (corrected)]]-27)</f>
        <v>408</v>
      </c>
      <c r="M546">
        <f>MINUTE(Table257[[#This Row],[Corrected time]])</f>
        <v>36</v>
      </c>
      <c r="N546" s="1">
        <v>0.52542540509259261</v>
      </c>
      <c r="O546" s="1">
        <f>Table257[[#This Row],[Time]]-TIME(0,0,3)</f>
        <v>0.52539068287037038</v>
      </c>
      <c r="P546" t="s">
        <v>9</v>
      </c>
      <c r="Q546">
        <v>-122</v>
      </c>
      <c r="R546">
        <f>Table257[[#This Row],[RSSI]]</f>
        <v>-122</v>
      </c>
      <c r="S546">
        <v>-7.7</v>
      </c>
    </row>
    <row r="547" spans="2:19" x14ac:dyDescent="0.25">
      <c r="B547">
        <f>390+2*(Table146[[#This Row],[min value (corrected)]]-37)</f>
        <v>408</v>
      </c>
      <c r="C547">
        <f>MINUTE(Table146[[#This Row],[Corrected time]])</f>
        <v>46</v>
      </c>
      <c r="D547" s="1">
        <v>0.49080649305555551</v>
      </c>
      <c r="E547" s="1">
        <f>Table146[[#This Row],[Time]]-TIME(0,0,1)</f>
        <v>0.49079491898148142</v>
      </c>
      <c r="F547" t="s">
        <v>9</v>
      </c>
      <c r="G547">
        <v>-121</v>
      </c>
      <c r="H547">
        <f>Table146[[#This Row],[RSSI]]</f>
        <v>-121</v>
      </c>
      <c r="I547">
        <v>-7.7</v>
      </c>
      <c r="L547">
        <f>390+2*(Table257[[#This Row],[min value (corrected)]]-27)</f>
        <v>408</v>
      </c>
      <c r="M547">
        <f>MINUTE(Table257[[#This Row],[Corrected time]])</f>
        <v>36</v>
      </c>
      <c r="N547" s="1">
        <v>0.52543843749999997</v>
      </c>
      <c r="O547" s="1">
        <f>Table257[[#This Row],[Time]]-TIME(0,0,3)</f>
        <v>0.52540371527777774</v>
      </c>
      <c r="P547" t="s">
        <v>9</v>
      </c>
      <c r="Q547">
        <v>-121</v>
      </c>
      <c r="R547">
        <f>Table257[[#This Row],[RSSI]]</f>
        <v>-121</v>
      </c>
      <c r="S547">
        <v>-7.2</v>
      </c>
    </row>
    <row r="548" spans="2:19" x14ac:dyDescent="0.25">
      <c r="B548">
        <f>390+2*(Table146[[#This Row],[min value (corrected)]]-37)</f>
        <v>408</v>
      </c>
      <c r="C548">
        <f>MINUTE(Table146[[#This Row],[Corrected time]])</f>
        <v>46</v>
      </c>
      <c r="D548" s="1">
        <v>0.49081952546296298</v>
      </c>
      <c r="E548" s="1">
        <f>Table146[[#This Row],[Time]]-TIME(0,0,1)</f>
        <v>0.49080795138888889</v>
      </c>
      <c r="F548" t="s">
        <v>9</v>
      </c>
      <c r="G548">
        <v>-121</v>
      </c>
      <c r="H548">
        <f>Table146[[#This Row],[RSSI]]</f>
        <v>-121</v>
      </c>
      <c r="I548">
        <v>-7.7</v>
      </c>
      <c r="L548">
        <f>390+2*(Table257[[#This Row],[min value (corrected)]]-27)</f>
        <v>408</v>
      </c>
      <c r="M548">
        <f>MINUTE(Table257[[#This Row],[Corrected time]])</f>
        <v>36</v>
      </c>
      <c r="N548" s="1">
        <v>0.5254514583333334</v>
      </c>
      <c r="O548" s="1">
        <f>Table257[[#This Row],[Time]]-TIME(0,0,3)</f>
        <v>0.52541673611111117</v>
      </c>
      <c r="P548" t="s">
        <v>9</v>
      </c>
      <c r="Q548">
        <v>-118</v>
      </c>
      <c r="R548">
        <f>Table257[[#This Row],[RSSI]]</f>
        <v>-118</v>
      </c>
      <c r="S548">
        <v>-7.5</v>
      </c>
    </row>
    <row r="549" spans="2:19" x14ac:dyDescent="0.25">
      <c r="B549">
        <f>390+2*(Table146[[#This Row],[min value (corrected)]]-37)</f>
        <v>408</v>
      </c>
      <c r="C549">
        <f>MINUTE(Table146[[#This Row],[Corrected time]])</f>
        <v>46</v>
      </c>
      <c r="D549" s="1">
        <v>0.49083255787037033</v>
      </c>
      <c r="E549" s="1">
        <f>Table146[[#This Row],[Time]]-TIME(0,0,1)</f>
        <v>0.49082098379629624</v>
      </c>
      <c r="F549" t="s">
        <v>13</v>
      </c>
      <c r="G549">
        <f>G548</f>
        <v>-121</v>
      </c>
      <c r="H549">
        <f>Table146[[#This Row],[RSSI]]</f>
        <v>-121</v>
      </c>
      <c r="I549">
        <f>I548</f>
        <v>-7.7</v>
      </c>
      <c r="L549">
        <f>390+2*(Table257[[#This Row],[min value (corrected)]]-27)</f>
        <v>408</v>
      </c>
      <c r="M549">
        <f>MINUTE(Table257[[#This Row],[Corrected time]])</f>
        <v>36</v>
      </c>
      <c r="N549" s="1">
        <v>0.52546449074074075</v>
      </c>
      <c r="O549" s="1">
        <f>Table257[[#This Row],[Time]]-TIME(0,0,3)</f>
        <v>0.52542976851851853</v>
      </c>
      <c r="P549" t="s">
        <v>9</v>
      </c>
      <c r="Q549">
        <v>-121</v>
      </c>
      <c r="R549">
        <f>Table257[[#This Row],[RSSI]]</f>
        <v>-121</v>
      </c>
      <c r="S549">
        <v>-8.5</v>
      </c>
    </row>
    <row r="550" spans="2:19" x14ac:dyDescent="0.25">
      <c r="B550">
        <f>390+2*(Table146[[#This Row],[min value (corrected)]]-37)</f>
        <v>408</v>
      </c>
      <c r="C550">
        <f>MINUTE(Table146[[#This Row],[Corrected time]])</f>
        <v>46</v>
      </c>
      <c r="D550" s="1">
        <v>0.4908455902777778</v>
      </c>
      <c r="E550" s="1">
        <f>Table146[[#This Row],[Time]]-TIME(0,0,1)</f>
        <v>0.4908340162037037</v>
      </c>
      <c r="F550" t="s">
        <v>9</v>
      </c>
      <c r="G550">
        <v>-122</v>
      </c>
      <c r="H550">
        <f>Table146[[#This Row],[RSSI]]</f>
        <v>-122</v>
      </c>
      <c r="I550">
        <v>-8</v>
      </c>
      <c r="L550">
        <f>390+2*(Table257[[#This Row],[min value (corrected)]]-27)</f>
        <v>408</v>
      </c>
      <c r="M550">
        <f>MINUTE(Table257[[#This Row],[Corrected time]])</f>
        <v>36</v>
      </c>
      <c r="N550" s="1">
        <v>0.52547753472222225</v>
      </c>
      <c r="O550" s="1">
        <f>Table257[[#This Row],[Time]]-TIME(0,0,3)</f>
        <v>0.52544281250000002</v>
      </c>
      <c r="P550" t="s">
        <v>9</v>
      </c>
      <c r="Q550">
        <v>-121</v>
      </c>
      <c r="R550">
        <f>Table257[[#This Row],[RSSI]]</f>
        <v>-121</v>
      </c>
      <c r="S550">
        <v>-7.2</v>
      </c>
    </row>
    <row r="551" spans="2:19" x14ac:dyDescent="0.25">
      <c r="B551">
        <f>390+2*(Table146[[#This Row],[min value (corrected)]]-37)</f>
        <v>408</v>
      </c>
      <c r="C551">
        <f>MINUTE(Table146[[#This Row],[Corrected time]])</f>
        <v>46</v>
      </c>
      <c r="D551" s="1">
        <v>0.49085862268518515</v>
      </c>
      <c r="E551" s="1">
        <f>Table146[[#This Row],[Time]]-TIME(0,0,1)</f>
        <v>0.49084704861111106</v>
      </c>
      <c r="F551" t="s">
        <v>9</v>
      </c>
      <c r="G551">
        <v>-122</v>
      </c>
      <c r="H551">
        <f>Table146[[#This Row],[RSSI]]</f>
        <v>-122</v>
      </c>
      <c r="I551">
        <v>-8.5</v>
      </c>
      <c r="L551">
        <f>390+2*(Table257[[#This Row],[min value (corrected)]]-27)</f>
        <v>408</v>
      </c>
      <c r="M551">
        <f>MINUTE(Table257[[#This Row],[Corrected time]])</f>
        <v>36</v>
      </c>
      <c r="N551" s="1">
        <v>0.52549055555555557</v>
      </c>
      <c r="O551" s="1">
        <f>Table257[[#This Row],[Time]]-TIME(0,0,3)</f>
        <v>0.52545583333333334</v>
      </c>
      <c r="P551" t="s">
        <v>9</v>
      </c>
      <c r="Q551">
        <v>-120</v>
      </c>
      <c r="R551">
        <f>Table257[[#This Row],[RSSI]]</f>
        <v>-120</v>
      </c>
      <c r="S551">
        <v>-7</v>
      </c>
    </row>
    <row r="552" spans="2:19" x14ac:dyDescent="0.25">
      <c r="B552">
        <f>390+2*(Table146[[#This Row],[min value (corrected)]]-37)</f>
        <v>408</v>
      </c>
      <c r="C552">
        <f>MINUTE(Table146[[#This Row],[Corrected time]])</f>
        <v>46</v>
      </c>
      <c r="D552" s="1">
        <v>0.49087165509259262</v>
      </c>
      <c r="E552" s="1">
        <f>Table146[[#This Row],[Time]]-TIME(0,0,1)</f>
        <v>0.49086008101851852</v>
      </c>
      <c r="F552" t="s">
        <v>9</v>
      </c>
      <c r="G552">
        <v>-121</v>
      </c>
      <c r="H552">
        <f>Table146[[#This Row],[RSSI]]</f>
        <v>-121</v>
      </c>
      <c r="I552">
        <v>-7.7</v>
      </c>
      <c r="L552">
        <f>390+2*(Table257[[#This Row],[min value (corrected)]]-27)</f>
        <v>408</v>
      </c>
      <c r="M552">
        <f>MINUTE(Table257[[#This Row],[Corrected time]])</f>
        <v>36</v>
      </c>
      <c r="N552" s="1">
        <v>0.52550359953703707</v>
      </c>
      <c r="O552" s="1">
        <f>Table257[[#This Row],[Time]]-TIME(0,0,3)</f>
        <v>0.52546887731481484</v>
      </c>
      <c r="P552" t="s">
        <v>9</v>
      </c>
      <c r="Q552">
        <v>-121</v>
      </c>
      <c r="R552">
        <f>Table257[[#This Row],[RSSI]]</f>
        <v>-121</v>
      </c>
      <c r="S552">
        <v>-7.7</v>
      </c>
    </row>
    <row r="553" spans="2:19" x14ac:dyDescent="0.25">
      <c r="B553">
        <f>390+2*(Table146[[#This Row],[min value (corrected)]]-37)</f>
        <v>408</v>
      </c>
      <c r="C553">
        <f>MINUTE(Table146[[#This Row],[Corrected time]])</f>
        <v>46</v>
      </c>
      <c r="D553" s="1">
        <v>0.49088468749999997</v>
      </c>
      <c r="E553" s="1">
        <f>Table146[[#This Row],[Time]]-TIME(0,0,1)</f>
        <v>0.49087311342592588</v>
      </c>
      <c r="F553" t="s">
        <v>9</v>
      </c>
      <c r="G553">
        <v>-121</v>
      </c>
      <c r="H553">
        <f>Table146[[#This Row],[RSSI]]</f>
        <v>-121</v>
      </c>
      <c r="I553">
        <v>-7</v>
      </c>
      <c r="L553">
        <f>390+2*(Table257[[#This Row],[min value (corrected)]]-27)</f>
        <v>408</v>
      </c>
      <c r="M553">
        <f>MINUTE(Table257[[#This Row],[Corrected time]])</f>
        <v>36</v>
      </c>
      <c r="N553" s="1">
        <v>0.52551663194444442</v>
      </c>
      <c r="O553" s="1">
        <f>Table257[[#This Row],[Time]]-TIME(0,0,3)</f>
        <v>0.5254819097222222</v>
      </c>
      <c r="P553" t="s">
        <v>9</v>
      </c>
      <c r="Q553">
        <v>-122</v>
      </c>
      <c r="R553">
        <f>Table257[[#This Row],[RSSI]]</f>
        <v>-122</v>
      </c>
      <c r="S553">
        <v>-7.7</v>
      </c>
    </row>
    <row r="554" spans="2:19" x14ac:dyDescent="0.25">
      <c r="B554">
        <f>390+2*(Table146[[#This Row],[min value (corrected)]]-37)</f>
        <v>408</v>
      </c>
      <c r="C554">
        <f>MINUTE(Table146[[#This Row],[Corrected time]])</f>
        <v>46</v>
      </c>
      <c r="D554" s="1">
        <v>0.49089771990740744</v>
      </c>
      <c r="E554" s="1">
        <f>Table146[[#This Row],[Time]]-TIME(0,0,1)</f>
        <v>0.49088614583333334</v>
      </c>
      <c r="F554" t="s">
        <v>9</v>
      </c>
      <c r="G554">
        <v>-122</v>
      </c>
      <c r="H554">
        <f>Table146[[#This Row],[RSSI]]</f>
        <v>-122</v>
      </c>
      <c r="I554">
        <v>-8</v>
      </c>
      <c r="L554">
        <f>390+2*(Table257[[#This Row],[min value (corrected)]]-27)</f>
        <v>408</v>
      </c>
      <c r="M554">
        <f>MINUTE(Table257[[#This Row],[Corrected time]])</f>
        <v>36</v>
      </c>
      <c r="N554" s="1">
        <v>0.52552965277777786</v>
      </c>
      <c r="O554" s="1">
        <f>Table257[[#This Row],[Time]]-TIME(0,0,3)</f>
        <v>0.52549493055555563</v>
      </c>
      <c r="P554" t="s">
        <v>9</v>
      </c>
      <c r="Q554">
        <v>-121</v>
      </c>
      <c r="R554">
        <f>Table257[[#This Row],[RSSI]]</f>
        <v>-121</v>
      </c>
      <c r="S554">
        <v>-8</v>
      </c>
    </row>
    <row r="555" spans="2:19" x14ac:dyDescent="0.25">
      <c r="B555">
        <f>390+2*(Table146[[#This Row],[min value (corrected)]]-37)</f>
        <v>408</v>
      </c>
      <c r="C555">
        <f>MINUTE(Table146[[#This Row],[Corrected time]])</f>
        <v>46</v>
      </c>
      <c r="D555" s="1">
        <v>0.49091075231481479</v>
      </c>
      <c r="E555" s="1">
        <f>Table146[[#This Row],[Time]]-TIME(0,0,1)</f>
        <v>0.4908991782407407</v>
      </c>
      <c r="F555" t="s">
        <v>9</v>
      </c>
      <c r="G555">
        <v>-122</v>
      </c>
      <c r="H555">
        <f>Table146[[#This Row],[RSSI]]</f>
        <v>-122</v>
      </c>
      <c r="I555">
        <v>-8.5</v>
      </c>
      <c r="L555">
        <f>390+2*(Table257[[#This Row],[min value (corrected)]]-27)</f>
        <v>408</v>
      </c>
      <c r="M555">
        <f>MINUTE(Table257[[#This Row],[Corrected time]])</f>
        <v>36</v>
      </c>
      <c r="N555" s="1">
        <v>0.52554269675925924</v>
      </c>
      <c r="O555" s="1">
        <f>Table257[[#This Row],[Time]]-TIME(0,0,3)</f>
        <v>0.52550797453703701</v>
      </c>
      <c r="P555" t="s">
        <v>9</v>
      </c>
      <c r="Q555">
        <v>-122</v>
      </c>
      <c r="R555">
        <f>Table257[[#This Row],[RSSI]]</f>
        <v>-122</v>
      </c>
      <c r="S555">
        <v>-8.3000000000000007</v>
      </c>
    </row>
    <row r="556" spans="2:19" x14ac:dyDescent="0.25">
      <c r="B556">
        <f>390+2*(Table146[[#This Row],[min value (corrected)]]-37)</f>
        <v>408</v>
      </c>
      <c r="C556">
        <f>MINUTE(Table146[[#This Row],[Corrected time]])</f>
        <v>46</v>
      </c>
      <c r="D556" s="1">
        <v>0.49092378472222226</v>
      </c>
      <c r="E556" s="1">
        <f>Table146[[#This Row],[Time]]-TIME(0,0,1)</f>
        <v>0.49091221064814816</v>
      </c>
      <c r="F556" t="s">
        <v>9</v>
      </c>
      <c r="G556">
        <v>-120</v>
      </c>
      <c r="H556">
        <f>Table146[[#This Row],[RSSI]]</f>
        <v>-120</v>
      </c>
      <c r="I556">
        <v>-8</v>
      </c>
      <c r="L556">
        <f>390+2*(Table257[[#This Row],[min value (corrected)]]-27)</f>
        <v>408</v>
      </c>
      <c r="M556">
        <f>MINUTE(Table257[[#This Row],[Corrected time]])</f>
        <v>36</v>
      </c>
      <c r="N556" s="1">
        <v>0.52555572916666671</v>
      </c>
      <c r="O556" s="1">
        <f>Table257[[#This Row],[Time]]-TIME(0,0,3)</f>
        <v>0.52552100694444448</v>
      </c>
      <c r="P556" t="s">
        <v>9</v>
      </c>
      <c r="Q556">
        <v>-121</v>
      </c>
      <c r="R556">
        <f>Table257[[#This Row],[RSSI]]</f>
        <v>-121</v>
      </c>
      <c r="S556">
        <v>-7.7</v>
      </c>
    </row>
    <row r="557" spans="2:19" x14ac:dyDescent="0.25">
      <c r="B557">
        <f>390+2*(Table146[[#This Row],[min value (corrected)]]-37)</f>
        <v>408</v>
      </c>
      <c r="C557">
        <f>MINUTE(Table146[[#This Row],[Corrected time]])</f>
        <v>46</v>
      </c>
      <c r="D557" s="1">
        <v>0.49093681712962961</v>
      </c>
      <c r="E557" s="1">
        <f>Table146[[#This Row],[Time]]-TIME(0,0,1)</f>
        <v>0.49092524305555552</v>
      </c>
      <c r="F557" t="s">
        <v>9</v>
      </c>
      <c r="G557">
        <v>-122</v>
      </c>
      <c r="H557">
        <f>Table146[[#This Row],[RSSI]]</f>
        <v>-122</v>
      </c>
      <c r="I557">
        <v>-8.3000000000000007</v>
      </c>
      <c r="L557">
        <f>390+2*(Table257[[#This Row],[min value (corrected)]]-27)</f>
        <v>408</v>
      </c>
      <c r="M557">
        <f>MINUTE(Table257[[#This Row],[Corrected time]])</f>
        <v>36</v>
      </c>
      <c r="N557" s="1">
        <v>0.52556876157407406</v>
      </c>
      <c r="O557" s="1">
        <f>Table257[[#This Row],[Time]]-TIME(0,0,3)</f>
        <v>0.52553403935185183</v>
      </c>
      <c r="P557" t="s">
        <v>13</v>
      </c>
      <c r="Q557">
        <f>Q556</f>
        <v>-121</v>
      </c>
      <c r="R557">
        <f>Table257[[#This Row],[RSSI]]</f>
        <v>-121</v>
      </c>
      <c r="S557">
        <f>S556</f>
        <v>-7.7</v>
      </c>
    </row>
    <row r="558" spans="2:19" x14ac:dyDescent="0.25">
      <c r="B558">
        <f>390+2*(Table146[[#This Row],[min value (corrected)]]-37)</f>
        <v>408</v>
      </c>
      <c r="C558">
        <f>MINUTE(Table146[[#This Row],[Corrected time]])</f>
        <v>46</v>
      </c>
      <c r="D558" s="1">
        <v>0.49094984953703708</v>
      </c>
      <c r="E558" s="1">
        <f>Table146[[#This Row],[Time]]-TIME(0,0,1)</f>
        <v>0.49093827546296298</v>
      </c>
      <c r="F558" t="s">
        <v>9</v>
      </c>
      <c r="G558">
        <v>-121</v>
      </c>
      <c r="H558">
        <f>Table146[[#This Row],[RSSI]]</f>
        <v>-121</v>
      </c>
      <c r="I558">
        <v>-7.5</v>
      </c>
      <c r="L558">
        <f>390+2*(Table257[[#This Row],[min value (corrected)]]-27)</f>
        <v>408</v>
      </c>
      <c r="M558">
        <f>MINUTE(Table257[[#This Row],[Corrected time]])</f>
        <v>36</v>
      </c>
      <c r="N558" s="1">
        <v>0.52558179398148153</v>
      </c>
      <c r="O558" s="1">
        <f>Table257[[#This Row],[Time]]-TIME(0,0,3)</f>
        <v>0.5255470717592593</v>
      </c>
      <c r="P558" t="s">
        <v>9</v>
      </c>
      <c r="Q558">
        <v>-121</v>
      </c>
      <c r="R558">
        <f>Table257[[#This Row],[RSSI]]</f>
        <v>-121</v>
      </c>
      <c r="S558">
        <v>-7.5</v>
      </c>
    </row>
    <row r="559" spans="2:19" x14ac:dyDescent="0.25">
      <c r="B559">
        <f>390+2*(Table146[[#This Row],[min value (corrected)]]-37)</f>
        <v>408</v>
      </c>
      <c r="C559">
        <f>MINUTE(Table146[[#This Row],[Corrected time]])</f>
        <v>46</v>
      </c>
      <c r="D559" s="1">
        <v>0.49096288194444443</v>
      </c>
      <c r="E559" s="1">
        <f>Table146[[#This Row],[Time]]-TIME(0,0,1)</f>
        <v>0.49095130787037033</v>
      </c>
      <c r="F559" t="s">
        <v>9</v>
      </c>
      <c r="G559">
        <v>-122</v>
      </c>
      <c r="H559">
        <f>Table146[[#This Row],[RSSI]]</f>
        <v>-122</v>
      </c>
      <c r="I559">
        <v>-8</v>
      </c>
      <c r="L559">
        <f>390+2*(Table257[[#This Row],[min value (corrected)]]-27)</f>
        <v>408</v>
      </c>
      <c r="M559">
        <f>MINUTE(Table257[[#This Row],[Corrected time]])</f>
        <v>36</v>
      </c>
      <c r="N559" s="1">
        <v>0.52559482638888888</v>
      </c>
      <c r="O559" s="1">
        <f>Table257[[#This Row],[Time]]-TIME(0,0,3)</f>
        <v>0.52556010416666665</v>
      </c>
      <c r="P559" t="s">
        <v>9</v>
      </c>
      <c r="Q559">
        <v>-121</v>
      </c>
      <c r="R559">
        <f>Table257[[#This Row],[RSSI]]</f>
        <v>-121</v>
      </c>
      <c r="S559">
        <v>-7.5</v>
      </c>
    </row>
    <row r="560" spans="2:19" x14ac:dyDescent="0.25">
      <c r="B560">
        <f>390+2*(Table146[[#This Row],[min value (corrected)]]-37)</f>
        <v>408</v>
      </c>
      <c r="C560">
        <f>MINUTE(Table146[[#This Row],[Corrected time]])</f>
        <v>46</v>
      </c>
      <c r="D560" s="1">
        <v>0.49097591435185189</v>
      </c>
      <c r="E560" s="1">
        <f>Table146[[#This Row],[Time]]-TIME(0,0,1)</f>
        <v>0.4909643402777778</v>
      </c>
      <c r="F560" t="s">
        <v>9</v>
      </c>
      <c r="G560">
        <v>-122</v>
      </c>
      <c r="H560">
        <f>Table146[[#This Row],[RSSI]]</f>
        <v>-122</v>
      </c>
      <c r="I560">
        <v>-8</v>
      </c>
      <c r="L560">
        <f>390+2*(Table257[[#This Row],[min value (corrected)]]-27)</f>
        <v>408</v>
      </c>
      <c r="M560">
        <f>MINUTE(Table257[[#This Row],[Corrected time]])</f>
        <v>36</v>
      </c>
      <c r="N560" s="1">
        <v>0.52560785879629635</v>
      </c>
      <c r="O560" s="1">
        <f>Table257[[#This Row],[Time]]-TIME(0,0,3)</f>
        <v>0.52557313657407412</v>
      </c>
      <c r="P560" t="s">
        <v>9</v>
      </c>
      <c r="Q560">
        <v>-121</v>
      </c>
      <c r="R560">
        <f>Table257[[#This Row],[RSSI]]</f>
        <v>-121</v>
      </c>
      <c r="S560">
        <v>-7.5</v>
      </c>
    </row>
    <row r="561" spans="2:19" x14ac:dyDescent="0.25">
      <c r="B561">
        <f>390+2*(Table146[[#This Row],[min value (corrected)]]-37)</f>
        <v>410</v>
      </c>
      <c r="C561">
        <f>MINUTE(Table146[[#This Row],[Corrected time]])</f>
        <v>47</v>
      </c>
      <c r="D561" s="1">
        <v>0.49098894675925925</v>
      </c>
      <c r="E561" s="1">
        <f>Table146[[#This Row],[Time]]-TIME(0,0,1)</f>
        <v>0.49097737268518515</v>
      </c>
      <c r="F561" t="s">
        <v>9</v>
      </c>
      <c r="G561">
        <v>-122</v>
      </c>
      <c r="H561">
        <f>Table146[[#This Row],[RSSI]]</f>
        <v>-122</v>
      </c>
      <c r="I561">
        <v>-8.3000000000000007</v>
      </c>
      <c r="L561">
        <f>390+2*(Table257[[#This Row],[min value (corrected)]]-27)</f>
        <v>408</v>
      </c>
      <c r="M561">
        <f>MINUTE(Table257[[#This Row],[Corrected time]])</f>
        <v>36</v>
      </c>
      <c r="N561" s="1">
        <v>0.5256208912037037</v>
      </c>
      <c r="O561" s="1">
        <f>Table257[[#This Row],[Time]]-TIME(0,0,3)</f>
        <v>0.52558616898148147</v>
      </c>
      <c r="P561" t="s">
        <v>9</v>
      </c>
      <c r="Q561">
        <v>-121</v>
      </c>
      <c r="R561">
        <f>Table257[[#This Row],[RSSI]]</f>
        <v>-121</v>
      </c>
      <c r="S561">
        <v>-8</v>
      </c>
    </row>
    <row r="562" spans="2:19" x14ac:dyDescent="0.25">
      <c r="B562">
        <f>390+2*(Table146[[#This Row],[min value (corrected)]]-37)</f>
        <v>410</v>
      </c>
      <c r="C562">
        <f>MINUTE(Table146[[#This Row],[Corrected time]])</f>
        <v>47</v>
      </c>
      <c r="D562" s="1">
        <v>0.49100197916666671</v>
      </c>
      <c r="E562" s="1">
        <f>Table146[[#This Row],[Time]]-TIME(0,0,1)</f>
        <v>0.49099040509259262</v>
      </c>
      <c r="F562" t="s">
        <v>9</v>
      </c>
      <c r="G562">
        <v>-121</v>
      </c>
      <c r="H562">
        <f>Table146[[#This Row],[RSSI]]</f>
        <v>-121</v>
      </c>
      <c r="I562">
        <v>-7.7</v>
      </c>
      <c r="L562">
        <f>390+2*(Table257[[#This Row],[min value (corrected)]]-27)</f>
        <v>408</v>
      </c>
      <c r="M562">
        <f>MINUTE(Table257[[#This Row],[Corrected time]])</f>
        <v>36</v>
      </c>
      <c r="N562" s="1">
        <v>0.52563391203703702</v>
      </c>
      <c r="O562" s="1">
        <f>Table257[[#This Row],[Time]]-TIME(0,0,3)</f>
        <v>0.52559918981481479</v>
      </c>
      <c r="P562" t="s">
        <v>9</v>
      </c>
      <c r="Q562">
        <v>-121</v>
      </c>
      <c r="R562">
        <f>Table257[[#This Row],[RSSI]]</f>
        <v>-121</v>
      </c>
      <c r="S562">
        <v>-7.2</v>
      </c>
    </row>
    <row r="563" spans="2:19" x14ac:dyDescent="0.25">
      <c r="B563">
        <f>390+2*(Table146[[#This Row],[min value (corrected)]]-37)</f>
        <v>410</v>
      </c>
      <c r="C563">
        <f>MINUTE(Table146[[#This Row],[Corrected time]])</f>
        <v>47</v>
      </c>
      <c r="D563" s="1">
        <v>0.49101501157407407</v>
      </c>
      <c r="E563" s="1">
        <f>Table146[[#This Row],[Time]]-TIME(0,0,1)</f>
        <v>0.49100343749999997</v>
      </c>
      <c r="F563" t="s">
        <v>13</v>
      </c>
      <c r="G563">
        <f>G562</f>
        <v>-121</v>
      </c>
      <c r="H563">
        <f>Table146[[#This Row],[RSSI]]</f>
        <v>-121</v>
      </c>
      <c r="I563">
        <f>I562</f>
        <v>-7.7</v>
      </c>
      <c r="L563">
        <f>390+2*(Table257[[#This Row],[min value (corrected)]]-27)</f>
        <v>408</v>
      </c>
      <c r="M563">
        <f>MINUTE(Table257[[#This Row],[Corrected time]])</f>
        <v>36</v>
      </c>
      <c r="N563" s="1">
        <v>0.52564694444444449</v>
      </c>
      <c r="O563" s="1">
        <f>Table257[[#This Row],[Time]]-TIME(0,0,3)</f>
        <v>0.52561222222222226</v>
      </c>
      <c r="P563" t="s">
        <v>9</v>
      </c>
      <c r="Q563">
        <v>-122</v>
      </c>
      <c r="R563">
        <f>Table257[[#This Row],[RSSI]]</f>
        <v>-122</v>
      </c>
      <c r="S563">
        <v>-8.3000000000000007</v>
      </c>
    </row>
    <row r="564" spans="2:19" x14ac:dyDescent="0.25">
      <c r="B564">
        <f>390+2*(Table146[[#This Row],[min value (corrected)]]-37)</f>
        <v>410</v>
      </c>
      <c r="C564">
        <f>MINUTE(Table146[[#This Row],[Corrected time]])</f>
        <v>47</v>
      </c>
      <c r="D564" s="1">
        <v>0.49102804398148142</v>
      </c>
      <c r="E564" s="1">
        <f>Table146[[#This Row],[Time]]-TIME(0,0,1)</f>
        <v>0.49101646990740733</v>
      </c>
      <c r="F564" t="s">
        <v>9</v>
      </c>
      <c r="G564">
        <v>-121</v>
      </c>
      <c r="H564">
        <f>Table146[[#This Row],[RSSI]]</f>
        <v>-121</v>
      </c>
      <c r="I564">
        <v>-8.3000000000000007</v>
      </c>
      <c r="L564">
        <f>390+2*(Table257[[#This Row],[min value (corrected)]]-27)</f>
        <v>408</v>
      </c>
      <c r="M564">
        <f>MINUTE(Table257[[#This Row],[Corrected time]])</f>
        <v>36</v>
      </c>
      <c r="N564" s="1">
        <v>0.52565997685185184</v>
      </c>
      <c r="O564" s="1">
        <f>Table257[[#This Row],[Time]]-TIME(0,0,3)</f>
        <v>0.52562525462962961</v>
      </c>
      <c r="P564" t="s">
        <v>9</v>
      </c>
      <c r="Q564">
        <v>-122</v>
      </c>
      <c r="R564">
        <f>Table257[[#This Row],[RSSI]]</f>
        <v>-122</v>
      </c>
      <c r="S564">
        <v>-8.5</v>
      </c>
    </row>
    <row r="565" spans="2:19" x14ac:dyDescent="0.25">
      <c r="B565">
        <f>390+2*(Table146[[#This Row],[min value (corrected)]]-37)</f>
        <v>410</v>
      </c>
      <c r="C565">
        <f>MINUTE(Table146[[#This Row],[Corrected time]])</f>
        <v>47</v>
      </c>
      <c r="D565" s="1">
        <v>0.49104107638888889</v>
      </c>
      <c r="E565" s="1">
        <f>Table146[[#This Row],[Time]]-TIME(0,0,1)</f>
        <v>0.49102950231481479</v>
      </c>
      <c r="F565" t="s">
        <v>9</v>
      </c>
      <c r="G565">
        <v>-121</v>
      </c>
      <c r="H565">
        <f>Table146[[#This Row],[RSSI]]</f>
        <v>-121</v>
      </c>
      <c r="I565">
        <v>-7.7</v>
      </c>
      <c r="L565">
        <f>390+2*(Table257[[#This Row],[min value (corrected)]]-27)</f>
        <v>408</v>
      </c>
      <c r="M565">
        <f>MINUTE(Table257[[#This Row],[Corrected time]])</f>
        <v>36</v>
      </c>
      <c r="N565" s="1">
        <v>0.52567300925925931</v>
      </c>
      <c r="O565" s="1">
        <f>Table257[[#This Row],[Time]]-TIME(0,0,3)</f>
        <v>0.52563828703703708</v>
      </c>
      <c r="P565" t="s">
        <v>9</v>
      </c>
      <c r="Q565">
        <v>-121</v>
      </c>
      <c r="R565">
        <f>Table257[[#This Row],[RSSI]]</f>
        <v>-121</v>
      </c>
      <c r="S565">
        <v>-7.2</v>
      </c>
    </row>
    <row r="566" spans="2:19" x14ac:dyDescent="0.25">
      <c r="B566">
        <f>390+2*(Table146[[#This Row],[min value (corrected)]]-37)</f>
        <v>410</v>
      </c>
      <c r="C566">
        <f>MINUTE(Table146[[#This Row],[Corrected time]])</f>
        <v>47</v>
      </c>
      <c r="D566" s="1">
        <v>0.49105410879629624</v>
      </c>
      <c r="E566" s="1">
        <f>Table146[[#This Row],[Time]]-TIME(0,0,1)</f>
        <v>0.49104253472222215</v>
      </c>
      <c r="F566" t="s">
        <v>9</v>
      </c>
      <c r="G566">
        <v>-121</v>
      </c>
      <c r="H566">
        <f>Table146[[#This Row],[RSSI]]</f>
        <v>-121</v>
      </c>
      <c r="I566">
        <v>-8</v>
      </c>
      <c r="L566">
        <f>390+2*(Table257[[#This Row],[min value (corrected)]]-27)</f>
        <v>408</v>
      </c>
      <c r="M566">
        <f>MINUTE(Table257[[#This Row],[Corrected time]])</f>
        <v>36</v>
      </c>
      <c r="N566" s="1">
        <v>0.5256860532407408</v>
      </c>
      <c r="O566" s="1">
        <f>Table257[[#This Row],[Time]]-TIME(0,0,3)</f>
        <v>0.52565133101851858</v>
      </c>
      <c r="P566" t="s">
        <v>9</v>
      </c>
      <c r="Q566">
        <v>-121</v>
      </c>
      <c r="R566">
        <f>Table257[[#This Row],[RSSI]]</f>
        <v>-121</v>
      </c>
      <c r="S566">
        <v>-7.5</v>
      </c>
    </row>
    <row r="567" spans="2:19" x14ac:dyDescent="0.25">
      <c r="B567">
        <f>390+2*(Table146[[#This Row],[min value (corrected)]]-37)</f>
        <v>410</v>
      </c>
      <c r="C567">
        <f>MINUTE(Table146[[#This Row],[Corrected time]])</f>
        <v>47</v>
      </c>
      <c r="D567" s="1">
        <v>0.49106714120370371</v>
      </c>
      <c r="E567" s="1">
        <f>Table146[[#This Row],[Time]]-TIME(0,0,1)</f>
        <v>0.49105556712962961</v>
      </c>
      <c r="F567" t="s">
        <v>9</v>
      </c>
      <c r="G567">
        <v>-121</v>
      </c>
      <c r="H567">
        <f>Table146[[#This Row],[RSSI]]</f>
        <v>-121</v>
      </c>
      <c r="I567">
        <v>-7.7</v>
      </c>
      <c r="L567">
        <f>390+2*(Table257[[#This Row],[min value (corrected)]]-27)</f>
        <v>408</v>
      </c>
      <c r="M567">
        <f>MINUTE(Table257[[#This Row],[Corrected time]])</f>
        <v>36</v>
      </c>
      <c r="N567" s="1">
        <v>0.52569907407407412</v>
      </c>
      <c r="O567" s="1">
        <f>Table257[[#This Row],[Time]]-TIME(0,0,3)</f>
        <v>0.5256643518518519</v>
      </c>
      <c r="P567" t="s">
        <v>9</v>
      </c>
      <c r="Q567">
        <v>-121</v>
      </c>
      <c r="R567">
        <f>Table257[[#This Row],[RSSI]]</f>
        <v>-121</v>
      </c>
      <c r="S567">
        <v>-7.7</v>
      </c>
    </row>
    <row r="568" spans="2:19" x14ac:dyDescent="0.25">
      <c r="B568">
        <f>390+2*(Table146[[#This Row],[min value (corrected)]]-37)</f>
        <v>410</v>
      </c>
      <c r="C568">
        <f>MINUTE(Table146[[#This Row],[Corrected time]])</f>
        <v>47</v>
      </c>
      <c r="D568" s="1">
        <v>0.49108017361111106</v>
      </c>
      <c r="E568" s="1">
        <f>Table146[[#This Row],[Time]]-TIME(0,0,1)</f>
        <v>0.49106859953703696</v>
      </c>
      <c r="F568" t="s">
        <v>9</v>
      </c>
      <c r="G568">
        <v>-121</v>
      </c>
      <c r="H568">
        <f>Table146[[#This Row],[RSSI]]</f>
        <v>-121</v>
      </c>
      <c r="I568">
        <v>-7.5</v>
      </c>
      <c r="L568">
        <f>390+2*(Table257[[#This Row],[min value (corrected)]]-27)</f>
        <v>408</v>
      </c>
      <c r="M568">
        <f>MINUTE(Table257[[#This Row],[Corrected time]])</f>
        <v>36</v>
      </c>
      <c r="N568" s="1">
        <v>0.52571210648148148</v>
      </c>
      <c r="O568" s="1">
        <f>Table257[[#This Row],[Time]]-TIME(0,0,3)</f>
        <v>0.52567738425925925</v>
      </c>
      <c r="P568" t="s">
        <v>9</v>
      </c>
      <c r="Q568">
        <v>-122</v>
      </c>
      <c r="R568">
        <f>Table257[[#This Row],[RSSI]]</f>
        <v>-122</v>
      </c>
      <c r="S568">
        <v>-7.7</v>
      </c>
    </row>
    <row r="569" spans="2:19" x14ac:dyDescent="0.25">
      <c r="B569">
        <f>390+2*(Table146[[#This Row],[min value (corrected)]]-37)</f>
        <v>410</v>
      </c>
      <c r="C569">
        <f>MINUTE(Table146[[#This Row],[Corrected time]])</f>
        <v>47</v>
      </c>
      <c r="D569" s="1">
        <v>0.49109320601851852</v>
      </c>
      <c r="E569" s="1">
        <f>Table146[[#This Row],[Time]]-TIME(0,0,1)</f>
        <v>0.49108163194444443</v>
      </c>
      <c r="F569" t="s">
        <v>9</v>
      </c>
      <c r="G569">
        <v>-122</v>
      </c>
      <c r="H569">
        <f>Table146[[#This Row],[RSSI]]</f>
        <v>-122</v>
      </c>
      <c r="I569">
        <v>-8</v>
      </c>
      <c r="L569">
        <f>390+2*(Table257[[#This Row],[min value (corrected)]]-27)</f>
        <v>410</v>
      </c>
      <c r="M569">
        <f>MINUTE(Table257[[#This Row],[Corrected time]])</f>
        <v>37</v>
      </c>
      <c r="N569" s="1">
        <v>0.52572515046296298</v>
      </c>
      <c r="O569" s="1">
        <f>Table257[[#This Row],[Time]]-TIME(0,0,3)</f>
        <v>0.52569042824074075</v>
      </c>
      <c r="P569" t="s">
        <v>9</v>
      </c>
      <c r="Q569">
        <v>-121</v>
      </c>
      <c r="R569">
        <f>Table257[[#This Row],[RSSI]]</f>
        <v>-121</v>
      </c>
      <c r="S569">
        <v>-7.5</v>
      </c>
    </row>
    <row r="570" spans="2:19" x14ac:dyDescent="0.25">
      <c r="B570">
        <f>390+2*(Table146[[#This Row],[min value (corrected)]]-37)</f>
        <v>410</v>
      </c>
      <c r="C570">
        <f>MINUTE(Table146[[#This Row],[Corrected time]])</f>
        <v>47</v>
      </c>
      <c r="D570" s="1">
        <v>0.49110623842592588</v>
      </c>
      <c r="E570" s="1">
        <f>Table146[[#This Row],[Time]]-TIME(0,0,1)</f>
        <v>0.49109466435185178</v>
      </c>
      <c r="F570" t="s">
        <v>9</v>
      </c>
      <c r="G570">
        <v>-121</v>
      </c>
      <c r="H570">
        <f>Table146[[#This Row],[RSSI]]</f>
        <v>-121</v>
      </c>
      <c r="I570">
        <v>-8</v>
      </c>
      <c r="L570">
        <f>390+2*(Table257[[#This Row],[min value (corrected)]]-27)</f>
        <v>410</v>
      </c>
      <c r="M570">
        <f>MINUTE(Table257[[#This Row],[Corrected time]])</f>
        <v>37</v>
      </c>
      <c r="N570" s="1">
        <v>0.52573818287037044</v>
      </c>
      <c r="O570" s="1">
        <f>Table257[[#This Row],[Time]]-TIME(0,0,3)</f>
        <v>0.52570346064814821</v>
      </c>
      <c r="P570" t="s">
        <v>13</v>
      </c>
      <c r="Q570">
        <f t="shared" ref="Q570:Q571" si="13">Q569</f>
        <v>-121</v>
      </c>
      <c r="R570">
        <f>Table257[[#This Row],[RSSI]]</f>
        <v>-121</v>
      </c>
      <c r="S570">
        <f t="shared" ref="S570:S571" si="14">S569</f>
        <v>-7.5</v>
      </c>
    </row>
    <row r="571" spans="2:19" x14ac:dyDescent="0.25">
      <c r="B571">
        <f>390+2*(Table146[[#This Row],[min value (corrected)]]-37)</f>
        <v>410</v>
      </c>
      <c r="C571">
        <f>MINUTE(Table146[[#This Row],[Corrected time]])</f>
        <v>47</v>
      </c>
      <c r="D571" s="1">
        <v>0.49111927083333334</v>
      </c>
      <c r="E571" s="1">
        <f>Table146[[#This Row],[Time]]-TIME(0,0,1)</f>
        <v>0.49110769675925925</v>
      </c>
      <c r="F571" t="s">
        <v>13</v>
      </c>
      <c r="G571">
        <f>G570</f>
        <v>-121</v>
      </c>
      <c r="H571">
        <f>Table146[[#This Row],[RSSI]]</f>
        <v>-121</v>
      </c>
      <c r="I571">
        <f>I570</f>
        <v>-8</v>
      </c>
      <c r="L571">
        <f>390+2*(Table257[[#This Row],[min value (corrected)]]-27)</f>
        <v>410</v>
      </c>
      <c r="M571">
        <f>MINUTE(Table257[[#This Row],[Corrected time]])</f>
        <v>37</v>
      </c>
      <c r="N571" s="1">
        <v>0.52575120370370376</v>
      </c>
      <c r="O571" s="1">
        <f>Table257[[#This Row],[Time]]-TIME(0,0,3)</f>
        <v>0.52571648148148153</v>
      </c>
      <c r="P571" t="s">
        <v>13</v>
      </c>
      <c r="Q571">
        <f t="shared" si="13"/>
        <v>-121</v>
      </c>
      <c r="R571">
        <f>Table257[[#This Row],[RSSI]]</f>
        <v>-121</v>
      </c>
      <c r="S571">
        <f t="shared" si="14"/>
        <v>-7.5</v>
      </c>
    </row>
    <row r="572" spans="2:19" x14ac:dyDescent="0.25">
      <c r="B572">
        <f>390+2*(Table146[[#This Row],[min value (corrected)]]-37)</f>
        <v>410</v>
      </c>
      <c r="C572">
        <f>MINUTE(Table146[[#This Row],[Corrected time]])</f>
        <v>47</v>
      </c>
      <c r="D572" s="1">
        <v>0.4911323032407407</v>
      </c>
      <c r="E572" s="1">
        <f>Table146[[#This Row],[Time]]-TIME(0,0,1)</f>
        <v>0.4911207291666666</v>
      </c>
      <c r="F572" t="s">
        <v>9</v>
      </c>
      <c r="G572">
        <v>-122</v>
      </c>
      <c r="H572">
        <f>Table146[[#This Row],[RSSI]]</f>
        <v>-122</v>
      </c>
      <c r="I572">
        <v>-9</v>
      </c>
      <c r="L572">
        <f>390+2*(Table257[[#This Row],[min value (corrected)]]-27)</f>
        <v>410</v>
      </c>
      <c r="M572">
        <f>MINUTE(Table257[[#This Row],[Corrected time]])</f>
        <v>37</v>
      </c>
      <c r="N572" s="1">
        <v>0.52576423611111112</v>
      </c>
      <c r="O572" s="1">
        <f>Table257[[#This Row],[Time]]-TIME(0,0,3)</f>
        <v>0.52572951388888889</v>
      </c>
      <c r="P572" t="s">
        <v>9</v>
      </c>
      <c r="Q572">
        <v>-122</v>
      </c>
      <c r="R572">
        <f>Table257[[#This Row],[RSSI]]</f>
        <v>-122</v>
      </c>
      <c r="S572">
        <v>-7.5</v>
      </c>
    </row>
    <row r="573" spans="2:19" x14ac:dyDescent="0.25">
      <c r="B573">
        <f>390+2*(Table146[[#This Row],[min value (corrected)]]-37)</f>
        <v>410</v>
      </c>
      <c r="C573">
        <f>MINUTE(Table146[[#This Row],[Corrected time]])</f>
        <v>47</v>
      </c>
      <c r="D573" s="1">
        <v>0.49114533564814816</v>
      </c>
      <c r="E573" s="1">
        <f>Table146[[#This Row],[Time]]-TIME(0,0,1)</f>
        <v>0.49113376157407407</v>
      </c>
      <c r="F573" t="s">
        <v>9</v>
      </c>
      <c r="G573">
        <v>-123</v>
      </c>
      <c r="H573">
        <f>Table146[[#This Row],[RSSI]]</f>
        <v>-123</v>
      </c>
      <c r="I573">
        <v>-9.8000000000000007</v>
      </c>
      <c r="L573">
        <f>390+2*(Table257[[#This Row],[min value (corrected)]]-27)</f>
        <v>410</v>
      </c>
      <c r="M573">
        <f>MINUTE(Table257[[#This Row],[Corrected time]])</f>
        <v>37</v>
      </c>
      <c r="N573" s="1">
        <v>0.52577728009259261</v>
      </c>
      <c r="O573" s="1">
        <f>Table257[[#This Row],[Time]]-TIME(0,0,3)</f>
        <v>0.52574255787037039</v>
      </c>
      <c r="P573" t="s">
        <v>9</v>
      </c>
      <c r="Q573">
        <v>-122</v>
      </c>
      <c r="R573">
        <f>Table257[[#This Row],[RSSI]]</f>
        <v>-122</v>
      </c>
      <c r="S573">
        <v>-8.5</v>
      </c>
    </row>
    <row r="574" spans="2:19" x14ac:dyDescent="0.25">
      <c r="B574">
        <f>390+2*(Table146[[#This Row],[min value (corrected)]]-37)</f>
        <v>410</v>
      </c>
      <c r="C574">
        <f>MINUTE(Table146[[#This Row],[Corrected time]])</f>
        <v>47</v>
      </c>
      <c r="D574" s="1">
        <v>0.49115836805555552</v>
      </c>
      <c r="E574" s="1">
        <f>Table146[[#This Row],[Time]]-TIME(0,0,1)</f>
        <v>0.49114679398148142</v>
      </c>
      <c r="F574" t="s">
        <v>9</v>
      </c>
      <c r="G574">
        <v>-122</v>
      </c>
      <c r="H574">
        <f>Table146[[#This Row],[RSSI]]</f>
        <v>-122</v>
      </c>
      <c r="I574">
        <v>-8.5</v>
      </c>
      <c r="L574">
        <f>390+2*(Table257[[#This Row],[min value (corrected)]]-27)</f>
        <v>410</v>
      </c>
      <c r="M574">
        <f>MINUTE(Table257[[#This Row],[Corrected time]])</f>
        <v>37</v>
      </c>
      <c r="N574" s="1">
        <v>0.52579031250000008</v>
      </c>
      <c r="O574" s="1">
        <f>Table257[[#This Row],[Time]]-TIME(0,0,3)</f>
        <v>0.52575559027777785</v>
      </c>
      <c r="P574" t="s">
        <v>13</v>
      </c>
      <c r="Q574">
        <f>Q573</f>
        <v>-122</v>
      </c>
      <c r="R574">
        <f>Table257[[#This Row],[RSSI]]</f>
        <v>-122</v>
      </c>
      <c r="S574">
        <f>S573</f>
        <v>-8.5</v>
      </c>
    </row>
    <row r="575" spans="2:19" x14ac:dyDescent="0.25">
      <c r="B575">
        <f>390+2*(Table146[[#This Row],[min value (corrected)]]-37)</f>
        <v>410</v>
      </c>
      <c r="C575">
        <f>MINUTE(Table146[[#This Row],[Corrected time]])</f>
        <v>47</v>
      </c>
      <c r="D575" s="1">
        <v>0.49117140046296298</v>
      </c>
      <c r="E575" s="1">
        <f>Table146[[#This Row],[Time]]-TIME(0,0,1)</f>
        <v>0.49115982638888889</v>
      </c>
      <c r="F575" t="s">
        <v>9</v>
      </c>
      <c r="G575">
        <v>-122</v>
      </c>
      <c r="H575">
        <f>Table146[[#This Row],[RSSI]]</f>
        <v>-122</v>
      </c>
      <c r="I575">
        <v>-8.3000000000000007</v>
      </c>
      <c r="L575">
        <f>390+2*(Table257[[#This Row],[min value (corrected)]]-27)</f>
        <v>410</v>
      </c>
      <c r="M575">
        <f>MINUTE(Table257[[#This Row],[Corrected time]])</f>
        <v>37</v>
      </c>
      <c r="N575" s="1">
        <v>0.52580334490740743</v>
      </c>
      <c r="O575" s="1">
        <f>Table257[[#This Row],[Time]]-TIME(0,0,3)</f>
        <v>0.52576862268518521</v>
      </c>
      <c r="P575" t="s">
        <v>9</v>
      </c>
      <c r="Q575">
        <v>-122</v>
      </c>
      <c r="R575">
        <f>Table257[[#This Row],[RSSI]]</f>
        <v>-122</v>
      </c>
      <c r="S575">
        <v>-7.7</v>
      </c>
    </row>
    <row r="576" spans="2:19" x14ac:dyDescent="0.25">
      <c r="B576">
        <f>390+2*(Table146[[#This Row],[min value (corrected)]]-37)</f>
        <v>410</v>
      </c>
      <c r="C576">
        <f>MINUTE(Table146[[#This Row],[Corrected time]])</f>
        <v>47</v>
      </c>
      <c r="D576" s="1">
        <v>0.49118443287037034</v>
      </c>
      <c r="E576" s="1">
        <f>Table146[[#This Row],[Time]]-TIME(0,0,1)</f>
        <v>0.49117285879629624</v>
      </c>
      <c r="F576" t="s">
        <v>9</v>
      </c>
      <c r="G576">
        <v>-122</v>
      </c>
      <c r="H576">
        <f>Table146[[#This Row],[RSSI]]</f>
        <v>-122</v>
      </c>
      <c r="I576">
        <v>-8.8000000000000007</v>
      </c>
      <c r="L576">
        <f>390+2*(Table257[[#This Row],[min value (corrected)]]-27)</f>
        <v>410</v>
      </c>
      <c r="M576">
        <f>MINUTE(Table257[[#This Row],[Corrected time]])</f>
        <v>37</v>
      </c>
      <c r="N576" s="1">
        <v>0.52581636574074075</v>
      </c>
      <c r="O576" s="1">
        <f>Table257[[#This Row],[Time]]-TIME(0,0,3)</f>
        <v>0.52578164351851853</v>
      </c>
      <c r="P576" t="s">
        <v>13</v>
      </c>
      <c r="Q576">
        <f t="shared" ref="Q576:Q578" si="15">Q575</f>
        <v>-122</v>
      </c>
      <c r="R576">
        <f>Table257[[#This Row],[RSSI]]</f>
        <v>-122</v>
      </c>
      <c r="S576">
        <f t="shared" ref="S576:S578" si="16">S575</f>
        <v>-7.7</v>
      </c>
    </row>
    <row r="577" spans="2:19" x14ac:dyDescent="0.25">
      <c r="B577">
        <f>390+2*(Table146[[#This Row],[min value (corrected)]]-37)</f>
        <v>410</v>
      </c>
      <c r="C577">
        <f>MINUTE(Table146[[#This Row],[Corrected time]])</f>
        <v>47</v>
      </c>
      <c r="D577" s="1">
        <v>0.4911974652777778</v>
      </c>
      <c r="E577" s="1">
        <f>Table146[[#This Row],[Time]]-TIME(0,0,1)</f>
        <v>0.49118589120370371</v>
      </c>
      <c r="F577" t="s">
        <v>9</v>
      </c>
      <c r="G577">
        <v>-122</v>
      </c>
      <c r="H577">
        <f>Table146[[#This Row],[RSSI]]</f>
        <v>-122</v>
      </c>
      <c r="I577">
        <v>-8.5</v>
      </c>
      <c r="L577">
        <f>390+2*(Table257[[#This Row],[min value (corrected)]]-27)</f>
        <v>410</v>
      </c>
      <c r="M577">
        <f>MINUTE(Table257[[#This Row],[Corrected time]])</f>
        <v>37</v>
      </c>
      <c r="N577" s="1">
        <v>0.52582939814814822</v>
      </c>
      <c r="O577" s="1">
        <f>Table257[[#This Row],[Time]]-TIME(0,0,3)</f>
        <v>0.52579467592592599</v>
      </c>
      <c r="P577" t="s">
        <v>27</v>
      </c>
      <c r="Q577">
        <f t="shared" si="15"/>
        <v>-122</v>
      </c>
      <c r="R577">
        <f>Table257[[#This Row],[RSSI]]</f>
        <v>-122</v>
      </c>
      <c r="S577">
        <f t="shared" si="16"/>
        <v>-7.7</v>
      </c>
    </row>
    <row r="578" spans="2:19" x14ac:dyDescent="0.25">
      <c r="B578">
        <f>390+2*(Table146[[#This Row],[min value (corrected)]]-37)</f>
        <v>410</v>
      </c>
      <c r="C578">
        <f>MINUTE(Table146[[#This Row],[Corrected time]])</f>
        <v>47</v>
      </c>
      <c r="D578" s="1">
        <v>0.49121049768518515</v>
      </c>
      <c r="E578" s="1">
        <f>Table146[[#This Row],[Time]]-TIME(0,0,1)</f>
        <v>0.49119892361111106</v>
      </c>
      <c r="F578" t="s">
        <v>9</v>
      </c>
      <c r="G578">
        <v>-122</v>
      </c>
      <c r="H578">
        <f>Table146[[#This Row],[RSSI]]</f>
        <v>-122</v>
      </c>
      <c r="I578">
        <v>-8.8000000000000007</v>
      </c>
      <c r="L578">
        <f>390+2*(Table257[[#This Row],[min value (corrected)]]-27)</f>
        <v>410</v>
      </c>
      <c r="M578">
        <f>MINUTE(Table257[[#This Row],[Corrected time]])</f>
        <v>37</v>
      </c>
      <c r="N578" s="1">
        <v>0.52584244212962961</v>
      </c>
      <c r="O578" s="1">
        <f>Table257[[#This Row],[Time]]-TIME(0,0,3)</f>
        <v>0.52580771990740738</v>
      </c>
      <c r="P578" t="s">
        <v>13</v>
      </c>
      <c r="Q578">
        <f t="shared" si="15"/>
        <v>-122</v>
      </c>
      <c r="R578">
        <f>Table257[[#This Row],[RSSI]]</f>
        <v>-122</v>
      </c>
      <c r="S578">
        <f t="shared" si="16"/>
        <v>-7.7</v>
      </c>
    </row>
    <row r="579" spans="2:19" x14ac:dyDescent="0.25">
      <c r="B579">
        <f>390+2*(Table146[[#This Row],[min value (corrected)]]-37)</f>
        <v>410</v>
      </c>
      <c r="C579">
        <f>MINUTE(Table146[[#This Row],[Corrected time]])</f>
        <v>47</v>
      </c>
      <c r="D579" s="1">
        <v>0.49122353009259262</v>
      </c>
      <c r="E579" s="1">
        <f>Table146[[#This Row],[Time]]-TIME(0,0,1)</f>
        <v>0.49121195601851853</v>
      </c>
      <c r="F579" t="s">
        <v>9</v>
      </c>
      <c r="G579">
        <v>-122</v>
      </c>
      <c r="H579">
        <f>Table146[[#This Row],[RSSI]]</f>
        <v>-122</v>
      </c>
      <c r="I579">
        <v>-8.5</v>
      </c>
      <c r="L579">
        <f>390+2*(Table257[[#This Row],[min value (corrected)]]-27)</f>
        <v>410</v>
      </c>
      <c r="M579">
        <f>MINUTE(Table257[[#This Row],[Corrected time]])</f>
        <v>37</v>
      </c>
      <c r="N579" s="1">
        <v>0.52585547453703707</v>
      </c>
      <c r="O579" s="1">
        <f>Table257[[#This Row],[Time]]-TIME(0,0,3)</f>
        <v>0.52582075231481484</v>
      </c>
      <c r="P579" t="s">
        <v>9</v>
      </c>
      <c r="Q579">
        <v>-122</v>
      </c>
      <c r="R579">
        <f>Table257[[#This Row],[RSSI]]</f>
        <v>-122</v>
      </c>
      <c r="S579">
        <v>-8.3000000000000007</v>
      </c>
    </row>
    <row r="580" spans="2:19" x14ac:dyDescent="0.25">
      <c r="B580">
        <f>390+2*(Table146[[#This Row],[min value (corrected)]]-37)</f>
        <v>410</v>
      </c>
      <c r="C580">
        <f>MINUTE(Table146[[#This Row],[Corrected time]])</f>
        <v>47</v>
      </c>
      <c r="D580" s="1">
        <v>0.49123656249999997</v>
      </c>
      <c r="E580" s="1">
        <f>Table146[[#This Row],[Time]]-TIME(0,0,1)</f>
        <v>0.49122498842592588</v>
      </c>
      <c r="F580" t="s">
        <v>9</v>
      </c>
      <c r="G580">
        <v>-122</v>
      </c>
      <c r="H580">
        <f>Table146[[#This Row],[RSSI]]</f>
        <v>-122</v>
      </c>
      <c r="I580">
        <v>-8</v>
      </c>
      <c r="L580">
        <f>390+2*(Table257[[#This Row],[min value (corrected)]]-27)</f>
        <v>410</v>
      </c>
      <c r="M580">
        <f>MINUTE(Table257[[#This Row],[Corrected time]])</f>
        <v>37</v>
      </c>
      <c r="N580" s="1">
        <v>0.52586850694444442</v>
      </c>
      <c r="O580" s="1">
        <f>Table257[[#This Row],[Time]]-TIME(0,0,3)</f>
        <v>0.5258337847222222</v>
      </c>
      <c r="P580" t="s">
        <v>13</v>
      </c>
      <c r="Q580">
        <f>Q579</f>
        <v>-122</v>
      </c>
      <c r="R580">
        <f>Table257[[#This Row],[RSSI]]</f>
        <v>-122</v>
      </c>
      <c r="S580">
        <f>S579</f>
        <v>-8.3000000000000007</v>
      </c>
    </row>
    <row r="581" spans="2:19" x14ac:dyDescent="0.25">
      <c r="B581">
        <f>390+2*(Table146[[#This Row],[min value (corrected)]]-37)</f>
        <v>410</v>
      </c>
      <c r="C581">
        <f>MINUTE(Table146[[#This Row],[Corrected time]])</f>
        <v>47</v>
      </c>
      <c r="D581" s="1">
        <v>0.49124959490740738</v>
      </c>
      <c r="E581" s="1">
        <f>Table146[[#This Row],[Time]]-TIME(0,0,1)</f>
        <v>0.49123802083333329</v>
      </c>
      <c r="F581" t="s">
        <v>9</v>
      </c>
      <c r="G581">
        <v>-122</v>
      </c>
      <c r="H581">
        <f>Table146[[#This Row],[RSSI]]</f>
        <v>-122</v>
      </c>
      <c r="I581">
        <v>-8.8000000000000007</v>
      </c>
      <c r="L581">
        <f>390+2*(Table257[[#This Row],[min value (corrected)]]-27)</f>
        <v>410</v>
      </c>
      <c r="M581">
        <f>MINUTE(Table257[[#This Row],[Corrected time]])</f>
        <v>37</v>
      </c>
      <c r="N581" s="1">
        <v>0.52588153935185189</v>
      </c>
      <c r="O581" s="1">
        <f>Table257[[#This Row],[Time]]-TIME(0,0,3)</f>
        <v>0.52584681712962966</v>
      </c>
      <c r="P581" t="s">
        <v>9</v>
      </c>
      <c r="Q581">
        <v>-122</v>
      </c>
      <c r="R581">
        <f>Table257[[#This Row],[RSSI]]</f>
        <v>-122</v>
      </c>
      <c r="S581">
        <v>-8.5</v>
      </c>
    </row>
    <row r="582" spans="2:19" x14ac:dyDescent="0.25">
      <c r="B582">
        <f>390+2*(Table146[[#This Row],[min value (corrected)]]-37)</f>
        <v>410</v>
      </c>
      <c r="C582">
        <f>MINUTE(Table146[[#This Row],[Corrected time]])</f>
        <v>47</v>
      </c>
      <c r="D582" s="1">
        <v>0.49126262731481479</v>
      </c>
      <c r="E582" s="1">
        <f>Table146[[#This Row],[Time]]-TIME(0,0,1)</f>
        <v>0.4912510532407407</v>
      </c>
      <c r="F582" t="s">
        <v>9</v>
      </c>
      <c r="G582">
        <v>-122</v>
      </c>
      <c r="H582">
        <f>Table146[[#This Row],[RSSI]]</f>
        <v>-122</v>
      </c>
      <c r="I582">
        <v>-8.3000000000000007</v>
      </c>
      <c r="L582">
        <f>390+2*(Table257[[#This Row],[min value (corrected)]]-27)</f>
        <v>410</v>
      </c>
      <c r="M582">
        <f>MINUTE(Table257[[#This Row],[Corrected time]])</f>
        <v>37</v>
      </c>
      <c r="N582" s="1">
        <v>0.52589456018518521</v>
      </c>
      <c r="O582" s="1">
        <f>Table257[[#This Row],[Time]]-TIME(0,0,3)</f>
        <v>0.52585983796296298</v>
      </c>
      <c r="P582" t="s">
        <v>9</v>
      </c>
      <c r="Q582">
        <v>-122</v>
      </c>
      <c r="R582">
        <f>Table257[[#This Row],[RSSI]]</f>
        <v>-122</v>
      </c>
      <c r="S582">
        <v>-9</v>
      </c>
    </row>
    <row r="583" spans="2:19" x14ac:dyDescent="0.25">
      <c r="B583">
        <f>390+2*(Table146[[#This Row],[min value (corrected)]]-37)</f>
        <v>410</v>
      </c>
      <c r="C583">
        <f>MINUTE(Table146[[#This Row],[Corrected time]])</f>
        <v>47</v>
      </c>
      <c r="D583" s="1">
        <v>0.4912756597222222</v>
      </c>
      <c r="E583" s="1">
        <f>Table146[[#This Row],[Time]]-TIME(0,0,1)</f>
        <v>0.49126408564814811</v>
      </c>
      <c r="F583" t="s">
        <v>13</v>
      </c>
      <c r="G583">
        <f t="shared" ref="G583:G584" si="17">G582</f>
        <v>-122</v>
      </c>
      <c r="H583">
        <f>Table146[[#This Row],[RSSI]]</f>
        <v>-122</v>
      </c>
      <c r="I583">
        <f t="shared" ref="I583:I584" si="18">I582</f>
        <v>-8.3000000000000007</v>
      </c>
      <c r="L583">
        <f>390+2*(Table257[[#This Row],[min value (corrected)]]-27)</f>
        <v>410</v>
      </c>
      <c r="M583">
        <f>MINUTE(Table257[[#This Row],[Corrected time]])</f>
        <v>37</v>
      </c>
      <c r="N583" s="1">
        <v>0.52590759259259257</v>
      </c>
      <c r="O583" s="1">
        <f>Table257[[#This Row],[Time]]-TIME(0,0,3)</f>
        <v>0.52587287037037034</v>
      </c>
      <c r="P583" t="s">
        <v>9</v>
      </c>
      <c r="Q583">
        <v>-122</v>
      </c>
      <c r="R583">
        <f>Table257[[#This Row],[RSSI]]</f>
        <v>-122</v>
      </c>
      <c r="S583">
        <v>-8.5</v>
      </c>
    </row>
    <row r="584" spans="2:19" x14ac:dyDescent="0.25">
      <c r="B584">
        <f>390+2*(Table146[[#This Row],[min value (corrected)]]-37)</f>
        <v>410</v>
      </c>
      <c r="C584">
        <f>MINUTE(Table146[[#This Row],[Corrected time]])</f>
        <v>47</v>
      </c>
      <c r="D584" s="1">
        <v>0.49128869212962961</v>
      </c>
      <c r="E584" s="1">
        <f>Table146[[#This Row],[Time]]-TIME(0,0,1)</f>
        <v>0.49127711805555552</v>
      </c>
      <c r="F584" t="s">
        <v>27</v>
      </c>
      <c r="G584">
        <f t="shared" si="17"/>
        <v>-122</v>
      </c>
      <c r="H584">
        <f>Table146[[#This Row],[RSSI]]</f>
        <v>-122</v>
      </c>
      <c r="I584">
        <f t="shared" si="18"/>
        <v>-8.3000000000000007</v>
      </c>
      <c r="L584">
        <f>390+2*(Table257[[#This Row],[min value (corrected)]]-27)</f>
        <v>410</v>
      </c>
      <c r="M584">
        <f>MINUTE(Table257[[#This Row],[Corrected time]])</f>
        <v>37</v>
      </c>
      <c r="N584" s="1">
        <v>0.52592062500000003</v>
      </c>
      <c r="O584" s="1">
        <f>Table257[[#This Row],[Time]]-TIME(0,0,3)</f>
        <v>0.5258859027777778</v>
      </c>
      <c r="P584" t="s">
        <v>9</v>
      </c>
      <c r="Q584">
        <v>-123</v>
      </c>
      <c r="R584">
        <f>Table257[[#This Row],[RSSI]]</f>
        <v>-123</v>
      </c>
      <c r="S584">
        <v>-9</v>
      </c>
    </row>
    <row r="585" spans="2:19" x14ac:dyDescent="0.25">
      <c r="B585">
        <f>390+2*(Table146[[#This Row],[min value (corrected)]]-37)</f>
        <v>410</v>
      </c>
      <c r="C585">
        <f>MINUTE(Table146[[#This Row],[Corrected time]])</f>
        <v>47</v>
      </c>
      <c r="D585" s="1">
        <v>0.49130172453703702</v>
      </c>
      <c r="E585" s="1">
        <f>Table146[[#This Row],[Time]]-TIME(0,0,1)</f>
        <v>0.49129015046296293</v>
      </c>
      <c r="F585" t="s">
        <v>9</v>
      </c>
      <c r="G585">
        <v>-122</v>
      </c>
      <c r="H585">
        <f>Table146[[#This Row],[RSSI]]</f>
        <v>-122</v>
      </c>
      <c r="I585">
        <v>-8.3000000000000007</v>
      </c>
      <c r="L585">
        <f>390+2*(Table257[[#This Row],[min value (corrected)]]-27)</f>
        <v>410</v>
      </c>
      <c r="M585">
        <f>MINUTE(Table257[[#This Row],[Corrected time]])</f>
        <v>37</v>
      </c>
      <c r="N585" s="1">
        <v>0.52593366898148153</v>
      </c>
      <c r="O585" s="1">
        <f>Table257[[#This Row],[Time]]-TIME(0,0,3)</f>
        <v>0.5258989467592593</v>
      </c>
      <c r="P585" t="s">
        <v>9</v>
      </c>
      <c r="Q585">
        <v>-122</v>
      </c>
      <c r="R585">
        <f>Table257[[#This Row],[RSSI]]</f>
        <v>-122</v>
      </c>
      <c r="S585">
        <v>-8.8000000000000007</v>
      </c>
    </row>
    <row r="586" spans="2:19" x14ac:dyDescent="0.25">
      <c r="B586">
        <f>390+2*(Table146[[#This Row],[min value (corrected)]]-37)</f>
        <v>410</v>
      </c>
      <c r="C586">
        <f>MINUTE(Table146[[#This Row],[Corrected time]])</f>
        <v>47</v>
      </c>
      <c r="D586" s="1">
        <v>0.49131475694444443</v>
      </c>
      <c r="E586" s="1">
        <f>Table146[[#This Row],[Time]]-TIME(0,0,1)</f>
        <v>0.49130318287037034</v>
      </c>
      <c r="F586" t="s">
        <v>9</v>
      </c>
      <c r="G586">
        <v>-122</v>
      </c>
      <c r="H586">
        <f>Table146[[#This Row],[RSSI]]</f>
        <v>-122</v>
      </c>
      <c r="I586">
        <v>-8.5</v>
      </c>
      <c r="L586">
        <f>390+2*(Table257[[#This Row],[min value (corrected)]]-27)</f>
        <v>410</v>
      </c>
      <c r="M586">
        <f>MINUTE(Table257[[#This Row],[Corrected time]])</f>
        <v>37</v>
      </c>
      <c r="N586" s="1">
        <v>0.52594670138888888</v>
      </c>
      <c r="O586" s="1">
        <f>Table257[[#This Row],[Time]]-TIME(0,0,3)</f>
        <v>0.52591197916666665</v>
      </c>
      <c r="P586" t="s">
        <v>13</v>
      </c>
      <c r="Q586">
        <f>Q585</f>
        <v>-122</v>
      </c>
      <c r="R586">
        <f>Table257[[#This Row],[RSSI]]</f>
        <v>-122</v>
      </c>
      <c r="S586">
        <f>S585</f>
        <v>-8.8000000000000007</v>
      </c>
    </row>
    <row r="587" spans="2:19" x14ac:dyDescent="0.25">
      <c r="B587">
        <f>390+2*(Table146[[#This Row],[min value (corrected)]]-37)</f>
        <v>410</v>
      </c>
      <c r="C587">
        <f>MINUTE(Table146[[#This Row],[Corrected time]])</f>
        <v>47</v>
      </c>
      <c r="D587" s="1">
        <v>0.49132778935185184</v>
      </c>
      <c r="E587" s="1">
        <f>Table146[[#This Row],[Time]]-TIME(0,0,1)</f>
        <v>0.49131621527777775</v>
      </c>
      <c r="F587" t="s">
        <v>9</v>
      </c>
      <c r="G587">
        <v>-122</v>
      </c>
      <c r="H587">
        <f>Table146[[#This Row],[RSSI]]</f>
        <v>-122</v>
      </c>
      <c r="I587">
        <v>-8.5</v>
      </c>
      <c r="L587">
        <f>390+2*(Table257[[#This Row],[min value (corrected)]]-27)</f>
        <v>410</v>
      </c>
      <c r="M587">
        <f>MINUTE(Table257[[#This Row],[Corrected time]])</f>
        <v>37</v>
      </c>
      <c r="N587" s="1">
        <v>0.52595973379629635</v>
      </c>
      <c r="O587" s="1">
        <f>Table257[[#This Row],[Time]]-TIME(0,0,3)</f>
        <v>0.52592501157407412</v>
      </c>
      <c r="P587" t="s">
        <v>9</v>
      </c>
      <c r="Q587">
        <v>-122</v>
      </c>
      <c r="R587">
        <f>Table257[[#This Row],[RSSI]]</f>
        <v>-122</v>
      </c>
      <c r="S587">
        <v>-8.8000000000000007</v>
      </c>
    </row>
    <row r="588" spans="2:19" x14ac:dyDescent="0.25">
      <c r="B588">
        <f>390+2*(Table146[[#This Row],[min value (corrected)]]-37)</f>
        <v>410</v>
      </c>
      <c r="C588">
        <f>MINUTE(Table146[[#This Row],[Corrected time]])</f>
        <v>47</v>
      </c>
      <c r="D588" s="1">
        <v>0.49134082175925925</v>
      </c>
      <c r="E588" s="1">
        <f>Table146[[#This Row],[Time]]-TIME(0,0,1)</f>
        <v>0.49132924768518516</v>
      </c>
      <c r="F588" t="s">
        <v>13</v>
      </c>
      <c r="G588">
        <f>G587</f>
        <v>-122</v>
      </c>
      <c r="H588">
        <f>Table146[[#This Row],[RSSI]]</f>
        <v>-122</v>
      </c>
      <c r="I588">
        <f>I587</f>
        <v>-8.5</v>
      </c>
      <c r="L588">
        <f>390+2*(Table257[[#This Row],[min value (corrected)]]-27)</f>
        <v>410</v>
      </c>
      <c r="M588">
        <f>MINUTE(Table257[[#This Row],[Corrected time]])</f>
        <v>37</v>
      </c>
      <c r="N588" s="1">
        <v>0.5259727662037037</v>
      </c>
      <c r="O588" s="1">
        <f>Table257[[#This Row],[Time]]-TIME(0,0,3)</f>
        <v>0.52593804398148147</v>
      </c>
      <c r="P588" t="s">
        <v>9</v>
      </c>
      <c r="Q588">
        <v>-121</v>
      </c>
      <c r="R588">
        <f>Table257[[#This Row],[RSSI]]</f>
        <v>-121</v>
      </c>
      <c r="S588">
        <v>-8</v>
      </c>
    </row>
    <row r="589" spans="2:19" x14ac:dyDescent="0.25">
      <c r="B589">
        <f>390+2*(Table146[[#This Row],[min value (corrected)]]-37)</f>
        <v>410</v>
      </c>
      <c r="C589">
        <f>MINUTE(Table146[[#This Row],[Corrected time]])</f>
        <v>47</v>
      </c>
      <c r="D589" s="1">
        <v>0.49135384259259263</v>
      </c>
      <c r="E589" s="1">
        <f>Table146[[#This Row],[Time]]-TIME(0,0,1)</f>
        <v>0.49134226851851853</v>
      </c>
      <c r="F589" t="s">
        <v>9</v>
      </c>
      <c r="G589">
        <v>-122</v>
      </c>
      <c r="H589">
        <f>Table146[[#This Row],[RSSI]]</f>
        <v>-122</v>
      </c>
      <c r="I589">
        <v>-9</v>
      </c>
      <c r="L589">
        <f>390+2*(Table257[[#This Row],[min value (corrected)]]-27)</f>
        <v>410</v>
      </c>
      <c r="M589">
        <f>MINUTE(Table257[[#This Row],[Corrected time]])</f>
        <v>37</v>
      </c>
      <c r="N589" s="1">
        <v>0.52598578703703702</v>
      </c>
      <c r="O589" s="1">
        <f>Table257[[#This Row],[Time]]-TIME(0,0,3)</f>
        <v>0.52595106481481479</v>
      </c>
      <c r="P589" t="s">
        <v>9</v>
      </c>
      <c r="Q589">
        <v>-122</v>
      </c>
      <c r="R589">
        <f>Table257[[#This Row],[RSSI]]</f>
        <v>-122</v>
      </c>
      <c r="S589">
        <v>-8.3000000000000007</v>
      </c>
    </row>
    <row r="590" spans="2:19" x14ac:dyDescent="0.25">
      <c r="B590">
        <f>390+2*(Table146[[#This Row],[min value (corrected)]]-37)</f>
        <v>410</v>
      </c>
      <c r="C590">
        <f>MINUTE(Table146[[#This Row],[Corrected time]])</f>
        <v>47</v>
      </c>
      <c r="D590" s="1">
        <v>0.49136688657407412</v>
      </c>
      <c r="E590" s="1">
        <f>Table146[[#This Row],[Time]]-TIME(0,0,1)</f>
        <v>0.49135531250000003</v>
      </c>
      <c r="F590" t="s">
        <v>9</v>
      </c>
      <c r="G590">
        <v>-122</v>
      </c>
      <c r="H590">
        <f>Table146[[#This Row],[RSSI]]</f>
        <v>-122</v>
      </c>
      <c r="I590">
        <v>-9</v>
      </c>
      <c r="L590">
        <f>390+2*(Table257[[#This Row],[min value (corrected)]]-27)</f>
        <v>410</v>
      </c>
      <c r="M590">
        <f>MINUTE(Table257[[#This Row],[Corrected time]])</f>
        <v>37</v>
      </c>
      <c r="N590" s="1">
        <v>0.52599881944444449</v>
      </c>
      <c r="O590" s="1">
        <f>Table257[[#This Row],[Time]]-TIME(0,0,3)</f>
        <v>0.52596409722222226</v>
      </c>
      <c r="P590" t="s">
        <v>9</v>
      </c>
      <c r="Q590">
        <v>-122</v>
      </c>
      <c r="R590">
        <f>Table257[[#This Row],[RSSI]]</f>
        <v>-122</v>
      </c>
      <c r="S590">
        <v>-9</v>
      </c>
    </row>
    <row r="591" spans="2:19" x14ac:dyDescent="0.25">
      <c r="B591">
        <f>390+2*(Table146[[#This Row],[min value (corrected)]]-37)</f>
        <v>410</v>
      </c>
      <c r="C591">
        <f>MINUTE(Table146[[#This Row],[Corrected time]])</f>
        <v>47</v>
      </c>
      <c r="D591" s="1">
        <v>0.49137991898148148</v>
      </c>
      <c r="E591" s="1">
        <f>Table146[[#This Row],[Time]]-TIME(0,0,1)</f>
        <v>0.49136834490740738</v>
      </c>
      <c r="F591" t="s">
        <v>9</v>
      </c>
      <c r="G591">
        <v>-123</v>
      </c>
      <c r="H591">
        <f>Table146[[#This Row],[RSSI]]</f>
        <v>-123</v>
      </c>
      <c r="I591">
        <v>-9.3000000000000007</v>
      </c>
      <c r="L591">
        <f>390+2*(Table257[[#This Row],[min value (corrected)]]-27)</f>
        <v>410</v>
      </c>
      <c r="M591">
        <f>MINUTE(Table257[[#This Row],[Corrected time]])</f>
        <v>37</v>
      </c>
      <c r="N591" s="1">
        <v>0.52601186342592599</v>
      </c>
      <c r="O591" s="1">
        <f>Table257[[#This Row],[Time]]-TIME(0,0,3)</f>
        <v>0.52597714120370376</v>
      </c>
      <c r="P591" t="s">
        <v>9</v>
      </c>
      <c r="Q591">
        <v>-122</v>
      </c>
      <c r="R591">
        <f>Table257[[#This Row],[RSSI]]</f>
        <v>-122</v>
      </c>
      <c r="S591">
        <v>-8.5</v>
      </c>
    </row>
    <row r="592" spans="2:19" x14ac:dyDescent="0.25">
      <c r="B592">
        <f>390+2*(Table146[[#This Row],[min value (corrected)]]-37)</f>
        <v>410</v>
      </c>
      <c r="C592">
        <f>MINUTE(Table146[[#This Row],[Corrected time]])</f>
        <v>47</v>
      </c>
      <c r="D592" s="1">
        <v>0.4913929398148148</v>
      </c>
      <c r="E592" s="1">
        <f>Table146[[#This Row],[Time]]-TIME(0,0,1)</f>
        <v>0.49138136574074071</v>
      </c>
      <c r="F592" t="s">
        <v>9</v>
      </c>
      <c r="G592">
        <v>-122</v>
      </c>
      <c r="H592">
        <f>Table146[[#This Row],[RSSI]]</f>
        <v>-122</v>
      </c>
      <c r="I592">
        <v>-9</v>
      </c>
      <c r="L592">
        <f>390+2*(Table257[[#This Row],[min value (corrected)]]-27)</f>
        <v>410</v>
      </c>
      <c r="M592">
        <f>MINUTE(Table257[[#This Row],[Corrected time]])</f>
        <v>37</v>
      </c>
      <c r="N592" s="1">
        <v>0.52602489583333334</v>
      </c>
      <c r="O592" s="1">
        <f>Table257[[#This Row],[Time]]-TIME(0,0,3)</f>
        <v>0.52599017361111111</v>
      </c>
      <c r="P592" t="s">
        <v>9</v>
      </c>
      <c r="Q592">
        <v>-122</v>
      </c>
      <c r="R592">
        <f>Table257[[#This Row],[RSSI]]</f>
        <v>-122</v>
      </c>
      <c r="S592">
        <v>-9.5</v>
      </c>
    </row>
    <row r="593" spans="2:19" x14ac:dyDescent="0.25">
      <c r="B593">
        <f>390+2*(Table146[[#This Row],[min value (corrected)]]-37)</f>
        <v>410</v>
      </c>
      <c r="C593">
        <f>MINUTE(Table146[[#This Row],[Corrected time]])</f>
        <v>47</v>
      </c>
      <c r="D593" s="1">
        <v>0.49140597222222226</v>
      </c>
      <c r="E593" s="1">
        <f>Table146[[#This Row],[Time]]-TIME(0,0,1)</f>
        <v>0.49139439814814817</v>
      </c>
      <c r="F593" t="s">
        <v>13</v>
      </c>
      <c r="G593">
        <f t="shared" ref="G593:G594" si="19">G592</f>
        <v>-122</v>
      </c>
      <c r="H593">
        <f>Table146[[#This Row],[RSSI]]</f>
        <v>-122</v>
      </c>
      <c r="I593">
        <f t="shared" ref="I593:I594" si="20">I592</f>
        <v>-9</v>
      </c>
      <c r="L593">
        <f>390+2*(Table257[[#This Row],[min value (corrected)]]-27)</f>
        <v>410</v>
      </c>
      <c r="M593">
        <f>MINUTE(Table257[[#This Row],[Corrected time]])</f>
        <v>37</v>
      </c>
      <c r="N593" s="1">
        <v>0.5260379282407408</v>
      </c>
      <c r="O593" s="1">
        <f>Table257[[#This Row],[Time]]-TIME(0,0,3)</f>
        <v>0.52600320601851858</v>
      </c>
      <c r="P593" t="s">
        <v>9</v>
      </c>
      <c r="Q593">
        <v>-122</v>
      </c>
      <c r="R593">
        <f>Table257[[#This Row],[RSSI]]</f>
        <v>-122</v>
      </c>
      <c r="S593">
        <v>-8.3000000000000007</v>
      </c>
    </row>
    <row r="594" spans="2:19" x14ac:dyDescent="0.25">
      <c r="B594">
        <f>390+2*(Table146[[#This Row],[min value (corrected)]]-37)</f>
        <v>410</v>
      </c>
      <c r="C594">
        <f>MINUTE(Table146[[#This Row],[Corrected time]])</f>
        <v>47</v>
      </c>
      <c r="D594" s="1">
        <v>0.49141901620370376</v>
      </c>
      <c r="E594" s="1">
        <f>Table146[[#This Row],[Time]]-TIME(0,0,1)</f>
        <v>0.49140744212962967</v>
      </c>
      <c r="F594" t="s">
        <v>13</v>
      </c>
      <c r="G594">
        <f t="shared" si="19"/>
        <v>-122</v>
      </c>
      <c r="H594">
        <f>Table146[[#This Row],[RSSI]]</f>
        <v>-122</v>
      </c>
      <c r="I594">
        <f t="shared" si="20"/>
        <v>-9</v>
      </c>
      <c r="L594">
        <f>390+2*(Table257[[#This Row],[min value (corrected)]]-27)</f>
        <v>410</v>
      </c>
      <c r="M594">
        <f>MINUTE(Table257[[#This Row],[Corrected time]])</f>
        <v>37</v>
      </c>
      <c r="N594" s="1">
        <v>0.52605094907407413</v>
      </c>
      <c r="O594" s="1">
        <f>Table257[[#This Row],[Time]]-TIME(0,0,3)</f>
        <v>0.5260162268518519</v>
      </c>
      <c r="P594" t="s">
        <v>9</v>
      </c>
      <c r="Q594">
        <v>-122</v>
      </c>
      <c r="R594">
        <f>Table257[[#This Row],[RSSI]]</f>
        <v>-122</v>
      </c>
      <c r="S594">
        <v>-8.8000000000000007</v>
      </c>
    </row>
    <row r="595" spans="2:19" x14ac:dyDescent="0.25">
      <c r="B595">
        <f>390+2*(Table146[[#This Row],[min value (corrected)]]-37)</f>
        <v>410</v>
      </c>
      <c r="C595">
        <f>MINUTE(Table146[[#This Row],[Corrected time]])</f>
        <v>47</v>
      </c>
      <c r="D595" s="1">
        <v>0.49143204861111112</v>
      </c>
      <c r="E595" s="1">
        <f>Table146[[#This Row],[Time]]-TIME(0,0,1)</f>
        <v>0.49142047453703702</v>
      </c>
      <c r="F595" t="s">
        <v>9</v>
      </c>
      <c r="G595">
        <v>-122</v>
      </c>
      <c r="H595">
        <f>Table146[[#This Row],[RSSI]]</f>
        <v>-122</v>
      </c>
      <c r="I595">
        <v>-8.5</v>
      </c>
      <c r="L595">
        <f>390+2*(Table257[[#This Row],[min value (corrected)]]-27)</f>
        <v>410</v>
      </c>
      <c r="M595">
        <f>MINUTE(Table257[[#This Row],[Corrected time]])</f>
        <v>37</v>
      </c>
      <c r="N595" s="1">
        <v>0.52606399305555551</v>
      </c>
      <c r="O595" s="1">
        <f>Table257[[#This Row],[Time]]-TIME(0,0,3)</f>
        <v>0.52602927083333328</v>
      </c>
      <c r="P595" t="s">
        <v>27</v>
      </c>
      <c r="Q595">
        <f>Q594</f>
        <v>-122</v>
      </c>
      <c r="R595">
        <f>Table257[[#This Row],[RSSI]]</f>
        <v>-122</v>
      </c>
      <c r="S595">
        <f>S594</f>
        <v>-8.8000000000000007</v>
      </c>
    </row>
    <row r="596" spans="2:19" x14ac:dyDescent="0.25">
      <c r="B596">
        <f>390+2*(Table146[[#This Row],[min value (corrected)]]-37)</f>
        <v>410</v>
      </c>
      <c r="C596">
        <f>MINUTE(Table146[[#This Row],[Corrected time]])</f>
        <v>47</v>
      </c>
      <c r="D596" s="1">
        <v>0.49144508101851858</v>
      </c>
      <c r="E596" s="1">
        <f>Table146[[#This Row],[Time]]-TIME(0,0,1)</f>
        <v>0.49143350694444449</v>
      </c>
      <c r="F596" t="s">
        <v>9</v>
      </c>
      <c r="G596">
        <v>-123</v>
      </c>
      <c r="H596">
        <f>Table146[[#This Row],[RSSI]]</f>
        <v>-123</v>
      </c>
      <c r="I596">
        <v>-9.5</v>
      </c>
      <c r="L596">
        <f>390+2*(Table257[[#This Row],[min value (corrected)]]-27)</f>
        <v>410</v>
      </c>
      <c r="M596">
        <f>MINUTE(Table257[[#This Row],[Corrected time]])</f>
        <v>37</v>
      </c>
      <c r="N596" s="1">
        <v>0.52607701388888883</v>
      </c>
      <c r="O596" s="1">
        <f>Table257[[#This Row],[Time]]-TIME(0,0,3)</f>
        <v>0.52604229166666661</v>
      </c>
      <c r="P596" t="s">
        <v>9</v>
      </c>
      <c r="Q596">
        <v>-122</v>
      </c>
      <c r="R596">
        <f>Table257[[#This Row],[RSSI]]</f>
        <v>-122</v>
      </c>
      <c r="S596">
        <v>-8.3000000000000007</v>
      </c>
    </row>
    <row r="597" spans="2:19" x14ac:dyDescent="0.25">
      <c r="B597">
        <f>390+2*(Table146[[#This Row],[min value (corrected)]]-37)</f>
        <v>410</v>
      </c>
      <c r="C597">
        <f>MINUTE(Table146[[#This Row],[Corrected time]])</f>
        <v>47</v>
      </c>
      <c r="D597" s="1">
        <v>0.49145811342592594</v>
      </c>
      <c r="E597" s="1">
        <f>Table146[[#This Row],[Time]]-TIME(0,0,1)</f>
        <v>0.49144653935185184</v>
      </c>
      <c r="F597" t="s">
        <v>9</v>
      </c>
      <c r="G597">
        <v>-123</v>
      </c>
      <c r="H597">
        <f>Table146[[#This Row],[RSSI]]</f>
        <v>-123</v>
      </c>
      <c r="I597">
        <v>-9.3000000000000007</v>
      </c>
      <c r="L597">
        <f>390+2*(Table257[[#This Row],[min value (corrected)]]-27)</f>
        <v>410</v>
      </c>
      <c r="M597">
        <f>MINUTE(Table257[[#This Row],[Corrected time]])</f>
        <v>37</v>
      </c>
      <c r="N597" s="1">
        <v>0.52609005787037033</v>
      </c>
      <c r="O597" s="1">
        <f>Table257[[#This Row],[Time]]-TIME(0,0,3)</f>
        <v>0.5260553356481481</v>
      </c>
      <c r="P597" t="s">
        <v>9</v>
      </c>
      <c r="Q597">
        <v>-122</v>
      </c>
      <c r="R597">
        <f>Table257[[#This Row],[RSSI]]</f>
        <v>-122</v>
      </c>
      <c r="S597">
        <v>-8.5</v>
      </c>
    </row>
    <row r="598" spans="2:19" x14ac:dyDescent="0.25">
      <c r="B598">
        <f>390+2*(Table146[[#This Row],[min value (corrected)]]-37)</f>
        <v>410</v>
      </c>
      <c r="C598">
        <f>MINUTE(Table146[[#This Row],[Corrected time]])</f>
        <v>47</v>
      </c>
      <c r="D598" s="1">
        <v>0.4914711458333334</v>
      </c>
      <c r="E598" s="1">
        <f>Table146[[#This Row],[Time]]-TIME(0,0,1)</f>
        <v>0.49145957175925931</v>
      </c>
      <c r="F598" t="s">
        <v>9</v>
      </c>
      <c r="G598">
        <v>-123</v>
      </c>
      <c r="H598">
        <f>Table146[[#This Row],[RSSI]]</f>
        <v>-123</v>
      </c>
      <c r="I598">
        <v>-9.3000000000000007</v>
      </c>
      <c r="L598">
        <f>390+2*(Table257[[#This Row],[min value (corrected)]]-27)</f>
        <v>410</v>
      </c>
      <c r="M598">
        <f>MINUTE(Table257[[#This Row],[Corrected time]])</f>
        <v>37</v>
      </c>
      <c r="N598" s="1">
        <v>0.52610306712962962</v>
      </c>
      <c r="O598" s="1">
        <f>Table257[[#This Row],[Time]]-TIME(0,0,3)</f>
        <v>0.52606834490740739</v>
      </c>
      <c r="P598" t="s">
        <v>27</v>
      </c>
      <c r="Q598">
        <f>Q597</f>
        <v>-122</v>
      </c>
      <c r="R598">
        <f>Table257[[#This Row],[RSSI]]</f>
        <v>-122</v>
      </c>
      <c r="S598">
        <f>S597</f>
        <v>-8.5</v>
      </c>
    </row>
    <row r="599" spans="2:19" x14ac:dyDescent="0.25">
      <c r="B599">
        <f>390+2*(Table146[[#This Row],[min value (corrected)]]-37)</f>
        <v>410</v>
      </c>
      <c r="C599">
        <f>MINUTE(Table146[[#This Row],[Corrected time]])</f>
        <v>47</v>
      </c>
      <c r="D599" s="1">
        <v>0.49148417824074075</v>
      </c>
      <c r="E599" s="1">
        <f>Table146[[#This Row],[Time]]-TIME(0,0,1)</f>
        <v>0.49147260416666666</v>
      </c>
      <c r="F599" t="s">
        <v>13</v>
      </c>
      <c r="G599">
        <f>G598</f>
        <v>-123</v>
      </c>
      <c r="H599">
        <f>Table146[[#This Row],[RSSI]]</f>
        <v>-123</v>
      </c>
      <c r="I599">
        <f>I598</f>
        <v>-9.3000000000000007</v>
      </c>
      <c r="L599">
        <f>390+2*(Table257[[#This Row],[min value (corrected)]]-27)</f>
        <v>410</v>
      </c>
      <c r="M599">
        <f>MINUTE(Table257[[#This Row],[Corrected time]])</f>
        <v>37</v>
      </c>
      <c r="N599" s="1">
        <v>0.52611612268518515</v>
      </c>
      <c r="O599" s="1">
        <f>Table257[[#This Row],[Time]]-TIME(0,0,3)</f>
        <v>0.52608140046296292</v>
      </c>
      <c r="P599" t="s">
        <v>9</v>
      </c>
      <c r="Q599">
        <v>-122</v>
      </c>
      <c r="R599">
        <f>Table257[[#This Row],[RSSI]]</f>
        <v>-122</v>
      </c>
      <c r="S599">
        <v>-8.8000000000000007</v>
      </c>
    </row>
    <row r="600" spans="2:19" x14ac:dyDescent="0.25">
      <c r="B600">
        <f>390+2*(Table146[[#This Row],[min value (corrected)]]-37)</f>
        <v>410</v>
      </c>
      <c r="C600">
        <f>MINUTE(Table146[[#This Row],[Corrected time]])</f>
        <v>47</v>
      </c>
      <c r="D600" s="1">
        <v>0.49149721064814811</v>
      </c>
      <c r="E600" s="1">
        <f>Table146[[#This Row],[Time]]-TIME(0,0,1)</f>
        <v>0.49148563657407401</v>
      </c>
      <c r="F600" t="s">
        <v>9</v>
      </c>
      <c r="G600">
        <v>-122</v>
      </c>
      <c r="H600">
        <f>Table146[[#This Row],[RSSI]]</f>
        <v>-122</v>
      </c>
      <c r="I600">
        <v>-8.5</v>
      </c>
      <c r="L600">
        <f>390+2*(Table257[[#This Row],[min value (corrected)]]-27)</f>
        <v>410</v>
      </c>
      <c r="M600">
        <f>MINUTE(Table257[[#This Row],[Corrected time]])</f>
        <v>37</v>
      </c>
      <c r="N600" s="1">
        <v>0.52612914351851847</v>
      </c>
      <c r="O600" s="1">
        <f>Table257[[#This Row],[Time]]-TIME(0,0,3)</f>
        <v>0.52609442129629624</v>
      </c>
      <c r="P600" t="s">
        <v>9</v>
      </c>
      <c r="Q600">
        <v>-122</v>
      </c>
      <c r="R600">
        <f>Table257[[#This Row],[RSSI]]</f>
        <v>-122</v>
      </c>
      <c r="S600">
        <v>-8.8000000000000007</v>
      </c>
    </row>
    <row r="601" spans="2:19" x14ac:dyDescent="0.25">
      <c r="B601">
        <f>390+2*(Table146[[#This Row],[min value (corrected)]]-37)</f>
        <v>410</v>
      </c>
      <c r="C601">
        <f>MINUTE(Table146[[#This Row],[Corrected time]])</f>
        <v>47</v>
      </c>
      <c r="D601" s="1">
        <v>0.49151023148148143</v>
      </c>
      <c r="E601" s="1">
        <f>Table146[[#This Row],[Time]]-TIME(0,0,1)</f>
        <v>0.49149865740740734</v>
      </c>
      <c r="F601" t="s">
        <v>9</v>
      </c>
      <c r="G601">
        <v>-122</v>
      </c>
      <c r="H601">
        <f>Table146[[#This Row],[RSSI]]</f>
        <v>-122</v>
      </c>
      <c r="I601">
        <v>-8.8000000000000007</v>
      </c>
      <c r="L601">
        <f>390+2*(Table257[[#This Row],[min value (corrected)]]-27)</f>
        <v>410</v>
      </c>
      <c r="M601">
        <f>MINUTE(Table257[[#This Row],[Corrected time]])</f>
        <v>37</v>
      </c>
      <c r="N601" s="1">
        <v>0.52614218749999997</v>
      </c>
      <c r="O601" s="1">
        <f>Table257[[#This Row],[Time]]-TIME(0,0,3)</f>
        <v>0.52610746527777774</v>
      </c>
      <c r="P601" t="s">
        <v>9</v>
      </c>
      <c r="Q601">
        <v>-122</v>
      </c>
      <c r="R601">
        <f>Table257[[#This Row],[RSSI]]</f>
        <v>-122</v>
      </c>
      <c r="S601">
        <v>-9</v>
      </c>
    </row>
    <row r="602" spans="2:19" x14ac:dyDescent="0.25">
      <c r="B602">
        <f>390+2*(Table146[[#This Row],[min value (corrected)]]-37)</f>
        <v>410</v>
      </c>
      <c r="C602">
        <f>MINUTE(Table146[[#This Row],[Corrected time]])</f>
        <v>47</v>
      </c>
      <c r="D602" s="1">
        <v>0.49152327546296293</v>
      </c>
      <c r="E602" s="1">
        <f>Table146[[#This Row],[Time]]-TIME(0,0,1)</f>
        <v>0.49151170138888883</v>
      </c>
      <c r="F602" t="s">
        <v>9</v>
      </c>
      <c r="G602">
        <v>-122</v>
      </c>
      <c r="H602">
        <f>Table146[[#This Row],[RSSI]]</f>
        <v>-122</v>
      </c>
      <c r="I602">
        <v>-8.5</v>
      </c>
      <c r="L602">
        <f>390+2*(Table257[[#This Row],[min value (corrected)]]-27)</f>
        <v>410</v>
      </c>
      <c r="M602">
        <f>MINUTE(Table257[[#This Row],[Corrected time]])</f>
        <v>37</v>
      </c>
      <c r="N602" s="1">
        <v>0.52615520833333329</v>
      </c>
      <c r="O602" s="1">
        <f>Table257[[#This Row],[Time]]-TIME(0,0,3)</f>
        <v>0.52612048611111106</v>
      </c>
      <c r="P602" t="s">
        <v>9</v>
      </c>
      <c r="Q602">
        <v>-121</v>
      </c>
      <c r="R602">
        <f>Table257[[#This Row],[RSSI]]</f>
        <v>-121</v>
      </c>
      <c r="S602">
        <v>-7.5</v>
      </c>
    </row>
    <row r="603" spans="2:19" x14ac:dyDescent="0.25">
      <c r="B603">
        <f>390+2*(Table146[[#This Row],[min value (corrected)]]-37)</f>
        <v>410</v>
      </c>
      <c r="C603">
        <f>MINUTE(Table146[[#This Row],[Corrected time]])</f>
        <v>47</v>
      </c>
      <c r="D603" s="1">
        <v>0.49153630787037039</v>
      </c>
      <c r="E603" s="1">
        <f>Table146[[#This Row],[Time]]-TIME(0,0,1)</f>
        <v>0.4915247337962963</v>
      </c>
      <c r="F603" t="s">
        <v>9</v>
      </c>
      <c r="G603">
        <v>-122</v>
      </c>
      <c r="H603">
        <f>Table146[[#This Row],[RSSI]]</f>
        <v>-122</v>
      </c>
      <c r="I603">
        <v>-8.5</v>
      </c>
      <c r="L603">
        <f>390+2*(Table257[[#This Row],[min value (corrected)]]-27)</f>
        <v>410</v>
      </c>
      <c r="M603">
        <f>MINUTE(Table257[[#This Row],[Corrected time]])</f>
        <v>37</v>
      </c>
      <c r="N603" s="1">
        <v>0.52616824074074076</v>
      </c>
      <c r="O603" s="1">
        <f>Table257[[#This Row],[Time]]-TIME(0,0,3)</f>
        <v>0.52613351851851853</v>
      </c>
      <c r="P603" t="s">
        <v>9</v>
      </c>
      <c r="Q603">
        <v>-122</v>
      </c>
      <c r="R603">
        <f>Table257[[#This Row],[RSSI]]</f>
        <v>-122</v>
      </c>
      <c r="S603">
        <v>-8.5</v>
      </c>
    </row>
    <row r="604" spans="2:19" x14ac:dyDescent="0.25">
      <c r="B604">
        <f>390+2*(Table146[[#This Row],[min value (corrected)]]-37)</f>
        <v>410</v>
      </c>
      <c r="C604">
        <f>MINUTE(Table146[[#This Row],[Corrected time]])</f>
        <v>47</v>
      </c>
      <c r="D604" s="1">
        <v>0.49154934027777775</v>
      </c>
      <c r="E604" s="1">
        <f>Table146[[#This Row],[Time]]-TIME(0,0,1)</f>
        <v>0.49153776620370365</v>
      </c>
      <c r="F604" t="s">
        <v>9</v>
      </c>
      <c r="G604">
        <v>-122</v>
      </c>
      <c r="H604">
        <f>Table146[[#This Row],[RSSI]]</f>
        <v>-122</v>
      </c>
      <c r="I604">
        <v>-8.5</v>
      </c>
      <c r="L604">
        <f>390+2*(Table257[[#This Row],[min value (corrected)]]-27)</f>
        <v>410</v>
      </c>
      <c r="M604">
        <f>MINUTE(Table257[[#This Row],[Corrected time]])</f>
        <v>37</v>
      </c>
      <c r="N604" s="1">
        <v>0.52618128472222225</v>
      </c>
      <c r="O604" s="1">
        <f>Table257[[#This Row],[Time]]-TIME(0,0,3)</f>
        <v>0.52614656250000003</v>
      </c>
      <c r="P604" t="s">
        <v>9</v>
      </c>
      <c r="Q604">
        <v>-122</v>
      </c>
      <c r="R604">
        <f>Table257[[#This Row],[RSSI]]</f>
        <v>-122</v>
      </c>
      <c r="S604">
        <v>-8.8000000000000007</v>
      </c>
    </row>
    <row r="605" spans="2:19" x14ac:dyDescent="0.25">
      <c r="B605">
        <f>390+2*(Table146[[#This Row],[min value (corrected)]]-37)</f>
        <v>410</v>
      </c>
      <c r="C605">
        <f>MINUTE(Table146[[#This Row],[Corrected time]])</f>
        <v>47</v>
      </c>
      <c r="D605" s="1">
        <v>0.49156237268518521</v>
      </c>
      <c r="E605" s="1">
        <f>Table146[[#This Row],[Time]]-TIME(0,0,1)</f>
        <v>0.49155079861111112</v>
      </c>
      <c r="F605" t="s">
        <v>9</v>
      </c>
      <c r="G605">
        <v>-122</v>
      </c>
      <c r="H605">
        <f>Table146[[#This Row],[RSSI]]</f>
        <v>-122</v>
      </c>
      <c r="I605">
        <v>-8.8000000000000007</v>
      </c>
      <c r="L605">
        <f>390+2*(Table257[[#This Row],[min value (corrected)]]-27)</f>
        <v>410</v>
      </c>
      <c r="M605">
        <f>MINUTE(Table257[[#This Row],[Corrected time]])</f>
        <v>37</v>
      </c>
      <c r="N605" s="1">
        <v>0.52619431712962961</v>
      </c>
      <c r="O605" s="1">
        <f>Table257[[#This Row],[Time]]-TIME(0,0,3)</f>
        <v>0.52615959490740738</v>
      </c>
      <c r="P605" t="s">
        <v>9</v>
      </c>
      <c r="Q605">
        <v>-122</v>
      </c>
      <c r="R605">
        <f>Table257[[#This Row],[RSSI]]</f>
        <v>-122</v>
      </c>
      <c r="S605">
        <v>-9</v>
      </c>
    </row>
    <row r="606" spans="2:19" x14ac:dyDescent="0.25">
      <c r="B606">
        <f>390+2*(Table146[[#This Row],[min value (corrected)]]-37)</f>
        <v>410</v>
      </c>
      <c r="C606">
        <f>MINUTE(Table146[[#This Row],[Corrected time]])</f>
        <v>47</v>
      </c>
      <c r="D606" s="1">
        <v>0.49157540509259257</v>
      </c>
      <c r="E606" s="1">
        <f>Table146[[#This Row],[Time]]-TIME(0,0,1)</f>
        <v>0.49156383101851847</v>
      </c>
      <c r="F606" t="s">
        <v>13</v>
      </c>
      <c r="G606">
        <f>G605</f>
        <v>-122</v>
      </c>
      <c r="H606">
        <f>Table146[[#This Row],[RSSI]]</f>
        <v>-122</v>
      </c>
      <c r="I606">
        <f>I605</f>
        <v>-8.8000000000000007</v>
      </c>
      <c r="L606">
        <f>390+2*(Table257[[#This Row],[min value (corrected)]]-27)</f>
        <v>410</v>
      </c>
      <c r="M606">
        <f>MINUTE(Table257[[#This Row],[Corrected time]])</f>
        <v>37</v>
      </c>
      <c r="N606" s="1">
        <v>0.52620734953703707</v>
      </c>
      <c r="O606" s="1">
        <f>Table257[[#This Row],[Time]]-TIME(0,0,3)</f>
        <v>0.52617262731481484</v>
      </c>
      <c r="P606" t="s">
        <v>9</v>
      </c>
      <c r="Q606">
        <v>-122</v>
      </c>
      <c r="R606">
        <f>Table257[[#This Row],[RSSI]]</f>
        <v>-122</v>
      </c>
      <c r="S606">
        <v>-8</v>
      </c>
    </row>
    <row r="607" spans="2:19" x14ac:dyDescent="0.25">
      <c r="B607">
        <f>390+2*(Table146[[#This Row],[min value (corrected)]]-37)</f>
        <v>410</v>
      </c>
      <c r="C607">
        <f>MINUTE(Table146[[#This Row],[Corrected time]])</f>
        <v>47</v>
      </c>
      <c r="D607" s="1">
        <v>0.49158843750000003</v>
      </c>
      <c r="E607" s="1">
        <f>Table146[[#This Row],[Time]]-TIME(0,0,1)</f>
        <v>0.49157686342592594</v>
      </c>
      <c r="F607" t="s">
        <v>9</v>
      </c>
      <c r="G607">
        <v>-122</v>
      </c>
      <c r="H607">
        <f>Table146[[#This Row],[RSSI]]</f>
        <v>-122</v>
      </c>
      <c r="I607">
        <v>-8.8000000000000007</v>
      </c>
      <c r="L607">
        <f>390+2*(Table257[[#This Row],[min value (corrected)]]-27)</f>
        <v>410</v>
      </c>
      <c r="M607">
        <f>MINUTE(Table257[[#This Row],[Corrected time]])</f>
        <v>37</v>
      </c>
      <c r="N607" s="1">
        <v>0.52622037037037039</v>
      </c>
      <c r="O607" s="1">
        <f>Table257[[#This Row],[Time]]-TIME(0,0,3)</f>
        <v>0.52618564814814817</v>
      </c>
      <c r="P607" t="s">
        <v>9</v>
      </c>
      <c r="Q607">
        <v>-119</v>
      </c>
      <c r="R607">
        <f>Table257[[#This Row],[RSSI]]</f>
        <v>-119</v>
      </c>
      <c r="S607">
        <v>-8.5</v>
      </c>
    </row>
    <row r="608" spans="2:19" x14ac:dyDescent="0.25">
      <c r="B608">
        <f>390+2*(Table146[[#This Row],[min value (corrected)]]-37)</f>
        <v>410</v>
      </c>
      <c r="C608">
        <f>MINUTE(Table146[[#This Row],[Corrected time]])</f>
        <v>47</v>
      </c>
      <c r="D608" s="1">
        <v>0.49160146990740738</v>
      </c>
      <c r="E608" s="1">
        <f>Table146[[#This Row],[Time]]-TIME(0,0,1)</f>
        <v>0.49158989583333329</v>
      </c>
      <c r="F608" t="s">
        <v>13</v>
      </c>
      <c r="G608">
        <f>G607</f>
        <v>-122</v>
      </c>
      <c r="H608">
        <f>Table146[[#This Row],[RSSI]]</f>
        <v>-122</v>
      </c>
      <c r="I608">
        <f>I607</f>
        <v>-8.8000000000000007</v>
      </c>
      <c r="L608">
        <f>390+2*(Table257[[#This Row],[min value (corrected)]]-27)</f>
        <v>410</v>
      </c>
      <c r="M608">
        <f>MINUTE(Table257[[#This Row],[Corrected time]])</f>
        <v>37</v>
      </c>
      <c r="N608" s="1">
        <v>0.52623341435185189</v>
      </c>
      <c r="O608" s="1">
        <f>Table257[[#This Row],[Time]]-TIME(0,0,3)</f>
        <v>0.52619869212962966</v>
      </c>
      <c r="P608" t="s">
        <v>9</v>
      </c>
      <c r="Q608">
        <v>-122</v>
      </c>
      <c r="R608">
        <f>Table257[[#This Row],[RSSI]]</f>
        <v>-122</v>
      </c>
      <c r="S608">
        <v>-8.5</v>
      </c>
    </row>
    <row r="609" spans="2:19" x14ac:dyDescent="0.25">
      <c r="B609">
        <f>390+2*(Table146[[#This Row],[min value (corrected)]]-37)</f>
        <v>410</v>
      </c>
      <c r="C609">
        <f>MINUTE(Table146[[#This Row],[Corrected time]])</f>
        <v>47</v>
      </c>
      <c r="D609" s="1">
        <v>0.49161450231481485</v>
      </c>
      <c r="E609" s="1">
        <f>Table146[[#This Row],[Time]]-TIME(0,0,1)</f>
        <v>0.49160292824074076</v>
      </c>
      <c r="F609" t="s">
        <v>9</v>
      </c>
      <c r="G609">
        <v>-123</v>
      </c>
      <c r="H609">
        <f>Table146[[#This Row],[RSSI]]</f>
        <v>-123</v>
      </c>
      <c r="I609">
        <v>-9.3000000000000007</v>
      </c>
      <c r="L609">
        <f>390+2*(Table257[[#This Row],[min value (corrected)]]-27)</f>
        <v>410</v>
      </c>
      <c r="M609">
        <f>MINUTE(Table257[[#This Row],[Corrected time]])</f>
        <v>37</v>
      </c>
      <c r="N609" s="1">
        <v>0.52624643518518521</v>
      </c>
      <c r="O609" s="1">
        <f>Table257[[#This Row],[Time]]-TIME(0,0,3)</f>
        <v>0.52621171296296299</v>
      </c>
      <c r="P609" t="s">
        <v>9</v>
      </c>
      <c r="Q609">
        <v>-122</v>
      </c>
      <c r="R609">
        <f>Table257[[#This Row],[RSSI]]</f>
        <v>-122</v>
      </c>
      <c r="S609">
        <v>-8.5</v>
      </c>
    </row>
    <row r="610" spans="2:19" x14ac:dyDescent="0.25">
      <c r="B610">
        <f>390+2*(Table146[[#This Row],[min value (corrected)]]-37)</f>
        <v>410</v>
      </c>
      <c r="C610">
        <f>MINUTE(Table146[[#This Row],[Corrected time]])</f>
        <v>47</v>
      </c>
      <c r="D610" s="1">
        <v>0.4916275347222222</v>
      </c>
      <c r="E610" s="1">
        <f>Table146[[#This Row],[Time]]-TIME(0,0,1)</f>
        <v>0.49161596064814811</v>
      </c>
      <c r="F610" t="s">
        <v>9</v>
      </c>
      <c r="G610">
        <v>-122</v>
      </c>
      <c r="H610">
        <f>Table146[[#This Row],[RSSI]]</f>
        <v>-122</v>
      </c>
      <c r="I610">
        <v>-8.5</v>
      </c>
      <c r="L610">
        <f>390+2*(Table257[[#This Row],[min value (corrected)]]-27)</f>
        <v>410</v>
      </c>
      <c r="M610">
        <f>MINUTE(Table257[[#This Row],[Corrected time]])</f>
        <v>37</v>
      </c>
      <c r="N610" s="1">
        <v>0.52625946759259257</v>
      </c>
      <c r="O610" s="1">
        <f>Table257[[#This Row],[Time]]-TIME(0,0,3)</f>
        <v>0.52622474537037034</v>
      </c>
      <c r="P610" t="s">
        <v>9</v>
      </c>
      <c r="Q610">
        <v>-121</v>
      </c>
      <c r="R610">
        <f>Table257[[#This Row],[RSSI]]</f>
        <v>-121</v>
      </c>
      <c r="S610">
        <v>-7.7</v>
      </c>
    </row>
    <row r="611" spans="2:19" x14ac:dyDescent="0.25">
      <c r="B611">
        <f>390+2*(Table146[[#This Row],[min value (corrected)]]-37)</f>
        <v>410</v>
      </c>
      <c r="C611">
        <f>MINUTE(Table146[[#This Row],[Corrected time]])</f>
        <v>47</v>
      </c>
      <c r="D611" s="1">
        <v>0.49164056712962967</v>
      </c>
      <c r="E611" s="1">
        <f>Table146[[#This Row],[Time]]-TIME(0,0,1)</f>
        <v>0.49162899305555557</v>
      </c>
      <c r="F611" t="s">
        <v>13</v>
      </c>
      <c r="G611">
        <f t="shared" ref="G611:G612" si="21">G610</f>
        <v>-122</v>
      </c>
      <c r="H611">
        <f>Table146[[#This Row],[RSSI]]</f>
        <v>-122</v>
      </c>
      <c r="I611">
        <f t="shared" ref="I611:I612" si="22">I610</f>
        <v>-8.5</v>
      </c>
      <c r="L611">
        <f>390+2*(Table257[[#This Row],[min value (corrected)]]-27)</f>
        <v>410</v>
      </c>
      <c r="M611">
        <f>MINUTE(Table257[[#This Row],[Corrected time]])</f>
        <v>37</v>
      </c>
      <c r="N611" s="1">
        <v>0.52627251157407406</v>
      </c>
      <c r="O611" s="1">
        <f>Table257[[#This Row],[Time]]-TIME(0,0,3)</f>
        <v>0.52623778935185184</v>
      </c>
      <c r="P611" t="s">
        <v>9</v>
      </c>
      <c r="Q611">
        <v>-122</v>
      </c>
      <c r="R611">
        <f>Table257[[#This Row],[RSSI]]</f>
        <v>-122</v>
      </c>
      <c r="S611">
        <v>-8.3000000000000007</v>
      </c>
    </row>
    <row r="612" spans="2:19" x14ac:dyDescent="0.25">
      <c r="B612">
        <f>390+2*(Table146[[#This Row],[min value (corrected)]]-37)</f>
        <v>410</v>
      </c>
      <c r="C612">
        <f>MINUTE(Table146[[#This Row],[Corrected time]])</f>
        <v>47</v>
      </c>
      <c r="D612" s="1">
        <v>0.49165359953703702</v>
      </c>
      <c r="E612" s="1">
        <f>Table146[[#This Row],[Time]]-TIME(0,0,1)</f>
        <v>0.49164202546296293</v>
      </c>
      <c r="F612" t="s">
        <v>13</v>
      </c>
      <c r="G612">
        <f t="shared" si="21"/>
        <v>-122</v>
      </c>
      <c r="H612">
        <f>Table146[[#This Row],[RSSI]]</f>
        <v>-122</v>
      </c>
      <c r="I612">
        <f t="shared" si="22"/>
        <v>-8.5</v>
      </c>
      <c r="L612">
        <f>390+2*(Table257[[#This Row],[min value (corrected)]]-27)</f>
        <v>410</v>
      </c>
      <c r="M612">
        <f>MINUTE(Table257[[#This Row],[Corrected time]])</f>
        <v>37</v>
      </c>
      <c r="N612" s="1">
        <v>0.52628553240740739</v>
      </c>
      <c r="O612" s="1">
        <f>Table257[[#This Row],[Time]]-TIME(0,0,3)</f>
        <v>0.52625081018518516</v>
      </c>
      <c r="P612" t="s">
        <v>9</v>
      </c>
      <c r="Q612">
        <v>-122</v>
      </c>
      <c r="R612">
        <f>Table257[[#This Row],[RSSI]]</f>
        <v>-122</v>
      </c>
      <c r="S612">
        <v>-8</v>
      </c>
    </row>
    <row r="613" spans="2:19" x14ac:dyDescent="0.25">
      <c r="B613">
        <f>390+2*(Table146[[#This Row],[min value (corrected)]]-37)</f>
        <v>410</v>
      </c>
      <c r="C613">
        <f>MINUTE(Table146[[#This Row],[Corrected time]])</f>
        <v>47</v>
      </c>
      <c r="D613" s="1">
        <v>0.49166663194444449</v>
      </c>
      <c r="E613" s="1">
        <f>Table146[[#This Row],[Time]]-TIME(0,0,1)</f>
        <v>0.49165505787037039</v>
      </c>
      <c r="F613" t="s">
        <v>9</v>
      </c>
      <c r="G613">
        <v>-123</v>
      </c>
      <c r="H613">
        <f>Table146[[#This Row],[RSSI]]</f>
        <v>-123</v>
      </c>
      <c r="I613">
        <v>-9.3000000000000007</v>
      </c>
      <c r="L613">
        <f>390+2*(Table257[[#This Row],[min value (corrected)]]-27)</f>
        <v>410</v>
      </c>
      <c r="M613">
        <f>MINUTE(Table257[[#This Row],[Corrected time]])</f>
        <v>37</v>
      </c>
      <c r="N613" s="1">
        <v>0.52629857638888888</v>
      </c>
      <c r="O613" s="1">
        <f>Table257[[#This Row],[Time]]-TIME(0,0,3)</f>
        <v>0.52626385416666666</v>
      </c>
      <c r="P613" t="s">
        <v>9</v>
      </c>
      <c r="Q613">
        <v>-122</v>
      </c>
      <c r="R613">
        <f>Table257[[#This Row],[RSSI]]</f>
        <v>-122</v>
      </c>
      <c r="S613">
        <v>-8.3000000000000007</v>
      </c>
    </row>
    <row r="614" spans="2:19" x14ac:dyDescent="0.25">
      <c r="B614">
        <f>390+2*(Table146[[#This Row],[min value (corrected)]]-37)</f>
        <v>412</v>
      </c>
      <c r="C614">
        <f>MINUTE(Table146[[#This Row],[Corrected time]])</f>
        <v>48</v>
      </c>
      <c r="D614" s="1">
        <v>0.49167966435185184</v>
      </c>
      <c r="E614" s="1">
        <f>Table146[[#This Row],[Time]]-TIME(0,0,1)</f>
        <v>0.49166809027777775</v>
      </c>
      <c r="F614" t="s">
        <v>13</v>
      </c>
      <c r="G614">
        <f>G613</f>
        <v>-123</v>
      </c>
      <c r="H614">
        <f>Table146[[#This Row],[RSSI]]</f>
        <v>-123</v>
      </c>
      <c r="I614">
        <f>I613</f>
        <v>-9.3000000000000007</v>
      </c>
      <c r="L614">
        <f>390+2*(Table257[[#This Row],[min value (corrected)]]-27)</f>
        <v>410</v>
      </c>
      <c r="M614">
        <f>MINUTE(Table257[[#This Row],[Corrected time]])</f>
        <v>37</v>
      </c>
      <c r="N614" s="1">
        <v>0.52631160879629624</v>
      </c>
      <c r="O614" s="1">
        <f>Table257[[#This Row],[Time]]-TIME(0,0,3)</f>
        <v>0.52627688657407401</v>
      </c>
      <c r="P614" t="s">
        <v>9</v>
      </c>
      <c r="Q614">
        <v>-122</v>
      </c>
      <c r="R614">
        <f>Table257[[#This Row],[RSSI]]</f>
        <v>-122</v>
      </c>
      <c r="S614">
        <v>-8</v>
      </c>
    </row>
    <row r="615" spans="2:19" x14ac:dyDescent="0.25">
      <c r="B615">
        <f>390+2*(Table146[[#This Row],[min value (corrected)]]-37)</f>
        <v>412</v>
      </c>
      <c r="C615">
        <f>MINUTE(Table146[[#This Row],[Corrected time]])</f>
        <v>48</v>
      </c>
      <c r="D615" s="1">
        <v>0.49169269675925931</v>
      </c>
      <c r="E615" s="1">
        <f>Table146[[#This Row],[Time]]-TIME(0,0,1)</f>
        <v>0.49168112268518521</v>
      </c>
      <c r="F615" t="s">
        <v>9</v>
      </c>
      <c r="G615">
        <v>-122</v>
      </c>
      <c r="H615">
        <f>Table146[[#This Row],[RSSI]]</f>
        <v>-122</v>
      </c>
      <c r="I615">
        <v>-8.5</v>
      </c>
      <c r="L615">
        <f>390+2*(Table257[[#This Row],[min value (corrected)]]-27)</f>
        <v>410</v>
      </c>
      <c r="M615">
        <f>MINUTE(Table257[[#This Row],[Corrected time]])</f>
        <v>37</v>
      </c>
      <c r="N615" s="1">
        <v>0.52632462962962956</v>
      </c>
      <c r="O615" s="1">
        <f>Table257[[#This Row],[Time]]-TIME(0,0,3)</f>
        <v>0.52628990740740733</v>
      </c>
      <c r="P615" t="s">
        <v>9</v>
      </c>
      <c r="Q615">
        <v>-122</v>
      </c>
      <c r="R615">
        <f>Table257[[#This Row],[RSSI]]</f>
        <v>-122</v>
      </c>
      <c r="S615">
        <v>-8.5</v>
      </c>
    </row>
    <row r="616" spans="2:19" x14ac:dyDescent="0.25">
      <c r="B616">
        <f>390+2*(Table146[[#This Row],[min value (corrected)]]-37)</f>
        <v>412</v>
      </c>
      <c r="C616">
        <f>MINUTE(Table146[[#This Row],[Corrected time]])</f>
        <v>48</v>
      </c>
      <c r="D616" s="1">
        <v>0.49170572916666666</v>
      </c>
      <c r="E616" s="1">
        <f>Table146[[#This Row],[Time]]-TIME(0,0,1)</f>
        <v>0.49169415509259257</v>
      </c>
      <c r="F616" t="s">
        <v>13</v>
      </c>
      <c r="G616">
        <f t="shared" ref="G616:G619" si="23">G615</f>
        <v>-122</v>
      </c>
      <c r="H616">
        <f>Table146[[#This Row],[RSSI]]</f>
        <v>-122</v>
      </c>
      <c r="I616">
        <f t="shared" ref="I616:I619" si="24">I615</f>
        <v>-8.5</v>
      </c>
      <c r="L616">
        <f>390+2*(Table257[[#This Row],[min value (corrected)]]-27)</f>
        <v>410</v>
      </c>
      <c r="M616">
        <f>MINUTE(Table257[[#This Row],[Corrected time]])</f>
        <v>37</v>
      </c>
      <c r="N616" s="1">
        <v>0.52633766203703702</v>
      </c>
      <c r="O616" s="1">
        <f>Table257[[#This Row],[Time]]-TIME(0,0,3)</f>
        <v>0.5263029398148148</v>
      </c>
      <c r="P616" t="s">
        <v>9</v>
      </c>
      <c r="Q616">
        <v>-122</v>
      </c>
      <c r="R616">
        <f>Table257[[#This Row],[RSSI]]</f>
        <v>-122</v>
      </c>
      <c r="S616">
        <v>-8.5</v>
      </c>
    </row>
    <row r="617" spans="2:19" x14ac:dyDescent="0.25">
      <c r="B617">
        <f>390+2*(Table146[[#This Row],[min value (corrected)]]-37)</f>
        <v>412</v>
      </c>
      <c r="C617">
        <f>MINUTE(Table146[[#This Row],[Corrected time]])</f>
        <v>48</v>
      </c>
      <c r="D617" s="1">
        <v>0.49171876157407401</v>
      </c>
      <c r="E617" s="1">
        <f>Table146[[#This Row],[Time]]-TIME(0,0,1)</f>
        <v>0.49170718749999992</v>
      </c>
      <c r="F617" t="s">
        <v>13</v>
      </c>
      <c r="G617">
        <f t="shared" si="23"/>
        <v>-122</v>
      </c>
      <c r="H617">
        <f>Table146[[#This Row],[RSSI]]</f>
        <v>-122</v>
      </c>
      <c r="I617">
        <f t="shared" si="24"/>
        <v>-8.5</v>
      </c>
      <c r="L617">
        <f>390+2*(Table257[[#This Row],[min value (corrected)]]-27)</f>
        <v>410</v>
      </c>
      <c r="M617">
        <f>MINUTE(Table257[[#This Row],[Corrected time]])</f>
        <v>37</v>
      </c>
      <c r="N617" s="1">
        <v>0.52635069444444438</v>
      </c>
      <c r="O617" s="1">
        <f>Table257[[#This Row],[Time]]-TIME(0,0,3)</f>
        <v>0.52631597222222215</v>
      </c>
      <c r="P617" t="s">
        <v>13</v>
      </c>
      <c r="Q617">
        <f>Q616</f>
        <v>-122</v>
      </c>
      <c r="R617">
        <f>Table257[[#This Row],[RSSI]]</f>
        <v>-122</v>
      </c>
      <c r="S617">
        <f>S616</f>
        <v>-8.5</v>
      </c>
    </row>
    <row r="618" spans="2:19" x14ac:dyDescent="0.25">
      <c r="B618">
        <f>390+2*(Table146[[#This Row],[min value (corrected)]]-37)</f>
        <v>412</v>
      </c>
      <c r="C618">
        <f>MINUTE(Table146[[#This Row],[Corrected time]])</f>
        <v>48</v>
      </c>
      <c r="D618" s="1">
        <v>0.49173179398148148</v>
      </c>
      <c r="E618" s="1">
        <f>Table146[[#This Row],[Time]]-TIME(0,0,1)</f>
        <v>0.49172021990740739</v>
      </c>
      <c r="F618" t="s">
        <v>13</v>
      </c>
      <c r="G618">
        <f t="shared" si="23"/>
        <v>-122</v>
      </c>
      <c r="H618">
        <f>Table146[[#This Row],[RSSI]]</f>
        <v>-122</v>
      </c>
      <c r="I618">
        <f t="shared" si="24"/>
        <v>-8.5</v>
      </c>
      <c r="L618">
        <f>390+2*(Table257[[#This Row],[min value (corrected)]]-27)</f>
        <v>410</v>
      </c>
      <c r="M618">
        <f>MINUTE(Table257[[#This Row],[Corrected time]])</f>
        <v>37</v>
      </c>
      <c r="N618" s="1">
        <v>0.52636373842592588</v>
      </c>
      <c r="O618" s="1">
        <f>Table257[[#This Row],[Time]]-TIME(0,0,3)</f>
        <v>0.52632901620370365</v>
      </c>
      <c r="P618" t="s">
        <v>9</v>
      </c>
      <c r="Q618">
        <v>-122</v>
      </c>
      <c r="R618">
        <f>Table257[[#This Row],[RSSI]]</f>
        <v>-122</v>
      </c>
      <c r="S618">
        <v>-8.3000000000000007</v>
      </c>
    </row>
    <row r="619" spans="2:19" x14ac:dyDescent="0.25">
      <c r="B619">
        <f>390+2*(Table146[[#This Row],[min value (corrected)]]-37)</f>
        <v>412</v>
      </c>
      <c r="C619">
        <f>MINUTE(Table146[[#This Row],[Corrected time]])</f>
        <v>48</v>
      </c>
      <c r="D619" s="1">
        <v>0.4917448148148148</v>
      </c>
      <c r="E619" s="1">
        <f>Table146[[#This Row],[Time]]-TIME(0,0,1)</f>
        <v>0.49173324074074071</v>
      </c>
      <c r="F619" t="s">
        <v>13</v>
      </c>
      <c r="G619">
        <f t="shared" si="23"/>
        <v>-122</v>
      </c>
      <c r="H619">
        <f>Table146[[#This Row],[RSSI]]</f>
        <v>-122</v>
      </c>
      <c r="I619">
        <f t="shared" si="24"/>
        <v>-8.5</v>
      </c>
      <c r="L619">
        <f>390+2*(Table257[[#This Row],[min value (corrected)]]-27)</f>
        <v>410</v>
      </c>
      <c r="M619">
        <f>MINUTE(Table257[[#This Row],[Corrected time]])</f>
        <v>37</v>
      </c>
      <c r="N619" s="1">
        <v>0.52637677083333334</v>
      </c>
      <c r="O619" s="1">
        <f>Table257[[#This Row],[Time]]-TIME(0,0,3)</f>
        <v>0.52634204861111111</v>
      </c>
      <c r="P619" t="s">
        <v>9</v>
      </c>
      <c r="Q619">
        <v>-122</v>
      </c>
      <c r="R619">
        <f>Table257[[#This Row],[RSSI]]</f>
        <v>-122</v>
      </c>
      <c r="S619">
        <v>-8.8000000000000007</v>
      </c>
    </row>
    <row r="620" spans="2:19" x14ac:dyDescent="0.25">
      <c r="B620">
        <f>390+2*(Table146[[#This Row],[min value (corrected)]]-37)</f>
        <v>412</v>
      </c>
      <c r="C620">
        <f>MINUTE(Table146[[#This Row],[Corrected time]])</f>
        <v>48</v>
      </c>
      <c r="D620" s="1">
        <v>0.4917578587962963</v>
      </c>
      <c r="E620" s="1">
        <f>Table146[[#This Row],[Time]]-TIME(0,0,1)</f>
        <v>0.4917462847222222</v>
      </c>
      <c r="F620" t="s">
        <v>9</v>
      </c>
      <c r="G620">
        <v>-123</v>
      </c>
      <c r="H620">
        <f>Table146[[#This Row],[RSSI]]</f>
        <v>-123</v>
      </c>
      <c r="I620">
        <v>-9.5</v>
      </c>
      <c r="L620">
        <f>390+2*(Table257[[#This Row],[min value (corrected)]]-27)</f>
        <v>410</v>
      </c>
      <c r="M620">
        <f>MINUTE(Table257[[#This Row],[Corrected time]])</f>
        <v>37</v>
      </c>
      <c r="N620" s="1">
        <v>0.52638980324074069</v>
      </c>
      <c r="O620" s="1">
        <f>Table257[[#This Row],[Time]]-TIME(0,0,3)</f>
        <v>0.52635508101851847</v>
      </c>
      <c r="P620" t="s">
        <v>9</v>
      </c>
      <c r="Q620">
        <v>-122</v>
      </c>
      <c r="R620">
        <f>Table257[[#This Row],[RSSI]]</f>
        <v>-122</v>
      </c>
      <c r="S620">
        <v>-8.8000000000000007</v>
      </c>
    </row>
    <row r="621" spans="2:19" x14ac:dyDescent="0.25">
      <c r="B621">
        <f>390+2*(Table146[[#This Row],[min value (corrected)]]-37)</f>
        <v>412</v>
      </c>
      <c r="C621">
        <f>MINUTE(Table146[[#This Row],[Corrected time]])</f>
        <v>48</v>
      </c>
      <c r="D621" s="1">
        <v>0.49177089120370365</v>
      </c>
      <c r="E621" s="1">
        <f>Table146[[#This Row],[Time]]-TIME(0,0,1)</f>
        <v>0.49175931712962956</v>
      </c>
      <c r="F621" t="s">
        <v>13</v>
      </c>
      <c r="G621">
        <f t="shared" ref="G621:G622" si="25">G620</f>
        <v>-123</v>
      </c>
      <c r="H621">
        <f>Table146[[#This Row],[RSSI]]</f>
        <v>-123</v>
      </c>
      <c r="I621">
        <f t="shared" ref="I621:I622" si="26">I620</f>
        <v>-9.5</v>
      </c>
      <c r="L621">
        <f>390+2*(Table257[[#This Row],[min value (corrected)]]-27)</f>
        <v>410</v>
      </c>
      <c r="M621">
        <f>MINUTE(Table257[[#This Row],[Corrected time]])</f>
        <v>37</v>
      </c>
      <c r="N621" s="1">
        <v>0.52640282407407402</v>
      </c>
      <c r="O621" s="1">
        <f>Table257[[#This Row],[Time]]-TIME(0,0,3)</f>
        <v>0.52636810185185179</v>
      </c>
      <c r="P621" t="s">
        <v>9</v>
      </c>
      <c r="Q621">
        <v>-122</v>
      </c>
      <c r="R621">
        <f>Table257[[#This Row],[RSSI]]</f>
        <v>-122</v>
      </c>
      <c r="S621">
        <v>-8.5</v>
      </c>
    </row>
    <row r="622" spans="2:19" x14ac:dyDescent="0.25">
      <c r="B622">
        <f>390+2*(Table146[[#This Row],[min value (corrected)]]-37)</f>
        <v>412</v>
      </c>
      <c r="C622">
        <f>MINUTE(Table146[[#This Row],[Corrected time]])</f>
        <v>48</v>
      </c>
      <c r="D622" s="1">
        <v>0.49178392361111112</v>
      </c>
      <c r="E622" s="1">
        <f>Table146[[#This Row],[Time]]-TIME(0,0,1)</f>
        <v>0.49177234953703702</v>
      </c>
      <c r="F622" t="s">
        <v>13</v>
      </c>
      <c r="G622">
        <f t="shared" si="25"/>
        <v>-123</v>
      </c>
      <c r="H622">
        <f>Table146[[#This Row],[RSSI]]</f>
        <v>-123</v>
      </c>
      <c r="I622">
        <f t="shared" si="26"/>
        <v>-9.5</v>
      </c>
      <c r="L622">
        <f>390+2*(Table257[[#This Row],[min value (corrected)]]-27)</f>
        <v>410</v>
      </c>
      <c r="M622">
        <f>MINUTE(Table257[[#This Row],[Corrected time]])</f>
        <v>37</v>
      </c>
      <c r="N622" s="1">
        <v>0.52641586805555551</v>
      </c>
      <c r="O622" s="1">
        <f>Table257[[#This Row],[Time]]-TIME(0,0,3)</f>
        <v>0.52638114583333329</v>
      </c>
      <c r="P622" t="s">
        <v>9</v>
      </c>
      <c r="Q622">
        <v>-121</v>
      </c>
      <c r="R622">
        <f>Table257[[#This Row],[RSSI]]</f>
        <v>-121</v>
      </c>
      <c r="S622">
        <v>-7.7</v>
      </c>
    </row>
    <row r="623" spans="2:19" x14ac:dyDescent="0.25">
      <c r="B623">
        <f>390+2*(Table146[[#This Row],[min value (corrected)]]-37)</f>
        <v>412</v>
      </c>
      <c r="C623">
        <f>MINUTE(Table146[[#This Row],[Corrected time]])</f>
        <v>48</v>
      </c>
      <c r="D623" s="1">
        <v>0.49179695601851847</v>
      </c>
      <c r="E623" s="1">
        <f>Table146[[#This Row],[Time]]-TIME(0,0,1)</f>
        <v>0.49178538194444438</v>
      </c>
      <c r="F623" t="s">
        <v>9</v>
      </c>
      <c r="G623">
        <v>-122</v>
      </c>
      <c r="H623">
        <f>Table146[[#This Row],[RSSI]]</f>
        <v>-122</v>
      </c>
      <c r="I623">
        <v>-8.5</v>
      </c>
      <c r="L623">
        <f>390+2*(Table257[[#This Row],[min value (corrected)]]-27)</f>
        <v>412</v>
      </c>
      <c r="M623">
        <f>MINUTE(Table257[[#This Row],[Corrected time]])</f>
        <v>38</v>
      </c>
      <c r="N623" s="1">
        <v>0.52642890046296298</v>
      </c>
      <c r="O623" s="1">
        <f>Table257[[#This Row],[Time]]-TIME(0,0,3)</f>
        <v>0.52639417824074075</v>
      </c>
      <c r="P623" t="s">
        <v>9</v>
      </c>
      <c r="Q623">
        <v>-122</v>
      </c>
      <c r="R623">
        <f>Table257[[#This Row],[RSSI]]</f>
        <v>-122</v>
      </c>
      <c r="S623">
        <v>-8.5</v>
      </c>
    </row>
    <row r="624" spans="2:19" x14ac:dyDescent="0.25">
      <c r="B624">
        <f>390+2*(Table146[[#This Row],[min value (corrected)]]-37)</f>
        <v>412</v>
      </c>
      <c r="C624">
        <f>MINUTE(Table146[[#This Row],[Corrected time]])</f>
        <v>48</v>
      </c>
      <c r="D624" s="1">
        <v>0.49180998842592594</v>
      </c>
      <c r="E624" s="1">
        <f>Table146[[#This Row],[Time]]-TIME(0,0,1)</f>
        <v>0.49179841435185184</v>
      </c>
      <c r="F624" t="s">
        <v>9</v>
      </c>
      <c r="G624">
        <v>-122</v>
      </c>
      <c r="H624">
        <f>Table146[[#This Row],[RSSI]]</f>
        <v>-122</v>
      </c>
      <c r="I624">
        <v>-8</v>
      </c>
      <c r="L624">
        <f>390+2*(Table257[[#This Row],[min value (corrected)]]-27)</f>
        <v>412</v>
      </c>
      <c r="M624">
        <f>MINUTE(Table257[[#This Row],[Corrected time]])</f>
        <v>38</v>
      </c>
      <c r="N624" s="1">
        <v>0.5264419212962963</v>
      </c>
      <c r="O624" s="1">
        <f>Table257[[#This Row],[Time]]-TIME(0,0,3)</f>
        <v>0.52640719907407407</v>
      </c>
      <c r="P624" t="s">
        <v>13</v>
      </c>
      <c r="Q624">
        <f t="shared" ref="Q624:Q625" si="27">Q623</f>
        <v>-122</v>
      </c>
      <c r="R624">
        <f>Table257[[#This Row],[RSSI]]</f>
        <v>-122</v>
      </c>
      <c r="S624">
        <f t="shared" ref="S624:S625" si="28">S623</f>
        <v>-8.5</v>
      </c>
    </row>
    <row r="625" spans="2:19" x14ac:dyDescent="0.25">
      <c r="B625">
        <f>390+2*(Table146[[#This Row],[min value (corrected)]]-37)</f>
        <v>412</v>
      </c>
      <c r="C625">
        <f>MINUTE(Table146[[#This Row],[Corrected time]])</f>
        <v>48</v>
      </c>
      <c r="D625" s="1">
        <v>0.49182302083333329</v>
      </c>
      <c r="E625" s="1">
        <f>Table146[[#This Row],[Time]]-TIME(0,0,1)</f>
        <v>0.4918114467592592</v>
      </c>
      <c r="F625" t="s">
        <v>13</v>
      </c>
      <c r="G625">
        <f>G624</f>
        <v>-122</v>
      </c>
      <c r="H625">
        <f>Table146[[#This Row],[RSSI]]</f>
        <v>-122</v>
      </c>
      <c r="I625">
        <f>I624</f>
        <v>-8</v>
      </c>
      <c r="L625">
        <f>390+2*(Table257[[#This Row],[min value (corrected)]]-27)</f>
        <v>412</v>
      </c>
      <c r="M625">
        <f>MINUTE(Table257[[#This Row],[Corrected time]])</f>
        <v>38</v>
      </c>
      <c r="N625" s="1">
        <v>0.52645494212962962</v>
      </c>
      <c r="O625" s="1">
        <f>Table257[[#This Row],[Time]]-TIME(0,0,3)</f>
        <v>0.52642021990740739</v>
      </c>
      <c r="P625" t="s">
        <v>13</v>
      </c>
      <c r="Q625">
        <f t="shared" si="27"/>
        <v>-122</v>
      </c>
      <c r="R625">
        <f>Table257[[#This Row],[RSSI]]</f>
        <v>-122</v>
      </c>
      <c r="S625">
        <f t="shared" si="28"/>
        <v>-8.5</v>
      </c>
    </row>
    <row r="626" spans="2:19" x14ac:dyDescent="0.25">
      <c r="B626">
        <f>390+2*(Table146[[#This Row],[min value (corrected)]]-37)</f>
        <v>412</v>
      </c>
      <c r="C626">
        <f>MINUTE(Table146[[#This Row],[Corrected time]])</f>
        <v>48</v>
      </c>
      <c r="D626" s="1">
        <v>0.49183605324074076</v>
      </c>
      <c r="E626" s="1">
        <f>Table146[[#This Row],[Time]]-TIME(0,0,1)</f>
        <v>0.49182447916666666</v>
      </c>
      <c r="F626" t="s">
        <v>9</v>
      </c>
      <c r="G626">
        <v>-122</v>
      </c>
      <c r="H626">
        <f>Table146[[#This Row],[RSSI]]</f>
        <v>-122</v>
      </c>
      <c r="I626">
        <v>-8.8000000000000007</v>
      </c>
      <c r="L626">
        <f>390+2*(Table257[[#This Row],[min value (corrected)]]-27)</f>
        <v>412</v>
      </c>
      <c r="M626">
        <f>MINUTE(Table257[[#This Row],[Corrected time]])</f>
        <v>38</v>
      </c>
      <c r="N626" s="1">
        <v>0.52646798611111112</v>
      </c>
      <c r="O626" s="1">
        <f>Table257[[#This Row],[Time]]-TIME(0,0,3)</f>
        <v>0.52643326388888889</v>
      </c>
      <c r="P626" t="s">
        <v>9</v>
      </c>
      <c r="Q626">
        <v>-122</v>
      </c>
      <c r="R626">
        <f>Table257[[#This Row],[RSSI]]</f>
        <v>-122</v>
      </c>
      <c r="S626">
        <v>-8.3000000000000007</v>
      </c>
    </row>
    <row r="627" spans="2:19" x14ac:dyDescent="0.25">
      <c r="B627">
        <f>390+2*(Table146[[#This Row],[min value (corrected)]]-37)</f>
        <v>412</v>
      </c>
      <c r="C627">
        <f>MINUTE(Table146[[#This Row],[Corrected time]])</f>
        <v>48</v>
      </c>
      <c r="D627" s="1">
        <v>0.49184908564814811</v>
      </c>
      <c r="E627" s="1">
        <f>Table146[[#This Row],[Time]]-TIME(0,0,1)</f>
        <v>0.49183751157407402</v>
      </c>
      <c r="F627" t="s">
        <v>9</v>
      </c>
      <c r="G627">
        <v>-123</v>
      </c>
      <c r="H627">
        <f>Table146[[#This Row],[RSSI]]</f>
        <v>-123</v>
      </c>
      <c r="I627">
        <v>-9.3000000000000007</v>
      </c>
      <c r="L627">
        <f>390+2*(Table257[[#This Row],[min value (corrected)]]-27)</f>
        <v>412</v>
      </c>
      <c r="M627">
        <f>MINUTE(Table257[[#This Row],[Corrected time]])</f>
        <v>38</v>
      </c>
      <c r="N627" s="1">
        <v>0.52648101851851847</v>
      </c>
      <c r="O627" s="1">
        <f>Table257[[#This Row],[Time]]-TIME(0,0,3)</f>
        <v>0.52644629629629625</v>
      </c>
      <c r="P627" t="s">
        <v>13</v>
      </c>
      <c r="Q627">
        <f t="shared" ref="Q627:Q630" si="29">Q626</f>
        <v>-122</v>
      </c>
      <c r="R627">
        <f>Table257[[#This Row],[RSSI]]</f>
        <v>-122</v>
      </c>
      <c r="S627">
        <f t="shared" ref="S627:S630" si="30">S626</f>
        <v>-8.3000000000000007</v>
      </c>
    </row>
    <row r="628" spans="2:19" x14ac:dyDescent="0.25">
      <c r="B628">
        <f>390+2*(Table146[[#This Row],[min value (corrected)]]-37)</f>
        <v>412</v>
      </c>
      <c r="C628">
        <f>MINUTE(Table146[[#This Row],[Corrected time]])</f>
        <v>48</v>
      </c>
      <c r="D628" s="1">
        <v>0.49186211805555557</v>
      </c>
      <c r="E628" s="1">
        <f>Table146[[#This Row],[Time]]-TIME(0,0,1)</f>
        <v>0.49185054398148148</v>
      </c>
      <c r="F628" t="s">
        <v>9</v>
      </c>
      <c r="G628">
        <v>-122</v>
      </c>
      <c r="H628">
        <f>Table146[[#This Row],[RSSI]]</f>
        <v>-122</v>
      </c>
      <c r="I628">
        <v>-8.8000000000000007</v>
      </c>
      <c r="L628">
        <f>390+2*(Table257[[#This Row],[min value (corrected)]]-27)</f>
        <v>412</v>
      </c>
      <c r="M628">
        <f>MINUTE(Table257[[#This Row],[Corrected time]])</f>
        <v>38</v>
      </c>
      <c r="N628" s="1">
        <v>0.52649405092592594</v>
      </c>
      <c r="O628" s="1">
        <f>Table257[[#This Row],[Time]]-TIME(0,0,3)</f>
        <v>0.52645932870370371</v>
      </c>
      <c r="P628" t="s">
        <v>13</v>
      </c>
      <c r="Q628">
        <f t="shared" si="29"/>
        <v>-122</v>
      </c>
      <c r="R628">
        <f>Table257[[#This Row],[RSSI]]</f>
        <v>-122</v>
      </c>
      <c r="S628">
        <f t="shared" si="30"/>
        <v>-8.3000000000000007</v>
      </c>
    </row>
    <row r="629" spans="2:19" x14ac:dyDescent="0.25">
      <c r="B629">
        <f>390+2*(Table146[[#This Row],[min value (corrected)]]-37)</f>
        <v>412</v>
      </c>
      <c r="C629">
        <f>MINUTE(Table146[[#This Row],[Corrected time]])</f>
        <v>48</v>
      </c>
      <c r="D629" s="1">
        <v>0.49187515046296293</v>
      </c>
      <c r="E629" s="1">
        <f>Table146[[#This Row],[Time]]-TIME(0,0,1)</f>
        <v>0.49186357638888883</v>
      </c>
      <c r="F629" t="s">
        <v>13</v>
      </c>
      <c r="G629">
        <f>G628</f>
        <v>-122</v>
      </c>
      <c r="H629">
        <f>Table146[[#This Row],[RSSI]]</f>
        <v>-122</v>
      </c>
      <c r="I629">
        <f>I628</f>
        <v>-8.8000000000000007</v>
      </c>
      <c r="L629">
        <f>390+2*(Table257[[#This Row],[min value (corrected)]]-27)</f>
        <v>412</v>
      </c>
      <c r="M629">
        <f>MINUTE(Table257[[#This Row],[Corrected time]])</f>
        <v>38</v>
      </c>
      <c r="N629" s="1">
        <v>0.52650708333333329</v>
      </c>
      <c r="O629" s="1">
        <f>Table257[[#This Row],[Time]]-TIME(0,0,3)</f>
        <v>0.52647236111111106</v>
      </c>
      <c r="P629" t="s">
        <v>13</v>
      </c>
      <c r="Q629">
        <f t="shared" si="29"/>
        <v>-122</v>
      </c>
      <c r="R629">
        <f>Table257[[#This Row],[RSSI]]</f>
        <v>-122</v>
      </c>
      <c r="S629">
        <f t="shared" si="30"/>
        <v>-8.3000000000000007</v>
      </c>
    </row>
    <row r="630" spans="2:19" x14ac:dyDescent="0.25">
      <c r="B630">
        <f>390+2*(Table146[[#This Row],[min value (corrected)]]-37)</f>
        <v>412</v>
      </c>
      <c r="C630">
        <f>MINUTE(Table146[[#This Row],[Corrected time]])</f>
        <v>48</v>
      </c>
      <c r="D630" s="1">
        <v>0.49188818287037039</v>
      </c>
      <c r="E630" s="1">
        <f>Table146[[#This Row],[Time]]-TIME(0,0,1)</f>
        <v>0.4918766087962963</v>
      </c>
      <c r="F630" t="s">
        <v>9</v>
      </c>
      <c r="G630">
        <v>-123</v>
      </c>
      <c r="H630">
        <f>Table146[[#This Row],[RSSI]]</f>
        <v>-123</v>
      </c>
      <c r="I630">
        <v>-9</v>
      </c>
      <c r="L630">
        <f>390+2*(Table257[[#This Row],[min value (corrected)]]-27)</f>
        <v>412</v>
      </c>
      <c r="M630">
        <f>MINUTE(Table257[[#This Row],[Corrected time]])</f>
        <v>38</v>
      </c>
      <c r="N630" s="1">
        <v>0.52652012731481479</v>
      </c>
      <c r="O630" s="1">
        <f>Table257[[#This Row],[Time]]-TIME(0,0,3)</f>
        <v>0.52648540509259256</v>
      </c>
      <c r="P630" t="s">
        <v>13</v>
      </c>
      <c r="Q630">
        <f t="shared" si="29"/>
        <v>-122</v>
      </c>
      <c r="R630">
        <f>Table257[[#This Row],[RSSI]]</f>
        <v>-122</v>
      </c>
      <c r="S630">
        <f t="shared" si="30"/>
        <v>-8.3000000000000007</v>
      </c>
    </row>
    <row r="631" spans="2:19" x14ac:dyDescent="0.25">
      <c r="B631">
        <f>390+2*(Table146[[#This Row],[min value (corrected)]]-37)</f>
        <v>412</v>
      </c>
      <c r="C631">
        <f>MINUTE(Table146[[#This Row],[Corrected time]])</f>
        <v>48</v>
      </c>
      <c r="D631" s="1">
        <v>0.49190121527777775</v>
      </c>
      <c r="E631" s="1">
        <f>Table146[[#This Row],[Time]]-TIME(0,0,1)</f>
        <v>0.49188964120370365</v>
      </c>
      <c r="F631" t="s">
        <v>9</v>
      </c>
      <c r="G631">
        <v>-123</v>
      </c>
      <c r="H631">
        <f>Table146[[#This Row],[RSSI]]</f>
        <v>-123</v>
      </c>
      <c r="I631">
        <v>-9.3000000000000007</v>
      </c>
      <c r="L631">
        <f>390+2*(Table257[[#This Row],[min value (corrected)]]-27)</f>
        <v>412</v>
      </c>
      <c r="M631">
        <f>MINUTE(Table257[[#This Row],[Corrected time]])</f>
        <v>38</v>
      </c>
      <c r="N631" s="1">
        <v>0.52653314814814811</v>
      </c>
      <c r="O631" s="1">
        <f>Table257[[#This Row],[Time]]-TIME(0,0,3)</f>
        <v>0.52649842592592588</v>
      </c>
      <c r="P631" t="s">
        <v>9</v>
      </c>
      <c r="Q631">
        <v>-122</v>
      </c>
      <c r="R631">
        <f>Table257[[#This Row],[RSSI]]</f>
        <v>-122</v>
      </c>
      <c r="S631">
        <v>-8.8000000000000007</v>
      </c>
    </row>
    <row r="632" spans="2:19" x14ac:dyDescent="0.25">
      <c r="B632">
        <f>390+2*(Table146[[#This Row],[min value (corrected)]]-37)</f>
        <v>412</v>
      </c>
      <c r="C632">
        <f>MINUTE(Table146[[#This Row],[Corrected time]])</f>
        <v>48</v>
      </c>
      <c r="D632" s="1">
        <v>0.49191424768518521</v>
      </c>
      <c r="E632" s="1">
        <f>Table146[[#This Row],[Time]]-TIME(0,0,1)</f>
        <v>0.49190267361111112</v>
      </c>
      <c r="F632" t="s">
        <v>9</v>
      </c>
      <c r="G632">
        <v>-123</v>
      </c>
      <c r="H632">
        <f>Table146[[#This Row],[RSSI]]</f>
        <v>-123</v>
      </c>
      <c r="I632">
        <v>-9.3000000000000007</v>
      </c>
      <c r="L632">
        <f>390+2*(Table257[[#This Row],[min value (corrected)]]-27)</f>
        <v>412</v>
      </c>
      <c r="M632">
        <f>MINUTE(Table257[[#This Row],[Corrected time]])</f>
        <v>38</v>
      </c>
      <c r="N632" s="1">
        <v>0.52654618055555547</v>
      </c>
      <c r="O632" s="1">
        <f>Table257[[#This Row],[Time]]-TIME(0,0,3)</f>
        <v>0.52651145833333324</v>
      </c>
      <c r="P632" t="s">
        <v>9</v>
      </c>
      <c r="Q632">
        <v>-122</v>
      </c>
      <c r="R632">
        <f>Table257[[#This Row],[RSSI]]</f>
        <v>-122</v>
      </c>
      <c r="S632">
        <v>-8.3000000000000007</v>
      </c>
    </row>
    <row r="633" spans="2:19" x14ac:dyDescent="0.25">
      <c r="B633">
        <f>390+2*(Table146[[#This Row],[min value (corrected)]]-37)</f>
        <v>412</v>
      </c>
      <c r="C633">
        <f>MINUTE(Table146[[#This Row],[Corrected time]])</f>
        <v>48</v>
      </c>
      <c r="D633" s="1">
        <v>0.49192728009259257</v>
      </c>
      <c r="E633" s="1">
        <f>Table146[[#This Row],[Time]]-TIME(0,0,1)</f>
        <v>0.49191570601851847</v>
      </c>
      <c r="F633" t="s">
        <v>9</v>
      </c>
      <c r="G633">
        <v>-122</v>
      </c>
      <c r="H633">
        <f>Table146[[#This Row],[RSSI]]</f>
        <v>-122</v>
      </c>
      <c r="I633">
        <v>-9</v>
      </c>
      <c r="L633">
        <f>390+2*(Table257[[#This Row],[min value (corrected)]]-27)</f>
        <v>412</v>
      </c>
      <c r="M633">
        <f>MINUTE(Table257[[#This Row],[Corrected time]])</f>
        <v>38</v>
      </c>
      <c r="N633" s="1">
        <v>0.52655922453703696</v>
      </c>
      <c r="O633" s="1">
        <f>Table257[[#This Row],[Time]]-TIME(0,0,3)</f>
        <v>0.52652450231481474</v>
      </c>
      <c r="P633" t="s">
        <v>9</v>
      </c>
      <c r="Q633">
        <v>-122</v>
      </c>
      <c r="R633">
        <f>Table257[[#This Row],[RSSI]]</f>
        <v>-122</v>
      </c>
      <c r="S633">
        <v>-8.5</v>
      </c>
    </row>
    <row r="634" spans="2:19" x14ac:dyDescent="0.25">
      <c r="B634">
        <f>390+2*(Table146[[#This Row],[min value (corrected)]]-37)</f>
        <v>412</v>
      </c>
      <c r="C634">
        <f>MINUTE(Table146[[#This Row],[Corrected time]])</f>
        <v>48</v>
      </c>
      <c r="D634" s="1">
        <v>0.49194031249999998</v>
      </c>
      <c r="E634" s="1">
        <f>Table146[[#This Row],[Time]]-TIME(0,0,1)</f>
        <v>0.49192873842592588</v>
      </c>
      <c r="F634" t="s">
        <v>13</v>
      </c>
      <c r="G634">
        <f>G633</f>
        <v>-122</v>
      </c>
      <c r="H634">
        <f>Table146[[#This Row],[RSSI]]</f>
        <v>-122</v>
      </c>
      <c r="I634">
        <f>I633</f>
        <v>-9</v>
      </c>
      <c r="L634">
        <f>390+2*(Table257[[#This Row],[min value (corrected)]]-27)</f>
        <v>412</v>
      </c>
      <c r="M634">
        <f>MINUTE(Table257[[#This Row],[Corrected time]])</f>
        <v>38</v>
      </c>
      <c r="N634" s="1">
        <v>0.52657223379629625</v>
      </c>
      <c r="O634" s="1">
        <f>Table257[[#This Row],[Time]]-TIME(0,0,3)</f>
        <v>0.52653751157407402</v>
      </c>
      <c r="P634" t="s">
        <v>9</v>
      </c>
      <c r="Q634">
        <v>-122</v>
      </c>
      <c r="R634">
        <f>Table257[[#This Row],[RSSI]]</f>
        <v>-122</v>
      </c>
      <c r="S634">
        <v>-8.8000000000000007</v>
      </c>
    </row>
    <row r="635" spans="2:19" x14ac:dyDescent="0.25">
      <c r="B635">
        <f>390+2*(Table146[[#This Row],[min value (corrected)]]-37)</f>
        <v>412</v>
      </c>
      <c r="C635">
        <f>MINUTE(Table146[[#This Row],[Corrected time]])</f>
        <v>48</v>
      </c>
      <c r="D635" s="1">
        <v>0.4919533333333333</v>
      </c>
      <c r="E635" s="1">
        <f>Table146[[#This Row],[Time]]-TIME(0,0,1)</f>
        <v>0.4919417592592592</v>
      </c>
      <c r="F635" t="s">
        <v>9</v>
      </c>
      <c r="G635">
        <v>-123</v>
      </c>
      <c r="H635">
        <f>Table146[[#This Row],[RSSI]]</f>
        <v>-123</v>
      </c>
      <c r="I635">
        <v>-9.3000000000000007</v>
      </c>
      <c r="L635">
        <f>390+2*(Table257[[#This Row],[min value (corrected)]]-27)</f>
        <v>412</v>
      </c>
      <c r="M635">
        <f>MINUTE(Table257[[#This Row],[Corrected time]])</f>
        <v>38</v>
      </c>
      <c r="N635" s="1">
        <v>0.52658528935185178</v>
      </c>
      <c r="O635" s="1">
        <f>Table257[[#This Row],[Time]]-TIME(0,0,3)</f>
        <v>0.52655056712962955</v>
      </c>
      <c r="P635" t="s">
        <v>9</v>
      </c>
      <c r="Q635">
        <v>-122</v>
      </c>
      <c r="R635">
        <f>Table257[[#This Row],[RSSI]]</f>
        <v>-122</v>
      </c>
      <c r="S635">
        <v>-8.5</v>
      </c>
    </row>
    <row r="636" spans="2:19" x14ac:dyDescent="0.25">
      <c r="B636">
        <f>390+2*(Table146[[#This Row],[min value (corrected)]]-37)</f>
        <v>412</v>
      </c>
      <c r="C636">
        <f>MINUTE(Table146[[#This Row],[Corrected time]])</f>
        <v>48</v>
      </c>
      <c r="D636" s="1">
        <v>0.4919663773148148</v>
      </c>
      <c r="E636" s="1">
        <f>Table146[[#This Row],[Time]]-TIME(0,0,1)</f>
        <v>0.4919548032407407</v>
      </c>
      <c r="F636" t="s">
        <v>9</v>
      </c>
      <c r="G636">
        <v>-123</v>
      </c>
      <c r="H636">
        <f>Table146[[#This Row],[RSSI]]</f>
        <v>-123</v>
      </c>
      <c r="I636">
        <v>-9.3000000000000007</v>
      </c>
      <c r="L636">
        <f>390+2*(Table257[[#This Row],[min value (corrected)]]-27)</f>
        <v>412</v>
      </c>
      <c r="M636">
        <f>MINUTE(Table257[[#This Row],[Corrected time]])</f>
        <v>38</v>
      </c>
      <c r="N636" s="1">
        <v>0.5265983101851851</v>
      </c>
      <c r="O636" s="1">
        <f>Table257[[#This Row],[Time]]-TIME(0,0,3)</f>
        <v>0.52656358796296288</v>
      </c>
      <c r="P636" t="s">
        <v>9</v>
      </c>
      <c r="Q636">
        <v>-123</v>
      </c>
      <c r="R636">
        <f>Table257[[#This Row],[RSSI]]</f>
        <v>-123</v>
      </c>
      <c r="S636">
        <v>-9</v>
      </c>
    </row>
    <row r="637" spans="2:19" x14ac:dyDescent="0.25">
      <c r="B637">
        <f>390+2*(Table146[[#This Row],[min value (corrected)]]-37)</f>
        <v>412</v>
      </c>
      <c r="C637">
        <f>MINUTE(Table146[[#This Row],[Corrected time]])</f>
        <v>48</v>
      </c>
      <c r="D637" s="1">
        <v>0.49197940972222221</v>
      </c>
      <c r="E637" s="1">
        <f>Table146[[#This Row],[Time]]-TIME(0,0,1)</f>
        <v>0.49196783564814811</v>
      </c>
      <c r="F637" t="s">
        <v>9</v>
      </c>
      <c r="G637">
        <v>-122</v>
      </c>
      <c r="H637">
        <f>Table146[[#This Row],[RSSI]]</f>
        <v>-122</v>
      </c>
      <c r="I637">
        <v>-8.5</v>
      </c>
      <c r="L637">
        <f>390+2*(Table257[[#This Row],[min value (corrected)]]-27)</f>
        <v>412</v>
      </c>
      <c r="M637">
        <f>MINUTE(Table257[[#This Row],[Corrected time]])</f>
        <v>38</v>
      </c>
      <c r="N637" s="1">
        <v>0.52661134259259257</v>
      </c>
      <c r="O637" s="1">
        <f>Table257[[#This Row],[Time]]-TIME(0,0,3)</f>
        <v>0.52657662037037034</v>
      </c>
      <c r="P637" t="s">
        <v>9</v>
      </c>
      <c r="Q637">
        <v>-122</v>
      </c>
      <c r="R637">
        <f>Table257[[#This Row],[RSSI]]</f>
        <v>-122</v>
      </c>
      <c r="S637">
        <v>-8.3000000000000007</v>
      </c>
    </row>
    <row r="638" spans="2:19" x14ac:dyDescent="0.25">
      <c r="B638">
        <f>390+2*(Table146[[#This Row],[min value (corrected)]]-37)</f>
        <v>412</v>
      </c>
      <c r="C638">
        <f>MINUTE(Table146[[#This Row],[Corrected time]])</f>
        <v>48</v>
      </c>
      <c r="D638" s="1">
        <v>0.49199244212962961</v>
      </c>
      <c r="E638" s="1">
        <f>Table146[[#This Row],[Time]]-TIME(0,0,1)</f>
        <v>0.49198086805555552</v>
      </c>
      <c r="F638" t="s">
        <v>13</v>
      </c>
      <c r="G638">
        <f>G637</f>
        <v>-122</v>
      </c>
      <c r="H638">
        <f>Table146[[#This Row],[RSSI]]</f>
        <v>-122</v>
      </c>
      <c r="I638">
        <f>I637</f>
        <v>-8.5</v>
      </c>
      <c r="L638">
        <f>390+2*(Table257[[#This Row],[min value (corrected)]]-27)</f>
        <v>412</v>
      </c>
      <c r="M638">
        <f>MINUTE(Table257[[#This Row],[Corrected time]])</f>
        <v>38</v>
      </c>
      <c r="N638" s="1">
        <v>0.52662437499999992</v>
      </c>
      <c r="O638" s="1">
        <f>Table257[[#This Row],[Time]]-TIME(0,0,3)</f>
        <v>0.52658965277777769</v>
      </c>
      <c r="P638" t="s">
        <v>9</v>
      </c>
      <c r="Q638">
        <v>-122</v>
      </c>
      <c r="R638">
        <f>Table257[[#This Row],[RSSI]]</f>
        <v>-122</v>
      </c>
      <c r="S638">
        <v>-8.5</v>
      </c>
    </row>
    <row r="639" spans="2:19" x14ac:dyDescent="0.25">
      <c r="B639">
        <f>390+2*(Table146[[#This Row],[min value (corrected)]]-37)</f>
        <v>412</v>
      </c>
      <c r="C639">
        <f>MINUTE(Table146[[#This Row],[Corrected time]])</f>
        <v>48</v>
      </c>
      <c r="D639" s="1">
        <v>0.49200546296296294</v>
      </c>
      <c r="E639" s="1">
        <f>Table146[[#This Row],[Time]]-TIME(0,0,1)</f>
        <v>0.49199388888888884</v>
      </c>
      <c r="F639" t="s">
        <v>9</v>
      </c>
      <c r="G639">
        <v>-122</v>
      </c>
      <c r="H639">
        <f>Table146[[#This Row],[RSSI]]</f>
        <v>-122</v>
      </c>
      <c r="I639">
        <v>-8.3000000000000007</v>
      </c>
      <c r="L639">
        <f>390+2*(Table257[[#This Row],[min value (corrected)]]-27)</f>
        <v>412</v>
      </c>
      <c r="M639">
        <f>MINUTE(Table257[[#This Row],[Corrected time]])</f>
        <v>38</v>
      </c>
      <c r="N639" s="1">
        <v>0.52663740740740739</v>
      </c>
      <c r="O639" s="1">
        <f>Table257[[#This Row],[Time]]-TIME(0,0,3)</f>
        <v>0.52660268518518516</v>
      </c>
      <c r="P639" t="s">
        <v>9</v>
      </c>
      <c r="Q639">
        <v>-123</v>
      </c>
      <c r="R639">
        <f>Table257[[#This Row],[RSSI]]</f>
        <v>-123</v>
      </c>
      <c r="S639">
        <v>-9</v>
      </c>
    </row>
    <row r="640" spans="2:19" x14ac:dyDescent="0.25">
      <c r="B640">
        <f>390+2*(Table146[[#This Row],[min value (corrected)]]-37)</f>
        <v>412</v>
      </c>
      <c r="C640">
        <f>MINUTE(Table146[[#This Row],[Corrected time]])</f>
        <v>48</v>
      </c>
      <c r="D640" s="1">
        <v>0.49201850694444443</v>
      </c>
      <c r="E640" s="1">
        <f>Table146[[#This Row],[Time]]-TIME(0,0,1)</f>
        <v>0.49200693287037034</v>
      </c>
      <c r="F640" t="s">
        <v>9</v>
      </c>
      <c r="G640">
        <v>-122</v>
      </c>
      <c r="H640">
        <f>Table146[[#This Row],[RSSI]]</f>
        <v>-122</v>
      </c>
      <c r="I640">
        <v>-8.8000000000000007</v>
      </c>
      <c r="L640">
        <f>390+2*(Table257[[#This Row],[min value (corrected)]]-27)</f>
        <v>412</v>
      </c>
      <c r="M640">
        <f>MINUTE(Table257[[#This Row],[Corrected time]])</f>
        <v>38</v>
      </c>
      <c r="N640" s="1">
        <v>0.52665042824074071</v>
      </c>
      <c r="O640" s="1">
        <f>Table257[[#This Row],[Time]]-TIME(0,0,3)</f>
        <v>0.52661570601851848</v>
      </c>
      <c r="P640" t="s">
        <v>9</v>
      </c>
      <c r="Q640">
        <v>-123</v>
      </c>
      <c r="R640">
        <f>Table257[[#This Row],[RSSI]]</f>
        <v>-123</v>
      </c>
      <c r="S640">
        <v>-9</v>
      </c>
    </row>
    <row r="641" spans="2:19" x14ac:dyDescent="0.25">
      <c r="B641">
        <f>390+2*(Table146[[#This Row],[min value (corrected)]]-37)</f>
        <v>412</v>
      </c>
      <c r="C641">
        <f>MINUTE(Table146[[#This Row],[Corrected time]])</f>
        <v>48</v>
      </c>
      <c r="D641" s="1">
        <v>0.49203153935185184</v>
      </c>
      <c r="E641" s="1">
        <f>Table146[[#This Row],[Time]]-TIME(0,0,1)</f>
        <v>0.49201996527777775</v>
      </c>
      <c r="F641" t="s">
        <v>13</v>
      </c>
      <c r="G641">
        <f>G640</f>
        <v>-122</v>
      </c>
      <c r="H641">
        <f>Table146[[#This Row],[RSSI]]</f>
        <v>-122</v>
      </c>
      <c r="I641">
        <f>I640</f>
        <v>-8.8000000000000007</v>
      </c>
      <c r="L641">
        <f>390+2*(Table257[[#This Row],[min value (corrected)]]-27)</f>
        <v>412</v>
      </c>
      <c r="M641">
        <f>MINUTE(Table257[[#This Row],[Corrected time]])</f>
        <v>38</v>
      </c>
      <c r="N641" s="1">
        <v>0.52666347222222221</v>
      </c>
      <c r="O641" s="1">
        <f>Table257[[#This Row],[Time]]-TIME(0,0,3)</f>
        <v>0.52662874999999998</v>
      </c>
      <c r="P641" t="s">
        <v>9</v>
      </c>
      <c r="Q641">
        <v>-122</v>
      </c>
      <c r="R641">
        <f>Table257[[#This Row],[RSSI]]</f>
        <v>-122</v>
      </c>
      <c r="S641">
        <v>-9</v>
      </c>
    </row>
    <row r="642" spans="2:19" x14ac:dyDescent="0.25">
      <c r="B642">
        <f>390+2*(Table146[[#This Row],[min value (corrected)]]-37)</f>
        <v>412</v>
      </c>
      <c r="C642">
        <f>MINUTE(Table146[[#This Row],[Corrected time]])</f>
        <v>48</v>
      </c>
      <c r="D642" s="1">
        <v>0.49204457175925925</v>
      </c>
      <c r="E642" s="1">
        <f>Table146[[#This Row],[Time]]-TIME(0,0,1)</f>
        <v>0.49203299768518516</v>
      </c>
      <c r="F642" t="s">
        <v>9</v>
      </c>
      <c r="G642">
        <v>-123</v>
      </c>
      <c r="H642">
        <f>Table146[[#This Row],[RSSI]]</f>
        <v>-123</v>
      </c>
      <c r="I642">
        <v>-9</v>
      </c>
      <c r="L642">
        <f>390+2*(Table257[[#This Row],[min value (corrected)]]-27)</f>
        <v>412</v>
      </c>
      <c r="M642">
        <f>MINUTE(Table257[[#This Row],[Corrected time]])</f>
        <v>38</v>
      </c>
      <c r="N642" s="1">
        <v>0.52667650462962956</v>
      </c>
      <c r="O642" s="1">
        <f>Table257[[#This Row],[Time]]-TIME(0,0,3)</f>
        <v>0.52664178240740733</v>
      </c>
      <c r="P642" t="s">
        <v>13</v>
      </c>
      <c r="Q642">
        <f>Q641</f>
        <v>-122</v>
      </c>
      <c r="R642">
        <f>Table257[[#This Row],[RSSI]]</f>
        <v>-122</v>
      </c>
      <c r="S642">
        <f>S641</f>
        <v>-9</v>
      </c>
    </row>
    <row r="643" spans="2:19" x14ac:dyDescent="0.25">
      <c r="B643">
        <f>390+2*(Table146[[#This Row],[min value (corrected)]]-37)</f>
        <v>412</v>
      </c>
      <c r="C643">
        <f>MINUTE(Table146[[#This Row],[Corrected time]])</f>
        <v>48</v>
      </c>
      <c r="D643" s="1">
        <v>0.49205760416666666</v>
      </c>
      <c r="E643" s="1">
        <f>Table146[[#This Row],[Time]]-TIME(0,0,1)</f>
        <v>0.49204603009259257</v>
      </c>
      <c r="F643" t="s">
        <v>9</v>
      </c>
      <c r="G643">
        <v>-122</v>
      </c>
      <c r="H643">
        <f>Table146[[#This Row],[RSSI]]</f>
        <v>-122</v>
      </c>
      <c r="I643">
        <v>-8.5</v>
      </c>
      <c r="L643">
        <f>390+2*(Table257[[#This Row],[min value (corrected)]]-27)</f>
        <v>412</v>
      </c>
      <c r="M643">
        <f>MINUTE(Table257[[#This Row],[Corrected time]])</f>
        <v>38</v>
      </c>
      <c r="N643" s="1">
        <v>0.52668953703703703</v>
      </c>
      <c r="O643" s="1">
        <f>Table257[[#This Row],[Time]]-TIME(0,0,3)</f>
        <v>0.5266548148148148</v>
      </c>
      <c r="P643" t="s">
        <v>9</v>
      </c>
      <c r="Q643">
        <v>-122</v>
      </c>
      <c r="R643">
        <f>Table257[[#This Row],[RSSI]]</f>
        <v>-122</v>
      </c>
      <c r="S643">
        <v>-8.3000000000000007</v>
      </c>
    </row>
    <row r="644" spans="2:19" x14ac:dyDescent="0.25">
      <c r="B644">
        <f>390+2*(Table146[[#This Row],[min value (corrected)]]-37)</f>
        <v>412</v>
      </c>
      <c r="C644">
        <f>MINUTE(Table146[[#This Row],[Corrected time]])</f>
        <v>48</v>
      </c>
      <c r="D644" s="1">
        <v>0.49207062500000004</v>
      </c>
      <c r="E644" s="1">
        <f>Table146[[#This Row],[Time]]-TIME(0,0,1)</f>
        <v>0.49205905092592594</v>
      </c>
      <c r="F644" t="s">
        <v>9</v>
      </c>
      <c r="G644">
        <v>-123</v>
      </c>
      <c r="H644">
        <f>Table146[[#This Row],[RSSI]]</f>
        <v>-123</v>
      </c>
      <c r="I644">
        <v>-9</v>
      </c>
      <c r="L644">
        <f>390+2*(Table257[[#This Row],[min value (corrected)]]-27)</f>
        <v>412</v>
      </c>
      <c r="M644">
        <f>MINUTE(Table257[[#This Row],[Corrected time]])</f>
        <v>38</v>
      </c>
      <c r="N644" s="1">
        <v>0.52670256944444438</v>
      </c>
      <c r="O644" s="1">
        <f>Table257[[#This Row],[Time]]-TIME(0,0,3)</f>
        <v>0.52666784722222215</v>
      </c>
      <c r="P644" t="s">
        <v>13</v>
      </c>
      <c r="Q644">
        <f>Q643</f>
        <v>-122</v>
      </c>
      <c r="R644">
        <f>Table257[[#This Row],[RSSI]]</f>
        <v>-122</v>
      </c>
      <c r="S644">
        <f>S643</f>
        <v>-8.3000000000000007</v>
      </c>
    </row>
    <row r="645" spans="2:19" x14ac:dyDescent="0.25">
      <c r="B645">
        <f>390+2*(Table146[[#This Row],[min value (corrected)]]-37)</f>
        <v>412</v>
      </c>
      <c r="C645">
        <f>MINUTE(Table146[[#This Row],[Corrected time]])</f>
        <v>48</v>
      </c>
      <c r="D645" s="1">
        <v>0.49208366898148148</v>
      </c>
      <c r="E645" s="1">
        <f>Table146[[#This Row],[Time]]-TIME(0,0,1)</f>
        <v>0.49207209490740739</v>
      </c>
      <c r="F645" t="s">
        <v>9</v>
      </c>
      <c r="G645">
        <v>-123</v>
      </c>
      <c r="H645">
        <f>Table146[[#This Row],[RSSI]]</f>
        <v>-123</v>
      </c>
      <c r="I645">
        <v>-9</v>
      </c>
      <c r="L645">
        <f>390+2*(Table257[[#This Row],[min value (corrected)]]-27)</f>
        <v>412</v>
      </c>
      <c r="M645">
        <f>MINUTE(Table257[[#This Row],[Corrected time]])</f>
        <v>38</v>
      </c>
      <c r="N645" s="1">
        <v>0.52671561342592588</v>
      </c>
      <c r="O645" s="1">
        <f>Table257[[#This Row],[Time]]-TIME(0,0,3)</f>
        <v>0.52668089120370365</v>
      </c>
      <c r="P645" t="s">
        <v>9</v>
      </c>
      <c r="Q645">
        <v>-121</v>
      </c>
      <c r="R645">
        <f>Table257[[#This Row],[RSSI]]</f>
        <v>-121</v>
      </c>
      <c r="S645">
        <v>-8.3000000000000007</v>
      </c>
    </row>
    <row r="646" spans="2:19" x14ac:dyDescent="0.25">
      <c r="B646">
        <f>390+2*(Table146[[#This Row],[min value (corrected)]]-37)</f>
        <v>412</v>
      </c>
      <c r="C646">
        <f>MINUTE(Table146[[#This Row],[Corrected time]])</f>
        <v>48</v>
      </c>
      <c r="D646" s="1">
        <v>0.49209670138888889</v>
      </c>
      <c r="E646" s="1">
        <f>Table146[[#This Row],[Time]]-TIME(0,0,1)</f>
        <v>0.4920851273148148</v>
      </c>
      <c r="F646" t="s">
        <v>13</v>
      </c>
      <c r="G646">
        <f t="shared" ref="G646:G647" si="31">G645</f>
        <v>-123</v>
      </c>
      <c r="H646">
        <f>Table146[[#This Row],[RSSI]]</f>
        <v>-123</v>
      </c>
      <c r="I646">
        <f t="shared" ref="I646:I647" si="32">I645</f>
        <v>-9</v>
      </c>
      <c r="L646">
        <f>390+2*(Table257[[#This Row],[min value (corrected)]]-27)</f>
        <v>412</v>
      </c>
      <c r="M646">
        <f>MINUTE(Table257[[#This Row],[Corrected time]])</f>
        <v>38</v>
      </c>
      <c r="N646" s="1">
        <v>0.5267286342592592</v>
      </c>
      <c r="O646" s="1">
        <f>Table257[[#This Row],[Time]]-TIME(0,0,3)</f>
        <v>0.52669391203703697</v>
      </c>
      <c r="P646" t="s">
        <v>9</v>
      </c>
      <c r="Q646">
        <v>-122</v>
      </c>
      <c r="R646">
        <f>Table257[[#This Row],[RSSI]]</f>
        <v>-122</v>
      </c>
      <c r="S646">
        <v>-8</v>
      </c>
    </row>
    <row r="647" spans="2:19" x14ac:dyDescent="0.25">
      <c r="B647">
        <f>390+2*(Table146[[#This Row],[min value (corrected)]]-37)</f>
        <v>412</v>
      </c>
      <c r="C647">
        <f>MINUTE(Table146[[#This Row],[Corrected time]])</f>
        <v>48</v>
      </c>
      <c r="D647" s="1">
        <v>0.4921097337962963</v>
      </c>
      <c r="E647" s="1">
        <f>Table146[[#This Row],[Time]]-TIME(0,0,1)</f>
        <v>0.49209815972222221</v>
      </c>
      <c r="F647" t="s">
        <v>13</v>
      </c>
      <c r="G647">
        <f t="shared" si="31"/>
        <v>-123</v>
      </c>
      <c r="H647">
        <f>Table146[[#This Row],[RSSI]]</f>
        <v>-123</v>
      </c>
      <c r="I647">
        <f t="shared" si="32"/>
        <v>-9</v>
      </c>
      <c r="L647">
        <f>390+2*(Table257[[#This Row],[min value (corrected)]]-27)</f>
        <v>412</v>
      </c>
      <c r="M647">
        <f>MINUTE(Table257[[#This Row],[Corrected time]])</f>
        <v>38</v>
      </c>
      <c r="N647" s="1">
        <v>0.52674166666666666</v>
      </c>
      <c r="O647" s="1">
        <f>Table257[[#This Row],[Time]]-TIME(0,0,3)</f>
        <v>0.52670694444444444</v>
      </c>
      <c r="P647" t="s">
        <v>9</v>
      </c>
      <c r="Q647">
        <v>-122</v>
      </c>
      <c r="R647">
        <f>Table257[[#This Row],[RSSI]]</f>
        <v>-122</v>
      </c>
      <c r="S647">
        <v>-8</v>
      </c>
    </row>
    <row r="648" spans="2:19" x14ac:dyDescent="0.25">
      <c r="B648">
        <f>390+2*(Table146[[#This Row],[min value (corrected)]]-37)</f>
        <v>412</v>
      </c>
      <c r="C648">
        <f>MINUTE(Table146[[#This Row],[Corrected time]])</f>
        <v>48</v>
      </c>
      <c r="D648" s="1">
        <v>0.49212276620370371</v>
      </c>
      <c r="E648" s="1">
        <f>Table146[[#This Row],[Time]]-TIME(0,0,1)</f>
        <v>0.49211119212962962</v>
      </c>
      <c r="F648" t="s">
        <v>9</v>
      </c>
      <c r="G648">
        <v>-122</v>
      </c>
      <c r="H648">
        <f>Table146[[#This Row],[RSSI]]</f>
        <v>-122</v>
      </c>
      <c r="I648">
        <v>-8.5</v>
      </c>
      <c r="L648">
        <f>390+2*(Table257[[#This Row],[min value (corrected)]]-27)</f>
        <v>412</v>
      </c>
      <c r="M648">
        <f>MINUTE(Table257[[#This Row],[Corrected time]])</f>
        <v>38</v>
      </c>
      <c r="N648" s="1">
        <v>0.52675469907407402</v>
      </c>
      <c r="O648" s="1">
        <f>Table257[[#This Row],[Time]]-TIME(0,0,3)</f>
        <v>0.52671997685185179</v>
      </c>
      <c r="P648" t="s">
        <v>9</v>
      </c>
      <c r="Q648">
        <v>-122</v>
      </c>
      <c r="R648">
        <f>Table257[[#This Row],[RSSI]]</f>
        <v>-122</v>
      </c>
      <c r="S648">
        <v>-8.3000000000000007</v>
      </c>
    </row>
    <row r="649" spans="2:19" x14ac:dyDescent="0.25">
      <c r="B649">
        <f>390+2*(Table146[[#This Row],[min value (corrected)]]-37)</f>
        <v>412</v>
      </c>
      <c r="C649">
        <f>MINUTE(Table146[[#This Row],[Corrected time]])</f>
        <v>48</v>
      </c>
      <c r="D649" s="1">
        <v>0.49213579861111112</v>
      </c>
      <c r="E649" s="1">
        <f>Table146[[#This Row],[Time]]-TIME(0,0,1)</f>
        <v>0.49212422453703702</v>
      </c>
      <c r="F649" t="s">
        <v>9</v>
      </c>
      <c r="G649">
        <v>-122</v>
      </c>
      <c r="H649">
        <f>Table146[[#This Row],[RSSI]]</f>
        <v>-122</v>
      </c>
      <c r="I649">
        <v>-8.8000000000000007</v>
      </c>
      <c r="L649">
        <f>390+2*(Table257[[#This Row],[min value (corrected)]]-27)</f>
        <v>412</v>
      </c>
      <c r="M649">
        <f>MINUTE(Table257[[#This Row],[Corrected time]])</f>
        <v>38</v>
      </c>
      <c r="N649" s="1">
        <v>0.52676773148148148</v>
      </c>
      <c r="O649" s="1">
        <f>Table257[[#This Row],[Time]]-TIME(0,0,3)</f>
        <v>0.52673300925925925</v>
      </c>
      <c r="P649" t="s">
        <v>9</v>
      </c>
      <c r="Q649">
        <v>-122</v>
      </c>
      <c r="R649">
        <f>Table257[[#This Row],[RSSI]]</f>
        <v>-122</v>
      </c>
      <c r="S649">
        <v>-8.3000000000000007</v>
      </c>
    </row>
    <row r="650" spans="2:19" x14ac:dyDescent="0.25">
      <c r="B650">
        <f>390+2*(Table146[[#This Row],[min value (corrected)]]-37)</f>
        <v>412</v>
      </c>
      <c r="C650">
        <f>MINUTE(Table146[[#This Row],[Corrected time]])</f>
        <v>48</v>
      </c>
      <c r="D650" s="1">
        <v>0.49214883101851853</v>
      </c>
      <c r="E650" s="1">
        <f>Table146[[#This Row],[Time]]-TIME(0,0,1)</f>
        <v>0.49213725694444443</v>
      </c>
      <c r="F650" t="s">
        <v>9</v>
      </c>
      <c r="G650">
        <v>-122</v>
      </c>
      <c r="H650">
        <f>Table146[[#This Row],[RSSI]]</f>
        <v>-122</v>
      </c>
      <c r="I650">
        <v>-8.8000000000000007</v>
      </c>
      <c r="L650">
        <f>390+2*(Table257[[#This Row],[min value (corrected)]]-27)</f>
        <v>412</v>
      </c>
      <c r="M650">
        <f>MINUTE(Table257[[#This Row],[Corrected time]])</f>
        <v>38</v>
      </c>
      <c r="N650" s="1">
        <v>0.52678076388888884</v>
      </c>
      <c r="O650" s="1">
        <f>Table257[[#This Row],[Time]]-TIME(0,0,3)</f>
        <v>0.52674604166666661</v>
      </c>
      <c r="P650" t="s">
        <v>9</v>
      </c>
      <c r="Q650">
        <v>-122</v>
      </c>
      <c r="R650">
        <f>Table257[[#This Row],[RSSI]]</f>
        <v>-122</v>
      </c>
      <c r="S650">
        <v>-9</v>
      </c>
    </row>
    <row r="651" spans="2:19" x14ac:dyDescent="0.25">
      <c r="B651">
        <f>390+2*(Table146[[#This Row],[min value (corrected)]]-37)</f>
        <v>412</v>
      </c>
      <c r="C651">
        <f>MINUTE(Table146[[#This Row],[Corrected time]])</f>
        <v>48</v>
      </c>
      <c r="D651" s="1">
        <v>0.49216186342592599</v>
      </c>
      <c r="E651" s="1">
        <f>Table146[[#This Row],[Time]]-TIME(0,0,1)</f>
        <v>0.4921502893518519</v>
      </c>
      <c r="F651" t="s">
        <v>9</v>
      </c>
      <c r="G651">
        <v>-122</v>
      </c>
      <c r="H651">
        <f>Table146[[#This Row],[RSSI]]</f>
        <v>-122</v>
      </c>
      <c r="I651">
        <v>-9</v>
      </c>
      <c r="L651">
        <f>390+2*(Table257[[#This Row],[min value (corrected)]]-27)</f>
        <v>412</v>
      </c>
      <c r="M651">
        <f>MINUTE(Table257[[#This Row],[Corrected time]])</f>
        <v>38</v>
      </c>
      <c r="N651" s="1">
        <v>0.5267937962962963</v>
      </c>
      <c r="O651" s="1">
        <f>Table257[[#This Row],[Time]]-TIME(0,0,3)</f>
        <v>0.52675907407407407</v>
      </c>
      <c r="P651" t="s">
        <v>9</v>
      </c>
      <c r="Q651">
        <v>-122</v>
      </c>
      <c r="R651">
        <f>Table257[[#This Row],[RSSI]]</f>
        <v>-122</v>
      </c>
      <c r="S651">
        <v>-8.5</v>
      </c>
    </row>
    <row r="652" spans="2:19" x14ac:dyDescent="0.25">
      <c r="B652">
        <f>390+2*(Table146[[#This Row],[min value (corrected)]]-37)</f>
        <v>412</v>
      </c>
      <c r="C652">
        <f>MINUTE(Table146[[#This Row],[Corrected time]])</f>
        <v>48</v>
      </c>
      <c r="D652" s="1">
        <v>0.49217489583333335</v>
      </c>
      <c r="E652" s="1">
        <f>Table146[[#This Row],[Time]]-TIME(0,0,1)</f>
        <v>0.49216332175925925</v>
      </c>
      <c r="F652" t="s">
        <v>13</v>
      </c>
      <c r="G652">
        <f>G651</f>
        <v>-122</v>
      </c>
      <c r="H652">
        <f>Table146[[#This Row],[RSSI]]</f>
        <v>-122</v>
      </c>
      <c r="I652">
        <f>I651</f>
        <v>-9</v>
      </c>
      <c r="L652">
        <f>390+2*(Table257[[#This Row],[min value (corrected)]]-27)</f>
        <v>412</v>
      </c>
      <c r="M652">
        <f>MINUTE(Table257[[#This Row],[Corrected time]])</f>
        <v>38</v>
      </c>
      <c r="N652" s="1">
        <v>0.52680682870370366</v>
      </c>
      <c r="O652" s="1">
        <f>Table257[[#This Row],[Time]]-TIME(0,0,3)</f>
        <v>0.52677210648148143</v>
      </c>
      <c r="P652" t="s">
        <v>9</v>
      </c>
      <c r="Q652">
        <v>-122</v>
      </c>
      <c r="R652">
        <f>Table257[[#This Row],[RSSI]]</f>
        <v>-122</v>
      </c>
      <c r="S652">
        <v>-8.3000000000000007</v>
      </c>
    </row>
    <row r="653" spans="2:19" x14ac:dyDescent="0.25">
      <c r="B653">
        <f>390+2*(Table146[[#This Row],[min value (corrected)]]-37)</f>
        <v>412</v>
      </c>
      <c r="C653">
        <f>MINUTE(Table146[[#This Row],[Corrected time]])</f>
        <v>48</v>
      </c>
      <c r="D653" s="1">
        <v>0.4921879282407407</v>
      </c>
      <c r="E653" s="1">
        <f>Table146[[#This Row],[Time]]-TIME(0,0,1)</f>
        <v>0.49217635416666661</v>
      </c>
      <c r="F653" t="s">
        <v>9</v>
      </c>
      <c r="G653">
        <v>-123</v>
      </c>
      <c r="H653">
        <f>Table146[[#This Row],[RSSI]]</f>
        <v>-123</v>
      </c>
      <c r="I653">
        <v>-9</v>
      </c>
      <c r="L653">
        <f>390+2*(Table257[[#This Row],[min value (corrected)]]-27)</f>
        <v>412</v>
      </c>
      <c r="M653">
        <f>MINUTE(Table257[[#This Row],[Corrected time]])</f>
        <v>38</v>
      </c>
      <c r="N653" s="1">
        <v>0.52681986111111112</v>
      </c>
      <c r="O653" s="1">
        <f>Table257[[#This Row],[Time]]-TIME(0,0,3)</f>
        <v>0.52678513888888889</v>
      </c>
      <c r="P653" t="s">
        <v>13</v>
      </c>
      <c r="Q653">
        <f>Q652</f>
        <v>-122</v>
      </c>
      <c r="R653">
        <f>Table257[[#This Row],[RSSI]]</f>
        <v>-122</v>
      </c>
      <c r="S653">
        <f>S652</f>
        <v>-8.3000000000000007</v>
      </c>
    </row>
    <row r="654" spans="2:19" x14ac:dyDescent="0.25">
      <c r="B654">
        <f>390+2*(Table146[[#This Row],[min value (corrected)]]-37)</f>
        <v>412</v>
      </c>
      <c r="C654">
        <f>MINUTE(Table146[[#This Row],[Corrected time]])</f>
        <v>48</v>
      </c>
      <c r="D654" s="1">
        <v>0.49220096064814817</v>
      </c>
      <c r="E654" s="1">
        <f>Table146[[#This Row],[Time]]-TIME(0,0,1)</f>
        <v>0.49218938657407407</v>
      </c>
      <c r="F654" t="s">
        <v>9</v>
      </c>
      <c r="G654">
        <v>-123</v>
      </c>
      <c r="H654">
        <f>Table146[[#This Row],[RSSI]]</f>
        <v>-123</v>
      </c>
      <c r="I654">
        <v>-9</v>
      </c>
      <c r="L654">
        <f>390+2*(Table257[[#This Row],[min value (corrected)]]-27)</f>
        <v>412</v>
      </c>
      <c r="M654">
        <f>MINUTE(Table257[[#This Row],[Corrected time]])</f>
        <v>38</v>
      </c>
      <c r="N654" s="1">
        <v>0.52683289351851847</v>
      </c>
      <c r="O654" s="1">
        <f>Table257[[#This Row],[Time]]-TIME(0,0,3)</f>
        <v>0.52679817129629625</v>
      </c>
      <c r="P654" t="s">
        <v>9</v>
      </c>
      <c r="Q654">
        <v>-122</v>
      </c>
      <c r="R654">
        <f>Table257[[#This Row],[RSSI]]</f>
        <v>-122</v>
      </c>
      <c r="S654">
        <v>-8.3000000000000007</v>
      </c>
    </row>
    <row r="655" spans="2:19" x14ac:dyDescent="0.25">
      <c r="B655">
        <f>390+2*(Table146[[#This Row],[min value (corrected)]]-37)</f>
        <v>412</v>
      </c>
      <c r="C655">
        <f>MINUTE(Table146[[#This Row],[Corrected time]])</f>
        <v>48</v>
      </c>
      <c r="D655" s="1">
        <v>0.49221399305555552</v>
      </c>
      <c r="E655" s="1">
        <f>Table146[[#This Row],[Time]]-TIME(0,0,1)</f>
        <v>0.49220241898148143</v>
      </c>
      <c r="F655" t="s">
        <v>13</v>
      </c>
      <c r="G655">
        <f>G654</f>
        <v>-123</v>
      </c>
      <c r="H655">
        <f>Table146[[#This Row],[RSSI]]</f>
        <v>-123</v>
      </c>
      <c r="I655">
        <f>I654</f>
        <v>-9</v>
      </c>
      <c r="L655">
        <f>390+2*(Table257[[#This Row],[min value (corrected)]]-27)</f>
        <v>412</v>
      </c>
      <c r="M655">
        <f>MINUTE(Table257[[#This Row],[Corrected time]])</f>
        <v>38</v>
      </c>
      <c r="N655" s="1">
        <v>0.52684592592592594</v>
      </c>
      <c r="O655" s="1">
        <f>Table257[[#This Row],[Time]]-TIME(0,0,3)</f>
        <v>0.52681120370370371</v>
      </c>
      <c r="P655" t="s">
        <v>9</v>
      </c>
      <c r="Q655">
        <v>-122</v>
      </c>
      <c r="R655">
        <f>Table257[[#This Row],[RSSI]]</f>
        <v>-122</v>
      </c>
      <c r="S655">
        <v>-8.5</v>
      </c>
    </row>
    <row r="656" spans="2:19" x14ac:dyDescent="0.25">
      <c r="B656">
        <f>390+2*(Table146[[#This Row],[min value (corrected)]]-37)</f>
        <v>412</v>
      </c>
      <c r="C656">
        <f>MINUTE(Table146[[#This Row],[Corrected time]])</f>
        <v>48</v>
      </c>
      <c r="D656" s="1">
        <v>0.49222702546296299</v>
      </c>
      <c r="E656" s="1">
        <f>Table146[[#This Row],[Time]]-TIME(0,0,1)</f>
        <v>0.49221545138888889</v>
      </c>
      <c r="F656" t="s">
        <v>9</v>
      </c>
      <c r="G656">
        <v>-122</v>
      </c>
      <c r="H656">
        <f>Table146[[#This Row],[RSSI]]</f>
        <v>-122</v>
      </c>
      <c r="I656">
        <v>-8.3000000000000007</v>
      </c>
      <c r="L656">
        <f>390+2*(Table257[[#This Row],[min value (corrected)]]-27)</f>
        <v>412</v>
      </c>
      <c r="M656">
        <f>MINUTE(Table257[[#This Row],[Corrected time]])</f>
        <v>38</v>
      </c>
      <c r="N656" s="1">
        <v>0.5268589583333334</v>
      </c>
      <c r="O656" s="1">
        <f>Table257[[#This Row],[Time]]-TIME(0,0,3)</f>
        <v>0.52682423611111118</v>
      </c>
      <c r="P656" t="s">
        <v>13</v>
      </c>
      <c r="Q656">
        <f>Q655</f>
        <v>-122</v>
      </c>
      <c r="R656">
        <f>Table257[[#This Row],[RSSI]]</f>
        <v>-122</v>
      </c>
      <c r="S656">
        <f>S655</f>
        <v>-8.5</v>
      </c>
    </row>
    <row r="657" spans="2:19" x14ac:dyDescent="0.25">
      <c r="B657">
        <f>390+2*(Table146[[#This Row],[min value (corrected)]]-37)</f>
        <v>412</v>
      </c>
      <c r="C657">
        <f>MINUTE(Table146[[#This Row],[Corrected time]])</f>
        <v>48</v>
      </c>
      <c r="D657" s="1">
        <v>0.49224005787037034</v>
      </c>
      <c r="E657" s="1">
        <f>Table146[[#This Row],[Time]]-TIME(0,0,1)</f>
        <v>0.49222848379629625</v>
      </c>
      <c r="F657" t="s">
        <v>13</v>
      </c>
      <c r="G657">
        <f>G656</f>
        <v>-122</v>
      </c>
      <c r="H657">
        <f>Table146[[#This Row],[RSSI]]</f>
        <v>-122</v>
      </c>
      <c r="I657">
        <f>I656</f>
        <v>-8.3000000000000007</v>
      </c>
      <c r="L657">
        <f>390+2*(Table257[[#This Row],[min value (corrected)]]-27)</f>
        <v>412</v>
      </c>
      <c r="M657">
        <f>MINUTE(Table257[[#This Row],[Corrected time]])</f>
        <v>38</v>
      </c>
      <c r="N657" s="1">
        <v>0.52687199074074076</v>
      </c>
      <c r="O657" s="1">
        <f>Table257[[#This Row],[Time]]-TIME(0,0,3)</f>
        <v>0.52683726851851853</v>
      </c>
      <c r="P657" t="s">
        <v>9</v>
      </c>
      <c r="Q657">
        <v>-122</v>
      </c>
      <c r="R657">
        <f>Table257[[#This Row],[RSSI]]</f>
        <v>-122</v>
      </c>
      <c r="S657">
        <v>-9</v>
      </c>
    </row>
    <row r="658" spans="2:19" x14ac:dyDescent="0.25">
      <c r="B658">
        <f>390+2*(Table146[[#This Row],[min value (corrected)]]-37)</f>
        <v>412</v>
      </c>
      <c r="C658">
        <f>MINUTE(Table146[[#This Row],[Corrected time]])</f>
        <v>48</v>
      </c>
      <c r="D658" s="1">
        <v>0.49225309027777781</v>
      </c>
      <c r="E658" s="1">
        <f>Table146[[#This Row],[Time]]-TIME(0,0,1)</f>
        <v>0.49224151620370371</v>
      </c>
      <c r="F658" t="s">
        <v>9</v>
      </c>
      <c r="G658">
        <v>-122</v>
      </c>
      <c r="H658">
        <f>Table146[[#This Row],[RSSI]]</f>
        <v>-122</v>
      </c>
      <c r="I658">
        <v>-8.8000000000000007</v>
      </c>
      <c r="L658">
        <f>390+2*(Table257[[#This Row],[min value (corrected)]]-27)</f>
        <v>412</v>
      </c>
      <c r="M658">
        <f>MINUTE(Table257[[#This Row],[Corrected time]])</f>
        <v>38</v>
      </c>
      <c r="N658" s="1">
        <v>0.52688502314814822</v>
      </c>
      <c r="O658" s="1">
        <f>Table257[[#This Row],[Time]]-TIME(0,0,3)</f>
        <v>0.526850300925926</v>
      </c>
      <c r="P658" t="s">
        <v>9</v>
      </c>
      <c r="Q658">
        <v>-123</v>
      </c>
      <c r="R658">
        <f>Table257[[#This Row],[RSSI]]</f>
        <v>-123</v>
      </c>
      <c r="S658">
        <v>-9</v>
      </c>
    </row>
    <row r="659" spans="2:19" x14ac:dyDescent="0.25">
      <c r="B659">
        <f>390+2*(Table146[[#This Row],[min value (corrected)]]-37)</f>
        <v>412</v>
      </c>
      <c r="C659">
        <f>MINUTE(Table146[[#This Row],[Corrected time]])</f>
        <v>48</v>
      </c>
      <c r="D659" s="1">
        <v>0.49226612268518516</v>
      </c>
      <c r="E659" s="1">
        <f>Table146[[#This Row],[Time]]-TIME(0,0,1)</f>
        <v>0.49225454861111106</v>
      </c>
      <c r="F659" t="s">
        <v>9</v>
      </c>
      <c r="G659">
        <v>-123</v>
      </c>
      <c r="H659">
        <f>Table146[[#This Row],[RSSI]]</f>
        <v>-123</v>
      </c>
      <c r="I659">
        <v>-9.3000000000000007</v>
      </c>
      <c r="L659">
        <f>390+2*(Table257[[#This Row],[min value (corrected)]]-27)</f>
        <v>412</v>
      </c>
      <c r="M659">
        <f>MINUTE(Table257[[#This Row],[Corrected time]])</f>
        <v>38</v>
      </c>
      <c r="N659" s="1">
        <v>0.52689805555555558</v>
      </c>
      <c r="O659" s="1">
        <f>Table257[[#This Row],[Time]]-TIME(0,0,3)</f>
        <v>0.52686333333333335</v>
      </c>
      <c r="P659" t="s">
        <v>9</v>
      </c>
      <c r="Q659">
        <v>-122</v>
      </c>
      <c r="R659">
        <f>Table257[[#This Row],[RSSI]]</f>
        <v>-122</v>
      </c>
      <c r="S659">
        <v>-9</v>
      </c>
    </row>
    <row r="660" spans="2:19" x14ac:dyDescent="0.25">
      <c r="B660">
        <f>390+2*(Table146[[#This Row],[min value (corrected)]]-37)</f>
        <v>412</v>
      </c>
      <c r="C660">
        <f>MINUTE(Table146[[#This Row],[Corrected time]])</f>
        <v>48</v>
      </c>
      <c r="D660" s="1">
        <v>0.49227915509259262</v>
      </c>
      <c r="E660" s="1">
        <f>Table146[[#This Row],[Time]]-TIME(0,0,1)</f>
        <v>0.49226758101851853</v>
      </c>
      <c r="F660" t="s">
        <v>13</v>
      </c>
      <c r="G660">
        <f t="shared" ref="G660:G661" si="33">G659</f>
        <v>-123</v>
      </c>
      <c r="H660">
        <f>Table146[[#This Row],[RSSI]]</f>
        <v>-123</v>
      </c>
      <c r="I660">
        <f t="shared" ref="I660:I661" si="34">I659</f>
        <v>-9.3000000000000007</v>
      </c>
      <c r="L660">
        <f>390+2*(Table257[[#This Row],[min value (corrected)]]-27)</f>
        <v>412</v>
      </c>
      <c r="M660">
        <f>MINUTE(Table257[[#This Row],[Corrected time]])</f>
        <v>38</v>
      </c>
      <c r="N660" s="1">
        <v>0.52691108796296304</v>
      </c>
      <c r="O660" s="1">
        <f>Table257[[#This Row],[Time]]-TIME(0,0,3)</f>
        <v>0.52687636574074082</v>
      </c>
      <c r="P660" t="s">
        <v>9</v>
      </c>
      <c r="Q660">
        <v>-122</v>
      </c>
      <c r="R660">
        <f>Table257[[#This Row],[RSSI]]</f>
        <v>-122</v>
      </c>
      <c r="S660">
        <v>-9</v>
      </c>
    </row>
    <row r="661" spans="2:19" x14ac:dyDescent="0.25">
      <c r="B661">
        <f>390+2*(Table146[[#This Row],[min value (corrected)]]-37)</f>
        <v>412</v>
      </c>
      <c r="C661">
        <f>MINUTE(Table146[[#This Row],[Corrected time]])</f>
        <v>48</v>
      </c>
      <c r="D661" s="1">
        <v>0.49229218749999998</v>
      </c>
      <c r="E661" s="1">
        <f>Table146[[#This Row],[Time]]-TIME(0,0,1)</f>
        <v>0.49228061342592588</v>
      </c>
      <c r="F661" t="s">
        <v>13</v>
      </c>
      <c r="G661">
        <f t="shared" si="33"/>
        <v>-123</v>
      </c>
      <c r="H661">
        <f>Table146[[#This Row],[RSSI]]</f>
        <v>-123</v>
      </c>
      <c r="I661">
        <f t="shared" si="34"/>
        <v>-9.3000000000000007</v>
      </c>
      <c r="L661">
        <f>390+2*(Table257[[#This Row],[min value (corrected)]]-27)</f>
        <v>412</v>
      </c>
      <c r="M661">
        <f>MINUTE(Table257[[#This Row],[Corrected time]])</f>
        <v>38</v>
      </c>
      <c r="N661" s="1">
        <v>0.52692410879629636</v>
      </c>
      <c r="O661" s="1">
        <f>Table257[[#This Row],[Time]]-TIME(0,0,3)</f>
        <v>0.52688938657407414</v>
      </c>
      <c r="P661" t="s">
        <v>9</v>
      </c>
      <c r="Q661">
        <v>-119</v>
      </c>
      <c r="R661">
        <f>Table257[[#This Row],[RSSI]]</f>
        <v>-119</v>
      </c>
      <c r="S661">
        <v>-8.5</v>
      </c>
    </row>
    <row r="662" spans="2:19" x14ac:dyDescent="0.25">
      <c r="B662">
        <f>390+2*(Table146[[#This Row],[min value (corrected)]]-37)</f>
        <v>412</v>
      </c>
      <c r="C662">
        <f>MINUTE(Table146[[#This Row],[Corrected time]])</f>
        <v>48</v>
      </c>
      <c r="D662" s="1">
        <v>0.49230521990740744</v>
      </c>
      <c r="E662" s="1">
        <f>Table146[[#This Row],[Time]]-TIME(0,0,1)</f>
        <v>0.49229364583333335</v>
      </c>
      <c r="F662" t="s">
        <v>9</v>
      </c>
      <c r="G662">
        <v>-123</v>
      </c>
      <c r="H662">
        <f>Table146[[#This Row],[RSSI]]</f>
        <v>-123</v>
      </c>
      <c r="I662">
        <v>-9.8000000000000007</v>
      </c>
      <c r="L662">
        <f>390+2*(Table257[[#This Row],[min value (corrected)]]-27)</f>
        <v>412</v>
      </c>
      <c r="M662">
        <f>MINUTE(Table257[[#This Row],[Corrected time]])</f>
        <v>38</v>
      </c>
      <c r="N662" s="1">
        <v>0.52693715277777786</v>
      </c>
      <c r="O662" s="1">
        <f>Table257[[#This Row],[Time]]-TIME(0,0,3)</f>
        <v>0.52690243055555563</v>
      </c>
      <c r="P662" t="s">
        <v>9</v>
      </c>
      <c r="Q662">
        <v>-122</v>
      </c>
      <c r="R662">
        <f>Table257[[#This Row],[RSSI]]</f>
        <v>-122</v>
      </c>
      <c r="S662">
        <v>-8</v>
      </c>
    </row>
    <row r="663" spans="2:19" x14ac:dyDescent="0.25">
      <c r="B663">
        <f>390+2*(Table146[[#This Row],[min value (corrected)]]-37)</f>
        <v>412</v>
      </c>
      <c r="C663">
        <f>MINUTE(Table146[[#This Row],[Corrected time]])</f>
        <v>48</v>
      </c>
      <c r="D663" s="1">
        <v>0.49231824074074076</v>
      </c>
      <c r="E663" s="1">
        <f>Table146[[#This Row],[Time]]-TIME(0,0,1)</f>
        <v>0.49230666666666667</v>
      </c>
      <c r="F663" t="s">
        <v>9</v>
      </c>
      <c r="G663">
        <v>-123</v>
      </c>
      <c r="H663">
        <f>Table146[[#This Row],[RSSI]]</f>
        <v>-123</v>
      </c>
      <c r="I663">
        <v>-9.8000000000000007</v>
      </c>
      <c r="L663">
        <f>390+2*(Table257[[#This Row],[min value (corrected)]]-27)</f>
        <v>412</v>
      </c>
      <c r="M663">
        <f>MINUTE(Table257[[#This Row],[Corrected time]])</f>
        <v>38</v>
      </c>
      <c r="N663" s="1">
        <v>0.52695018518518522</v>
      </c>
      <c r="O663" s="1">
        <f>Table257[[#This Row],[Time]]-TIME(0,0,3)</f>
        <v>0.52691546296296299</v>
      </c>
      <c r="P663" t="s">
        <v>9</v>
      </c>
      <c r="Q663">
        <v>-122</v>
      </c>
      <c r="R663">
        <f>Table257[[#This Row],[RSSI]]</f>
        <v>-122</v>
      </c>
      <c r="S663">
        <v>-8.3000000000000007</v>
      </c>
    </row>
    <row r="664" spans="2:19" x14ac:dyDescent="0.25">
      <c r="B664">
        <f>390+2*(Table146[[#This Row],[min value (corrected)]]-37)</f>
        <v>412</v>
      </c>
      <c r="C664">
        <f>MINUTE(Table146[[#This Row],[Corrected time]])</f>
        <v>48</v>
      </c>
      <c r="D664" s="1">
        <v>0.49233128472222226</v>
      </c>
      <c r="E664" s="1">
        <f>Table146[[#This Row],[Time]]-TIME(0,0,1)</f>
        <v>0.49231971064814817</v>
      </c>
      <c r="F664" t="s">
        <v>9</v>
      </c>
      <c r="G664">
        <v>-122</v>
      </c>
      <c r="H664">
        <f>Table146[[#This Row],[RSSI]]</f>
        <v>-122</v>
      </c>
      <c r="I664">
        <v>-8.5</v>
      </c>
      <c r="L664">
        <f>390+2*(Table257[[#This Row],[min value (corrected)]]-27)</f>
        <v>412</v>
      </c>
      <c r="M664">
        <f>MINUTE(Table257[[#This Row],[Corrected time]])</f>
        <v>38</v>
      </c>
      <c r="N664" s="1">
        <v>0.52696321759259268</v>
      </c>
      <c r="O664" s="1">
        <f>Table257[[#This Row],[Time]]-TIME(0,0,3)</f>
        <v>0.52692849537037045</v>
      </c>
      <c r="P664" t="s">
        <v>9</v>
      </c>
      <c r="Q664">
        <v>-122</v>
      </c>
      <c r="R664">
        <f>Table257[[#This Row],[RSSI]]</f>
        <v>-122</v>
      </c>
      <c r="S664">
        <v>-8.3000000000000007</v>
      </c>
    </row>
    <row r="665" spans="2:19" x14ac:dyDescent="0.25">
      <c r="B665">
        <f>390+2*(Table146[[#This Row],[min value (corrected)]]-37)</f>
        <v>412</v>
      </c>
      <c r="C665">
        <f>MINUTE(Table146[[#This Row],[Corrected time]])</f>
        <v>48</v>
      </c>
      <c r="D665" s="1">
        <v>0.49234431712962962</v>
      </c>
      <c r="E665" s="1">
        <f>Table146[[#This Row],[Time]]-TIME(0,0,1)</f>
        <v>0.49233274305555552</v>
      </c>
      <c r="F665" t="s">
        <v>9</v>
      </c>
      <c r="G665">
        <v>-122</v>
      </c>
      <c r="H665">
        <f>Table146[[#This Row],[RSSI]]</f>
        <v>-122</v>
      </c>
      <c r="I665">
        <v>-8.8000000000000007</v>
      </c>
      <c r="L665">
        <f>390+2*(Table257[[#This Row],[min value (corrected)]]-27)</f>
        <v>412</v>
      </c>
      <c r="M665">
        <f>MINUTE(Table257[[#This Row],[Corrected time]])</f>
        <v>38</v>
      </c>
      <c r="N665" s="1">
        <v>0.52697625000000003</v>
      </c>
      <c r="O665" s="1">
        <f>Table257[[#This Row],[Time]]-TIME(0,0,3)</f>
        <v>0.52694152777777781</v>
      </c>
      <c r="P665" t="s">
        <v>9</v>
      </c>
      <c r="Q665">
        <v>-122</v>
      </c>
      <c r="R665">
        <f>Table257[[#This Row],[RSSI]]</f>
        <v>-122</v>
      </c>
      <c r="S665">
        <v>-8.3000000000000007</v>
      </c>
    </row>
    <row r="666" spans="2:19" x14ac:dyDescent="0.25">
      <c r="B666">
        <f>390+2*(Table146[[#This Row],[min value (corrected)]]-37)</f>
        <v>412</v>
      </c>
      <c r="C666">
        <f>MINUTE(Table146[[#This Row],[Corrected time]])</f>
        <v>48</v>
      </c>
      <c r="D666" s="1">
        <v>0.49235734953703708</v>
      </c>
      <c r="E666" s="1">
        <f>Table146[[#This Row],[Time]]-TIME(0,0,1)</f>
        <v>0.49234577546296299</v>
      </c>
      <c r="F666" t="s">
        <v>13</v>
      </c>
      <c r="G666">
        <f t="shared" ref="G666:G673" si="35">G665</f>
        <v>-122</v>
      </c>
      <c r="H666">
        <f>Table146[[#This Row],[RSSI]]</f>
        <v>-122</v>
      </c>
      <c r="I666">
        <f t="shared" ref="I666:I673" si="36">I665</f>
        <v>-8.8000000000000007</v>
      </c>
      <c r="L666">
        <f>390+2*(Table257[[#This Row],[min value (corrected)]]-27)</f>
        <v>412</v>
      </c>
      <c r="M666">
        <f>MINUTE(Table257[[#This Row],[Corrected time]])</f>
        <v>38</v>
      </c>
      <c r="N666" s="1">
        <v>0.5269892824074075</v>
      </c>
      <c r="O666" s="1">
        <f>Table257[[#This Row],[Time]]-TIME(0,0,3)</f>
        <v>0.52695456018518527</v>
      </c>
      <c r="P666" t="s">
        <v>9</v>
      </c>
      <c r="Q666">
        <v>-122</v>
      </c>
      <c r="R666">
        <f>Table257[[#This Row],[RSSI]]</f>
        <v>-122</v>
      </c>
      <c r="S666">
        <v>-8.8000000000000007</v>
      </c>
    </row>
    <row r="667" spans="2:19" x14ac:dyDescent="0.25">
      <c r="B667">
        <f>390+2*(Table146[[#This Row],[min value (corrected)]]-37)</f>
        <v>414</v>
      </c>
      <c r="C667">
        <f>MINUTE(Table146[[#This Row],[Corrected time]])</f>
        <v>49</v>
      </c>
      <c r="D667" s="1">
        <v>0.49237038194444444</v>
      </c>
      <c r="E667" s="1">
        <f>Table146[[#This Row],[Time]]-TIME(0,0,1)</f>
        <v>0.49235880787037034</v>
      </c>
      <c r="F667" t="s">
        <v>13</v>
      </c>
      <c r="G667">
        <f t="shared" si="35"/>
        <v>-122</v>
      </c>
      <c r="H667">
        <f>Table146[[#This Row],[RSSI]]</f>
        <v>-122</v>
      </c>
      <c r="I667">
        <f t="shared" si="36"/>
        <v>-8.8000000000000007</v>
      </c>
      <c r="L667">
        <f>390+2*(Table257[[#This Row],[min value (corrected)]]-27)</f>
        <v>412</v>
      </c>
      <c r="M667">
        <f>MINUTE(Table257[[#This Row],[Corrected time]])</f>
        <v>38</v>
      </c>
      <c r="N667" s="1">
        <v>0.52700231481481485</v>
      </c>
      <c r="O667" s="1">
        <f>Table257[[#This Row],[Time]]-TIME(0,0,3)</f>
        <v>0.52696759259259263</v>
      </c>
      <c r="P667" t="s">
        <v>9</v>
      </c>
      <c r="Q667">
        <v>-122</v>
      </c>
      <c r="R667">
        <f>Table257[[#This Row],[RSSI]]</f>
        <v>-122</v>
      </c>
      <c r="S667">
        <v>-8.8000000000000007</v>
      </c>
    </row>
    <row r="668" spans="2:19" x14ac:dyDescent="0.25">
      <c r="B668">
        <f>390+2*(Table146[[#This Row],[min value (corrected)]]-37)</f>
        <v>414</v>
      </c>
      <c r="C668">
        <f>MINUTE(Table146[[#This Row],[Corrected time]])</f>
        <v>49</v>
      </c>
      <c r="D668" s="1">
        <v>0.4923834143518519</v>
      </c>
      <c r="E668" s="1">
        <f>Table146[[#This Row],[Time]]-TIME(0,0,1)</f>
        <v>0.49237184027777781</v>
      </c>
      <c r="F668" t="s">
        <v>13</v>
      </c>
      <c r="G668">
        <f t="shared" si="35"/>
        <v>-122</v>
      </c>
      <c r="H668">
        <f>Table146[[#This Row],[RSSI]]</f>
        <v>-122</v>
      </c>
      <c r="I668">
        <f t="shared" si="36"/>
        <v>-8.8000000000000007</v>
      </c>
      <c r="L668">
        <f>390+2*(Table257[[#This Row],[min value (corrected)]]-27)</f>
        <v>412</v>
      </c>
      <c r="M668">
        <f>MINUTE(Table257[[#This Row],[Corrected time]])</f>
        <v>38</v>
      </c>
      <c r="N668" s="1">
        <v>0.52701534722222221</v>
      </c>
      <c r="O668" s="1">
        <f>Table257[[#This Row],[Time]]-TIME(0,0,3)</f>
        <v>0.52698062499999998</v>
      </c>
      <c r="P668" t="s">
        <v>9</v>
      </c>
      <c r="Q668">
        <v>-122</v>
      </c>
      <c r="R668">
        <f>Table257[[#This Row],[RSSI]]</f>
        <v>-122</v>
      </c>
      <c r="S668">
        <v>-8.5</v>
      </c>
    </row>
    <row r="669" spans="2:19" x14ac:dyDescent="0.25">
      <c r="B669">
        <f>390+2*(Table146[[#This Row],[min value (corrected)]]-37)</f>
        <v>414</v>
      </c>
      <c r="C669">
        <f>MINUTE(Table146[[#This Row],[Corrected time]])</f>
        <v>49</v>
      </c>
      <c r="D669" s="1">
        <v>0.49239644675925925</v>
      </c>
      <c r="E669" s="1">
        <f>Table146[[#This Row],[Time]]-TIME(0,0,1)</f>
        <v>0.49238487268518516</v>
      </c>
      <c r="F669" t="s">
        <v>13</v>
      </c>
      <c r="G669">
        <f t="shared" si="35"/>
        <v>-122</v>
      </c>
      <c r="H669">
        <f>Table146[[#This Row],[RSSI]]</f>
        <v>-122</v>
      </c>
      <c r="I669">
        <f t="shared" si="36"/>
        <v>-8.8000000000000007</v>
      </c>
      <c r="L669">
        <f>390+2*(Table257[[#This Row],[min value (corrected)]]-27)</f>
        <v>412</v>
      </c>
      <c r="M669">
        <f>MINUTE(Table257[[#This Row],[Corrected time]])</f>
        <v>38</v>
      </c>
      <c r="N669" s="1">
        <v>0.52702837962962967</v>
      </c>
      <c r="O669" s="1">
        <f>Table257[[#This Row],[Time]]-TIME(0,0,3)</f>
        <v>0.52699365740740745</v>
      </c>
      <c r="P669" t="s">
        <v>9</v>
      </c>
      <c r="Q669">
        <v>-122</v>
      </c>
      <c r="R669">
        <f>Table257[[#This Row],[RSSI]]</f>
        <v>-122</v>
      </c>
      <c r="S669">
        <v>-7.7</v>
      </c>
    </row>
    <row r="670" spans="2:19" x14ac:dyDescent="0.25">
      <c r="B670">
        <f>390+2*(Table146[[#This Row],[min value (corrected)]]-37)</f>
        <v>414</v>
      </c>
      <c r="C670">
        <f>MINUTE(Table146[[#This Row],[Corrected time]])</f>
        <v>49</v>
      </c>
      <c r="D670" s="1">
        <v>0.49240946759259258</v>
      </c>
      <c r="E670" s="1">
        <f>Table146[[#This Row],[Time]]-TIME(0,0,1)</f>
        <v>0.49239789351851848</v>
      </c>
      <c r="F670" t="s">
        <v>13</v>
      </c>
      <c r="G670">
        <f t="shared" si="35"/>
        <v>-122</v>
      </c>
      <c r="H670">
        <f>Table146[[#This Row],[RSSI]]</f>
        <v>-122</v>
      </c>
      <c r="I670">
        <f t="shared" si="36"/>
        <v>-8.8000000000000007</v>
      </c>
      <c r="L670">
        <f>390+2*(Table257[[#This Row],[min value (corrected)]]-27)</f>
        <v>412</v>
      </c>
      <c r="M670">
        <f>MINUTE(Table257[[#This Row],[Corrected time]])</f>
        <v>38</v>
      </c>
      <c r="N670" s="1">
        <v>0.52704141203703703</v>
      </c>
      <c r="O670" s="1">
        <f>Table257[[#This Row],[Time]]-TIME(0,0,3)</f>
        <v>0.5270066898148148</v>
      </c>
      <c r="P670" t="s">
        <v>9</v>
      </c>
      <c r="Q670">
        <v>-123</v>
      </c>
      <c r="R670">
        <f>Table257[[#This Row],[RSSI]]</f>
        <v>-123</v>
      </c>
      <c r="S670">
        <v>-9</v>
      </c>
    </row>
    <row r="671" spans="2:19" x14ac:dyDescent="0.25">
      <c r="B671">
        <f>390+2*(Table146[[#This Row],[min value (corrected)]]-37)</f>
        <v>414</v>
      </c>
      <c r="C671">
        <f>MINUTE(Table146[[#This Row],[Corrected time]])</f>
        <v>49</v>
      </c>
      <c r="D671" s="1">
        <v>0.49242251157407407</v>
      </c>
      <c r="E671" s="1">
        <f>Table146[[#This Row],[Time]]-TIME(0,0,1)</f>
        <v>0.49241093749999998</v>
      </c>
      <c r="F671" t="s">
        <v>13</v>
      </c>
      <c r="G671">
        <f t="shared" si="35"/>
        <v>-122</v>
      </c>
      <c r="H671">
        <f>Table146[[#This Row],[RSSI]]</f>
        <v>-122</v>
      </c>
      <c r="I671">
        <f t="shared" si="36"/>
        <v>-8.8000000000000007</v>
      </c>
      <c r="L671">
        <f>390+2*(Table257[[#This Row],[min value (corrected)]]-27)</f>
        <v>412</v>
      </c>
      <c r="M671">
        <f>MINUTE(Table257[[#This Row],[Corrected time]])</f>
        <v>38</v>
      </c>
      <c r="N671" s="1">
        <v>0.52705444444444449</v>
      </c>
      <c r="O671" s="1">
        <f>Table257[[#This Row],[Time]]-TIME(0,0,3)</f>
        <v>0.52701972222222226</v>
      </c>
      <c r="P671" t="s">
        <v>9</v>
      </c>
      <c r="Q671">
        <v>-121</v>
      </c>
      <c r="R671">
        <f>Table257[[#This Row],[RSSI]]</f>
        <v>-121</v>
      </c>
      <c r="S671">
        <v>-8</v>
      </c>
    </row>
    <row r="672" spans="2:19" x14ac:dyDescent="0.25">
      <c r="B672">
        <f>390+2*(Table146[[#This Row],[min value (corrected)]]-37)</f>
        <v>414</v>
      </c>
      <c r="C672">
        <f>MINUTE(Table146[[#This Row],[Corrected time]])</f>
        <v>49</v>
      </c>
      <c r="D672" s="1">
        <v>0.49243554398148143</v>
      </c>
      <c r="E672" s="1">
        <f>Table146[[#This Row],[Time]]-TIME(0,0,1)</f>
        <v>0.49242396990740733</v>
      </c>
      <c r="F672" t="s">
        <v>13</v>
      </c>
      <c r="G672">
        <f t="shared" si="35"/>
        <v>-122</v>
      </c>
      <c r="H672">
        <f>Table146[[#This Row],[RSSI]]</f>
        <v>-122</v>
      </c>
      <c r="I672">
        <f t="shared" si="36"/>
        <v>-8.8000000000000007</v>
      </c>
      <c r="L672">
        <f>390+2*(Table257[[#This Row],[min value (corrected)]]-27)</f>
        <v>412</v>
      </c>
      <c r="M672">
        <f>MINUTE(Table257[[#This Row],[Corrected time]])</f>
        <v>38</v>
      </c>
      <c r="N672" s="1">
        <v>0.52706747685185185</v>
      </c>
      <c r="O672" s="1">
        <f>Table257[[#This Row],[Time]]-TIME(0,0,3)</f>
        <v>0.52703275462962962</v>
      </c>
      <c r="P672" t="s">
        <v>9</v>
      </c>
      <c r="Q672">
        <v>-123</v>
      </c>
      <c r="R672">
        <f>Table257[[#This Row],[RSSI]]</f>
        <v>-123</v>
      </c>
      <c r="S672">
        <v>-9</v>
      </c>
    </row>
    <row r="673" spans="2:19" x14ac:dyDescent="0.25">
      <c r="B673">
        <f>390+2*(Table146[[#This Row],[min value (corrected)]]-37)</f>
        <v>414</v>
      </c>
      <c r="C673">
        <f>MINUTE(Table146[[#This Row],[Corrected time]])</f>
        <v>49</v>
      </c>
      <c r="D673" s="1">
        <v>0.49244857638888889</v>
      </c>
      <c r="E673" s="1">
        <f>Table146[[#This Row],[Time]]-TIME(0,0,1)</f>
        <v>0.4924370023148148</v>
      </c>
      <c r="F673" t="s">
        <v>13</v>
      </c>
      <c r="G673">
        <f t="shared" si="35"/>
        <v>-122</v>
      </c>
      <c r="H673">
        <f>Table146[[#This Row],[RSSI]]</f>
        <v>-122</v>
      </c>
      <c r="I673">
        <f t="shared" si="36"/>
        <v>-8.8000000000000007</v>
      </c>
      <c r="L673">
        <f>390+2*(Table257[[#This Row],[min value (corrected)]]-27)</f>
        <v>412</v>
      </c>
      <c r="M673">
        <f>MINUTE(Table257[[#This Row],[Corrected time]])</f>
        <v>38</v>
      </c>
      <c r="N673" s="1">
        <v>0.52708050925925931</v>
      </c>
      <c r="O673" s="1">
        <f>Table257[[#This Row],[Time]]-TIME(0,0,3)</f>
        <v>0.52704578703703708</v>
      </c>
      <c r="P673" t="s">
        <v>9</v>
      </c>
      <c r="Q673">
        <v>-122</v>
      </c>
      <c r="R673">
        <f>Table257[[#This Row],[RSSI]]</f>
        <v>-122</v>
      </c>
      <c r="S673">
        <v>-8.8000000000000007</v>
      </c>
    </row>
    <row r="674" spans="2:19" x14ac:dyDescent="0.25">
      <c r="B674">
        <f>390+2*(Table146[[#This Row],[min value (corrected)]]-37)</f>
        <v>414</v>
      </c>
      <c r="C674">
        <f>MINUTE(Table146[[#This Row],[Corrected time]])</f>
        <v>49</v>
      </c>
      <c r="D674" s="1">
        <v>0.49246160879629625</v>
      </c>
      <c r="E674" s="1">
        <f>Table146[[#This Row],[Time]]-TIME(0,0,1)</f>
        <v>0.49245003472222215</v>
      </c>
      <c r="F674" t="s">
        <v>9</v>
      </c>
      <c r="G674">
        <v>-122</v>
      </c>
      <c r="H674">
        <f>Table146[[#This Row],[RSSI]]</f>
        <v>-122</v>
      </c>
      <c r="I674">
        <v>-8.8000000000000007</v>
      </c>
      <c r="L674">
        <f>390+2*(Table257[[#This Row],[min value (corrected)]]-27)</f>
        <v>412</v>
      </c>
      <c r="M674">
        <f>MINUTE(Table257[[#This Row],[Corrected time]])</f>
        <v>38</v>
      </c>
      <c r="N674" s="1">
        <v>0.52709354166666667</v>
      </c>
      <c r="O674" s="1">
        <f>Table257[[#This Row],[Time]]-TIME(0,0,3)</f>
        <v>0.52705881944444444</v>
      </c>
      <c r="P674" t="s">
        <v>9</v>
      </c>
      <c r="Q674">
        <v>-122</v>
      </c>
      <c r="R674">
        <f>Table257[[#This Row],[RSSI]]</f>
        <v>-122</v>
      </c>
      <c r="S674">
        <v>-8.3000000000000007</v>
      </c>
    </row>
    <row r="675" spans="2:19" x14ac:dyDescent="0.25">
      <c r="B675">
        <f>390+2*(Table146[[#This Row],[min value (corrected)]]-37)</f>
        <v>414</v>
      </c>
      <c r="C675">
        <f>MINUTE(Table146[[#This Row],[Corrected time]])</f>
        <v>49</v>
      </c>
      <c r="D675" s="1">
        <v>0.49247464120370371</v>
      </c>
      <c r="E675" s="1">
        <f>Table146[[#This Row],[Time]]-TIME(0,0,1)</f>
        <v>0.49246306712962962</v>
      </c>
      <c r="F675" t="s">
        <v>13</v>
      </c>
      <c r="G675">
        <f>G674</f>
        <v>-122</v>
      </c>
      <c r="H675">
        <f>Table146[[#This Row],[RSSI]]</f>
        <v>-122</v>
      </c>
      <c r="I675">
        <f>I674</f>
        <v>-8.8000000000000007</v>
      </c>
      <c r="L675">
        <f>390+2*(Table257[[#This Row],[min value (corrected)]]-27)</f>
        <v>412</v>
      </c>
      <c r="M675">
        <f>MINUTE(Table257[[#This Row],[Corrected time]])</f>
        <v>38</v>
      </c>
      <c r="N675" s="1">
        <v>0.52710657407407413</v>
      </c>
      <c r="O675" s="1">
        <f>Table257[[#This Row],[Time]]-TIME(0,0,3)</f>
        <v>0.5270718518518519</v>
      </c>
      <c r="P675" t="s">
        <v>9</v>
      </c>
      <c r="Q675">
        <v>-122</v>
      </c>
      <c r="R675">
        <f>Table257[[#This Row],[RSSI]]</f>
        <v>-122</v>
      </c>
      <c r="S675">
        <v>-8</v>
      </c>
    </row>
    <row r="676" spans="2:19" x14ac:dyDescent="0.25">
      <c r="B676">
        <f>390+2*(Table146[[#This Row],[min value (corrected)]]-37)</f>
        <v>414</v>
      </c>
      <c r="C676">
        <f>MINUTE(Table146[[#This Row],[Corrected time]])</f>
        <v>49</v>
      </c>
      <c r="D676" s="1">
        <v>0.49248767361111107</v>
      </c>
      <c r="E676" s="1">
        <f>Table146[[#This Row],[Time]]-TIME(0,0,1)</f>
        <v>0.49247609953703697</v>
      </c>
      <c r="F676" t="s">
        <v>9</v>
      </c>
      <c r="G676">
        <v>-123</v>
      </c>
      <c r="H676">
        <f>Table146[[#This Row],[RSSI]]</f>
        <v>-123</v>
      </c>
      <c r="I676">
        <v>-9</v>
      </c>
      <c r="L676">
        <f>390+2*(Table257[[#This Row],[min value (corrected)]]-27)</f>
        <v>414</v>
      </c>
      <c r="M676">
        <f>MINUTE(Table257[[#This Row],[Corrected time]])</f>
        <v>39</v>
      </c>
      <c r="N676" s="1">
        <v>0.52711960648148148</v>
      </c>
      <c r="O676" s="1">
        <f>Table257[[#This Row],[Time]]-TIME(0,0,3)</f>
        <v>0.52708488425925926</v>
      </c>
      <c r="P676" t="s">
        <v>9</v>
      </c>
      <c r="Q676">
        <v>-122</v>
      </c>
      <c r="R676">
        <f>Table257[[#This Row],[RSSI]]</f>
        <v>-122</v>
      </c>
      <c r="S676">
        <v>-8</v>
      </c>
    </row>
    <row r="677" spans="2:19" x14ac:dyDescent="0.25">
      <c r="B677">
        <f>390+2*(Table146[[#This Row],[min value (corrected)]]-37)</f>
        <v>414</v>
      </c>
      <c r="C677">
        <f>MINUTE(Table146[[#This Row],[Corrected time]])</f>
        <v>49</v>
      </c>
      <c r="D677" s="1">
        <v>0.49250070601851853</v>
      </c>
      <c r="E677" s="1">
        <f>Table146[[#This Row],[Time]]-TIME(0,0,1)</f>
        <v>0.49248913194444444</v>
      </c>
      <c r="F677" t="s">
        <v>9</v>
      </c>
      <c r="G677">
        <v>-123</v>
      </c>
      <c r="H677">
        <f>Table146[[#This Row],[RSSI]]</f>
        <v>-123</v>
      </c>
      <c r="I677">
        <v>-9.3000000000000007</v>
      </c>
      <c r="L677">
        <f>390+2*(Table257[[#This Row],[min value (corrected)]]-27)</f>
        <v>414</v>
      </c>
      <c r="M677">
        <f>MINUTE(Table257[[#This Row],[Corrected time]])</f>
        <v>39</v>
      </c>
      <c r="N677" s="1">
        <v>0.52713263888888895</v>
      </c>
      <c r="O677" s="1">
        <f>Table257[[#This Row],[Time]]-TIME(0,0,3)</f>
        <v>0.52709791666666672</v>
      </c>
      <c r="P677" t="s">
        <v>13</v>
      </c>
      <c r="Q677">
        <f>Q676</f>
        <v>-122</v>
      </c>
      <c r="R677">
        <f>Table257[[#This Row],[RSSI]]</f>
        <v>-122</v>
      </c>
      <c r="S677">
        <f>S676</f>
        <v>-8</v>
      </c>
    </row>
    <row r="678" spans="2:19" x14ac:dyDescent="0.25">
      <c r="B678">
        <f>390+2*(Table146[[#This Row],[min value (corrected)]]-37)</f>
        <v>414</v>
      </c>
      <c r="C678">
        <f>MINUTE(Table146[[#This Row],[Corrected time]])</f>
        <v>49</v>
      </c>
      <c r="D678" s="1">
        <v>0.49251372685185185</v>
      </c>
      <c r="E678" s="1">
        <f>Table146[[#This Row],[Time]]-TIME(0,0,1)</f>
        <v>0.49250215277777776</v>
      </c>
      <c r="F678" t="s">
        <v>13</v>
      </c>
      <c r="G678">
        <f t="shared" ref="G678:G679" si="37">G677</f>
        <v>-123</v>
      </c>
      <c r="H678">
        <f>Table146[[#This Row],[RSSI]]</f>
        <v>-123</v>
      </c>
      <c r="I678">
        <f t="shared" ref="I678:I679" si="38">I677</f>
        <v>-9.3000000000000007</v>
      </c>
      <c r="L678">
        <f>390+2*(Table257[[#This Row],[min value (corrected)]]-27)</f>
        <v>414</v>
      </c>
      <c r="M678">
        <f>MINUTE(Table257[[#This Row],[Corrected time]])</f>
        <v>39</v>
      </c>
      <c r="N678" s="1">
        <v>0.5271456712962963</v>
      </c>
      <c r="O678" s="1">
        <f>Table257[[#This Row],[Time]]-TIME(0,0,3)</f>
        <v>0.52711094907407408</v>
      </c>
      <c r="P678" t="s">
        <v>9</v>
      </c>
      <c r="Q678">
        <v>-122</v>
      </c>
      <c r="R678">
        <f>Table257[[#This Row],[RSSI]]</f>
        <v>-122</v>
      </c>
      <c r="S678">
        <v>-8.8000000000000007</v>
      </c>
    </row>
    <row r="679" spans="2:19" x14ac:dyDescent="0.25">
      <c r="B679">
        <f>390+2*(Table146[[#This Row],[min value (corrected)]]-37)</f>
        <v>414</v>
      </c>
      <c r="C679">
        <f>MINUTE(Table146[[#This Row],[Corrected time]])</f>
        <v>49</v>
      </c>
      <c r="D679" s="1">
        <v>0.49252675925925926</v>
      </c>
      <c r="E679" s="1">
        <f>Table146[[#This Row],[Time]]-TIME(0,0,1)</f>
        <v>0.49251518518518517</v>
      </c>
      <c r="F679" t="s">
        <v>13</v>
      </c>
      <c r="G679">
        <f t="shared" si="37"/>
        <v>-123</v>
      </c>
      <c r="H679">
        <f>Table146[[#This Row],[RSSI]]</f>
        <v>-123</v>
      </c>
      <c r="I679">
        <f t="shared" si="38"/>
        <v>-9.3000000000000007</v>
      </c>
      <c r="L679">
        <f>390+2*(Table257[[#This Row],[min value (corrected)]]-27)</f>
        <v>414</v>
      </c>
      <c r="M679">
        <f>MINUTE(Table257[[#This Row],[Corrected time]])</f>
        <v>39</v>
      </c>
      <c r="N679" s="1">
        <v>0.52715870370370377</v>
      </c>
      <c r="O679" s="1">
        <f>Table257[[#This Row],[Time]]-TIME(0,0,3)</f>
        <v>0.52712398148148154</v>
      </c>
      <c r="P679" t="s">
        <v>9</v>
      </c>
      <c r="Q679">
        <v>-122</v>
      </c>
      <c r="R679">
        <f>Table257[[#This Row],[RSSI]]</f>
        <v>-122</v>
      </c>
      <c r="S679">
        <v>-8.5</v>
      </c>
    </row>
    <row r="680" spans="2:19" x14ac:dyDescent="0.25">
      <c r="B680">
        <f>390+2*(Table146[[#This Row],[min value (corrected)]]-37)</f>
        <v>414</v>
      </c>
      <c r="C680">
        <f>MINUTE(Table146[[#This Row],[Corrected time]])</f>
        <v>49</v>
      </c>
      <c r="D680" s="1">
        <v>0.4925398032407407</v>
      </c>
      <c r="E680" s="1">
        <f>Table146[[#This Row],[Time]]-TIME(0,0,1)</f>
        <v>0.49252822916666661</v>
      </c>
      <c r="F680" t="s">
        <v>9</v>
      </c>
      <c r="G680">
        <v>-123</v>
      </c>
      <c r="H680">
        <f>Table146[[#This Row],[RSSI]]</f>
        <v>-123</v>
      </c>
      <c r="I680">
        <v>-9.8000000000000007</v>
      </c>
      <c r="L680">
        <f>390+2*(Table257[[#This Row],[min value (corrected)]]-27)</f>
        <v>414</v>
      </c>
      <c r="M680">
        <f>MINUTE(Table257[[#This Row],[Corrected time]])</f>
        <v>39</v>
      </c>
      <c r="N680" s="1">
        <v>0.52717173611111112</v>
      </c>
      <c r="O680" s="1">
        <f>Table257[[#This Row],[Time]]-TIME(0,0,3)</f>
        <v>0.52713701388888889</v>
      </c>
      <c r="P680" t="s">
        <v>13</v>
      </c>
      <c r="Q680">
        <f>Q679</f>
        <v>-122</v>
      </c>
      <c r="R680">
        <f>Table257[[#This Row],[RSSI]]</f>
        <v>-122</v>
      </c>
      <c r="S680">
        <f>S679</f>
        <v>-8.5</v>
      </c>
    </row>
    <row r="681" spans="2:19" x14ac:dyDescent="0.25">
      <c r="B681">
        <f>390+2*(Table146[[#This Row],[min value (corrected)]]-37)</f>
        <v>414</v>
      </c>
      <c r="C681">
        <f>MINUTE(Table146[[#This Row],[Corrected time]])</f>
        <v>49</v>
      </c>
      <c r="D681" s="1">
        <v>0.49255282407407408</v>
      </c>
      <c r="E681" s="1">
        <f>Table146[[#This Row],[Time]]-TIME(0,0,1)</f>
        <v>0.49254124999999999</v>
      </c>
      <c r="F681" t="s">
        <v>13</v>
      </c>
      <c r="G681">
        <f>G680</f>
        <v>-123</v>
      </c>
      <c r="H681">
        <f>Table146[[#This Row],[RSSI]]</f>
        <v>-123</v>
      </c>
      <c r="I681">
        <f>I680</f>
        <v>-9.8000000000000007</v>
      </c>
      <c r="L681">
        <f>390+2*(Table257[[#This Row],[min value (corrected)]]-27)</f>
        <v>414</v>
      </c>
      <c r="M681">
        <f>MINUTE(Table257[[#This Row],[Corrected time]])</f>
        <v>39</v>
      </c>
      <c r="N681" s="1">
        <v>0.52718476851851859</v>
      </c>
      <c r="O681" s="1">
        <f>Table257[[#This Row],[Time]]-TIME(0,0,3)</f>
        <v>0.52715004629629636</v>
      </c>
      <c r="P681" t="s">
        <v>9</v>
      </c>
      <c r="Q681">
        <v>-122</v>
      </c>
      <c r="R681">
        <f>Table257[[#This Row],[RSSI]]</f>
        <v>-122</v>
      </c>
      <c r="S681">
        <v>-8.3000000000000007</v>
      </c>
    </row>
    <row r="682" spans="2:19" x14ac:dyDescent="0.25">
      <c r="B682">
        <f>390+2*(Table146[[#This Row],[min value (corrected)]]-37)</f>
        <v>414</v>
      </c>
      <c r="C682">
        <f>MINUTE(Table146[[#This Row],[Corrected time]])</f>
        <v>49</v>
      </c>
      <c r="D682" s="1">
        <v>0.49256586805555552</v>
      </c>
      <c r="E682" s="1">
        <f>Table146[[#This Row],[Time]]-TIME(0,0,1)</f>
        <v>0.49255429398148143</v>
      </c>
      <c r="F682" t="s">
        <v>9</v>
      </c>
      <c r="G682">
        <v>-122</v>
      </c>
      <c r="H682">
        <f>Table146[[#This Row],[RSSI]]</f>
        <v>-122</v>
      </c>
      <c r="I682">
        <v>-8.5</v>
      </c>
      <c r="L682">
        <f>390+2*(Table257[[#This Row],[min value (corrected)]]-27)</f>
        <v>414</v>
      </c>
      <c r="M682">
        <f>MINUTE(Table257[[#This Row],[Corrected time]])</f>
        <v>39</v>
      </c>
      <c r="N682" s="1">
        <v>0.52719780092592594</v>
      </c>
      <c r="O682" s="1">
        <f>Table257[[#This Row],[Time]]-TIME(0,0,3)</f>
        <v>0.52716307870370371</v>
      </c>
      <c r="P682" t="s">
        <v>13</v>
      </c>
      <c r="Q682">
        <f>Q681</f>
        <v>-122</v>
      </c>
      <c r="R682">
        <f>Table257[[#This Row],[RSSI]]</f>
        <v>-122</v>
      </c>
      <c r="S682">
        <f>S681</f>
        <v>-8.3000000000000007</v>
      </c>
    </row>
    <row r="683" spans="2:19" x14ac:dyDescent="0.25">
      <c r="B683">
        <f>390+2*(Table146[[#This Row],[min value (corrected)]]-37)</f>
        <v>414</v>
      </c>
      <c r="C683">
        <f>MINUTE(Table146[[#This Row],[Corrected time]])</f>
        <v>49</v>
      </c>
      <c r="D683" s="1">
        <v>0.49257890046296299</v>
      </c>
      <c r="E683" s="1">
        <f>Table146[[#This Row],[Time]]-TIME(0,0,1)</f>
        <v>0.49256732638888889</v>
      </c>
      <c r="F683" t="s">
        <v>13</v>
      </c>
      <c r="G683">
        <f t="shared" ref="G683:G684" si="39">G682</f>
        <v>-122</v>
      </c>
      <c r="H683">
        <f>Table146[[#This Row],[RSSI]]</f>
        <v>-122</v>
      </c>
      <c r="I683">
        <f t="shared" ref="I683:I684" si="40">I682</f>
        <v>-8.5</v>
      </c>
      <c r="L683">
        <f>390+2*(Table257[[#This Row],[min value (corrected)]]-27)</f>
        <v>414</v>
      </c>
      <c r="M683">
        <f>MINUTE(Table257[[#This Row],[Corrected time]])</f>
        <v>39</v>
      </c>
      <c r="N683" s="1">
        <v>0.52721083333333341</v>
      </c>
      <c r="O683" s="1">
        <f>Table257[[#This Row],[Time]]-TIME(0,0,3)</f>
        <v>0.52717611111111118</v>
      </c>
      <c r="P683" t="s">
        <v>9</v>
      </c>
      <c r="Q683">
        <v>-122</v>
      </c>
      <c r="R683">
        <f>Table257[[#This Row],[RSSI]]</f>
        <v>-122</v>
      </c>
      <c r="S683">
        <v>-8.8000000000000007</v>
      </c>
    </row>
    <row r="684" spans="2:19" x14ac:dyDescent="0.25">
      <c r="B684">
        <f>390+2*(Table146[[#This Row],[min value (corrected)]]-37)</f>
        <v>414</v>
      </c>
      <c r="C684">
        <f>MINUTE(Table146[[#This Row],[Corrected time]])</f>
        <v>49</v>
      </c>
      <c r="D684" s="1">
        <v>0.49259193287037034</v>
      </c>
      <c r="E684" s="1">
        <f>Table146[[#This Row],[Time]]-TIME(0,0,1)</f>
        <v>0.49258035879629625</v>
      </c>
      <c r="F684" t="s">
        <v>13</v>
      </c>
      <c r="G684">
        <f t="shared" si="39"/>
        <v>-122</v>
      </c>
      <c r="H684">
        <f>Table146[[#This Row],[RSSI]]</f>
        <v>-122</v>
      </c>
      <c r="I684">
        <f t="shared" si="40"/>
        <v>-8.5</v>
      </c>
      <c r="L684">
        <f>390+2*(Table257[[#This Row],[min value (corrected)]]-27)</f>
        <v>414</v>
      </c>
      <c r="M684">
        <f>MINUTE(Table257[[#This Row],[Corrected time]])</f>
        <v>39</v>
      </c>
      <c r="N684" s="1">
        <v>0.52722385416666673</v>
      </c>
      <c r="O684" s="1">
        <f>Table257[[#This Row],[Time]]-TIME(0,0,3)</f>
        <v>0.5271891319444445</v>
      </c>
      <c r="P684" t="s">
        <v>9</v>
      </c>
      <c r="Q684">
        <v>-122</v>
      </c>
      <c r="R684">
        <f>Table257[[#This Row],[RSSI]]</f>
        <v>-122</v>
      </c>
      <c r="S684">
        <v>-8.5</v>
      </c>
    </row>
    <row r="685" spans="2:19" x14ac:dyDescent="0.25">
      <c r="B685">
        <f>390+2*(Table146[[#This Row],[min value (corrected)]]-37)</f>
        <v>414</v>
      </c>
      <c r="C685">
        <f>MINUTE(Table146[[#This Row],[Corrected time]])</f>
        <v>49</v>
      </c>
      <c r="D685" s="1">
        <v>0.49260496527777781</v>
      </c>
      <c r="E685" s="1">
        <f>Table146[[#This Row],[Time]]-TIME(0,0,1)</f>
        <v>0.49259339120370371</v>
      </c>
      <c r="F685" t="s">
        <v>9</v>
      </c>
      <c r="G685">
        <v>-122</v>
      </c>
      <c r="H685">
        <f>Table146[[#This Row],[RSSI]]</f>
        <v>-122</v>
      </c>
      <c r="I685">
        <v>-8.8000000000000007</v>
      </c>
      <c r="L685">
        <f>390+2*(Table257[[#This Row],[min value (corrected)]]-27)</f>
        <v>414</v>
      </c>
      <c r="M685">
        <f>MINUTE(Table257[[#This Row],[Corrected time]])</f>
        <v>39</v>
      </c>
      <c r="N685" s="1">
        <v>0.52723689814814811</v>
      </c>
      <c r="O685" s="1">
        <f>Table257[[#This Row],[Time]]-TIME(0,0,3)</f>
        <v>0.52720217592592589</v>
      </c>
      <c r="P685" t="s">
        <v>13</v>
      </c>
      <c r="Q685">
        <f>Q684</f>
        <v>-122</v>
      </c>
      <c r="R685">
        <f>Table257[[#This Row],[RSSI]]</f>
        <v>-122</v>
      </c>
      <c r="S685">
        <f>S684</f>
        <v>-8.5</v>
      </c>
    </row>
    <row r="686" spans="2:19" x14ac:dyDescent="0.25">
      <c r="B686">
        <f>390+2*(Table146[[#This Row],[min value (corrected)]]-37)</f>
        <v>414</v>
      </c>
      <c r="C686">
        <f>MINUTE(Table146[[#This Row],[Corrected time]])</f>
        <v>49</v>
      </c>
      <c r="D686" s="1">
        <v>0.49261799768518516</v>
      </c>
      <c r="E686" s="1">
        <f>Table146[[#This Row],[Time]]-TIME(0,0,1)</f>
        <v>0.49260642361111107</v>
      </c>
      <c r="F686" t="s">
        <v>13</v>
      </c>
      <c r="G686">
        <f t="shared" ref="G686:G687" si="41">G685</f>
        <v>-122</v>
      </c>
      <c r="H686">
        <f>Table146[[#This Row],[RSSI]]</f>
        <v>-122</v>
      </c>
      <c r="I686">
        <f t="shared" ref="I686:I687" si="42">I685</f>
        <v>-8.8000000000000007</v>
      </c>
      <c r="L686">
        <f>390+2*(Table257[[#This Row],[min value (corrected)]]-27)</f>
        <v>414</v>
      </c>
      <c r="M686">
        <f>MINUTE(Table257[[#This Row],[Corrected time]])</f>
        <v>39</v>
      </c>
      <c r="N686" s="1">
        <v>0.52724993055555558</v>
      </c>
      <c r="O686" s="1">
        <f>Table257[[#This Row],[Time]]-TIME(0,0,3)</f>
        <v>0.52721520833333335</v>
      </c>
      <c r="P686" t="s">
        <v>9</v>
      </c>
      <c r="Q686">
        <v>-122</v>
      </c>
      <c r="R686">
        <f>Table257[[#This Row],[RSSI]]</f>
        <v>-122</v>
      </c>
      <c r="S686">
        <v>-8.5</v>
      </c>
    </row>
    <row r="687" spans="2:19" x14ac:dyDescent="0.25">
      <c r="B687">
        <f>390+2*(Table146[[#This Row],[min value (corrected)]]-37)</f>
        <v>414</v>
      </c>
      <c r="C687">
        <f>MINUTE(Table146[[#This Row],[Corrected time]])</f>
        <v>49</v>
      </c>
      <c r="D687" s="1">
        <v>0.49263103009259263</v>
      </c>
      <c r="E687" s="1">
        <f>Table146[[#This Row],[Time]]-TIME(0,0,1)</f>
        <v>0.49261945601851853</v>
      </c>
      <c r="F687" t="s">
        <v>13</v>
      </c>
      <c r="G687">
        <f t="shared" si="41"/>
        <v>-122</v>
      </c>
      <c r="H687">
        <f>Table146[[#This Row],[RSSI]]</f>
        <v>-122</v>
      </c>
      <c r="I687">
        <f t="shared" si="42"/>
        <v>-8.8000000000000007</v>
      </c>
      <c r="L687">
        <f>390+2*(Table257[[#This Row],[min value (corrected)]]-27)</f>
        <v>414</v>
      </c>
      <c r="M687">
        <f>MINUTE(Table257[[#This Row],[Corrected time]])</f>
        <v>39</v>
      </c>
      <c r="N687" s="1">
        <v>0.52726296296296293</v>
      </c>
      <c r="O687" s="1">
        <f>Table257[[#This Row],[Time]]-TIME(0,0,3)</f>
        <v>0.52722824074074071</v>
      </c>
      <c r="P687" t="s">
        <v>13</v>
      </c>
      <c r="Q687">
        <f>Q686</f>
        <v>-122</v>
      </c>
      <c r="R687">
        <f>Table257[[#This Row],[RSSI]]</f>
        <v>-122</v>
      </c>
      <c r="S687">
        <f>S686</f>
        <v>-8.5</v>
      </c>
    </row>
    <row r="688" spans="2:19" x14ac:dyDescent="0.25">
      <c r="B688">
        <f>390+2*(Table146[[#This Row],[min value (corrected)]]-37)</f>
        <v>414</v>
      </c>
      <c r="C688">
        <f>MINUTE(Table146[[#This Row],[Corrected time]])</f>
        <v>49</v>
      </c>
      <c r="D688" s="1">
        <v>0.49264406249999998</v>
      </c>
      <c r="E688" s="1">
        <f>Table146[[#This Row],[Time]]-TIME(0,0,1)</f>
        <v>0.49263248842592589</v>
      </c>
      <c r="F688" t="s">
        <v>9</v>
      </c>
      <c r="G688">
        <v>-122</v>
      </c>
      <c r="H688">
        <f>Table146[[#This Row],[RSSI]]</f>
        <v>-122</v>
      </c>
      <c r="I688">
        <v>-8.3000000000000007</v>
      </c>
      <c r="L688">
        <f>390+2*(Table257[[#This Row],[min value (corrected)]]-27)</f>
        <v>414</v>
      </c>
      <c r="M688">
        <f>MINUTE(Table257[[#This Row],[Corrected time]])</f>
        <v>39</v>
      </c>
      <c r="N688" s="1">
        <v>0.5272759953703704</v>
      </c>
      <c r="O688" s="1">
        <f>Table257[[#This Row],[Time]]-TIME(0,0,3)</f>
        <v>0.52724127314814817</v>
      </c>
      <c r="P688" t="s">
        <v>9</v>
      </c>
      <c r="Q688">
        <v>-122</v>
      </c>
      <c r="R688">
        <f>Table257[[#This Row],[RSSI]]</f>
        <v>-122</v>
      </c>
      <c r="S688">
        <v>-8.3000000000000007</v>
      </c>
    </row>
    <row r="689" spans="2:19" x14ac:dyDescent="0.25">
      <c r="B689">
        <f>390+2*(Table146[[#This Row],[min value (corrected)]]-37)</f>
        <v>414</v>
      </c>
      <c r="C689">
        <f>MINUTE(Table146[[#This Row],[Corrected time]])</f>
        <v>49</v>
      </c>
      <c r="D689" s="1">
        <v>0.49265709490740739</v>
      </c>
      <c r="E689" s="1">
        <f>Table146[[#This Row],[Time]]-TIME(0,0,1)</f>
        <v>0.49264552083333329</v>
      </c>
      <c r="F689" t="s">
        <v>13</v>
      </c>
      <c r="G689">
        <f t="shared" ref="G689:G690" si="43">G688</f>
        <v>-122</v>
      </c>
      <c r="H689">
        <f>Table146[[#This Row],[RSSI]]</f>
        <v>-122</v>
      </c>
      <c r="I689">
        <f t="shared" ref="I689:I690" si="44">I688</f>
        <v>-8.3000000000000007</v>
      </c>
      <c r="L689">
        <f>390+2*(Table257[[#This Row],[min value (corrected)]]-27)</f>
        <v>414</v>
      </c>
      <c r="M689">
        <f>MINUTE(Table257[[#This Row],[Corrected time]])</f>
        <v>39</v>
      </c>
      <c r="N689" s="1">
        <v>0.52728902777777775</v>
      </c>
      <c r="O689" s="1">
        <f>Table257[[#This Row],[Time]]-TIME(0,0,3)</f>
        <v>0.52725430555555552</v>
      </c>
      <c r="P689" t="s">
        <v>9</v>
      </c>
      <c r="Q689">
        <v>-123</v>
      </c>
      <c r="R689">
        <f>Table257[[#This Row],[RSSI]]</f>
        <v>-123</v>
      </c>
      <c r="S689">
        <v>-9.5</v>
      </c>
    </row>
    <row r="690" spans="2:19" x14ac:dyDescent="0.25">
      <c r="B690">
        <f>390+2*(Table146[[#This Row],[min value (corrected)]]-37)</f>
        <v>414</v>
      </c>
      <c r="C690">
        <f>MINUTE(Table146[[#This Row],[Corrected time]])</f>
        <v>49</v>
      </c>
      <c r="D690" s="1">
        <v>0.4926701273148148</v>
      </c>
      <c r="E690" s="1">
        <f>Table146[[#This Row],[Time]]-TIME(0,0,1)</f>
        <v>0.4926585532407407</v>
      </c>
      <c r="F690" t="s">
        <v>13</v>
      </c>
      <c r="G690">
        <f t="shared" si="43"/>
        <v>-122</v>
      </c>
      <c r="H690">
        <f>Table146[[#This Row],[RSSI]]</f>
        <v>-122</v>
      </c>
      <c r="I690">
        <f t="shared" si="44"/>
        <v>-8.3000000000000007</v>
      </c>
      <c r="L690">
        <f>390+2*(Table257[[#This Row],[min value (corrected)]]-27)</f>
        <v>414</v>
      </c>
      <c r="M690">
        <f>MINUTE(Table257[[#This Row],[Corrected time]])</f>
        <v>39</v>
      </c>
      <c r="N690" s="1">
        <v>0.52730206018518522</v>
      </c>
      <c r="O690" s="1">
        <f>Table257[[#This Row],[Time]]-TIME(0,0,3)</f>
        <v>0.52726733796296299</v>
      </c>
      <c r="P690" t="s">
        <v>13</v>
      </c>
      <c r="Q690">
        <f>Q689</f>
        <v>-123</v>
      </c>
      <c r="R690">
        <f>Table257[[#This Row],[RSSI]]</f>
        <v>-123</v>
      </c>
      <c r="S690">
        <f>S689</f>
        <v>-9.5</v>
      </c>
    </row>
    <row r="691" spans="2:19" x14ac:dyDescent="0.25">
      <c r="B691">
        <f>390+2*(Table146[[#This Row],[min value (corrected)]]-37)</f>
        <v>414</v>
      </c>
      <c r="C691">
        <f>MINUTE(Table146[[#This Row],[Corrected time]])</f>
        <v>49</v>
      </c>
      <c r="D691" s="1">
        <v>0.49268315972222221</v>
      </c>
      <c r="E691" s="1">
        <f>Table146[[#This Row],[Time]]-TIME(0,0,1)</f>
        <v>0.49267158564814811</v>
      </c>
      <c r="F691" t="s">
        <v>9</v>
      </c>
      <c r="G691">
        <v>-122</v>
      </c>
      <c r="H691">
        <f>Table146[[#This Row],[RSSI]]</f>
        <v>-122</v>
      </c>
      <c r="I691">
        <v>-8.3000000000000007</v>
      </c>
      <c r="L691">
        <f>390+2*(Table257[[#This Row],[min value (corrected)]]-27)</f>
        <v>414</v>
      </c>
      <c r="M691">
        <f>MINUTE(Table257[[#This Row],[Corrected time]])</f>
        <v>39</v>
      </c>
      <c r="N691" s="1">
        <v>0.52731509259259257</v>
      </c>
      <c r="O691" s="1">
        <f>Table257[[#This Row],[Time]]-TIME(0,0,3)</f>
        <v>0.52728037037037034</v>
      </c>
      <c r="P691" t="s">
        <v>9</v>
      </c>
      <c r="Q691">
        <v>-122</v>
      </c>
      <c r="R691">
        <f>Table257[[#This Row],[RSSI]]</f>
        <v>-122</v>
      </c>
      <c r="S691">
        <v>-8.8000000000000007</v>
      </c>
    </row>
    <row r="692" spans="2:19" x14ac:dyDescent="0.25">
      <c r="B692">
        <f>390+2*(Table146[[#This Row],[min value (corrected)]]-37)</f>
        <v>414</v>
      </c>
      <c r="C692">
        <f>MINUTE(Table146[[#This Row],[Corrected time]])</f>
        <v>49</v>
      </c>
      <c r="D692" s="1">
        <v>0.49269618055555553</v>
      </c>
      <c r="E692" s="1">
        <f>Table146[[#This Row],[Time]]-TIME(0,0,1)</f>
        <v>0.49268460648148144</v>
      </c>
      <c r="F692" t="s">
        <v>9</v>
      </c>
      <c r="G692">
        <v>-121</v>
      </c>
      <c r="H692">
        <f>Table146[[#This Row],[RSSI]]</f>
        <v>-121</v>
      </c>
      <c r="I692">
        <v>-8</v>
      </c>
      <c r="L692">
        <f>390+2*(Table257[[#This Row],[min value (corrected)]]-27)</f>
        <v>414</v>
      </c>
      <c r="M692">
        <f>MINUTE(Table257[[#This Row],[Corrected time]])</f>
        <v>39</v>
      </c>
      <c r="N692" s="1">
        <v>0.52732812500000004</v>
      </c>
      <c r="O692" s="1">
        <f>Table257[[#This Row],[Time]]-TIME(0,0,3)</f>
        <v>0.52729340277777781</v>
      </c>
      <c r="P692" t="s">
        <v>9</v>
      </c>
      <c r="Q692">
        <v>-122</v>
      </c>
      <c r="R692">
        <f>Table257[[#This Row],[RSSI]]</f>
        <v>-122</v>
      </c>
      <c r="S692">
        <v>-8.5</v>
      </c>
    </row>
    <row r="693" spans="2:19" x14ac:dyDescent="0.25">
      <c r="B693">
        <f>390+2*(Table146[[#This Row],[min value (corrected)]]-37)</f>
        <v>414</v>
      </c>
      <c r="C693">
        <f>MINUTE(Table146[[#This Row],[Corrected time]])</f>
        <v>49</v>
      </c>
      <c r="D693" s="1">
        <v>0.49270922453703703</v>
      </c>
      <c r="E693" s="1">
        <f>Table146[[#This Row],[Time]]-TIME(0,0,1)</f>
        <v>0.49269765046296293</v>
      </c>
      <c r="F693" t="s">
        <v>9</v>
      </c>
      <c r="G693">
        <v>-122</v>
      </c>
      <c r="H693">
        <f>Table146[[#This Row],[RSSI]]</f>
        <v>-122</v>
      </c>
      <c r="I693">
        <v>-9</v>
      </c>
      <c r="L693">
        <f>390+2*(Table257[[#This Row],[min value (corrected)]]-27)</f>
        <v>414</v>
      </c>
      <c r="M693">
        <f>MINUTE(Table257[[#This Row],[Corrected time]])</f>
        <v>39</v>
      </c>
      <c r="N693" s="1">
        <v>0.52734115740740739</v>
      </c>
      <c r="O693" s="1">
        <f>Table257[[#This Row],[Time]]-TIME(0,0,3)</f>
        <v>0.52730643518518516</v>
      </c>
      <c r="P693" t="s">
        <v>9</v>
      </c>
      <c r="Q693">
        <v>-122</v>
      </c>
      <c r="R693">
        <f>Table257[[#This Row],[RSSI]]</f>
        <v>-122</v>
      </c>
      <c r="S693">
        <v>-8.3000000000000007</v>
      </c>
    </row>
    <row r="694" spans="2:19" x14ac:dyDescent="0.25">
      <c r="B694">
        <f>390+2*(Table146[[#This Row],[min value (corrected)]]-37)</f>
        <v>414</v>
      </c>
      <c r="C694">
        <f>MINUTE(Table146[[#This Row],[Corrected time]])</f>
        <v>49</v>
      </c>
      <c r="D694" s="1">
        <v>0.49272225694444444</v>
      </c>
      <c r="E694" s="1">
        <f>Table146[[#This Row],[Time]]-TIME(0,0,1)</f>
        <v>0.49271068287037034</v>
      </c>
      <c r="F694" t="s">
        <v>9</v>
      </c>
      <c r="G694">
        <v>-123</v>
      </c>
      <c r="H694">
        <f>Table146[[#This Row],[RSSI]]</f>
        <v>-123</v>
      </c>
      <c r="I694">
        <v>-9</v>
      </c>
      <c r="L694">
        <f>390+2*(Table257[[#This Row],[min value (corrected)]]-27)</f>
        <v>414</v>
      </c>
      <c r="M694">
        <f>MINUTE(Table257[[#This Row],[Corrected time]])</f>
        <v>39</v>
      </c>
      <c r="N694" s="1">
        <v>0.52735418981481486</v>
      </c>
      <c r="O694" s="1">
        <f>Table257[[#This Row],[Time]]-TIME(0,0,3)</f>
        <v>0.52731946759259263</v>
      </c>
      <c r="P694" t="s">
        <v>9</v>
      </c>
      <c r="Q694">
        <v>-122</v>
      </c>
      <c r="R694">
        <f>Table257[[#This Row],[RSSI]]</f>
        <v>-122</v>
      </c>
      <c r="S694">
        <v>-8.3000000000000007</v>
      </c>
    </row>
    <row r="695" spans="2:19" x14ac:dyDescent="0.25">
      <c r="B695">
        <f>390+2*(Table146[[#This Row],[min value (corrected)]]-37)</f>
        <v>414</v>
      </c>
      <c r="C695">
        <f>MINUTE(Table146[[#This Row],[Corrected time]])</f>
        <v>49</v>
      </c>
      <c r="D695" s="1">
        <v>0.49273528935185185</v>
      </c>
      <c r="E695" s="1">
        <f>Table146[[#This Row],[Time]]-TIME(0,0,1)</f>
        <v>0.49272371527777775</v>
      </c>
      <c r="F695" t="s">
        <v>9</v>
      </c>
      <c r="G695">
        <v>-122</v>
      </c>
      <c r="H695">
        <f>Table146[[#This Row],[RSSI]]</f>
        <v>-122</v>
      </c>
      <c r="I695">
        <v>-8.5</v>
      </c>
      <c r="L695">
        <f>390+2*(Table257[[#This Row],[min value (corrected)]]-27)</f>
        <v>414</v>
      </c>
      <c r="M695">
        <f>MINUTE(Table257[[#This Row],[Corrected time]])</f>
        <v>39</v>
      </c>
      <c r="N695" s="1">
        <v>0.52736722222222221</v>
      </c>
      <c r="O695" s="1">
        <f>Table257[[#This Row],[Time]]-TIME(0,0,3)</f>
        <v>0.52733249999999998</v>
      </c>
      <c r="P695" t="s">
        <v>9</v>
      </c>
      <c r="Q695">
        <v>-121</v>
      </c>
      <c r="R695">
        <f>Table257[[#This Row],[RSSI]]</f>
        <v>-121</v>
      </c>
      <c r="S695">
        <v>-8</v>
      </c>
    </row>
    <row r="696" spans="2:19" x14ac:dyDescent="0.25">
      <c r="B696">
        <f>390+2*(Table146[[#This Row],[min value (corrected)]]-37)</f>
        <v>414</v>
      </c>
      <c r="C696">
        <f>MINUTE(Table146[[#This Row],[Corrected time]])</f>
        <v>49</v>
      </c>
      <c r="D696" s="1">
        <v>0.49274832175925926</v>
      </c>
      <c r="E696" s="1">
        <f>Table146[[#This Row],[Time]]-TIME(0,0,1)</f>
        <v>0.49273674768518516</v>
      </c>
      <c r="F696" t="s">
        <v>9</v>
      </c>
      <c r="G696">
        <v>-122</v>
      </c>
      <c r="H696">
        <f>Table146[[#This Row],[RSSI]]</f>
        <v>-122</v>
      </c>
      <c r="I696">
        <v>-8.5</v>
      </c>
      <c r="L696">
        <f>390+2*(Table257[[#This Row],[min value (corrected)]]-27)</f>
        <v>414</v>
      </c>
      <c r="M696">
        <f>MINUTE(Table257[[#This Row],[Corrected time]])</f>
        <v>39</v>
      </c>
      <c r="N696" s="1">
        <v>0.52738024305555553</v>
      </c>
      <c r="O696" s="1">
        <f>Table257[[#This Row],[Time]]-TIME(0,0,3)</f>
        <v>0.5273455208333333</v>
      </c>
      <c r="P696" t="s">
        <v>9</v>
      </c>
      <c r="Q696">
        <v>-122</v>
      </c>
      <c r="R696">
        <f>Table257[[#This Row],[RSSI]]</f>
        <v>-122</v>
      </c>
      <c r="S696">
        <v>-8.8000000000000007</v>
      </c>
    </row>
    <row r="697" spans="2:19" x14ac:dyDescent="0.25">
      <c r="B697">
        <f>390+2*(Table146[[#This Row],[min value (corrected)]]-37)</f>
        <v>414</v>
      </c>
      <c r="C697">
        <f>MINUTE(Table146[[#This Row],[Corrected time]])</f>
        <v>49</v>
      </c>
      <c r="D697" s="1">
        <v>0.49276135416666667</v>
      </c>
      <c r="E697" s="1">
        <f>Table146[[#This Row],[Time]]-TIME(0,0,1)</f>
        <v>0.49274978009259257</v>
      </c>
      <c r="F697" t="s">
        <v>13</v>
      </c>
      <c r="G697">
        <f>G696</f>
        <v>-122</v>
      </c>
      <c r="H697">
        <f>Table146[[#This Row],[RSSI]]</f>
        <v>-122</v>
      </c>
      <c r="I697">
        <f>I696</f>
        <v>-8.5</v>
      </c>
      <c r="L697">
        <f>390+2*(Table257[[#This Row],[min value (corrected)]]-27)</f>
        <v>414</v>
      </c>
      <c r="M697">
        <f>MINUTE(Table257[[#This Row],[Corrected time]])</f>
        <v>39</v>
      </c>
      <c r="N697" s="1">
        <v>0.52739328703703703</v>
      </c>
      <c r="O697" s="1">
        <f>Table257[[#This Row],[Time]]-TIME(0,0,3)</f>
        <v>0.5273585648148148</v>
      </c>
      <c r="P697" t="s">
        <v>9</v>
      </c>
      <c r="Q697">
        <v>-122</v>
      </c>
      <c r="R697">
        <f>Table257[[#This Row],[RSSI]]</f>
        <v>-122</v>
      </c>
      <c r="S697">
        <v>-8</v>
      </c>
    </row>
    <row r="698" spans="2:19" x14ac:dyDescent="0.25">
      <c r="B698">
        <f>390+2*(Table146[[#This Row],[min value (corrected)]]-37)</f>
        <v>414</v>
      </c>
      <c r="C698">
        <f>MINUTE(Table146[[#This Row],[Corrected time]])</f>
        <v>49</v>
      </c>
      <c r="D698" s="1">
        <v>0.49277438657407407</v>
      </c>
      <c r="E698" s="1">
        <f>Table146[[#This Row],[Time]]-TIME(0,0,1)</f>
        <v>0.49276281249999998</v>
      </c>
      <c r="F698" t="s">
        <v>9</v>
      </c>
      <c r="G698">
        <v>-122</v>
      </c>
      <c r="H698">
        <f>Table146[[#This Row],[RSSI]]</f>
        <v>-122</v>
      </c>
      <c r="I698">
        <v>-8.3000000000000007</v>
      </c>
      <c r="L698">
        <f>390+2*(Table257[[#This Row],[min value (corrected)]]-27)</f>
        <v>414</v>
      </c>
      <c r="M698">
        <f>MINUTE(Table257[[#This Row],[Corrected time]])</f>
        <v>39</v>
      </c>
      <c r="N698" s="1">
        <v>0.52740631944444449</v>
      </c>
      <c r="O698" s="1">
        <f>Table257[[#This Row],[Time]]-TIME(0,0,3)</f>
        <v>0.52737159722222227</v>
      </c>
      <c r="P698" t="s">
        <v>9</v>
      </c>
      <c r="Q698">
        <v>-122</v>
      </c>
      <c r="R698">
        <f>Table257[[#This Row],[RSSI]]</f>
        <v>-122</v>
      </c>
      <c r="S698">
        <v>-8.3000000000000007</v>
      </c>
    </row>
    <row r="699" spans="2:19" x14ac:dyDescent="0.25">
      <c r="B699">
        <f>390+2*(Table146[[#This Row],[min value (corrected)]]-37)</f>
        <v>414</v>
      </c>
      <c r="C699">
        <f>MINUTE(Table146[[#This Row],[Corrected time]])</f>
        <v>49</v>
      </c>
      <c r="D699" s="1">
        <v>0.49278741898148148</v>
      </c>
      <c r="E699" s="1">
        <f>Table146[[#This Row],[Time]]-TIME(0,0,1)</f>
        <v>0.49277584490740739</v>
      </c>
      <c r="F699" t="s">
        <v>9</v>
      </c>
      <c r="G699">
        <v>-122</v>
      </c>
      <c r="H699">
        <f>Table146[[#This Row],[RSSI]]</f>
        <v>-122</v>
      </c>
      <c r="I699">
        <v>-8.5</v>
      </c>
      <c r="L699">
        <f>390+2*(Table257[[#This Row],[min value (corrected)]]-27)</f>
        <v>414</v>
      </c>
      <c r="M699">
        <f>MINUTE(Table257[[#This Row],[Corrected time]])</f>
        <v>39</v>
      </c>
      <c r="N699" s="1">
        <v>0.52741935185185185</v>
      </c>
      <c r="O699" s="1">
        <f>Table257[[#This Row],[Time]]-TIME(0,0,3)</f>
        <v>0.52738462962962962</v>
      </c>
      <c r="P699" t="s">
        <v>13</v>
      </c>
      <c r="Q699">
        <f>Q698</f>
        <v>-122</v>
      </c>
      <c r="R699">
        <f>Table257[[#This Row],[RSSI]]</f>
        <v>-122</v>
      </c>
      <c r="S699">
        <f>S698</f>
        <v>-8.3000000000000007</v>
      </c>
    </row>
    <row r="700" spans="2:19" x14ac:dyDescent="0.25">
      <c r="B700">
        <f>390+2*(Table146[[#This Row],[min value (corrected)]]-37)</f>
        <v>414</v>
      </c>
      <c r="C700">
        <f>MINUTE(Table146[[#This Row],[Corrected time]])</f>
        <v>49</v>
      </c>
      <c r="D700" s="1">
        <v>0.49280045138888889</v>
      </c>
      <c r="E700" s="1">
        <f>Table146[[#This Row],[Time]]-TIME(0,0,1)</f>
        <v>0.4927888773148148</v>
      </c>
      <c r="F700" t="s">
        <v>9</v>
      </c>
      <c r="G700">
        <v>-121</v>
      </c>
      <c r="H700">
        <f>Table146[[#This Row],[RSSI]]</f>
        <v>-121</v>
      </c>
      <c r="I700">
        <v>-7.7</v>
      </c>
      <c r="L700">
        <f>390+2*(Table257[[#This Row],[min value (corrected)]]-27)</f>
        <v>414</v>
      </c>
      <c r="M700">
        <f>MINUTE(Table257[[#This Row],[Corrected time]])</f>
        <v>39</v>
      </c>
      <c r="N700" s="1">
        <v>0.52743238425925931</v>
      </c>
      <c r="O700" s="1">
        <f>Table257[[#This Row],[Time]]-TIME(0,0,3)</f>
        <v>0.52739766203703708</v>
      </c>
      <c r="P700" t="s">
        <v>9</v>
      </c>
      <c r="Q700">
        <v>-122</v>
      </c>
      <c r="R700">
        <f>Table257[[#This Row],[RSSI]]</f>
        <v>-122</v>
      </c>
      <c r="S700">
        <v>-8.3000000000000007</v>
      </c>
    </row>
    <row r="701" spans="2:19" x14ac:dyDescent="0.25">
      <c r="B701">
        <f>390+2*(Table146[[#This Row],[min value (corrected)]]-37)</f>
        <v>414</v>
      </c>
      <c r="C701">
        <f>MINUTE(Table146[[#This Row],[Corrected time]])</f>
        <v>49</v>
      </c>
      <c r="D701" s="1">
        <v>0.49281347222222227</v>
      </c>
      <c r="E701" s="1">
        <f>Table146[[#This Row],[Time]]-TIME(0,0,1)</f>
        <v>0.49280189814814818</v>
      </c>
      <c r="F701" t="s">
        <v>9</v>
      </c>
      <c r="G701">
        <v>-122</v>
      </c>
      <c r="H701">
        <f>Table146[[#This Row],[RSSI]]</f>
        <v>-122</v>
      </c>
      <c r="I701">
        <v>-8.5</v>
      </c>
      <c r="L701">
        <f>390+2*(Table257[[#This Row],[min value (corrected)]]-27)</f>
        <v>414</v>
      </c>
      <c r="M701">
        <f>MINUTE(Table257[[#This Row],[Corrected time]])</f>
        <v>39</v>
      </c>
      <c r="N701" s="1">
        <v>0.52744541666666667</v>
      </c>
      <c r="O701" s="1">
        <f>Table257[[#This Row],[Time]]-TIME(0,0,3)</f>
        <v>0.52741069444444444</v>
      </c>
      <c r="P701" t="s">
        <v>9</v>
      </c>
      <c r="Q701">
        <v>-122</v>
      </c>
      <c r="R701">
        <f>Table257[[#This Row],[RSSI]]</f>
        <v>-122</v>
      </c>
      <c r="S701">
        <v>-8.5</v>
      </c>
    </row>
    <row r="702" spans="2:19" x14ac:dyDescent="0.25">
      <c r="B702">
        <f>390+2*(Table146[[#This Row],[min value (corrected)]]-37)</f>
        <v>414</v>
      </c>
      <c r="C702">
        <f>MINUTE(Table146[[#This Row],[Corrected time]])</f>
        <v>49</v>
      </c>
      <c r="D702" s="1">
        <v>0.49282651620370371</v>
      </c>
      <c r="E702" s="1">
        <f>Table146[[#This Row],[Time]]-TIME(0,0,1)</f>
        <v>0.49281494212962962</v>
      </c>
      <c r="F702" t="s">
        <v>9</v>
      </c>
      <c r="G702">
        <v>-122</v>
      </c>
      <c r="H702">
        <f>Table146[[#This Row],[RSSI]]</f>
        <v>-122</v>
      </c>
      <c r="I702">
        <v>-9</v>
      </c>
      <c r="L702">
        <f>390+2*(Table257[[#This Row],[min value (corrected)]]-27)</f>
        <v>414</v>
      </c>
      <c r="M702">
        <f>MINUTE(Table257[[#This Row],[Corrected time]])</f>
        <v>39</v>
      </c>
      <c r="N702" s="1">
        <v>0.52745843749999999</v>
      </c>
      <c r="O702" s="1">
        <f>Table257[[#This Row],[Time]]-TIME(0,0,3)</f>
        <v>0.52742371527777776</v>
      </c>
      <c r="P702" t="s">
        <v>9</v>
      </c>
      <c r="Q702">
        <v>-123</v>
      </c>
      <c r="R702">
        <f>Table257[[#This Row],[RSSI]]</f>
        <v>-123</v>
      </c>
      <c r="S702">
        <v>-9.5</v>
      </c>
    </row>
    <row r="703" spans="2:19" x14ac:dyDescent="0.25">
      <c r="B703">
        <f>390+2*(Table146[[#This Row],[min value (corrected)]]-37)</f>
        <v>414</v>
      </c>
      <c r="C703">
        <f>MINUTE(Table146[[#This Row],[Corrected time]])</f>
        <v>49</v>
      </c>
      <c r="D703" s="1">
        <v>0.49283953703703709</v>
      </c>
      <c r="E703" s="1">
        <f>Table146[[#This Row],[Time]]-TIME(0,0,1)</f>
        <v>0.492827962962963</v>
      </c>
      <c r="F703" t="s">
        <v>9</v>
      </c>
      <c r="G703">
        <v>-122</v>
      </c>
      <c r="H703">
        <f>Table146[[#This Row],[RSSI]]</f>
        <v>-122</v>
      </c>
      <c r="I703">
        <v>-8.8000000000000007</v>
      </c>
      <c r="L703">
        <f>390+2*(Table257[[#This Row],[min value (corrected)]]-27)</f>
        <v>414</v>
      </c>
      <c r="M703">
        <f>MINUTE(Table257[[#This Row],[Corrected time]])</f>
        <v>39</v>
      </c>
      <c r="N703" s="1">
        <v>0.52747148148148149</v>
      </c>
      <c r="O703" s="1">
        <f>Table257[[#This Row],[Time]]-TIME(0,0,3)</f>
        <v>0.52743675925925926</v>
      </c>
      <c r="P703" t="s">
        <v>9</v>
      </c>
      <c r="Q703">
        <v>-122</v>
      </c>
      <c r="R703">
        <f>Table257[[#This Row],[RSSI]]</f>
        <v>-122</v>
      </c>
      <c r="S703">
        <v>-9.3000000000000007</v>
      </c>
    </row>
    <row r="704" spans="2:19" x14ac:dyDescent="0.25">
      <c r="B704">
        <f>390+2*(Table146[[#This Row],[min value (corrected)]]-37)</f>
        <v>414</v>
      </c>
      <c r="C704">
        <f>MINUTE(Table146[[#This Row],[Corrected time]])</f>
        <v>49</v>
      </c>
      <c r="D704" s="1">
        <v>0.49285256944444444</v>
      </c>
      <c r="E704" s="1">
        <f>Table146[[#This Row],[Time]]-TIME(0,0,1)</f>
        <v>0.49284099537037035</v>
      </c>
      <c r="F704" t="s">
        <v>9</v>
      </c>
      <c r="G704">
        <v>-122</v>
      </c>
      <c r="H704">
        <f>Table146[[#This Row],[RSSI]]</f>
        <v>-122</v>
      </c>
      <c r="I704">
        <v>-8.5</v>
      </c>
      <c r="L704">
        <f>390+2*(Table257[[#This Row],[min value (corrected)]]-27)</f>
        <v>414</v>
      </c>
      <c r="M704">
        <f>MINUTE(Table257[[#This Row],[Corrected time]])</f>
        <v>39</v>
      </c>
      <c r="N704" s="1">
        <v>0.52748451388888884</v>
      </c>
      <c r="O704" s="1">
        <f>Table257[[#This Row],[Time]]-TIME(0,0,3)</f>
        <v>0.52744979166666661</v>
      </c>
      <c r="P704" t="s">
        <v>13</v>
      </c>
      <c r="Q704">
        <f>Q703</f>
        <v>-122</v>
      </c>
      <c r="R704">
        <f>Table257[[#This Row],[RSSI]]</f>
        <v>-122</v>
      </c>
      <c r="S704">
        <f>S703</f>
        <v>-9.3000000000000007</v>
      </c>
    </row>
    <row r="705" spans="2:19" x14ac:dyDescent="0.25">
      <c r="B705">
        <f>390+2*(Table146[[#This Row],[min value (corrected)]]-37)</f>
        <v>414</v>
      </c>
      <c r="C705">
        <f>MINUTE(Table146[[#This Row],[Corrected time]])</f>
        <v>49</v>
      </c>
      <c r="D705" s="1">
        <v>0.49286560185185191</v>
      </c>
      <c r="E705" s="1">
        <f>Table146[[#This Row],[Time]]-TIME(0,0,1)</f>
        <v>0.49285402777777781</v>
      </c>
      <c r="F705" t="s">
        <v>9</v>
      </c>
      <c r="G705">
        <v>-122</v>
      </c>
      <c r="H705">
        <f>Table146[[#This Row],[RSSI]]</f>
        <v>-122</v>
      </c>
      <c r="I705">
        <v>-9</v>
      </c>
      <c r="L705">
        <f>390+2*(Table257[[#This Row],[min value (corrected)]]-27)</f>
        <v>414</v>
      </c>
      <c r="M705">
        <f>MINUTE(Table257[[#This Row],[Corrected time]])</f>
        <v>39</v>
      </c>
      <c r="N705" s="1">
        <v>0.5274975462962963</v>
      </c>
      <c r="O705" s="1">
        <f>Table257[[#This Row],[Time]]-TIME(0,0,3)</f>
        <v>0.52746282407407408</v>
      </c>
      <c r="P705" t="s">
        <v>9</v>
      </c>
      <c r="Q705">
        <v>-122</v>
      </c>
      <c r="R705">
        <f>Table257[[#This Row],[RSSI]]</f>
        <v>-122</v>
      </c>
      <c r="S705">
        <v>-8.8000000000000007</v>
      </c>
    </row>
    <row r="706" spans="2:19" x14ac:dyDescent="0.25">
      <c r="B706">
        <f>390+2*(Table146[[#This Row],[min value (corrected)]]-37)</f>
        <v>414</v>
      </c>
      <c r="C706">
        <f>MINUTE(Table146[[#This Row],[Corrected time]])</f>
        <v>49</v>
      </c>
      <c r="D706" s="1">
        <v>0.4928786458333333</v>
      </c>
      <c r="E706" s="1">
        <f>Table146[[#This Row],[Time]]-TIME(0,0,1)</f>
        <v>0.4928670717592592</v>
      </c>
      <c r="F706" t="s">
        <v>13</v>
      </c>
      <c r="G706">
        <f t="shared" ref="G706:G707" si="45">G705</f>
        <v>-122</v>
      </c>
      <c r="H706">
        <f>Table146[[#This Row],[RSSI]]</f>
        <v>-122</v>
      </c>
      <c r="I706">
        <f t="shared" ref="I706:I707" si="46">I705</f>
        <v>-9</v>
      </c>
      <c r="L706">
        <f>390+2*(Table257[[#This Row],[min value (corrected)]]-27)</f>
        <v>414</v>
      </c>
      <c r="M706">
        <f>MINUTE(Table257[[#This Row],[Corrected time]])</f>
        <v>39</v>
      </c>
      <c r="N706" s="1">
        <v>0.52751056712962963</v>
      </c>
      <c r="O706" s="1">
        <f>Table257[[#This Row],[Time]]-TIME(0,0,3)</f>
        <v>0.5274758449074074</v>
      </c>
      <c r="P706" t="s">
        <v>9</v>
      </c>
      <c r="Q706">
        <v>-122</v>
      </c>
      <c r="R706">
        <f>Table257[[#This Row],[RSSI]]</f>
        <v>-122</v>
      </c>
      <c r="S706">
        <v>-8</v>
      </c>
    </row>
    <row r="707" spans="2:19" x14ac:dyDescent="0.25">
      <c r="B707">
        <f>390+2*(Table146[[#This Row],[min value (corrected)]]-37)</f>
        <v>414</v>
      </c>
      <c r="C707">
        <f>MINUTE(Table146[[#This Row],[Corrected time]])</f>
        <v>49</v>
      </c>
      <c r="D707" s="1">
        <v>0.49289167824074076</v>
      </c>
      <c r="E707" s="1">
        <f>Table146[[#This Row],[Time]]-TIME(0,0,1)</f>
        <v>0.49288010416666667</v>
      </c>
      <c r="F707" t="s">
        <v>13</v>
      </c>
      <c r="G707">
        <f t="shared" si="45"/>
        <v>-122</v>
      </c>
      <c r="H707">
        <f>Table146[[#This Row],[RSSI]]</f>
        <v>-122</v>
      </c>
      <c r="I707">
        <f t="shared" si="46"/>
        <v>-9</v>
      </c>
      <c r="L707">
        <f>390+2*(Table257[[#This Row],[min value (corrected)]]-27)</f>
        <v>414</v>
      </c>
      <c r="M707">
        <f>MINUTE(Table257[[#This Row],[Corrected time]])</f>
        <v>39</v>
      </c>
      <c r="N707" s="1">
        <v>0.52752361111111112</v>
      </c>
      <c r="O707" s="1">
        <f>Table257[[#This Row],[Time]]-TIME(0,0,3)</f>
        <v>0.5274888888888889</v>
      </c>
      <c r="P707" t="s">
        <v>9</v>
      </c>
      <c r="Q707">
        <v>-120</v>
      </c>
      <c r="R707">
        <f>Table257[[#This Row],[RSSI]]</f>
        <v>-120</v>
      </c>
      <c r="S707">
        <v>-8</v>
      </c>
    </row>
    <row r="708" spans="2:19" x14ac:dyDescent="0.25">
      <c r="B708">
        <f>390+2*(Table146[[#This Row],[min value (corrected)]]-37)</f>
        <v>414</v>
      </c>
      <c r="C708">
        <f>MINUTE(Table146[[#This Row],[Corrected time]])</f>
        <v>49</v>
      </c>
      <c r="D708" s="1">
        <v>0.49290471064814811</v>
      </c>
      <c r="E708" s="1">
        <f>Table146[[#This Row],[Time]]-TIME(0,0,1)</f>
        <v>0.49289313657407402</v>
      </c>
      <c r="F708" t="s">
        <v>9</v>
      </c>
      <c r="G708">
        <v>-122</v>
      </c>
      <c r="H708">
        <f>Table146[[#This Row],[RSSI]]</f>
        <v>-122</v>
      </c>
      <c r="I708">
        <v>-8.5</v>
      </c>
      <c r="L708">
        <f>390+2*(Table257[[#This Row],[min value (corrected)]]-27)</f>
        <v>414</v>
      </c>
      <c r="M708">
        <f>MINUTE(Table257[[#This Row],[Corrected time]])</f>
        <v>39</v>
      </c>
      <c r="N708" s="1">
        <v>0.52753664351851848</v>
      </c>
      <c r="O708" s="1">
        <f>Table257[[#This Row],[Time]]-TIME(0,0,3)</f>
        <v>0.52750192129629625</v>
      </c>
      <c r="P708" t="s">
        <v>9</v>
      </c>
      <c r="Q708">
        <v>-122</v>
      </c>
      <c r="R708">
        <f>Table257[[#This Row],[RSSI]]</f>
        <v>-122</v>
      </c>
      <c r="S708">
        <v>-8.5</v>
      </c>
    </row>
    <row r="709" spans="2:19" x14ac:dyDescent="0.25">
      <c r="B709">
        <f>390+2*(Table146[[#This Row],[min value (corrected)]]-37)</f>
        <v>414</v>
      </c>
      <c r="C709">
        <f>MINUTE(Table146[[#This Row],[Corrected time]])</f>
        <v>49</v>
      </c>
      <c r="D709" s="1">
        <v>0.49291774305555558</v>
      </c>
      <c r="E709" s="1">
        <f>Table146[[#This Row],[Time]]-TIME(0,0,1)</f>
        <v>0.49290616898148149</v>
      </c>
      <c r="F709" t="s">
        <v>9</v>
      </c>
      <c r="G709">
        <v>-121</v>
      </c>
      <c r="H709">
        <f>Table146[[#This Row],[RSSI]]</f>
        <v>-121</v>
      </c>
      <c r="I709">
        <v>-8.3000000000000007</v>
      </c>
      <c r="L709">
        <f>390+2*(Table257[[#This Row],[min value (corrected)]]-27)</f>
        <v>414</v>
      </c>
      <c r="M709">
        <f>MINUTE(Table257[[#This Row],[Corrected time]])</f>
        <v>39</v>
      </c>
      <c r="N709" s="1">
        <v>0.52754967592592594</v>
      </c>
      <c r="O709" s="1">
        <f>Table257[[#This Row],[Time]]-TIME(0,0,3)</f>
        <v>0.52751495370370372</v>
      </c>
      <c r="P709" t="s">
        <v>9</v>
      </c>
      <c r="Q709">
        <v>-122</v>
      </c>
      <c r="R709">
        <f>Table257[[#This Row],[RSSI]]</f>
        <v>-122</v>
      </c>
      <c r="S709">
        <v>-8.3000000000000007</v>
      </c>
    </row>
    <row r="710" spans="2:19" x14ac:dyDescent="0.25">
      <c r="B710">
        <f>390+2*(Table146[[#This Row],[min value (corrected)]]-37)</f>
        <v>414</v>
      </c>
      <c r="C710">
        <f>MINUTE(Table146[[#This Row],[Corrected time]])</f>
        <v>49</v>
      </c>
      <c r="D710" s="1">
        <v>0.4929307638888889</v>
      </c>
      <c r="E710" s="1">
        <f>Table146[[#This Row],[Time]]-TIME(0,0,1)</f>
        <v>0.49291918981481481</v>
      </c>
      <c r="F710" t="s">
        <v>13</v>
      </c>
      <c r="G710">
        <f>G709</f>
        <v>-121</v>
      </c>
      <c r="H710">
        <f>Table146[[#This Row],[RSSI]]</f>
        <v>-121</v>
      </c>
      <c r="I710">
        <f>I709</f>
        <v>-8.3000000000000007</v>
      </c>
      <c r="L710">
        <f>390+2*(Table257[[#This Row],[min value (corrected)]]-27)</f>
        <v>414</v>
      </c>
      <c r="M710">
        <f>MINUTE(Table257[[#This Row],[Corrected time]])</f>
        <v>39</v>
      </c>
      <c r="N710" s="1">
        <v>0.5275627083333333</v>
      </c>
      <c r="O710" s="1">
        <f>Table257[[#This Row],[Time]]-TIME(0,0,3)</f>
        <v>0.52752798611111107</v>
      </c>
      <c r="P710" t="s">
        <v>9</v>
      </c>
      <c r="Q710">
        <v>-122</v>
      </c>
      <c r="R710">
        <f>Table257[[#This Row],[RSSI]]</f>
        <v>-122</v>
      </c>
      <c r="S710">
        <v>-8.3000000000000007</v>
      </c>
    </row>
    <row r="711" spans="2:19" x14ac:dyDescent="0.25">
      <c r="B711">
        <f>390+2*(Table146[[#This Row],[min value (corrected)]]-37)</f>
        <v>414</v>
      </c>
      <c r="C711">
        <f>MINUTE(Table146[[#This Row],[Corrected time]])</f>
        <v>49</v>
      </c>
      <c r="D711" s="1">
        <v>0.4929438078703704</v>
      </c>
      <c r="E711" s="1">
        <f>Table146[[#This Row],[Time]]-TIME(0,0,1)</f>
        <v>0.4929322337962963</v>
      </c>
      <c r="F711" t="s">
        <v>9</v>
      </c>
      <c r="G711">
        <v>-122</v>
      </c>
      <c r="H711">
        <f>Table146[[#This Row],[RSSI]]</f>
        <v>-122</v>
      </c>
      <c r="I711">
        <v>-8.5</v>
      </c>
      <c r="L711">
        <f>390+2*(Table257[[#This Row],[min value (corrected)]]-27)</f>
        <v>414</v>
      </c>
      <c r="M711">
        <f>MINUTE(Table257[[#This Row],[Corrected time]])</f>
        <v>39</v>
      </c>
      <c r="N711" s="1">
        <v>0.52757574074074076</v>
      </c>
      <c r="O711" s="1">
        <f>Table257[[#This Row],[Time]]-TIME(0,0,3)</f>
        <v>0.52754101851851853</v>
      </c>
      <c r="P711" t="s">
        <v>13</v>
      </c>
      <c r="Q711">
        <f>Q710</f>
        <v>-122</v>
      </c>
      <c r="R711">
        <f>Table257[[#This Row],[RSSI]]</f>
        <v>-122</v>
      </c>
      <c r="S711">
        <f>S710</f>
        <v>-8.3000000000000007</v>
      </c>
    </row>
    <row r="712" spans="2:19" x14ac:dyDescent="0.25">
      <c r="B712">
        <f>390+2*(Table146[[#This Row],[min value (corrected)]]-37)</f>
        <v>414</v>
      </c>
      <c r="C712">
        <f>MINUTE(Table146[[#This Row],[Corrected time]])</f>
        <v>49</v>
      </c>
      <c r="D712" s="1">
        <v>0.49295682870370372</v>
      </c>
      <c r="E712" s="1">
        <f>Table146[[#This Row],[Time]]-TIME(0,0,1)</f>
        <v>0.49294525462962963</v>
      </c>
      <c r="F712" t="s">
        <v>13</v>
      </c>
      <c r="G712">
        <f>G711</f>
        <v>-122</v>
      </c>
      <c r="H712">
        <f>Table146[[#This Row],[RSSI]]</f>
        <v>-122</v>
      </c>
      <c r="I712">
        <f>I711</f>
        <v>-8.5</v>
      </c>
      <c r="L712">
        <f>390+2*(Table257[[#This Row],[min value (corrected)]]-27)</f>
        <v>414</v>
      </c>
      <c r="M712">
        <f>MINUTE(Table257[[#This Row],[Corrected time]])</f>
        <v>39</v>
      </c>
      <c r="N712" s="1">
        <v>0.52758877314814812</v>
      </c>
      <c r="O712" s="1">
        <f>Table257[[#This Row],[Time]]-TIME(0,0,3)</f>
        <v>0.52755405092592589</v>
      </c>
      <c r="P712" t="s">
        <v>9</v>
      </c>
      <c r="Q712">
        <v>-121</v>
      </c>
      <c r="R712">
        <f>Table257[[#This Row],[RSSI]]</f>
        <v>-121</v>
      </c>
      <c r="S712">
        <v>-8</v>
      </c>
    </row>
    <row r="713" spans="2:19" x14ac:dyDescent="0.25">
      <c r="B713">
        <f>390+2*(Table146[[#This Row],[min value (corrected)]]-37)</f>
        <v>414</v>
      </c>
      <c r="C713">
        <f>MINUTE(Table146[[#This Row],[Corrected time]])</f>
        <v>49</v>
      </c>
      <c r="D713" s="1">
        <v>0.49296987268518522</v>
      </c>
      <c r="E713" s="1">
        <f>Table146[[#This Row],[Time]]-TIME(0,0,1)</f>
        <v>0.49295829861111112</v>
      </c>
      <c r="F713" t="s">
        <v>9</v>
      </c>
      <c r="G713">
        <v>-122</v>
      </c>
      <c r="H713">
        <f>Table146[[#This Row],[RSSI]]</f>
        <v>-122</v>
      </c>
      <c r="I713">
        <v>-8.5</v>
      </c>
      <c r="L713">
        <f>390+2*(Table257[[#This Row],[min value (corrected)]]-27)</f>
        <v>414</v>
      </c>
      <c r="M713">
        <f>MINUTE(Table257[[#This Row],[Corrected time]])</f>
        <v>39</v>
      </c>
      <c r="N713" s="1">
        <v>0.52760180555555558</v>
      </c>
      <c r="O713" s="1">
        <f>Table257[[#This Row],[Time]]-TIME(0,0,3)</f>
        <v>0.52756708333333335</v>
      </c>
      <c r="P713" t="s">
        <v>9</v>
      </c>
      <c r="Q713">
        <v>-122</v>
      </c>
      <c r="R713">
        <f>Table257[[#This Row],[RSSI]]</f>
        <v>-122</v>
      </c>
      <c r="S713">
        <v>-8.3000000000000007</v>
      </c>
    </row>
    <row r="714" spans="2:19" x14ac:dyDescent="0.25">
      <c r="B714">
        <f>390+2*(Table146[[#This Row],[min value (corrected)]]-37)</f>
        <v>414</v>
      </c>
      <c r="C714">
        <f>MINUTE(Table146[[#This Row],[Corrected time]])</f>
        <v>49</v>
      </c>
      <c r="D714" s="1">
        <v>0.49298290509259257</v>
      </c>
      <c r="E714" s="1">
        <f>Table146[[#This Row],[Time]]-TIME(0,0,1)</f>
        <v>0.49297133101851848</v>
      </c>
      <c r="F714" t="s">
        <v>9</v>
      </c>
      <c r="G714">
        <v>-122</v>
      </c>
      <c r="H714">
        <f>Table146[[#This Row],[RSSI]]</f>
        <v>-122</v>
      </c>
      <c r="I714">
        <v>-7.7</v>
      </c>
      <c r="L714">
        <f>390+2*(Table257[[#This Row],[min value (corrected)]]-27)</f>
        <v>414</v>
      </c>
      <c r="M714">
        <f>MINUTE(Table257[[#This Row],[Corrected time]])</f>
        <v>39</v>
      </c>
      <c r="N714" s="1">
        <v>0.52761483796296293</v>
      </c>
      <c r="O714" s="1">
        <f>Table257[[#This Row],[Time]]-TIME(0,0,3)</f>
        <v>0.52758011574074071</v>
      </c>
      <c r="P714" t="s">
        <v>9</v>
      </c>
      <c r="Q714">
        <v>-122</v>
      </c>
      <c r="R714">
        <f>Table257[[#This Row],[RSSI]]</f>
        <v>-122</v>
      </c>
      <c r="S714">
        <v>-8.5</v>
      </c>
    </row>
    <row r="715" spans="2:19" x14ac:dyDescent="0.25">
      <c r="B715">
        <f>390+2*(Table146[[#This Row],[min value (corrected)]]-37)</f>
        <v>414</v>
      </c>
      <c r="C715">
        <f>MINUTE(Table146[[#This Row],[Corrected time]])</f>
        <v>49</v>
      </c>
      <c r="D715" s="1">
        <v>0.49299592592592589</v>
      </c>
      <c r="E715" s="1">
        <f>Table146[[#This Row],[Time]]-TIME(0,0,1)</f>
        <v>0.4929843518518518</v>
      </c>
      <c r="F715" t="s">
        <v>9</v>
      </c>
      <c r="G715">
        <v>-122</v>
      </c>
      <c r="H715">
        <f>Table146[[#This Row],[RSSI]]</f>
        <v>-122</v>
      </c>
      <c r="I715">
        <v>-8.5</v>
      </c>
      <c r="L715">
        <f>390+2*(Table257[[#This Row],[min value (corrected)]]-27)</f>
        <v>414</v>
      </c>
      <c r="M715">
        <f>MINUTE(Table257[[#This Row],[Corrected time]])</f>
        <v>39</v>
      </c>
      <c r="N715" s="1">
        <v>0.5276278703703704</v>
      </c>
      <c r="O715" s="1">
        <f>Table257[[#This Row],[Time]]-TIME(0,0,3)</f>
        <v>0.52759314814814817</v>
      </c>
      <c r="P715" t="s">
        <v>9</v>
      </c>
      <c r="Q715">
        <v>-122</v>
      </c>
      <c r="R715">
        <f>Table257[[#This Row],[RSSI]]</f>
        <v>-122</v>
      </c>
      <c r="S715">
        <v>-8.5</v>
      </c>
    </row>
    <row r="716" spans="2:19" x14ac:dyDescent="0.25">
      <c r="B716">
        <f>390+2*(Table146[[#This Row],[min value (corrected)]]-37)</f>
        <v>414</v>
      </c>
      <c r="C716">
        <f>MINUTE(Table146[[#This Row],[Corrected time]])</f>
        <v>49</v>
      </c>
      <c r="D716" s="1">
        <v>0.49300895833333336</v>
      </c>
      <c r="E716" s="1">
        <f>Table146[[#This Row],[Time]]-TIME(0,0,1)</f>
        <v>0.49299738425925926</v>
      </c>
      <c r="F716" t="s">
        <v>9</v>
      </c>
      <c r="G716">
        <v>-122</v>
      </c>
      <c r="H716">
        <f>Table146[[#This Row],[RSSI]]</f>
        <v>-122</v>
      </c>
      <c r="I716">
        <v>-8.5</v>
      </c>
      <c r="L716">
        <f>390+2*(Table257[[#This Row],[min value (corrected)]]-27)</f>
        <v>414</v>
      </c>
      <c r="M716">
        <f>MINUTE(Table257[[#This Row],[Corrected time]])</f>
        <v>39</v>
      </c>
      <c r="N716" s="1">
        <v>0.52764089120370372</v>
      </c>
      <c r="O716" s="1">
        <f>Table257[[#This Row],[Time]]-TIME(0,0,3)</f>
        <v>0.52760616898148149</v>
      </c>
      <c r="P716" t="s">
        <v>9</v>
      </c>
      <c r="Q716">
        <v>-122</v>
      </c>
      <c r="R716">
        <f>Table257[[#This Row],[RSSI]]</f>
        <v>-122</v>
      </c>
      <c r="S716">
        <v>-8.8000000000000007</v>
      </c>
    </row>
    <row r="717" spans="2:19" x14ac:dyDescent="0.25">
      <c r="B717">
        <f>390+2*(Table146[[#This Row],[min value (corrected)]]-37)</f>
        <v>414</v>
      </c>
      <c r="C717">
        <f>MINUTE(Table146[[#This Row],[Corrected time]])</f>
        <v>49</v>
      </c>
      <c r="D717" s="1">
        <v>0.49302200231481486</v>
      </c>
      <c r="E717" s="1">
        <f>Table146[[#This Row],[Time]]-TIME(0,0,1)</f>
        <v>0.49301042824074076</v>
      </c>
      <c r="F717" t="s">
        <v>13</v>
      </c>
      <c r="G717">
        <f t="shared" ref="G717:G718" si="47">G716</f>
        <v>-122</v>
      </c>
      <c r="H717">
        <f>Table146[[#This Row],[RSSI]]</f>
        <v>-122</v>
      </c>
      <c r="I717">
        <f t="shared" ref="I717:I718" si="48">I716</f>
        <v>-8.5</v>
      </c>
      <c r="L717">
        <f>390+2*(Table257[[#This Row],[min value (corrected)]]-27)</f>
        <v>414</v>
      </c>
      <c r="M717">
        <f>MINUTE(Table257[[#This Row],[Corrected time]])</f>
        <v>39</v>
      </c>
      <c r="N717" s="1">
        <v>0.52765393518518522</v>
      </c>
      <c r="O717" s="1">
        <f>Table257[[#This Row],[Time]]-TIME(0,0,3)</f>
        <v>0.52761921296296299</v>
      </c>
      <c r="P717" t="s">
        <v>9</v>
      </c>
      <c r="Q717">
        <v>-122</v>
      </c>
      <c r="R717">
        <f>Table257[[#This Row],[RSSI]]</f>
        <v>-122</v>
      </c>
      <c r="S717">
        <v>-8.5</v>
      </c>
    </row>
    <row r="718" spans="2:19" x14ac:dyDescent="0.25">
      <c r="B718">
        <f>390+2*(Table146[[#This Row],[min value (corrected)]]-37)</f>
        <v>414</v>
      </c>
      <c r="C718">
        <f>MINUTE(Table146[[#This Row],[Corrected time]])</f>
        <v>49</v>
      </c>
      <c r="D718" s="1">
        <v>0.49303503472222221</v>
      </c>
      <c r="E718" s="1">
        <f>Table146[[#This Row],[Time]]-TIME(0,0,1)</f>
        <v>0.49302346064814812</v>
      </c>
      <c r="F718" t="s">
        <v>13</v>
      </c>
      <c r="G718">
        <f t="shared" si="47"/>
        <v>-122</v>
      </c>
      <c r="H718">
        <f>Table146[[#This Row],[RSSI]]</f>
        <v>-122</v>
      </c>
      <c r="I718">
        <f t="shared" si="48"/>
        <v>-8.5</v>
      </c>
      <c r="L718">
        <f>390+2*(Table257[[#This Row],[min value (corrected)]]-27)</f>
        <v>414</v>
      </c>
      <c r="M718">
        <f>MINUTE(Table257[[#This Row],[Corrected time]])</f>
        <v>39</v>
      </c>
      <c r="N718" s="1">
        <v>0.52766696759259257</v>
      </c>
      <c r="O718" s="1">
        <f>Table257[[#This Row],[Time]]-TIME(0,0,3)</f>
        <v>0.52763224537037035</v>
      </c>
      <c r="P718" t="s">
        <v>9</v>
      </c>
      <c r="Q718">
        <v>-122</v>
      </c>
      <c r="R718">
        <f>Table257[[#This Row],[RSSI]]</f>
        <v>-122</v>
      </c>
      <c r="S718">
        <v>-9.3000000000000007</v>
      </c>
    </row>
    <row r="719" spans="2:19" x14ac:dyDescent="0.25">
      <c r="B719">
        <f>390+2*(Table146[[#This Row],[min value (corrected)]]-37)</f>
        <v>414</v>
      </c>
      <c r="C719">
        <f>MINUTE(Table146[[#This Row],[Corrected time]])</f>
        <v>49</v>
      </c>
      <c r="D719" s="1">
        <v>0.49304806712962967</v>
      </c>
      <c r="E719" s="1">
        <f>Table146[[#This Row],[Time]]-TIME(0,0,1)</f>
        <v>0.49303649305555558</v>
      </c>
      <c r="F719" t="s">
        <v>9</v>
      </c>
      <c r="G719">
        <v>-123</v>
      </c>
      <c r="H719">
        <f>Table146[[#This Row],[RSSI]]</f>
        <v>-123</v>
      </c>
      <c r="I719">
        <v>-9.8000000000000007</v>
      </c>
      <c r="L719">
        <f>390+2*(Table257[[#This Row],[min value (corrected)]]-27)</f>
        <v>414</v>
      </c>
      <c r="M719">
        <f>MINUTE(Table257[[#This Row],[Corrected time]])</f>
        <v>39</v>
      </c>
      <c r="N719" s="1">
        <v>0.52768000000000004</v>
      </c>
      <c r="O719" s="1">
        <f>Table257[[#This Row],[Time]]-TIME(0,0,3)</f>
        <v>0.52764527777777781</v>
      </c>
      <c r="P719" t="s">
        <v>9</v>
      </c>
      <c r="Q719">
        <v>-122</v>
      </c>
      <c r="R719">
        <f>Table257[[#This Row],[RSSI]]</f>
        <v>-122</v>
      </c>
      <c r="S719">
        <v>-8.3000000000000007</v>
      </c>
    </row>
    <row r="720" spans="2:19" x14ac:dyDescent="0.25">
      <c r="B720">
        <f>390+2*(Table146[[#This Row],[min value (corrected)]]-37)</f>
        <v>414</v>
      </c>
      <c r="C720">
        <f>MINUTE(Table146[[#This Row],[Corrected time]])</f>
        <v>49</v>
      </c>
      <c r="D720" s="1">
        <v>0.493061087962963</v>
      </c>
      <c r="E720" s="1">
        <f>Table146[[#This Row],[Time]]-TIME(0,0,1)</f>
        <v>0.4930495138888889</v>
      </c>
      <c r="F720" t="s">
        <v>9</v>
      </c>
      <c r="G720">
        <v>-123</v>
      </c>
      <c r="H720">
        <f>Table146[[#This Row],[RSSI]]</f>
        <v>-123</v>
      </c>
      <c r="I720">
        <v>-9.3000000000000007</v>
      </c>
      <c r="L720">
        <f>390+2*(Table257[[#This Row],[min value (corrected)]]-27)</f>
        <v>414</v>
      </c>
      <c r="M720">
        <f>MINUTE(Table257[[#This Row],[Corrected time]])</f>
        <v>39</v>
      </c>
      <c r="N720" s="1">
        <v>0.52769303240740739</v>
      </c>
      <c r="O720" s="1">
        <f>Table257[[#This Row],[Time]]-TIME(0,0,3)</f>
        <v>0.52765831018518516</v>
      </c>
      <c r="P720" t="s">
        <v>9</v>
      </c>
      <c r="Q720">
        <v>-123</v>
      </c>
      <c r="R720">
        <f>Table257[[#This Row],[RSSI]]</f>
        <v>-123</v>
      </c>
      <c r="S720">
        <v>-9</v>
      </c>
    </row>
    <row r="721" spans="2:19" x14ac:dyDescent="0.25">
      <c r="B721">
        <f>390+2*(Table146[[#This Row],[min value (corrected)]]-37)</f>
        <v>416</v>
      </c>
      <c r="C721">
        <f>MINUTE(Table146[[#This Row],[Corrected time]])</f>
        <v>50</v>
      </c>
      <c r="D721" s="1">
        <v>0.49307413194444449</v>
      </c>
      <c r="E721" s="1">
        <f>Table146[[#This Row],[Time]]-TIME(0,0,1)</f>
        <v>0.4930625578703704</v>
      </c>
      <c r="F721" t="s">
        <v>9</v>
      </c>
      <c r="G721">
        <v>-122</v>
      </c>
      <c r="H721">
        <f>Table146[[#This Row],[RSSI]]</f>
        <v>-122</v>
      </c>
      <c r="I721">
        <v>-8.3000000000000007</v>
      </c>
      <c r="L721">
        <f>390+2*(Table257[[#This Row],[min value (corrected)]]-27)</f>
        <v>414</v>
      </c>
      <c r="M721">
        <f>MINUTE(Table257[[#This Row],[Corrected time]])</f>
        <v>39</v>
      </c>
      <c r="N721" s="1">
        <v>0.52770606481481475</v>
      </c>
      <c r="O721" s="1">
        <f>Table257[[#This Row],[Time]]-TIME(0,0,3)</f>
        <v>0.52767134259259252</v>
      </c>
      <c r="P721" t="s">
        <v>9</v>
      </c>
      <c r="Q721">
        <v>-123</v>
      </c>
      <c r="R721">
        <f>Table257[[#This Row],[RSSI]]</f>
        <v>-123</v>
      </c>
      <c r="S721">
        <v>-8.8000000000000007</v>
      </c>
    </row>
    <row r="722" spans="2:19" x14ac:dyDescent="0.25">
      <c r="B722">
        <f>390+2*(Table146[[#This Row],[min value (corrected)]]-37)</f>
        <v>416</v>
      </c>
      <c r="C722">
        <f>MINUTE(Table146[[#This Row],[Corrected time]])</f>
        <v>50</v>
      </c>
      <c r="D722" s="1">
        <v>0.49308715277777782</v>
      </c>
      <c r="E722" s="1">
        <f>Table146[[#This Row],[Time]]-TIME(0,0,1)</f>
        <v>0.49307557870370372</v>
      </c>
      <c r="F722" t="s">
        <v>13</v>
      </c>
      <c r="G722">
        <f t="shared" ref="G722:G724" si="49">G721</f>
        <v>-122</v>
      </c>
      <c r="H722">
        <f>Table146[[#This Row],[RSSI]]</f>
        <v>-122</v>
      </c>
      <c r="I722">
        <f t="shared" ref="I722:I724" si="50">I721</f>
        <v>-8.3000000000000007</v>
      </c>
      <c r="L722">
        <f>390+2*(Table257[[#This Row],[min value (corrected)]]-27)</f>
        <v>414</v>
      </c>
      <c r="M722">
        <f>MINUTE(Table257[[#This Row],[Corrected time]])</f>
        <v>39</v>
      </c>
      <c r="N722" s="1">
        <v>0.52771909722222221</v>
      </c>
      <c r="O722" s="1">
        <f>Table257[[#This Row],[Time]]-TIME(0,0,3)</f>
        <v>0.52768437499999998</v>
      </c>
      <c r="P722" t="s">
        <v>9</v>
      </c>
      <c r="Q722">
        <v>-122</v>
      </c>
      <c r="R722">
        <f>Table257[[#This Row],[RSSI]]</f>
        <v>-122</v>
      </c>
      <c r="S722">
        <v>-8.5</v>
      </c>
    </row>
    <row r="723" spans="2:19" x14ac:dyDescent="0.25">
      <c r="B723">
        <f>390+2*(Table146[[#This Row],[min value (corrected)]]-37)</f>
        <v>416</v>
      </c>
      <c r="C723">
        <f>MINUTE(Table146[[#This Row],[Corrected time]])</f>
        <v>50</v>
      </c>
      <c r="D723" s="1">
        <v>0.49310019675925931</v>
      </c>
      <c r="E723" s="1">
        <f>Table146[[#This Row],[Time]]-TIME(0,0,1)</f>
        <v>0.49308862268518522</v>
      </c>
      <c r="F723" t="s">
        <v>13</v>
      </c>
      <c r="G723">
        <f t="shared" si="49"/>
        <v>-122</v>
      </c>
      <c r="H723">
        <f>Table146[[#This Row],[RSSI]]</f>
        <v>-122</v>
      </c>
      <c r="I723">
        <f t="shared" si="50"/>
        <v>-8.3000000000000007</v>
      </c>
      <c r="L723">
        <f>390+2*(Table257[[#This Row],[min value (corrected)]]-27)</f>
        <v>414</v>
      </c>
      <c r="M723">
        <f>MINUTE(Table257[[#This Row],[Corrected time]])</f>
        <v>39</v>
      </c>
      <c r="N723" s="1">
        <v>0.52773212962962956</v>
      </c>
      <c r="O723" s="1">
        <f>Table257[[#This Row],[Time]]-TIME(0,0,3)</f>
        <v>0.52769740740740734</v>
      </c>
      <c r="P723" t="s">
        <v>9</v>
      </c>
      <c r="Q723">
        <v>-123</v>
      </c>
      <c r="R723">
        <f>Table257[[#This Row],[RSSI]]</f>
        <v>-123</v>
      </c>
      <c r="S723">
        <v>-9</v>
      </c>
    </row>
    <row r="724" spans="2:19" x14ac:dyDescent="0.25">
      <c r="B724">
        <f>390+2*(Table146[[#This Row],[min value (corrected)]]-37)</f>
        <v>416</v>
      </c>
      <c r="C724">
        <f>MINUTE(Table146[[#This Row],[Corrected time]])</f>
        <v>50</v>
      </c>
      <c r="D724" s="1">
        <v>0.49311322916666667</v>
      </c>
      <c r="E724" s="1">
        <f>Table146[[#This Row],[Time]]-TIME(0,0,1)</f>
        <v>0.49310165509259257</v>
      </c>
      <c r="F724" t="s">
        <v>13</v>
      </c>
      <c r="G724">
        <f t="shared" si="49"/>
        <v>-122</v>
      </c>
      <c r="H724">
        <f>Table146[[#This Row],[RSSI]]</f>
        <v>-122</v>
      </c>
      <c r="I724">
        <f t="shared" si="50"/>
        <v>-8.3000000000000007</v>
      </c>
      <c r="L724">
        <f>390+2*(Table257[[#This Row],[min value (corrected)]]-27)</f>
        <v>414</v>
      </c>
      <c r="M724">
        <f>MINUTE(Table257[[#This Row],[Corrected time]])</f>
        <v>39</v>
      </c>
      <c r="N724" s="1">
        <v>0.52774516203703703</v>
      </c>
      <c r="O724" s="1">
        <f>Table257[[#This Row],[Time]]-TIME(0,0,3)</f>
        <v>0.5277104398148148</v>
      </c>
      <c r="P724" t="s">
        <v>9</v>
      </c>
      <c r="Q724">
        <v>-122</v>
      </c>
      <c r="R724">
        <f>Table257[[#This Row],[RSSI]]</f>
        <v>-122</v>
      </c>
      <c r="S724">
        <v>-8.5</v>
      </c>
    </row>
    <row r="725" spans="2:19" x14ac:dyDescent="0.25">
      <c r="B725">
        <f>390+2*(Table146[[#This Row],[min value (corrected)]]-37)</f>
        <v>416</v>
      </c>
      <c r="C725">
        <f>MINUTE(Table146[[#This Row],[Corrected time]])</f>
        <v>50</v>
      </c>
      <c r="D725" s="1">
        <v>0.49312626157407402</v>
      </c>
      <c r="E725" s="1">
        <f>Table146[[#This Row],[Time]]-TIME(0,0,1)</f>
        <v>0.49311468749999993</v>
      </c>
      <c r="F725" t="s">
        <v>9</v>
      </c>
      <c r="G725">
        <v>-122</v>
      </c>
      <c r="H725">
        <f>Table146[[#This Row],[RSSI]]</f>
        <v>-122</v>
      </c>
      <c r="I725">
        <v>-8.8000000000000007</v>
      </c>
      <c r="L725">
        <f>390+2*(Table257[[#This Row],[min value (corrected)]]-27)</f>
        <v>414</v>
      </c>
      <c r="M725">
        <f>MINUTE(Table257[[#This Row],[Corrected time]])</f>
        <v>39</v>
      </c>
      <c r="N725" s="1">
        <v>0.52775819444444438</v>
      </c>
      <c r="O725" s="1">
        <f>Table257[[#This Row],[Time]]-TIME(0,0,3)</f>
        <v>0.52772347222222216</v>
      </c>
      <c r="P725" t="s">
        <v>13</v>
      </c>
      <c r="Q725">
        <f>Q724</f>
        <v>-122</v>
      </c>
      <c r="R725">
        <f>Table257[[#This Row],[RSSI]]</f>
        <v>-122</v>
      </c>
      <c r="S725">
        <f>S724</f>
        <v>-8.5</v>
      </c>
    </row>
    <row r="726" spans="2:19" x14ac:dyDescent="0.25">
      <c r="B726">
        <f>390+2*(Table146[[#This Row],[min value (corrected)]]-37)</f>
        <v>416</v>
      </c>
      <c r="C726">
        <f>MINUTE(Table146[[#This Row],[Corrected time]])</f>
        <v>50</v>
      </c>
      <c r="D726" s="1">
        <v>0.49313928240740734</v>
      </c>
      <c r="E726" s="1">
        <f>Table146[[#This Row],[Time]]-TIME(0,0,1)</f>
        <v>0.49312770833333325</v>
      </c>
      <c r="F726" t="s">
        <v>13</v>
      </c>
      <c r="G726">
        <f t="shared" ref="G726:G730" si="51">G725</f>
        <v>-122</v>
      </c>
      <c r="H726">
        <f>Table146[[#This Row],[RSSI]]</f>
        <v>-122</v>
      </c>
      <c r="I726">
        <f t="shared" ref="I726:I730" si="52">I725</f>
        <v>-8.8000000000000007</v>
      </c>
      <c r="L726">
        <f>390+2*(Table257[[#This Row],[min value (corrected)]]-27)</f>
        <v>414</v>
      </c>
      <c r="M726">
        <f>MINUTE(Table257[[#This Row],[Corrected time]])</f>
        <v>39</v>
      </c>
      <c r="N726" s="1">
        <v>0.52777122685185185</v>
      </c>
      <c r="O726" s="1">
        <f>Table257[[#This Row],[Time]]-TIME(0,0,3)</f>
        <v>0.52773650462962962</v>
      </c>
      <c r="P726" t="s">
        <v>9</v>
      </c>
      <c r="Q726">
        <v>-122</v>
      </c>
      <c r="R726">
        <f>Table257[[#This Row],[RSSI]]</f>
        <v>-122</v>
      </c>
      <c r="S726">
        <v>-9</v>
      </c>
    </row>
    <row r="727" spans="2:19" x14ac:dyDescent="0.25">
      <c r="B727">
        <f>390+2*(Table146[[#This Row],[min value (corrected)]]-37)</f>
        <v>416</v>
      </c>
      <c r="C727">
        <f>MINUTE(Table146[[#This Row],[Corrected time]])</f>
        <v>50</v>
      </c>
      <c r="D727" s="1">
        <v>0.49315231481481481</v>
      </c>
      <c r="E727" s="1">
        <f>Table146[[#This Row],[Time]]-TIME(0,0,1)</f>
        <v>0.49314074074074071</v>
      </c>
      <c r="F727" t="s">
        <v>13</v>
      </c>
      <c r="G727">
        <f t="shared" si="51"/>
        <v>-122</v>
      </c>
      <c r="H727">
        <f>Table146[[#This Row],[RSSI]]</f>
        <v>-122</v>
      </c>
      <c r="I727">
        <f t="shared" si="52"/>
        <v>-8.8000000000000007</v>
      </c>
      <c r="L727">
        <f>390+2*(Table257[[#This Row],[min value (corrected)]]-27)</f>
        <v>414</v>
      </c>
      <c r="M727">
        <f>MINUTE(Table257[[#This Row],[Corrected time]])</f>
        <v>39</v>
      </c>
      <c r="N727" s="1">
        <v>0.5277842592592592</v>
      </c>
      <c r="O727" s="1">
        <f>Table257[[#This Row],[Time]]-TIME(0,0,3)</f>
        <v>0.52774953703703698</v>
      </c>
      <c r="P727" t="s">
        <v>9</v>
      </c>
      <c r="Q727">
        <v>-122</v>
      </c>
      <c r="R727">
        <f>Table257[[#This Row],[RSSI]]</f>
        <v>-122</v>
      </c>
      <c r="S727">
        <v>-8</v>
      </c>
    </row>
    <row r="728" spans="2:19" x14ac:dyDescent="0.25">
      <c r="B728">
        <f>390+2*(Table146[[#This Row],[min value (corrected)]]-37)</f>
        <v>416</v>
      </c>
      <c r="C728">
        <f>MINUTE(Table146[[#This Row],[Corrected time]])</f>
        <v>50</v>
      </c>
      <c r="D728" s="1">
        <v>0.4931653587962963</v>
      </c>
      <c r="E728" s="1">
        <f>Table146[[#This Row],[Time]]-TIME(0,0,1)</f>
        <v>0.49315378472222221</v>
      </c>
      <c r="F728" t="s">
        <v>13</v>
      </c>
      <c r="G728">
        <f t="shared" si="51"/>
        <v>-122</v>
      </c>
      <c r="H728">
        <f>Table146[[#This Row],[RSSI]]</f>
        <v>-122</v>
      </c>
      <c r="I728">
        <f t="shared" si="52"/>
        <v>-8.8000000000000007</v>
      </c>
      <c r="L728">
        <f>390+2*(Table257[[#This Row],[min value (corrected)]]-27)</f>
        <v>414</v>
      </c>
      <c r="M728">
        <f>MINUTE(Table257[[#This Row],[Corrected time]])</f>
        <v>39</v>
      </c>
      <c r="N728" s="1">
        <v>0.52779729166666667</v>
      </c>
      <c r="O728" s="1">
        <f>Table257[[#This Row],[Time]]-TIME(0,0,3)</f>
        <v>0.52776256944444444</v>
      </c>
      <c r="P728" t="s">
        <v>9</v>
      </c>
      <c r="Q728">
        <v>-122</v>
      </c>
      <c r="R728">
        <f>Table257[[#This Row],[RSSI]]</f>
        <v>-122</v>
      </c>
      <c r="S728">
        <v>-8.8000000000000007</v>
      </c>
    </row>
    <row r="729" spans="2:19" x14ac:dyDescent="0.25">
      <c r="B729">
        <f>390+2*(Table146[[#This Row],[min value (corrected)]]-37)</f>
        <v>416</v>
      </c>
      <c r="C729">
        <f>MINUTE(Table146[[#This Row],[Corrected time]])</f>
        <v>50</v>
      </c>
      <c r="D729" s="1">
        <v>0.49317839120370366</v>
      </c>
      <c r="E729" s="1">
        <f>Table146[[#This Row],[Time]]-TIME(0,0,1)</f>
        <v>0.49316681712962956</v>
      </c>
      <c r="F729" t="s">
        <v>13</v>
      </c>
      <c r="G729">
        <f t="shared" si="51"/>
        <v>-122</v>
      </c>
      <c r="H729">
        <f>Table146[[#This Row],[RSSI]]</f>
        <v>-122</v>
      </c>
      <c r="I729">
        <f t="shared" si="52"/>
        <v>-8.8000000000000007</v>
      </c>
      <c r="L729">
        <f>390+2*(Table257[[#This Row],[min value (corrected)]]-27)</f>
        <v>416</v>
      </c>
      <c r="M729">
        <f>MINUTE(Table257[[#This Row],[Corrected time]])</f>
        <v>40</v>
      </c>
      <c r="N729" s="1">
        <v>0.52781032407407402</v>
      </c>
      <c r="O729" s="1">
        <f>Table257[[#This Row],[Time]]-TIME(0,0,3)</f>
        <v>0.52777560185185179</v>
      </c>
      <c r="P729" t="s">
        <v>13</v>
      </c>
      <c r="Q729">
        <f t="shared" ref="Q729:Q732" si="53">Q728</f>
        <v>-122</v>
      </c>
      <c r="R729">
        <f>Table257[[#This Row],[RSSI]]</f>
        <v>-122</v>
      </c>
      <c r="S729">
        <f t="shared" ref="S729:S732" si="54">S728</f>
        <v>-8.8000000000000007</v>
      </c>
    </row>
    <row r="730" spans="2:19" x14ac:dyDescent="0.25">
      <c r="B730">
        <f>390+2*(Table146[[#This Row],[min value (corrected)]]-37)</f>
        <v>416</v>
      </c>
      <c r="C730">
        <f>MINUTE(Table146[[#This Row],[Corrected time]])</f>
        <v>50</v>
      </c>
      <c r="D730" s="1">
        <v>0.49319141203703704</v>
      </c>
      <c r="E730" s="1">
        <f>Table146[[#This Row],[Time]]-TIME(0,0,1)</f>
        <v>0.49317983796296294</v>
      </c>
      <c r="F730" t="s">
        <v>13</v>
      </c>
      <c r="G730">
        <f t="shared" si="51"/>
        <v>-122</v>
      </c>
      <c r="H730">
        <f>Table146[[#This Row],[RSSI]]</f>
        <v>-122</v>
      </c>
      <c r="I730">
        <f t="shared" si="52"/>
        <v>-8.8000000000000007</v>
      </c>
      <c r="L730">
        <f>390+2*(Table257[[#This Row],[min value (corrected)]]-27)</f>
        <v>416</v>
      </c>
      <c r="M730">
        <f>MINUTE(Table257[[#This Row],[Corrected time]])</f>
        <v>40</v>
      </c>
      <c r="N730" s="1">
        <v>0.52782335648148149</v>
      </c>
      <c r="O730" s="1">
        <f>Table257[[#This Row],[Time]]-TIME(0,0,3)</f>
        <v>0.52778863425925926</v>
      </c>
      <c r="P730" t="s">
        <v>13</v>
      </c>
      <c r="Q730">
        <f t="shared" si="53"/>
        <v>-122</v>
      </c>
      <c r="R730">
        <f>Table257[[#This Row],[RSSI]]</f>
        <v>-122</v>
      </c>
      <c r="S730">
        <f t="shared" si="54"/>
        <v>-8.8000000000000007</v>
      </c>
    </row>
    <row r="731" spans="2:19" x14ac:dyDescent="0.25">
      <c r="B731">
        <f>390+2*(Table146[[#This Row],[min value (corrected)]]-37)</f>
        <v>416</v>
      </c>
      <c r="C731">
        <f>MINUTE(Table146[[#This Row],[Corrected time]])</f>
        <v>50</v>
      </c>
      <c r="D731" s="1">
        <v>0.49320445601851848</v>
      </c>
      <c r="E731" s="1">
        <f>Table146[[#This Row],[Time]]-TIME(0,0,1)</f>
        <v>0.49319288194444438</v>
      </c>
      <c r="F731" t="s">
        <v>9</v>
      </c>
      <c r="G731">
        <v>-122</v>
      </c>
      <c r="H731">
        <f>Table146[[#This Row],[RSSI]]</f>
        <v>-122</v>
      </c>
      <c r="I731">
        <v>-8.5</v>
      </c>
      <c r="L731">
        <f>390+2*(Table257[[#This Row],[min value (corrected)]]-27)</f>
        <v>416</v>
      </c>
      <c r="M731">
        <f>MINUTE(Table257[[#This Row],[Corrected time]])</f>
        <v>40</v>
      </c>
      <c r="N731" s="1">
        <v>0.52783638888888884</v>
      </c>
      <c r="O731" s="1">
        <f>Table257[[#This Row],[Time]]-TIME(0,0,3)</f>
        <v>0.52780166666666661</v>
      </c>
      <c r="P731" t="s">
        <v>13</v>
      </c>
      <c r="Q731">
        <f t="shared" si="53"/>
        <v>-122</v>
      </c>
      <c r="R731">
        <f>Table257[[#This Row],[RSSI]]</f>
        <v>-122</v>
      </c>
      <c r="S731">
        <f t="shared" si="54"/>
        <v>-8.8000000000000007</v>
      </c>
    </row>
    <row r="732" spans="2:19" x14ac:dyDescent="0.25">
      <c r="B732">
        <f>390+2*(Table146[[#This Row],[min value (corrected)]]-37)</f>
        <v>416</v>
      </c>
      <c r="C732">
        <f>MINUTE(Table146[[#This Row],[Corrected time]])</f>
        <v>50</v>
      </c>
      <c r="D732" s="1">
        <v>0.49321748842592594</v>
      </c>
      <c r="E732" s="1">
        <f>Table146[[#This Row],[Time]]-TIME(0,0,1)</f>
        <v>0.49320591435185185</v>
      </c>
      <c r="F732" t="s">
        <v>9</v>
      </c>
      <c r="G732">
        <v>-122</v>
      </c>
      <c r="H732">
        <f>Table146[[#This Row],[RSSI]]</f>
        <v>-122</v>
      </c>
      <c r="I732">
        <v>-8.8000000000000007</v>
      </c>
      <c r="L732">
        <f>390+2*(Table257[[#This Row],[min value (corrected)]]-27)</f>
        <v>416</v>
      </c>
      <c r="M732">
        <f>MINUTE(Table257[[#This Row],[Corrected time]])</f>
        <v>40</v>
      </c>
      <c r="N732" s="1">
        <v>0.52784942129629631</v>
      </c>
      <c r="O732" s="1">
        <f>Table257[[#This Row],[Time]]-TIME(0,0,3)</f>
        <v>0.52781469907407408</v>
      </c>
      <c r="P732" t="s">
        <v>13</v>
      </c>
      <c r="Q732">
        <f t="shared" si="53"/>
        <v>-122</v>
      </c>
      <c r="R732">
        <f>Table257[[#This Row],[RSSI]]</f>
        <v>-122</v>
      </c>
      <c r="S732">
        <f t="shared" si="54"/>
        <v>-8.8000000000000007</v>
      </c>
    </row>
    <row r="733" spans="2:19" x14ac:dyDescent="0.25">
      <c r="B733">
        <f>390+2*(Table146[[#This Row],[min value (corrected)]]-37)</f>
        <v>416</v>
      </c>
      <c r="C733">
        <f>MINUTE(Table146[[#This Row],[Corrected time]])</f>
        <v>50</v>
      </c>
      <c r="D733" s="1">
        <v>0.49323050925925926</v>
      </c>
      <c r="E733" s="1">
        <f>Table146[[#This Row],[Time]]-TIME(0,0,1)</f>
        <v>0.49321893518518517</v>
      </c>
      <c r="F733" t="s">
        <v>13</v>
      </c>
      <c r="G733">
        <f t="shared" ref="G733:G735" si="55">G732</f>
        <v>-122</v>
      </c>
      <c r="H733">
        <f>Table146[[#This Row],[RSSI]]</f>
        <v>-122</v>
      </c>
      <c r="I733">
        <f t="shared" ref="I733:I735" si="56">I732</f>
        <v>-8.8000000000000007</v>
      </c>
      <c r="L733">
        <f>390+2*(Table257[[#This Row],[min value (corrected)]]-27)</f>
        <v>416</v>
      </c>
      <c r="M733">
        <f>MINUTE(Table257[[#This Row],[Corrected time]])</f>
        <v>40</v>
      </c>
      <c r="N733" s="1">
        <v>0.52786245370370366</v>
      </c>
      <c r="O733" s="1">
        <f>Table257[[#This Row],[Time]]-TIME(0,0,3)</f>
        <v>0.52782773148148143</v>
      </c>
      <c r="P733" t="s">
        <v>9</v>
      </c>
      <c r="Q733">
        <v>-122</v>
      </c>
      <c r="R733">
        <f>Table257[[#This Row],[RSSI]]</f>
        <v>-122</v>
      </c>
      <c r="S733">
        <v>-9</v>
      </c>
    </row>
    <row r="734" spans="2:19" x14ac:dyDescent="0.25">
      <c r="B734">
        <f>390+2*(Table146[[#This Row],[min value (corrected)]]-37)</f>
        <v>416</v>
      </c>
      <c r="C734">
        <f>MINUTE(Table146[[#This Row],[Corrected time]])</f>
        <v>50</v>
      </c>
      <c r="D734" s="1">
        <v>0.49324355324074076</v>
      </c>
      <c r="E734" s="1">
        <f>Table146[[#This Row],[Time]]-TIME(0,0,1)</f>
        <v>0.49323197916666667</v>
      </c>
      <c r="F734" t="s">
        <v>13</v>
      </c>
      <c r="G734">
        <f t="shared" si="55"/>
        <v>-122</v>
      </c>
      <c r="H734">
        <f>Table146[[#This Row],[RSSI]]</f>
        <v>-122</v>
      </c>
      <c r="I734">
        <f t="shared" si="56"/>
        <v>-8.8000000000000007</v>
      </c>
      <c r="L734">
        <f>390+2*(Table257[[#This Row],[min value (corrected)]]-27)</f>
        <v>416</v>
      </c>
      <c r="M734">
        <f>MINUTE(Table257[[#This Row],[Corrected time]])</f>
        <v>40</v>
      </c>
      <c r="N734" s="1">
        <v>0.52787548611111113</v>
      </c>
      <c r="O734" s="1">
        <f>Table257[[#This Row],[Time]]-TIME(0,0,3)</f>
        <v>0.5278407638888889</v>
      </c>
      <c r="P734" t="s">
        <v>9</v>
      </c>
      <c r="Q734">
        <v>-122</v>
      </c>
      <c r="R734">
        <f>Table257[[#This Row],[RSSI]]</f>
        <v>-122</v>
      </c>
      <c r="S734">
        <v>-8.5</v>
      </c>
    </row>
    <row r="735" spans="2:19" x14ac:dyDescent="0.25">
      <c r="B735">
        <f>390+2*(Table146[[#This Row],[min value (corrected)]]-37)</f>
        <v>416</v>
      </c>
      <c r="C735">
        <f>MINUTE(Table146[[#This Row],[Corrected time]])</f>
        <v>50</v>
      </c>
      <c r="D735" s="1">
        <v>0.49325658564814812</v>
      </c>
      <c r="E735" s="1">
        <f>Table146[[#This Row],[Time]]-TIME(0,0,1)</f>
        <v>0.49324501157407402</v>
      </c>
      <c r="F735" t="s">
        <v>13</v>
      </c>
      <c r="G735">
        <f t="shared" si="55"/>
        <v>-122</v>
      </c>
      <c r="H735">
        <f>Table146[[#This Row],[RSSI]]</f>
        <v>-122</v>
      </c>
      <c r="I735">
        <f t="shared" si="56"/>
        <v>-8.8000000000000007</v>
      </c>
      <c r="L735">
        <f>390+2*(Table257[[#This Row],[min value (corrected)]]-27)</f>
        <v>416</v>
      </c>
      <c r="M735">
        <f>MINUTE(Table257[[#This Row],[Corrected time]])</f>
        <v>40</v>
      </c>
      <c r="N735" s="1">
        <v>0.52788851851851848</v>
      </c>
      <c r="O735" s="1">
        <f>Table257[[#This Row],[Time]]-TIME(0,0,3)</f>
        <v>0.52785379629629625</v>
      </c>
      <c r="P735" t="s">
        <v>13</v>
      </c>
      <c r="Q735">
        <f t="shared" ref="Q735:Q738" si="57">Q734</f>
        <v>-122</v>
      </c>
      <c r="R735">
        <f>Table257[[#This Row],[RSSI]]</f>
        <v>-122</v>
      </c>
      <c r="S735">
        <f t="shared" ref="S735:S738" si="58">S734</f>
        <v>-8.5</v>
      </c>
    </row>
    <row r="736" spans="2:19" x14ac:dyDescent="0.25">
      <c r="B736">
        <f>390+2*(Table146[[#This Row],[min value (corrected)]]-37)</f>
        <v>416</v>
      </c>
      <c r="C736">
        <f>MINUTE(Table146[[#This Row],[Corrected time]])</f>
        <v>50</v>
      </c>
      <c r="D736" s="1">
        <v>0.49326961805555558</v>
      </c>
      <c r="E736" s="1">
        <f>Table146[[#This Row],[Time]]-TIME(0,0,1)</f>
        <v>0.49325804398148149</v>
      </c>
      <c r="F736" t="s">
        <v>9</v>
      </c>
      <c r="G736">
        <v>-122</v>
      </c>
      <c r="H736">
        <f>Table146[[#This Row],[RSSI]]</f>
        <v>-122</v>
      </c>
      <c r="I736">
        <v>-8.5</v>
      </c>
      <c r="L736">
        <f>390+2*(Table257[[#This Row],[min value (corrected)]]-27)</f>
        <v>416</v>
      </c>
      <c r="M736">
        <f>MINUTE(Table257[[#This Row],[Corrected time]])</f>
        <v>40</v>
      </c>
      <c r="N736" s="1">
        <v>0.52790155092592594</v>
      </c>
      <c r="O736" s="1">
        <f>Table257[[#This Row],[Time]]-TIME(0,0,3)</f>
        <v>0.52786682870370372</v>
      </c>
      <c r="P736" t="s">
        <v>13</v>
      </c>
      <c r="Q736">
        <f t="shared" si="57"/>
        <v>-122</v>
      </c>
      <c r="R736">
        <f>Table257[[#This Row],[RSSI]]</f>
        <v>-122</v>
      </c>
      <c r="S736">
        <f t="shared" si="58"/>
        <v>-8.5</v>
      </c>
    </row>
    <row r="737" spans="2:19" x14ac:dyDescent="0.25">
      <c r="B737">
        <f>390+2*(Table146[[#This Row],[min value (corrected)]]-37)</f>
        <v>416</v>
      </c>
      <c r="C737">
        <f>MINUTE(Table146[[#This Row],[Corrected time]])</f>
        <v>50</v>
      </c>
      <c r="D737" s="1">
        <v>0.49328265046296293</v>
      </c>
      <c r="E737" s="1">
        <f>Table146[[#This Row],[Time]]-TIME(0,0,1)</f>
        <v>0.49327107638888884</v>
      </c>
      <c r="F737" t="s">
        <v>9</v>
      </c>
      <c r="G737">
        <v>-122</v>
      </c>
      <c r="H737">
        <f>Table146[[#This Row],[RSSI]]</f>
        <v>-122</v>
      </c>
      <c r="I737">
        <v>-8.8000000000000007</v>
      </c>
      <c r="L737">
        <f>390+2*(Table257[[#This Row],[min value (corrected)]]-27)</f>
        <v>416</v>
      </c>
      <c r="M737">
        <f>MINUTE(Table257[[#This Row],[Corrected time]])</f>
        <v>40</v>
      </c>
      <c r="N737" s="1">
        <v>0.5279145833333333</v>
      </c>
      <c r="O737" s="1">
        <f>Table257[[#This Row],[Time]]-TIME(0,0,3)</f>
        <v>0.52787986111111107</v>
      </c>
      <c r="P737" t="s">
        <v>13</v>
      </c>
      <c r="Q737">
        <f t="shared" si="57"/>
        <v>-122</v>
      </c>
      <c r="R737">
        <f>Table257[[#This Row],[RSSI]]</f>
        <v>-122</v>
      </c>
      <c r="S737">
        <f t="shared" si="58"/>
        <v>-8.5</v>
      </c>
    </row>
    <row r="738" spans="2:19" x14ac:dyDescent="0.25">
      <c r="B738">
        <f>390+2*(Table146[[#This Row],[min value (corrected)]]-37)</f>
        <v>416</v>
      </c>
      <c r="C738">
        <f>MINUTE(Table146[[#This Row],[Corrected time]])</f>
        <v>50</v>
      </c>
      <c r="D738" s="1">
        <v>0.4932956828703704</v>
      </c>
      <c r="E738" s="1">
        <f>Table146[[#This Row],[Time]]-TIME(0,0,1)</f>
        <v>0.49328410879629631</v>
      </c>
      <c r="F738" t="s">
        <v>9</v>
      </c>
      <c r="G738">
        <v>-122</v>
      </c>
      <c r="H738">
        <f>Table146[[#This Row],[RSSI]]</f>
        <v>-122</v>
      </c>
      <c r="I738">
        <v>-8.3000000000000007</v>
      </c>
      <c r="L738">
        <f>390+2*(Table257[[#This Row],[min value (corrected)]]-27)</f>
        <v>416</v>
      </c>
      <c r="M738">
        <f>MINUTE(Table257[[#This Row],[Corrected time]])</f>
        <v>40</v>
      </c>
      <c r="N738" s="1">
        <v>0.52792761574074076</v>
      </c>
      <c r="O738" s="1">
        <f>Table257[[#This Row],[Time]]-TIME(0,0,3)</f>
        <v>0.52789289351851854</v>
      </c>
      <c r="P738" t="s">
        <v>13</v>
      </c>
      <c r="Q738">
        <f t="shared" si="57"/>
        <v>-122</v>
      </c>
      <c r="R738">
        <f>Table257[[#This Row],[RSSI]]</f>
        <v>-122</v>
      </c>
      <c r="S738">
        <f t="shared" si="58"/>
        <v>-8.5</v>
      </c>
    </row>
    <row r="739" spans="2:19" x14ac:dyDescent="0.25">
      <c r="B739">
        <f>390+2*(Table146[[#This Row],[min value (corrected)]]-37)</f>
        <v>416</v>
      </c>
      <c r="C739">
        <f>MINUTE(Table146[[#This Row],[Corrected time]])</f>
        <v>50</v>
      </c>
      <c r="D739" s="1">
        <v>0.49330871527777775</v>
      </c>
      <c r="E739" s="1">
        <f>Table146[[#This Row],[Time]]-TIME(0,0,1)</f>
        <v>0.49329714120370366</v>
      </c>
      <c r="F739" t="s">
        <v>9</v>
      </c>
      <c r="G739">
        <v>-122</v>
      </c>
      <c r="H739">
        <f>Table146[[#This Row],[RSSI]]</f>
        <v>-122</v>
      </c>
      <c r="I739">
        <v>-9</v>
      </c>
      <c r="L739">
        <f>390+2*(Table257[[#This Row],[min value (corrected)]]-27)</f>
        <v>416</v>
      </c>
      <c r="M739">
        <f>MINUTE(Table257[[#This Row],[Corrected time]])</f>
        <v>40</v>
      </c>
      <c r="N739" s="1">
        <v>0.52794064814814812</v>
      </c>
      <c r="O739" s="1">
        <f>Table257[[#This Row],[Time]]-TIME(0,0,3)</f>
        <v>0.52790592592592589</v>
      </c>
      <c r="P739" t="s">
        <v>9</v>
      </c>
      <c r="Q739">
        <v>-122</v>
      </c>
      <c r="R739">
        <f>Table257[[#This Row],[RSSI]]</f>
        <v>-122</v>
      </c>
      <c r="S739">
        <v>-8.3000000000000007</v>
      </c>
    </row>
    <row r="740" spans="2:19" x14ac:dyDescent="0.25">
      <c r="B740">
        <f>390+2*(Table146[[#This Row],[min value (corrected)]]-37)</f>
        <v>416</v>
      </c>
      <c r="C740">
        <f>MINUTE(Table146[[#This Row],[Corrected time]])</f>
        <v>50</v>
      </c>
      <c r="D740" s="1">
        <v>0.49332174768518522</v>
      </c>
      <c r="E740" s="1">
        <f>Table146[[#This Row],[Time]]-TIME(0,0,1)</f>
        <v>0.49331017361111112</v>
      </c>
      <c r="F740" t="s">
        <v>9</v>
      </c>
      <c r="G740">
        <v>-122</v>
      </c>
      <c r="H740">
        <f>Table146[[#This Row],[RSSI]]</f>
        <v>-122</v>
      </c>
      <c r="I740">
        <v>-8.5</v>
      </c>
      <c r="L740">
        <f>390+2*(Table257[[#This Row],[min value (corrected)]]-27)</f>
        <v>416</v>
      </c>
      <c r="M740">
        <f>MINUTE(Table257[[#This Row],[Corrected time]])</f>
        <v>40</v>
      </c>
      <c r="N740" s="1">
        <v>0.52795368055555547</v>
      </c>
      <c r="O740" s="1">
        <f>Table257[[#This Row],[Time]]-TIME(0,0,3)</f>
        <v>0.52791895833333324</v>
      </c>
      <c r="P740" t="s">
        <v>9</v>
      </c>
      <c r="Q740">
        <v>-122</v>
      </c>
      <c r="R740">
        <f>Table257[[#This Row],[RSSI]]</f>
        <v>-122</v>
      </c>
      <c r="S740">
        <v>-8.5</v>
      </c>
    </row>
    <row r="741" spans="2:19" x14ac:dyDescent="0.25">
      <c r="B741">
        <f>390+2*(Table146[[#This Row],[min value (corrected)]]-37)</f>
        <v>416</v>
      </c>
      <c r="C741">
        <f>MINUTE(Table146[[#This Row],[Corrected time]])</f>
        <v>50</v>
      </c>
      <c r="D741" s="1">
        <v>0.49333478009259257</v>
      </c>
      <c r="E741" s="1">
        <f>Table146[[#This Row],[Time]]-TIME(0,0,1)</f>
        <v>0.49332320601851848</v>
      </c>
      <c r="F741" t="s">
        <v>13</v>
      </c>
      <c r="G741">
        <f>G740</f>
        <v>-122</v>
      </c>
      <c r="H741">
        <f>Table146[[#This Row],[RSSI]]</f>
        <v>-122</v>
      </c>
      <c r="I741">
        <f>I740</f>
        <v>-8.5</v>
      </c>
      <c r="L741">
        <f>390+2*(Table257[[#This Row],[min value (corrected)]]-27)</f>
        <v>416</v>
      </c>
      <c r="M741">
        <f>MINUTE(Table257[[#This Row],[Corrected time]])</f>
        <v>40</v>
      </c>
      <c r="N741" s="1">
        <v>0.52796671296296294</v>
      </c>
      <c r="O741" s="1">
        <f>Table257[[#This Row],[Time]]-TIME(0,0,3)</f>
        <v>0.52793199074074071</v>
      </c>
      <c r="P741" t="s">
        <v>9</v>
      </c>
      <c r="Q741">
        <v>-122</v>
      </c>
      <c r="R741">
        <f>Table257[[#This Row],[RSSI]]</f>
        <v>-122</v>
      </c>
      <c r="S741">
        <v>-8.8000000000000007</v>
      </c>
    </row>
    <row r="742" spans="2:19" x14ac:dyDescent="0.25">
      <c r="B742">
        <f>390+2*(Table146[[#This Row],[min value (corrected)]]-37)</f>
        <v>416</v>
      </c>
      <c r="C742">
        <f>MINUTE(Table146[[#This Row],[Corrected time]])</f>
        <v>50</v>
      </c>
      <c r="D742" s="1">
        <v>0.49334781249999998</v>
      </c>
      <c r="E742" s="1">
        <f>Table146[[#This Row],[Time]]-TIME(0,0,1)</f>
        <v>0.49333623842592589</v>
      </c>
      <c r="F742" t="s">
        <v>9</v>
      </c>
      <c r="G742">
        <v>-122</v>
      </c>
      <c r="H742">
        <f>Table146[[#This Row],[RSSI]]</f>
        <v>-122</v>
      </c>
      <c r="I742">
        <v>-8.5</v>
      </c>
      <c r="L742">
        <f>390+2*(Table257[[#This Row],[min value (corrected)]]-27)</f>
        <v>416</v>
      </c>
      <c r="M742">
        <f>MINUTE(Table257[[#This Row],[Corrected time]])</f>
        <v>40</v>
      </c>
      <c r="N742" s="1">
        <v>0.52797974537037029</v>
      </c>
      <c r="O742" s="1">
        <f>Table257[[#This Row],[Time]]-TIME(0,0,3)</f>
        <v>0.52794502314814806</v>
      </c>
      <c r="P742" t="s">
        <v>9</v>
      </c>
      <c r="Q742">
        <v>-121</v>
      </c>
      <c r="R742">
        <f>Table257[[#This Row],[RSSI]]</f>
        <v>-121</v>
      </c>
      <c r="S742">
        <v>-8.3000000000000007</v>
      </c>
    </row>
    <row r="743" spans="2:19" x14ac:dyDescent="0.25">
      <c r="B743">
        <f>390+2*(Table146[[#This Row],[min value (corrected)]]-37)</f>
        <v>416</v>
      </c>
      <c r="C743">
        <f>MINUTE(Table146[[#This Row],[Corrected time]])</f>
        <v>50</v>
      </c>
      <c r="D743" s="1">
        <v>0.49336084490740739</v>
      </c>
      <c r="E743" s="1">
        <f>Table146[[#This Row],[Time]]-TIME(0,0,1)</f>
        <v>0.4933492708333333</v>
      </c>
      <c r="F743" t="s">
        <v>9</v>
      </c>
      <c r="G743">
        <v>-123</v>
      </c>
      <c r="H743">
        <f>Table146[[#This Row],[RSSI]]</f>
        <v>-123</v>
      </c>
      <c r="I743">
        <v>-9.5</v>
      </c>
      <c r="L743">
        <f>390+2*(Table257[[#This Row],[min value (corrected)]]-27)</f>
        <v>416</v>
      </c>
      <c r="M743">
        <f>MINUTE(Table257[[#This Row],[Corrected time]])</f>
        <v>40</v>
      </c>
      <c r="N743" s="1">
        <v>0.52799277777777776</v>
      </c>
      <c r="O743" s="1">
        <f>Table257[[#This Row],[Time]]-TIME(0,0,3)</f>
        <v>0.52795805555555553</v>
      </c>
      <c r="P743" t="s">
        <v>9</v>
      </c>
      <c r="Q743">
        <v>-122</v>
      </c>
      <c r="R743">
        <f>Table257[[#This Row],[RSSI]]</f>
        <v>-122</v>
      </c>
      <c r="S743">
        <v>-8.3000000000000007</v>
      </c>
    </row>
    <row r="744" spans="2:19" x14ac:dyDescent="0.25">
      <c r="B744">
        <f>390+2*(Table146[[#This Row],[min value (corrected)]]-37)</f>
        <v>416</v>
      </c>
      <c r="C744">
        <f>MINUTE(Table146[[#This Row],[Corrected time]])</f>
        <v>50</v>
      </c>
      <c r="D744" s="1">
        <v>0.4933738773148148</v>
      </c>
      <c r="E744" s="1">
        <f>Table146[[#This Row],[Time]]-TIME(0,0,1)</f>
        <v>0.49336230324074071</v>
      </c>
      <c r="F744" t="s">
        <v>13</v>
      </c>
      <c r="G744">
        <f>G743</f>
        <v>-123</v>
      </c>
      <c r="H744">
        <f>Table146[[#This Row],[RSSI]]</f>
        <v>-123</v>
      </c>
      <c r="I744">
        <f>I743</f>
        <v>-9.5</v>
      </c>
      <c r="L744">
        <f>390+2*(Table257[[#This Row],[min value (corrected)]]-27)</f>
        <v>416</v>
      </c>
      <c r="M744">
        <f>MINUTE(Table257[[#This Row],[Corrected time]])</f>
        <v>40</v>
      </c>
      <c r="N744" s="1">
        <v>0.52800581018518511</v>
      </c>
      <c r="O744" s="1">
        <f>Table257[[#This Row],[Time]]-TIME(0,0,3)</f>
        <v>0.52797108796296288</v>
      </c>
      <c r="P744" t="s">
        <v>9</v>
      </c>
      <c r="Q744">
        <v>-122</v>
      </c>
      <c r="R744">
        <f>Table257[[#This Row],[RSSI]]</f>
        <v>-122</v>
      </c>
      <c r="S744">
        <v>-9</v>
      </c>
    </row>
    <row r="745" spans="2:19" x14ac:dyDescent="0.25">
      <c r="B745">
        <f>390+2*(Table146[[#This Row],[min value (corrected)]]-37)</f>
        <v>416</v>
      </c>
      <c r="C745">
        <f>MINUTE(Table146[[#This Row],[Corrected time]])</f>
        <v>50</v>
      </c>
      <c r="D745" s="1">
        <v>0.49338690972222221</v>
      </c>
      <c r="E745" s="1">
        <f>Table146[[#This Row],[Time]]-TIME(0,0,1)</f>
        <v>0.49337533564814812</v>
      </c>
      <c r="F745" t="s">
        <v>9</v>
      </c>
      <c r="G745">
        <v>-122</v>
      </c>
      <c r="H745">
        <f>Table146[[#This Row],[RSSI]]</f>
        <v>-122</v>
      </c>
      <c r="I745">
        <v>-7.7</v>
      </c>
      <c r="L745">
        <f>390+2*(Table257[[#This Row],[min value (corrected)]]-27)</f>
        <v>416</v>
      </c>
      <c r="M745">
        <f>MINUTE(Table257[[#This Row],[Corrected time]])</f>
        <v>40</v>
      </c>
      <c r="N745" s="1">
        <v>0.52801884259259257</v>
      </c>
      <c r="O745" s="1">
        <f>Table257[[#This Row],[Time]]-TIME(0,0,3)</f>
        <v>0.52798412037037035</v>
      </c>
      <c r="P745" t="s">
        <v>9</v>
      </c>
      <c r="Q745">
        <v>-122</v>
      </c>
      <c r="R745">
        <f>Table257[[#This Row],[RSSI]]</f>
        <v>-122</v>
      </c>
      <c r="S745">
        <v>-8.3000000000000007</v>
      </c>
    </row>
    <row r="746" spans="2:19" x14ac:dyDescent="0.25">
      <c r="B746">
        <f>390+2*(Table146[[#This Row],[min value (corrected)]]-37)</f>
        <v>416</v>
      </c>
      <c r="C746">
        <f>MINUTE(Table146[[#This Row],[Corrected time]])</f>
        <v>50</v>
      </c>
      <c r="D746" s="1">
        <v>0.49339994212962962</v>
      </c>
      <c r="E746" s="1">
        <f>Table146[[#This Row],[Time]]-TIME(0,0,1)</f>
        <v>0.49338836805555553</v>
      </c>
      <c r="F746" t="s">
        <v>9</v>
      </c>
      <c r="G746">
        <v>-123</v>
      </c>
      <c r="H746">
        <f>Table146[[#This Row],[RSSI]]</f>
        <v>-123</v>
      </c>
      <c r="I746">
        <v>-9.3000000000000007</v>
      </c>
      <c r="L746">
        <f>390+2*(Table257[[#This Row],[min value (corrected)]]-27)</f>
        <v>416</v>
      </c>
      <c r="M746">
        <f>MINUTE(Table257[[#This Row],[Corrected time]])</f>
        <v>40</v>
      </c>
      <c r="N746" s="1">
        <v>0.5280318634259259</v>
      </c>
      <c r="O746" s="1">
        <f>Table257[[#This Row],[Time]]-TIME(0,0,3)</f>
        <v>0.52799714120370367</v>
      </c>
      <c r="P746" t="s">
        <v>9</v>
      </c>
      <c r="Q746">
        <v>-122</v>
      </c>
      <c r="R746">
        <f>Table257[[#This Row],[RSSI]]</f>
        <v>-122</v>
      </c>
      <c r="S746">
        <v>-8.3000000000000007</v>
      </c>
    </row>
    <row r="747" spans="2:19" x14ac:dyDescent="0.25">
      <c r="B747">
        <f>390+2*(Table146[[#This Row],[min value (corrected)]]-37)</f>
        <v>416</v>
      </c>
      <c r="C747">
        <f>MINUTE(Table146[[#This Row],[Corrected time]])</f>
        <v>50</v>
      </c>
      <c r="D747" s="1">
        <v>0.49341296296296294</v>
      </c>
      <c r="E747" s="1">
        <f>Table146[[#This Row],[Time]]-TIME(0,0,1)</f>
        <v>0.49340138888888885</v>
      </c>
      <c r="F747" t="s">
        <v>13</v>
      </c>
      <c r="G747">
        <f>G746</f>
        <v>-123</v>
      </c>
      <c r="H747">
        <f>Table146[[#This Row],[RSSI]]</f>
        <v>-123</v>
      </c>
      <c r="I747">
        <f>I746</f>
        <v>-9.3000000000000007</v>
      </c>
      <c r="L747">
        <f>390+2*(Table257[[#This Row],[min value (corrected)]]-27)</f>
        <v>416</v>
      </c>
      <c r="M747">
        <f>MINUTE(Table257[[#This Row],[Corrected time]])</f>
        <v>40</v>
      </c>
      <c r="N747" s="1">
        <v>0.52804490740740739</v>
      </c>
      <c r="O747" s="1">
        <f>Table257[[#This Row],[Time]]-TIME(0,0,3)</f>
        <v>0.52801018518518517</v>
      </c>
      <c r="P747" t="s">
        <v>9</v>
      </c>
      <c r="Q747">
        <v>-123</v>
      </c>
      <c r="R747">
        <f>Table257[[#This Row],[RSSI]]</f>
        <v>-123</v>
      </c>
      <c r="S747">
        <v>-9.3000000000000007</v>
      </c>
    </row>
    <row r="748" spans="2:19" x14ac:dyDescent="0.25">
      <c r="B748">
        <f>390+2*(Table146[[#This Row],[min value (corrected)]]-37)</f>
        <v>416</v>
      </c>
      <c r="C748">
        <f>MINUTE(Table146[[#This Row],[Corrected time]])</f>
        <v>50</v>
      </c>
      <c r="D748" s="1">
        <v>0.49342600694444444</v>
      </c>
      <c r="E748" s="1">
        <f>Table146[[#This Row],[Time]]-TIME(0,0,1)</f>
        <v>0.49341443287037035</v>
      </c>
      <c r="F748" t="s">
        <v>9</v>
      </c>
      <c r="G748">
        <v>-122</v>
      </c>
      <c r="H748">
        <f>Table146[[#This Row],[RSSI]]</f>
        <v>-122</v>
      </c>
      <c r="I748">
        <v>-8.8000000000000007</v>
      </c>
      <c r="L748">
        <f>390+2*(Table257[[#This Row],[min value (corrected)]]-27)</f>
        <v>416</v>
      </c>
      <c r="M748">
        <f>MINUTE(Table257[[#This Row],[Corrected time]])</f>
        <v>40</v>
      </c>
      <c r="N748" s="1">
        <v>0.52805793981481475</v>
      </c>
      <c r="O748" s="1">
        <f>Table257[[#This Row],[Time]]-TIME(0,0,3)</f>
        <v>0.52802321759259252</v>
      </c>
      <c r="P748" t="s">
        <v>13</v>
      </c>
      <c r="Q748">
        <f>Q747</f>
        <v>-123</v>
      </c>
      <c r="R748">
        <f>Table257[[#This Row],[RSSI]]</f>
        <v>-123</v>
      </c>
      <c r="S748">
        <f>S747</f>
        <v>-9.3000000000000007</v>
      </c>
    </row>
    <row r="749" spans="2:19" x14ac:dyDescent="0.25">
      <c r="B749">
        <f>390+2*(Table146[[#This Row],[min value (corrected)]]-37)</f>
        <v>416</v>
      </c>
      <c r="C749">
        <f>MINUTE(Table146[[#This Row],[Corrected time]])</f>
        <v>50</v>
      </c>
      <c r="D749" s="1">
        <v>0.49343903935185185</v>
      </c>
      <c r="E749" s="1">
        <f>Table146[[#This Row],[Time]]-TIME(0,0,1)</f>
        <v>0.49342746527777775</v>
      </c>
      <c r="F749" t="s">
        <v>9</v>
      </c>
      <c r="G749">
        <v>-122</v>
      </c>
      <c r="H749">
        <f>Table146[[#This Row],[RSSI]]</f>
        <v>-122</v>
      </c>
      <c r="I749">
        <v>-8.5</v>
      </c>
      <c r="L749">
        <f>390+2*(Table257[[#This Row],[min value (corrected)]]-27)</f>
        <v>416</v>
      </c>
      <c r="M749">
        <f>MINUTE(Table257[[#This Row],[Corrected time]])</f>
        <v>40</v>
      </c>
      <c r="N749" s="1">
        <v>0.52807097222222221</v>
      </c>
      <c r="O749" s="1">
        <f>Table257[[#This Row],[Time]]-TIME(0,0,3)</f>
        <v>0.52803624999999998</v>
      </c>
      <c r="P749" t="s">
        <v>9</v>
      </c>
      <c r="Q749">
        <v>-122</v>
      </c>
      <c r="R749">
        <f>Table257[[#This Row],[RSSI]]</f>
        <v>-122</v>
      </c>
      <c r="S749">
        <v>-8.8000000000000007</v>
      </c>
    </row>
    <row r="750" spans="2:19" x14ac:dyDescent="0.25">
      <c r="B750">
        <f>390+2*(Table146[[#This Row],[min value (corrected)]]-37)</f>
        <v>416</v>
      </c>
      <c r="C750">
        <f>MINUTE(Table146[[#This Row],[Corrected time]])</f>
        <v>50</v>
      </c>
      <c r="D750" s="1">
        <v>0.49345206018518523</v>
      </c>
      <c r="E750" s="1">
        <f>Table146[[#This Row],[Time]]-TIME(0,0,1)</f>
        <v>0.49344048611111113</v>
      </c>
      <c r="F750" t="s">
        <v>9</v>
      </c>
      <c r="G750">
        <v>-123</v>
      </c>
      <c r="H750">
        <f>Table146[[#This Row],[RSSI]]</f>
        <v>-123</v>
      </c>
      <c r="I750">
        <v>-9</v>
      </c>
      <c r="L750">
        <f>390+2*(Table257[[#This Row],[min value (corrected)]]-27)</f>
        <v>416</v>
      </c>
      <c r="M750">
        <f>MINUTE(Table257[[#This Row],[Corrected time]])</f>
        <v>40</v>
      </c>
      <c r="N750" s="1">
        <v>0.52808400462962957</v>
      </c>
      <c r="O750" s="1">
        <f>Table257[[#This Row],[Time]]-TIME(0,0,3)</f>
        <v>0.52804928240740734</v>
      </c>
      <c r="P750" t="s">
        <v>9</v>
      </c>
      <c r="Q750">
        <v>-122</v>
      </c>
      <c r="R750">
        <f>Table257[[#This Row],[RSSI]]</f>
        <v>-122</v>
      </c>
      <c r="S750">
        <v>-8.3000000000000007</v>
      </c>
    </row>
    <row r="751" spans="2:19" x14ac:dyDescent="0.25">
      <c r="B751">
        <f>390+2*(Table146[[#This Row],[min value (corrected)]]-37)</f>
        <v>416</v>
      </c>
      <c r="C751">
        <f>MINUTE(Table146[[#This Row],[Corrected time]])</f>
        <v>50</v>
      </c>
      <c r="D751" s="1">
        <v>0.49346510416666667</v>
      </c>
      <c r="E751" s="1">
        <f>Table146[[#This Row],[Time]]-TIME(0,0,1)</f>
        <v>0.49345353009259257</v>
      </c>
      <c r="F751" t="s">
        <v>9</v>
      </c>
      <c r="G751">
        <v>-123</v>
      </c>
      <c r="H751">
        <f>Table146[[#This Row],[RSSI]]</f>
        <v>-123</v>
      </c>
      <c r="I751">
        <v>-9.3000000000000007</v>
      </c>
      <c r="L751">
        <f>390+2*(Table257[[#This Row],[min value (corrected)]]-27)</f>
        <v>416</v>
      </c>
      <c r="M751">
        <f>MINUTE(Table257[[#This Row],[Corrected time]])</f>
        <v>40</v>
      </c>
      <c r="N751" s="1">
        <v>0.52809703703703703</v>
      </c>
      <c r="O751" s="1">
        <f>Table257[[#This Row],[Time]]-TIME(0,0,3)</f>
        <v>0.5280623148148148</v>
      </c>
      <c r="P751" t="s">
        <v>9</v>
      </c>
      <c r="Q751">
        <v>-122</v>
      </c>
      <c r="R751">
        <f>Table257[[#This Row],[RSSI]]</f>
        <v>-122</v>
      </c>
      <c r="S751">
        <v>-8.5</v>
      </c>
    </row>
    <row r="752" spans="2:19" x14ac:dyDescent="0.25">
      <c r="B752">
        <f>390+2*(Table146[[#This Row],[min value (corrected)]]-37)</f>
        <v>416</v>
      </c>
      <c r="C752">
        <f>MINUTE(Table146[[#This Row],[Corrected time]])</f>
        <v>50</v>
      </c>
      <c r="D752" s="1">
        <v>0.49347813657407408</v>
      </c>
      <c r="E752" s="1">
        <f>Table146[[#This Row],[Time]]-TIME(0,0,1)</f>
        <v>0.49346656249999998</v>
      </c>
      <c r="F752" t="s">
        <v>9</v>
      </c>
      <c r="G752">
        <v>-122</v>
      </c>
      <c r="H752">
        <f>Table146[[#This Row],[RSSI]]</f>
        <v>-122</v>
      </c>
      <c r="I752">
        <v>-8.5</v>
      </c>
      <c r="L752">
        <f>390+2*(Table257[[#This Row],[min value (corrected)]]-27)</f>
        <v>416</v>
      </c>
      <c r="M752">
        <f>MINUTE(Table257[[#This Row],[Corrected time]])</f>
        <v>40</v>
      </c>
      <c r="N752" s="1">
        <v>0.52811006944444439</v>
      </c>
      <c r="O752" s="1">
        <f>Table257[[#This Row],[Time]]-TIME(0,0,3)</f>
        <v>0.52807534722222216</v>
      </c>
      <c r="P752" t="s">
        <v>13</v>
      </c>
      <c r="Q752">
        <f>Q751</f>
        <v>-122</v>
      </c>
      <c r="R752">
        <f>Table257[[#This Row],[RSSI]]</f>
        <v>-122</v>
      </c>
      <c r="S752">
        <f>S751</f>
        <v>-8.5</v>
      </c>
    </row>
    <row r="753" spans="2:19" x14ac:dyDescent="0.25">
      <c r="B753">
        <f>390+2*(Table146[[#This Row],[min value (corrected)]]-37)</f>
        <v>416</v>
      </c>
      <c r="C753">
        <f>MINUTE(Table146[[#This Row],[Corrected time]])</f>
        <v>50</v>
      </c>
      <c r="D753" s="1">
        <v>0.49349116898148149</v>
      </c>
      <c r="E753" s="1">
        <f>Table146[[#This Row],[Time]]-TIME(0,0,1)</f>
        <v>0.49347959490740739</v>
      </c>
      <c r="F753" t="s">
        <v>13</v>
      </c>
      <c r="G753">
        <f>G752</f>
        <v>-122</v>
      </c>
      <c r="H753">
        <f>Table146[[#This Row],[RSSI]]</f>
        <v>-122</v>
      </c>
      <c r="I753">
        <f>I752</f>
        <v>-8.5</v>
      </c>
      <c r="L753">
        <f>390+2*(Table257[[#This Row],[min value (corrected)]]-27)</f>
        <v>416</v>
      </c>
      <c r="M753">
        <f>MINUTE(Table257[[#This Row],[Corrected time]])</f>
        <v>40</v>
      </c>
      <c r="N753" s="1">
        <v>0.52812310185185185</v>
      </c>
      <c r="O753" s="1">
        <f>Table257[[#This Row],[Time]]-TIME(0,0,3)</f>
        <v>0.52808837962962962</v>
      </c>
      <c r="P753" t="s">
        <v>9</v>
      </c>
      <c r="Q753">
        <v>-122</v>
      </c>
      <c r="R753">
        <f>Table257[[#This Row],[RSSI]]</f>
        <v>-122</v>
      </c>
      <c r="S753">
        <v>-8.3000000000000007</v>
      </c>
    </row>
    <row r="754" spans="2:19" x14ac:dyDescent="0.25">
      <c r="B754">
        <f>390+2*(Table146[[#This Row],[min value (corrected)]]-37)</f>
        <v>416</v>
      </c>
      <c r="C754">
        <f>MINUTE(Table146[[#This Row],[Corrected time]])</f>
        <v>50</v>
      </c>
      <c r="D754" s="1">
        <v>0.49350417824074072</v>
      </c>
      <c r="E754" s="1">
        <f>Table146[[#This Row],[Time]]-TIME(0,0,1)</f>
        <v>0.49349260416666663</v>
      </c>
      <c r="F754" t="s">
        <v>9</v>
      </c>
      <c r="G754">
        <v>-122</v>
      </c>
      <c r="H754">
        <f>Table146[[#This Row],[RSSI]]</f>
        <v>-122</v>
      </c>
      <c r="I754">
        <v>-8.3000000000000007</v>
      </c>
      <c r="L754">
        <f>390+2*(Table257[[#This Row],[min value (corrected)]]-27)</f>
        <v>416</v>
      </c>
      <c r="M754">
        <f>MINUTE(Table257[[#This Row],[Corrected time]])</f>
        <v>40</v>
      </c>
      <c r="N754" s="1">
        <v>0.5281361342592592</v>
      </c>
      <c r="O754" s="1">
        <f>Table257[[#This Row],[Time]]-TIME(0,0,3)</f>
        <v>0.52810141203703698</v>
      </c>
      <c r="P754" t="s">
        <v>9</v>
      </c>
      <c r="Q754">
        <v>-122</v>
      </c>
      <c r="R754">
        <f>Table257[[#This Row],[RSSI]]</f>
        <v>-122</v>
      </c>
      <c r="S754">
        <v>-8.8000000000000007</v>
      </c>
    </row>
    <row r="755" spans="2:19" x14ac:dyDescent="0.25">
      <c r="B755">
        <f>390+2*(Table146[[#This Row],[min value (corrected)]]-37)</f>
        <v>416</v>
      </c>
      <c r="C755">
        <f>MINUTE(Table146[[#This Row],[Corrected time]])</f>
        <v>50</v>
      </c>
      <c r="D755" s="1">
        <v>0.49351723379629631</v>
      </c>
      <c r="E755" s="1">
        <f>Table146[[#This Row],[Time]]-TIME(0,0,1)</f>
        <v>0.49350565972222221</v>
      </c>
      <c r="F755" t="s">
        <v>9</v>
      </c>
      <c r="G755">
        <v>-122</v>
      </c>
      <c r="H755">
        <f>Table146[[#This Row],[RSSI]]</f>
        <v>-122</v>
      </c>
      <c r="I755">
        <v>-8.5</v>
      </c>
      <c r="L755">
        <f>390+2*(Table257[[#This Row],[min value (corrected)]]-27)</f>
        <v>416</v>
      </c>
      <c r="M755">
        <f>MINUTE(Table257[[#This Row],[Corrected time]])</f>
        <v>40</v>
      </c>
      <c r="N755" s="1">
        <v>0.52814916666666667</v>
      </c>
      <c r="O755" s="1">
        <f>Table257[[#This Row],[Time]]-TIME(0,0,3)</f>
        <v>0.52811444444444444</v>
      </c>
      <c r="P755" t="s">
        <v>9</v>
      </c>
      <c r="Q755">
        <v>-121</v>
      </c>
      <c r="R755">
        <f>Table257[[#This Row],[RSSI]]</f>
        <v>-121</v>
      </c>
      <c r="S755">
        <v>-8.5</v>
      </c>
    </row>
    <row r="756" spans="2:19" x14ac:dyDescent="0.25">
      <c r="B756">
        <f>390+2*(Table146[[#This Row],[min value (corrected)]]-37)</f>
        <v>416</v>
      </c>
      <c r="C756">
        <f>MINUTE(Table146[[#This Row],[Corrected time]])</f>
        <v>50</v>
      </c>
      <c r="D756" s="1">
        <v>0.49353026620370372</v>
      </c>
      <c r="E756" s="1">
        <f>Table146[[#This Row],[Time]]-TIME(0,0,1)</f>
        <v>0.49351869212962962</v>
      </c>
      <c r="F756" t="s">
        <v>9</v>
      </c>
      <c r="G756">
        <v>-123</v>
      </c>
      <c r="H756">
        <f>Table146[[#This Row],[RSSI]]</f>
        <v>-123</v>
      </c>
      <c r="I756">
        <v>-9.5</v>
      </c>
      <c r="L756">
        <f>390+2*(Table257[[#This Row],[min value (corrected)]]-27)</f>
        <v>416</v>
      </c>
      <c r="M756">
        <f>MINUTE(Table257[[#This Row],[Corrected time]])</f>
        <v>40</v>
      </c>
      <c r="N756" s="1">
        <v>0.52816219907407402</v>
      </c>
      <c r="O756" s="1">
        <f>Table257[[#This Row],[Time]]-TIME(0,0,3)</f>
        <v>0.5281274768518518</v>
      </c>
      <c r="P756" t="s">
        <v>9</v>
      </c>
      <c r="Q756">
        <v>-122</v>
      </c>
      <c r="R756">
        <f>Table257[[#This Row],[RSSI]]</f>
        <v>-122</v>
      </c>
      <c r="S756">
        <v>-8.3000000000000007</v>
      </c>
    </row>
    <row r="757" spans="2:19" x14ac:dyDescent="0.25">
      <c r="B757">
        <f>390+2*(Table146[[#This Row],[min value (corrected)]]-37)</f>
        <v>416</v>
      </c>
      <c r="C757">
        <f>MINUTE(Table146[[#This Row],[Corrected time]])</f>
        <v>50</v>
      </c>
      <c r="D757" s="1">
        <v>0.49354328703703704</v>
      </c>
      <c r="E757" s="1">
        <f>Table146[[#This Row],[Time]]-TIME(0,0,1)</f>
        <v>0.49353171296296294</v>
      </c>
      <c r="F757" t="s">
        <v>9</v>
      </c>
      <c r="G757">
        <v>-122</v>
      </c>
      <c r="H757">
        <f>Table146[[#This Row],[RSSI]]</f>
        <v>-122</v>
      </c>
      <c r="I757">
        <v>-8.5</v>
      </c>
      <c r="L757">
        <f>390+2*(Table257[[#This Row],[min value (corrected)]]-27)</f>
        <v>416</v>
      </c>
      <c r="M757">
        <f>MINUTE(Table257[[#This Row],[Corrected time]])</f>
        <v>40</v>
      </c>
      <c r="N757" s="1">
        <v>0.52817523148148149</v>
      </c>
      <c r="O757" s="1">
        <f>Table257[[#This Row],[Time]]-TIME(0,0,3)</f>
        <v>0.52814050925925926</v>
      </c>
      <c r="P757" t="s">
        <v>9</v>
      </c>
      <c r="Q757">
        <v>-122</v>
      </c>
      <c r="R757">
        <f>Table257[[#This Row],[RSSI]]</f>
        <v>-122</v>
      </c>
      <c r="S757">
        <v>-8.8000000000000007</v>
      </c>
    </row>
    <row r="758" spans="2:19" x14ac:dyDescent="0.25">
      <c r="B758">
        <f>390+2*(Table146[[#This Row],[min value (corrected)]]-37)</f>
        <v>416</v>
      </c>
      <c r="C758">
        <f>MINUTE(Table146[[#This Row],[Corrected time]])</f>
        <v>50</v>
      </c>
      <c r="D758" s="1">
        <v>0.49355633101851853</v>
      </c>
      <c r="E758" s="1">
        <f>Table146[[#This Row],[Time]]-TIME(0,0,1)</f>
        <v>0.49354475694444444</v>
      </c>
      <c r="F758" t="s">
        <v>9</v>
      </c>
      <c r="G758">
        <v>-122</v>
      </c>
      <c r="H758">
        <f>Table146[[#This Row],[RSSI]]</f>
        <v>-122</v>
      </c>
      <c r="I758">
        <v>-8.5</v>
      </c>
      <c r="L758">
        <f>390+2*(Table257[[#This Row],[min value (corrected)]]-27)</f>
        <v>416</v>
      </c>
      <c r="M758">
        <f>MINUTE(Table257[[#This Row],[Corrected time]])</f>
        <v>40</v>
      </c>
      <c r="N758" s="1">
        <v>0.52818826388888884</v>
      </c>
      <c r="O758" s="1">
        <f>Table257[[#This Row],[Time]]-TIME(0,0,3)</f>
        <v>0.52815354166666661</v>
      </c>
      <c r="P758" t="s">
        <v>9</v>
      </c>
      <c r="Q758">
        <v>-122</v>
      </c>
      <c r="R758">
        <f>Table257[[#This Row],[RSSI]]</f>
        <v>-122</v>
      </c>
      <c r="S758">
        <v>-8</v>
      </c>
    </row>
    <row r="759" spans="2:19" x14ac:dyDescent="0.25">
      <c r="B759">
        <f>390+2*(Table146[[#This Row],[min value (corrected)]]-37)</f>
        <v>416</v>
      </c>
      <c r="C759">
        <f>MINUTE(Table146[[#This Row],[Corrected time]])</f>
        <v>50</v>
      </c>
      <c r="D759" s="1">
        <v>0.49356935185185186</v>
      </c>
      <c r="E759" s="1">
        <f>Table146[[#This Row],[Time]]-TIME(0,0,1)</f>
        <v>0.49355777777777776</v>
      </c>
      <c r="F759" t="s">
        <v>9</v>
      </c>
      <c r="G759">
        <v>-122</v>
      </c>
      <c r="H759">
        <f>Table146[[#This Row],[RSSI]]</f>
        <v>-122</v>
      </c>
      <c r="I759">
        <v>-8.8000000000000007</v>
      </c>
      <c r="L759">
        <f>390+2*(Table257[[#This Row],[min value (corrected)]]-27)</f>
        <v>416</v>
      </c>
      <c r="M759">
        <f>MINUTE(Table257[[#This Row],[Corrected time]])</f>
        <v>40</v>
      </c>
      <c r="N759" s="1">
        <v>0.52820129629629631</v>
      </c>
      <c r="O759" s="1">
        <f>Table257[[#This Row],[Time]]-TIME(0,0,3)</f>
        <v>0.52816657407407408</v>
      </c>
      <c r="P759" t="s">
        <v>9</v>
      </c>
      <c r="Q759">
        <v>-122</v>
      </c>
      <c r="R759">
        <f>Table257[[#This Row],[RSSI]]</f>
        <v>-122</v>
      </c>
      <c r="S759">
        <v>-8.3000000000000007</v>
      </c>
    </row>
    <row r="760" spans="2:19" x14ac:dyDescent="0.25">
      <c r="B760">
        <f>390+2*(Table146[[#This Row],[min value (corrected)]]-37)</f>
        <v>416</v>
      </c>
      <c r="C760">
        <f>MINUTE(Table146[[#This Row],[Corrected time]])</f>
        <v>50</v>
      </c>
      <c r="D760" s="1">
        <v>0.49358237268518518</v>
      </c>
      <c r="E760" s="1">
        <f>Table146[[#This Row],[Time]]-TIME(0,0,1)</f>
        <v>0.49357079861111108</v>
      </c>
      <c r="F760" t="s">
        <v>13</v>
      </c>
      <c r="G760">
        <f>G759</f>
        <v>-122</v>
      </c>
      <c r="H760">
        <f>Table146[[#This Row],[RSSI]]</f>
        <v>-122</v>
      </c>
      <c r="I760">
        <f>I759</f>
        <v>-8.8000000000000007</v>
      </c>
      <c r="L760">
        <f>390+2*(Table257[[#This Row],[min value (corrected)]]-27)</f>
        <v>416</v>
      </c>
      <c r="M760">
        <f>MINUTE(Table257[[#This Row],[Corrected time]])</f>
        <v>40</v>
      </c>
      <c r="N760" s="1">
        <v>0.52821432870370366</v>
      </c>
      <c r="O760" s="1">
        <f>Table257[[#This Row],[Time]]-TIME(0,0,3)</f>
        <v>0.52817960648148143</v>
      </c>
      <c r="P760" t="s">
        <v>9</v>
      </c>
      <c r="Q760">
        <v>-122</v>
      </c>
      <c r="R760">
        <f>Table257[[#This Row],[RSSI]]</f>
        <v>-122</v>
      </c>
      <c r="S760">
        <v>-8.5</v>
      </c>
    </row>
    <row r="761" spans="2:19" x14ac:dyDescent="0.25">
      <c r="B761">
        <f>390+2*(Table146[[#This Row],[min value (corrected)]]-37)</f>
        <v>416</v>
      </c>
      <c r="C761">
        <f>MINUTE(Table146[[#This Row],[Corrected time]])</f>
        <v>50</v>
      </c>
      <c r="D761" s="1">
        <v>0.49359542824074071</v>
      </c>
      <c r="E761" s="1">
        <f>Table146[[#This Row],[Time]]-TIME(0,0,1)</f>
        <v>0.49358385416666661</v>
      </c>
      <c r="F761" t="s">
        <v>9</v>
      </c>
      <c r="G761">
        <v>-122</v>
      </c>
      <c r="H761">
        <f>Table146[[#This Row],[RSSI]]</f>
        <v>-122</v>
      </c>
      <c r="I761">
        <v>-8.8000000000000007</v>
      </c>
      <c r="L761">
        <f>390+2*(Table257[[#This Row],[min value (corrected)]]-27)</f>
        <v>416</v>
      </c>
      <c r="M761">
        <f>MINUTE(Table257[[#This Row],[Corrected time]])</f>
        <v>40</v>
      </c>
      <c r="N761" s="1">
        <v>0.52822736111111113</v>
      </c>
      <c r="O761" s="1">
        <f>Table257[[#This Row],[Time]]-TIME(0,0,3)</f>
        <v>0.5281926388888889</v>
      </c>
      <c r="P761" t="s">
        <v>9</v>
      </c>
      <c r="Q761">
        <v>-122</v>
      </c>
      <c r="R761">
        <f>Table257[[#This Row],[RSSI]]</f>
        <v>-122</v>
      </c>
      <c r="S761">
        <v>-8.3000000000000007</v>
      </c>
    </row>
    <row r="762" spans="2:19" x14ac:dyDescent="0.25">
      <c r="B762">
        <f>390+2*(Table146[[#This Row],[min value (corrected)]]-37)</f>
        <v>416</v>
      </c>
      <c r="C762">
        <f>MINUTE(Table146[[#This Row],[Corrected time]])</f>
        <v>50</v>
      </c>
      <c r="D762" s="1">
        <v>0.49360846064814817</v>
      </c>
      <c r="E762" s="1">
        <f>Table146[[#This Row],[Time]]-TIME(0,0,1)</f>
        <v>0.49359688657407408</v>
      </c>
      <c r="F762" t="s">
        <v>9</v>
      </c>
      <c r="G762">
        <v>-122</v>
      </c>
      <c r="H762">
        <f>Table146[[#This Row],[RSSI]]</f>
        <v>-122</v>
      </c>
      <c r="I762">
        <v>-8</v>
      </c>
      <c r="L762">
        <f>390+2*(Table257[[#This Row],[min value (corrected)]]-27)</f>
        <v>416</v>
      </c>
      <c r="M762">
        <f>MINUTE(Table257[[#This Row],[Corrected time]])</f>
        <v>40</v>
      </c>
      <c r="N762" s="1">
        <v>0.52824039351851848</v>
      </c>
      <c r="O762" s="1">
        <f>Table257[[#This Row],[Time]]-TIME(0,0,3)</f>
        <v>0.52820567129629625</v>
      </c>
      <c r="P762" t="s">
        <v>9</v>
      </c>
      <c r="Q762">
        <v>-122</v>
      </c>
      <c r="R762">
        <f>Table257[[#This Row],[RSSI]]</f>
        <v>-122</v>
      </c>
      <c r="S762">
        <v>-8.8000000000000007</v>
      </c>
    </row>
    <row r="763" spans="2:19" x14ac:dyDescent="0.25">
      <c r="B763">
        <f>390+2*(Table146[[#This Row],[min value (corrected)]]-37)</f>
        <v>416</v>
      </c>
      <c r="C763">
        <f>MINUTE(Table146[[#This Row],[Corrected time]])</f>
        <v>50</v>
      </c>
      <c r="D763" s="1">
        <v>0.49362149305555553</v>
      </c>
      <c r="E763" s="1">
        <f>Table146[[#This Row],[Time]]-TIME(0,0,1)</f>
        <v>0.49360991898148143</v>
      </c>
      <c r="F763" t="s">
        <v>9</v>
      </c>
      <c r="G763">
        <v>-122</v>
      </c>
      <c r="H763">
        <f>Table146[[#This Row],[RSSI]]</f>
        <v>-122</v>
      </c>
      <c r="I763">
        <v>-8.5</v>
      </c>
      <c r="L763">
        <f>390+2*(Table257[[#This Row],[min value (corrected)]]-27)</f>
        <v>416</v>
      </c>
      <c r="M763">
        <f>MINUTE(Table257[[#This Row],[Corrected time]])</f>
        <v>40</v>
      </c>
      <c r="N763" s="1">
        <v>0.52825342592592595</v>
      </c>
      <c r="O763" s="1">
        <f>Table257[[#This Row],[Time]]-TIME(0,0,3)</f>
        <v>0.52821870370370372</v>
      </c>
      <c r="P763" t="s">
        <v>9</v>
      </c>
      <c r="Q763">
        <v>-122</v>
      </c>
      <c r="R763">
        <f>Table257[[#This Row],[RSSI]]</f>
        <v>-122</v>
      </c>
      <c r="S763">
        <v>-8.3000000000000007</v>
      </c>
    </row>
    <row r="764" spans="2:19" x14ac:dyDescent="0.25">
      <c r="B764">
        <f>390+2*(Table146[[#This Row],[min value (corrected)]]-37)</f>
        <v>416</v>
      </c>
      <c r="C764">
        <f>MINUTE(Table146[[#This Row],[Corrected time]])</f>
        <v>50</v>
      </c>
      <c r="D764" s="1">
        <v>0.49363452546296299</v>
      </c>
      <c r="E764" s="1">
        <f>Table146[[#This Row],[Time]]-TIME(0,0,1)</f>
        <v>0.4936229513888889</v>
      </c>
      <c r="F764" t="s">
        <v>13</v>
      </c>
      <c r="G764">
        <f>G763</f>
        <v>-122</v>
      </c>
      <c r="H764">
        <f>Table146[[#This Row],[RSSI]]</f>
        <v>-122</v>
      </c>
      <c r="I764">
        <f>I763</f>
        <v>-8.5</v>
      </c>
      <c r="L764">
        <f>390+2*(Table257[[#This Row],[min value (corrected)]]-27)</f>
        <v>416</v>
      </c>
      <c r="M764">
        <f>MINUTE(Table257[[#This Row],[Corrected time]])</f>
        <v>40</v>
      </c>
      <c r="N764" s="1">
        <v>0.5282664583333333</v>
      </c>
      <c r="O764" s="1">
        <f>Table257[[#This Row],[Time]]-TIME(0,0,3)</f>
        <v>0.52823173611111107</v>
      </c>
      <c r="P764" t="s">
        <v>9</v>
      </c>
      <c r="Q764">
        <v>-122</v>
      </c>
      <c r="R764">
        <f>Table257[[#This Row],[RSSI]]</f>
        <v>-122</v>
      </c>
      <c r="S764">
        <v>-8.3000000000000007</v>
      </c>
    </row>
    <row r="765" spans="2:19" x14ac:dyDescent="0.25">
      <c r="B765">
        <f>390+2*(Table146[[#This Row],[min value (corrected)]]-37)</f>
        <v>416</v>
      </c>
      <c r="C765">
        <f>MINUTE(Table146[[#This Row],[Corrected time]])</f>
        <v>50</v>
      </c>
      <c r="D765" s="1">
        <v>0.49364755787037035</v>
      </c>
      <c r="E765" s="1">
        <f>Table146[[#This Row],[Time]]-TIME(0,0,1)</f>
        <v>0.49363598379629625</v>
      </c>
      <c r="F765" t="s">
        <v>9</v>
      </c>
      <c r="G765">
        <v>-122</v>
      </c>
      <c r="H765">
        <f>Table146[[#This Row],[RSSI]]</f>
        <v>-122</v>
      </c>
      <c r="I765">
        <v>-8.3000000000000007</v>
      </c>
      <c r="L765">
        <f>390+2*(Table257[[#This Row],[min value (corrected)]]-27)</f>
        <v>416</v>
      </c>
      <c r="M765">
        <f>MINUTE(Table257[[#This Row],[Corrected time]])</f>
        <v>40</v>
      </c>
      <c r="N765" s="1">
        <v>0.52827949074074076</v>
      </c>
      <c r="O765" s="1">
        <f>Table257[[#This Row],[Time]]-TIME(0,0,3)</f>
        <v>0.52824476851851854</v>
      </c>
      <c r="P765" t="s">
        <v>27</v>
      </c>
      <c r="Q765">
        <f>Q764</f>
        <v>-122</v>
      </c>
      <c r="R765">
        <f>Table257[[#This Row],[RSSI]]</f>
        <v>-122</v>
      </c>
      <c r="S765">
        <f>S764</f>
        <v>-8.3000000000000007</v>
      </c>
    </row>
    <row r="766" spans="2:19" x14ac:dyDescent="0.25">
      <c r="B766">
        <f>390+2*(Table146[[#This Row],[min value (corrected)]]-37)</f>
        <v>416</v>
      </c>
      <c r="C766">
        <f>MINUTE(Table146[[#This Row],[Corrected time]])</f>
        <v>50</v>
      </c>
      <c r="D766" s="1">
        <v>0.49366059027777781</v>
      </c>
      <c r="E766" s="1">
        <f>Table146[[#This Row],[Time]]-TIME(0,0,1)</f>
        <v>0.49364901620370372</v>
      </c>
      <c r="F766" t="s">
        <v>9</v>
      </c>
      <c r="G766">
        <v>-120</v>
      </c>
      <c r="H766">
        <f>Table146[[#This Row],[RSSI]]</f>
        <v>-120</v>
      </c>
      <c r="I766">
        <v>-8.3000000000000007</v>
      </c>
      <c r="L766">
        <f>390+2*(Table257[[#This Row],[min value (corrected)]]-27)</f>
        <v>416</v>
      </c>
      <c r="M766">
        <f>MINUTE(Table257[[#This Row],[Corrected time]])</f>
        <v>40</v>
      </c>
      <c r="N766" s="1">
        <v>0.52829252314814812</v>
      </c>
      <c r="O766" s="1">
        <f>Table257[[#This Row],[Time]]-TIME(0,0,3)</f>
        <v>0.52825780092592589</v>
      </c>
      <c r="P766" t="s">
        <v>9</v>
      </c>
      <c r="Q766">
        <v>-122</v>
      </c>
      <c r="R766">
        <f>Table257[[#This Row],[RSSI]]</f>
        <v>-122</v>
      </c>
      <c r="S766">
        <v>-8</v>
      </c>
    </row>
    <row r="767" spans="2:19" x14ac:dyDescent="0.25">
      <c r="B767">
        <f>390+2*(Table146[[#This Row],[min value (corrected)]]-37)</f>
        <v>416</v>
      </c>
      <c r="C767">
        <f>MINUTE(Table146[[#This Row],[Corrected time]])</f>
        <v>50</v>
      </c>
      <c r="D767" s="1">
        <v>0.49367362268518516</v>
      </c>
      <c r="E767" s="1">
        <f>Table146[[#This Row],[Time]]-TIME(0,0,1)</f>
        <v>0.49366204861111107</v>
      </c>
      <c r="F767" t="s">
        <v>13</v>
      </c>
      <c r="G767">
        <f t="shared" ref="G767:G768" si="59">G766</f>
        <v>-120</v>
      </c>
      <c r="H767">
        <f>Table146[[#This Row],[RSSI]]</f>
        <v>-120</v>
      </c>
      <c r="I767">
        <f t="shared" ref="I767:I768" si="60">I766</f>
        <v>-8.3000000000000007</v>
      </c>
      <c r="L767">
        <f>390+2*(Table257[[#This Row],[min value (corrected)]]-27)</f>
        <v>416</v>
      </c>
      <c r="M767">
        <f>MINUTE(Table257[[#This Row],[Corrected time]])</f>
        <v>40</v>
      </c>
      <c r="N767" s="1">
        <v>0.52830555555555558</v>
      </c>
      <c r="O767" s="1">
        <f>Table257[[#This Row],[Time]]-TIME(0,0,3)</f>
        <v>0.52827083333333336</v>
      </c>
      <c r="P767" t="s">
        <v>9</v>
      </c>
      <c r="Q767">
        <v>-122</v>
      </c>
      <c r="R767">
        <f>Table257[[#This Row],[RSSI]]</f>
        <v>-122</v>
      </c>
      <c r="S767">
        <v>-8.5</v>
      </c>
    </row>
    <row r="768" spans="2:19" x14ac:dyDescent="0.25">
      <c r="B768">
        <f>390+2*(Table146[[#This Row],[min value (corrected)]]-37)</f>
        <v>416</v>
      </c>
      <c r="C768">
        <f>MINUTE(Table146[[#This Row],[Corrected time]])</f>
        <v>50</v>
      </c>
      <c r="D768" s="1">
        <v>0.49368665509259263</v>
      </c>
      <c r="E768" s="1">
        <f>Table146[[#This Row],[Time]]-TIME(0,0,1)</f>
        <v>0.49367508101851854</v>
      </c>
      <c r="F768" t="s">
        <v>13</v>
      </c>
      <c r="G768">
        <f t="shared" si="59"/>
        <v>-120</v>
      </c>
      <c r="H768">
        <f>Table146[[#This Row],[RSSI]]</f>
        <v>-120</v>
      </c>
      <c r="I768">
        <f t="shared" si="60"/>
        <v>-8.3000000000000007</v>
      </c>
      <c r="L768">
        <f>390+2*(Table257[[#This Row],[min value (corrected)]]-27)</f>
        <v>416</v>
      </c>
      <c r="M768">
        <f>MINUTE(Table257[[#This Row],[Corrected time]])</f>
        <v>40</v>
      </c>
      <c r="N768" s="1">
        <v>0.52831858796296294</v>
      </c>
      <c r="O768" s="1">
        <f>Table257[[#This Row],[Time]]-TIME(0,0,3)</f>
        <v>0.52828386574074071</v>
      </c>
      <c r="P768" t="s">
        <v>9</v>
      </c>
      <c r="Q768">
        <v>-120</v>
      </c>
      <c r="R768">
        <f>Table257[[#This Row],[RSSI]]</f>
        <v>-120</v>
      </c>
      <c r="S768">
        <v>-8</v>
      </c>
    </row>
    <row r="769" spans="2:19" x14ac:dyDescent="0.25">
      <c r="B769">
        <f>390+2*(Table146[[#This Row],[min value (corrected)]]-37)</f>
        <v>416</v>
      </c>
      <c r="C769">
        <f>MINUTE(Table146[[#This Row],[Corrected time]])</f>
        <v>50</v>
      </c>
      <c r="D769" s="1">
        <v>0.49369968749999998</v>
      </c>
      <c r="E769" s="1">
        <f>Table146[[#This Row],[Time]]-TIME(0,0,1)</f>
        <v>0.49368811342592589</v>
      </c>
      <c r="F769" t="s">
        <v>9</v>
      </c>
      <c r="G769">
        <v>-122</v>
      </c>
      <c r="H769">
        <f>Table146[[#This Row],[RSSI]]</f>
        <v>-122</v>
      </c>
      <c r="I769">
        <v>-8.5</v>
      </c>
      <c r="L769">
        <f>390+2*(Table257[[#This Row],[min value (corrected)]]-27)</f>
        <v>416</v>
      </c>
      <c r="M769">
        <f>MINUTE(Table257[[#This Row],[Corrected time]])</f>
        <v>40</v>
      </c>
      <c r="N769" s="1">
        <v>0.52833160879629637</v>
      </c>
      <c r="O769" s="1">
        <f>Table257[[#This Row],[Time]]-TIME(0,0,3)</f>
        <v>0.52829688657407414</v>
      </c>
      <c r="P769" t="s">
        <v>9</v>
      </c>
      <c r="Q769">
        <v>-122</v>
      </c>
      <c r="R769">
        <f>Table257[[#This Row],[RSSI]]</f>
        <v>-122</v>
      </c>
      <c r="S769">
        <v>-8.8000000000000007</v>
      </c>
    </row>
    <row r="770" spans="2:19" x14ac:dyDescent="0.25">
      <c r="B770">
        <f>390+2*(Table146[[#This Row],[min value (corrected)]]-37)</f>
        <v>416</v>
      </c>
      <c r="C770">
        <f>MINUTE(Table146[[#This Row],[Corrected time]])</f>
        <v>50</v>
      </c>
      <c r="D770" s="1">
        <v>0.49371271990740745</v>
      </c>
      <c r="E770" s="1">
        <f>Table146[[#This Row],[Time]]-TIME(0,0,1)</f>
        <v>0.49370114583333335</v>
      </c>
      <c r="F770" t="s">
        <v>9</v>
      </c>
      <c r="G770">
        <v>-122</v>
      </c>
      <c r="H770">
        <f>Table146[[#This Row],[RSSI]]</f>
        <v>-122</v>
      </c>
      <c r="I770">
        <v>-8.5</v>
      </c>
      <c r="L770">
        <f>390+2*(Table257[[#This Row],[min value (corrected)]]-27)</f>
        <v>416</v>
      </c>
      <c r="M770">
        <f>MINUTE(Table257[[#This Row],[Corrected time]])</f>
        <v>40</v>
      </c>
      <c r="N770" s="1">
        <v>0.52834465277777776</v>
      </c>
      <c r="O770" s="1">
        <f>Table257[[#This Row],[Time]]-TIME(0,0,3)</f>
        <v>0.52830993055555553</v>
      </c>
      <c r="P770" t="s">
        <v>13</v>
      </c>
      <c r="Q770">
        <f>Q769</f>
        <v>-122</v>
      </c>
      <c r="R770">
        <f>Table257[[#This Row],[RSSI]]</f>
        <v>-122</v>
      </c>
      <c r="S770">
        <f>S769</f>
        <v>-8.8000000000000007</v>
      </c>
    </row>
    <row r="771" spans="2:19" x14ac:dyDescent="0.25">
      <c r="B771">
        <f>390+2*(Table146[[#This Row],[min value (corrected)]]-37)</f>
        <v>416</v>
      </c>
      <c r="C771">
        <f>MINUTE(Table146[[#This Row],[Corrected time]])</f>
        <v>50</v>
      </c>
      <c r="D771" s="1">
        <v>0.4937257523148148</v>
      </c>
      <c r="E771" s="1">
        <f>Table146[[#This Row],[Time]]-TIME(0,0,1)</f>
        <v>0.49371417824074071</v>
      </c>
      <c r="F771" t="s">
        <v>9</v>
      </c>
      <c r="G771">
        <v>-122</v>
      </c>
      <c r="H771">
        <f>Table146[[#This Row],[RSSI]]</f>
        <v>-122</v>
      </c>
      <c r="I771">
        <v>-8.3000000000000007</v>
      </c>
      <c r="L771">
        <f>390+2*(Table257[[#This Row],[min value (corrected)]]-27)</f>
        <v>416</v>
      </c>
      <c r="M771">
        <f>MINUTE(Table257[[#This Row],[Corrected time]])</f>
        <v>40</v>
      </c>
      <c r="N771" s="1">
        <v>0.52835768518518522</v>
      </c>
      <c r="O771" s="1">
        <f>Table257[[#This Row],[Time]]-TIME(0,0,3)</f>
        <v>0.52832296296296299</v>
      </c>
      <c r="P771" t="s">
        <v>9</v>
      </c>
      <c r="Q771">
        <v>-122</v>
      </c>
      <c r="R771">
        <f>Table257[[#This Row],[RSSI]]</f>
        <v>-122</v>
      </c>
      <c r="S771">
        <v>-8.3000000000000007</v>
      </c>
    </row>
    <row r="772" spans="2:19" x14ac:dyDescent="0.25">
      <c r="B772">
        <f>390+2*(Table146[[#This Row],[min value (corrected)]]-37)</f>
        <v>416</v>
      </c>
      <c r="C772">
        <f>MINUTE(Table146[[#This Row],[Corrected time]])</f>
        <v>50</v>
      </c>
      <c r="D772" s="1">
        <v>0.49373878472222227</v>
      </c>
      <c r="E772" s="1">
        <f>Table146[[#This Row],[Time]]-TIME(0,0,1)</f>
        <v>0.49372721064814817</v>
      </c>
      <c r="F772" t="s">
        <v>13</v>
      </c>
      <c r="G772">
        <f>G771</f>
        <v>-122</v>
      </c>
      <c r="H772">
        <f>Table146[[#This Row],[RSSI]]</f>
        <v>-122</v>
      </c>
      <c r="I772">
        <f>I771</f>
        <v>-8.3000000000000007</v>
      </c>
      <c r="L772">
        <f>390+2*(Table257[[#This Row],[min value (corrected)]]-27)</f>
        <v>416</v>
      </c>
      <c r="M772">
        <f>MINUTE(Table257[[#This Row],[Corrected time]])</f>
        <v>40</v>
      </c>
      <c r="N772" s="1">
        <v>0.52837071759259258</v>
      </c>
      <c r="O772" s="1">
        <f>Table257[[#This Row],[Time]]-TIME(0,0,3)</f>
        <v>0.52833599537037035</v>
      </c>
      <c r="P772" t="s">
        <v>13</v>
      </c>
      <c r="Q772">
        <f t="shared" ref="Q772:Q774" si="61">Q771</f>
        <v>-122</v>
      </c>
      <c r="R772">
        <f>Table257[[#This Row],[RSSI]]</f>
        <v>-122</v>
      </c>
      <c r="S772">
        <f t="shared" ref="S772:S774" si="62">S771</f>
        <v>-8.3000000000000007</v>
      </c>
    </row>
    <row r="773" spans="2:19" x14ac:dyDescent="0.25">
      <c r="B773">
        <f>390+2*(Table146[[#This Row],[min value (corrected)]]-37)</f>
        <v>416</v>
      </c>
      <c r="C773">
        <f>MINUTE(Table146[[#This Row],[Corrected time]])</f>
        <v>50</v>
      </c>
      <c r="D773" s="1">
        <v>0.49375180555555559</v>
      </c>
      <c r="E773" s="1">
        <f>Table146[[#This Row],[Time]]-TIME(0,0,1)</f>
        <v>0.4937402314814815</v>
      </c>
      <c r="F773" t="s">
        <v>9</v>
      </c>
      <c r="G773">
        <v>-123</v>
      </c>
      <c r="H773">
        <f>Table146[[#This Row],[RSSI]]</f>
        <v>-123</v>
      </c>
      <c r="I773">
        <v>-9</v>
      </c>
      <c r="L773">
        <f>390+2*(Table257[[#This Row],[min value (corrected)]]-27)</f>
        <v>416</v>
      </c>
      <c r="M773">
        <f>MINUTE(Table257[[#This Row],[Corrected time]])</f>
        <v>40</v>
      </c>
      <c r="N773" s="1">
        <v>0.52838375000000004</v>
      </c>
      <c r="O773" s="1">
        <f>Table257[[#This Row],[Time]]-TIME(0,0,3)</f>
        <v>0.52834902777777781</v>
      </c>
      <c r="P773" t="s">
        <v>13</v>
      </c>
      <c r="Q773">
        <f t="shared" si="61"/>
        <v>-122</v>
      </c>
      <c r="R773">
        <f>Table257[[#This Row],[RSSI]]</f>
        <v>-122</v>
      </c>
      <c r="S773">
        <f t="shared" si="62"/>
        <v>-8.3000000000000007</v>
      </c>
    </row>
    <row r="774" spans="2:19" x14ac:dyDescent="0.25">
      <c r="B774">
        <f>390+2*(Table146[[#This Row],[min value (corrected)]]-37)</f>
        <v>418</v>
      </c>
      <c r="C774">
        <f>MINUTE(Table146[[#This Row],[Corrected time]])</f>
        <v>51</v>
      </c>
      <c r="D774" s="1">
        <v>0.49376484953703709</v>
      </c>
      <c r="E774" s="1">
        <f>Table146[[#This Row],[Time]]-TIME(0,0,1)</f>
        <v>0.49375327546296299</v>
      </c>
      <c r="F774" t="s">
        <v>9</v>
      </c>
      <c r="G774">
        <v>-123</v>
      </c>
      <c r="H774">
        <f>Table146[[#This Row],[RSSI]]</f>
        <v>-123</v>
      </c>
      <c r="I774">
        <v>-9.3000000000000007</v>
      </c>
      <c r="L774">
        <f>390+2*(Table257[[#This Row],[min value (corrected)]]-27)</f>
        <v>416</v>
      </c>
      <c r="M774">
        <f>MINUTE(Table257[[#This Row],[Corrected time]])</f>
        <v>40</v>
      </c>
      <c r="N774" s="1">
        <v>0.52839678240740739</v>
      </c>
      <c r="O774" s="1">
        <f>Table257[[#This Row],[Time]]-TIME(0,0,3)</f>
        <v>0.52836206018518517</v>
      </c>
      <c r="P774" t="s">
        <v>13</v>
      </c>
      <c r="Q774">
        <f t="shared" si="61"/>
        <v>-122</v>
      </c>
      <c r="R774">
        <f>Table257[[#This Row],[RSSI]]</f>
        <v>-122</v>
      </c>
      <c r="S774">
        <f t="shared" si="62"/>
        <v>-8.3000000000000007</v>
      </c>
    </row>
    <row r="775" spans="2:19" x14ac:dyDescent="0.25">
      <c r="B775">
        <f>390+2*(Table146[[#This Row],[min value (corrected)]]-37)</f>
        <v>418</v>
      </c>
      <c r="C775">
        <f>MINUTE(Table146[[#This Row],[Corrected time]])</f>
        <v>51</v>
      </c>
      <c r="D775" s="1">
        <v>0.49377788194444444</v>
      </c>
      <c r="E775" s="1">
        <f>Table146[[#This Row],[Time]]-TIME(0,0,1)</f>
        <v>0.49376630787037035</v>
      </c>
      <c r="F775" t="s">
        <v>9</v>
      </c>
      <c r="G775">
        <v>-122</v>
      </c>
      <c r="H775">
        <f>Table146[[#This Row],[RSSI]]</f>
        <v>-122</v>
      </c>
      <c r="I775">
        <v>-8.5</v>
      </c>
      <c r="L775">
        <f>390+2*(Table257[[#This Row],[min value (corrected)]]-27)</f>
        <v>416</v>
      </c>
      <c r="M775">
        <f>MINUTE(Table257[[#This Row],[Corrected time]])</f>
        <v>40</v>
      </c>
      <c r="N775" s="1">
        <v>0.52840981481481486</v>
      </c>
      <c r="O775" s="1">
        <f>Table257[[#This Row],[Time]]-TIME(0,0,3)</f>
        <v>0.52837509259259263</v>
      </c>
      <c r="P775" t="s">
        <v>9</v>
      </c>
      <c r="Q775">
        <v>-122</v>
      </c>
      <c r="R775">
        <f>Table257[[#This Row],[RSSI]]</f>
        <v>-122</v>
      </c>
      <c r="S775">
        <v>-8.5</v>
      </c>
    </row>
    <row r="776" spans="2:19" x14ac:dyDescent="0.25">
      <c r="B776">
        <f>390+2*(Table146[[#This Row],[min value (corrected)]]-37)</f>
        <v>418</v>
      </c>
      <c r="C776">
        <f>MINUTE(Table146[[#This Row],[Corrected time]])</f>
        <v>51</v>
      </c>
      <c r="D776" s="1">
        <v>0.49379091435185191</v>
      </c>
      <c r="E776" s="1">
        <f>Table146[[#This Row],[Time]]-TIME(0,0,1)</f>
        <v>0.49377934027777781</v>
      </c>
      <c r="F776" t="s">
        <v>13</v>
      </c>
      <c r="G776">
        <f t="shared" ref="G776:G777" si="63">G775</f>
        <v>-122</v>
      </c>
      <c r="H776">
        <f>Table146[[#This Row],[RSSI]]</f>
        <v>-122</v>
      </c>
      <c r="I776">
        <f t="shared" ref="I776:I777" si="64">I775</f>
        <v>-8.5</v>
      </c>
      <c r="L776">
        <f>390+2*(Table257[[#This Row],[min value (corrected)]]-27)</f>
        <v>416</v>
      </c>
      <c r="M776">
        <f>MINUTE(Table257[[#This Row],[Corrected time]])</f>
        <v>40</v>
      </c>
      <c r="N776" s="1">
        <v>0.52842284722222221</v>
      </c>
      <c r="O776" s="1">
        <f>Table257[[#This Row],[Time]]-TIME(0,0,3)</f>
        <v>0.52838812499999999</v>
      </c>
      <c r="P776" t="s">
        <v>9</v>
      </c>
      <c r="Q776">
        <v>-122</v>
      </c>
      <c r="R776">
        <f>Table257[[#This Row],[RSSI]]</f>
        <v>-122</v>
      </c>
      <c r="S776">
        <v>-8.3000000000000007</v>
      </c>
    </row>
    <row r="777" spans="2:19" x14ac:dyDescent="0.25">
      <c r="B777">
        <f>390+2*(Table146[[#This Row],[min value (corrected)]]-37)</f>
        <v>418</v>
      </c>
      <c r="C777">
        <f>MINUTE(Table146[[#This Row],[Corrected time]])</f>
        <v>51</v>
      </c>
      <c r="D777" s="1">
        <v>0.49380393518518523</v>
      </c>
      <c r="E777" s="1">
        <f>Table146[[#This Row],[Time]]-TIME(0,0,1)</f>
        <v>0.49379236111111113</v>
      </c>
      <c r="F777" t="s">
        <v>13</v>
      </c>
      <c r="G777">
        <f t="shared" si="63"/>
        <v>-122</v>
      </c>
      <c r="H777">
        <f>Table146[[#This Row],[RSSI]]</f>
        <v>-122</v>
      </c>
      <c r="I777">
        <f t="shared" si="64"/>
        <v>-8.5</v>
      </c>
      <c r="L777">
        <f>390+2*(Table257[[#This Row],[min value (corrected)]]-27)</f>
        <v>416</v>
      </c>
      <c r="M777">
        <f>MINUTE(Table257[[#This Row],[Corrected time]])</f>
        <v>40</v>
      </c>
      <c r="N777" s="1">
        <v>0.52843587962962968</v>
      </c>
      <c r="O777" s="1">
        <f>Table257[[#This Row],[Time]]-TIME(0,0,3)</f>
        <v>0.52840115740740745</v>
      </c>
      <c r="P777" t="s">
        <v>13</v>
      </c>
      <c r="Q777">
        <f t="shared" ref="Q777:Q778" si="65">Q776</f>
        <v>-122</v>
      </c>
      <c r="R777">
        <f>Table257[[#This Row],[RSSI]]</f>
        <v>-122</v>
      </c>
      <c r="S777">
        <f t="shared" ref="S777:S778" si="66">S776</f>
        <v>-8.3000000000000007</v>
      </c>
    </row>
    <row r="778" spans="2:19" x14ac:dyDescent="0.25">
      <c r="B778">
        <f>390+2*(Table146[[#This Row],[min value (corrected)]]-37)</f>
        <v>418</v>
      </c>
      <c r="C778">
        <f>MINUTE(Table146[[#This Row],[Corrected time]])</f>
        <v>51</v>
      </c>
      <c r="D778" s="1">
        <v>0.49381697916666661</v>
      </c>
      <c r="E778" s="1">
        <f>Table146[[#This Row],[Time]]-TIME(0,0,1)</f>
        <v>0.49380540509259252</v>
      </c>
      <c r="F778" t="s">
        <v>9</v>
      </c>
      <c r="G778">
        <v>-122</v>
      </c>
      <c r="H778">
        <f>Table146[[#This Row],[RSSI]]</f>
        <v>-122</v>
      </c>
      <c r="I778">
        <v>-9</v>
      </c>
      <c r="L778">
        <f>390+2*(Table257[[#This Row],[min value (corrected)]]-27)</f>
        <v>416</v>
      </c>
      <c r="M778">
        <f>MINUTE(Table257[[#This Row],[Corrected time]])</f>
        <v>40</v>
      </c>
      <c r="N778" s="1">
        <v>0.52844891203703703</v>
      </c>
      <c r="O778" s="1">
        <f>Table257[[#This Row],[Time]]-TIME(0,0,3)</f>
        <v>0.52841418981481481</v>
      </c>
      <c r="P778" t="s">
        <v>13</v>
      </c>
      <c r="Q778">
        <f t="shared" si="65"/>
        <v>-122</v>
      </c>
      <c r="R778">
        <f>Table257[[#This Row],[RSSI]]</f>
        <v>-122</v>
      </c>
      <c r="S778">
        <f t="shared" si="66"/>
        <v>-8.3000000000000007</v>
      </c>
    </row>
    <row r="779" spans="2:19" x14ac:dyDescent="0.25">
      <c r="B779">
        <f>390+2*(Table146[[#This Row],[min value (corrected)]]-37)</f>
        <v>418</v>
      </c>
      <c r="C779">
        <f>MINUTE(Table146[[#This Row],[Corrected time]])</f>
        <v>51</v>
      </c>
      <c r="D779" s="1">
        <v>0.49383001157407408</v>
      </c>
      <c r="E779" s="1">
        <f>Table146[[#This Row],[Time]]-TIME(0,0,1)</f>
        <v>0.49381843749999998</v>
      </c>
      <c r="F779" t="s">
        <v>9</v>
      </c>
      <c r="G779">
        <v>-123</v>
      </c>
      <c r="H779">
        <f>Table146[[#This Row],[RSSI]]</f>
        <v>-123</v>
      </c>
      <c r="I779">
        <v>-9.3000000000000007</v>
      </c>
      <c r="L779">
        <f>390+2*(Table257[[#This Row],[min value (corrected)]]-27)</f>
        <v>416</v>
      </c>
      <c r="M779">
        <f>MINUTE(Table257[[#This Row],[Corrected time]])</f>
        <v>40</v>
      </c>
      <c r="N779" s="1">
        <v>0.5284619444444445</v>
      </c>
      <c r="O779" s="1">
        <f>Table257[[#This Row],[Time]]-TIME(0,0,3)</f>
        <v>0.52842722222222227</v>
      </c>
      <c r="P779" t="s">
        <v>9</v>
      </c>
      <c r="Q779">
        <v>-122</v>
      </c>
      <c r="R779">
        <f>Table257[[#This Row],[RSSI]]</f>
        <v>-122</v>
      </c>
      <c r="S779">
        <v>-8.8000000000000007</v>
      </c>
    </row>
    <row r="780" spans="2:19" x14ac:dyDescent="0.25">
      <c r="B780">
        <f>390+2*(Table146[[#This Row],[min value (corrected)]]-37)</f>
        <v>418</v>
      </c>
      <c r="C780">
        <f>MINUTE(Table146[[#This Row],[Corrected time]])</f>
        <v>51</v>
      </c>
      <c r="D780" s="1">
        <v>0.4938430324074074</v>
      </c>
      <c r="E780" s="1">
        <f>Table146[[#This Row],[Time]]-TIME(0,0,1)</f>
        <v>0.49383145833333331</v>
      </c>
      <c r="F780" t="s">
        <v>13</v>
      </c>
      <c r="G780">
        <f t="shared" ref="G780:G782" si="67">G779</f>
        <v>-123</v>
      </c>
      <c r="H780">
        <f>Table146[[#This Row],[RSSI]]</f>
        <v>-123</v>
      </c>
      <c r="I780">
        <f t="shared" ref="I780:I782" si="68">I779</f>
        <v>-9.3000000000000007</v>
      </c>
      <c r="L780">
        <f>390+2*(Table257[[#This Row],[min value (corrected)]]-27)</f>
        <v>416</v>
      </c>
      <c r="M780">
        <f>MINUTE(Table257[[#This Row],[Corrected time]])</f>
        <v>40</v>
      </c>
      <c r="N780" s="1">
        <v>0.52847497685185185</v>
      </c>
      <c r="O780" s="1">
        <f>Table257[[#This Row],[Time]]-TIME(0,0,3)</f>
        <v>0.52844025462962962</v>
      </c>
      <c r="P780" t="s">
        <v>9</v>
      </c>
      <c r="Q780">
        <v>-122</v>
      </c>
      <c r="R780">
        <f>Table257[[#This Row],[RSSI]]</f>
        <v>-122</v>
      </c>
      <c r="S780">
        <v>-8.8000000000000007</v>
      </c>
    </row>
    <row r="781" spans="2:19" x14ac:dyDescent="0.25">
      <c r="B781">
        <f>390+2*(Table146[[#This Row],[min value (corrected)]]-37)</f>
        <v>418</v>
      </c>
      <c r="C781">
        <f>MINUTE(Table146[[#This Row],[Corrected time]])</f>
        <v>51</v>
      </c>
      <c r="D781" s="1">
        <v>0.4938560763888889</v>
      </c>
      <c r="E781" s="1">
        <f>Table146[[#This Row],[Time]]-TIME(0,0,1)</f>
        <v>0.4938445023148148</v>
      </c>
      <c r="F781" t="s">
        <v>13</v>
      </c>
      <c r="G781">
        <f t="shared" si="67"/>
        <v>-123</v>
      </c>
      <c r="H781">
        <f>Table146[[#This Row],[RSSI]]</f>
        <v>-123</v>
      </c>
      <c r="I781">
        <f t="shared" si="68"/>
        <v>-9.3000000000000007</v>
      </c>
      <c r="L781">
        <f>390+2*(Table257[[#This Row],[min value (corrected)]]-27)</f>
        <v>416</v>
      </c>
      <c r="M781">
        <f>MINUTE(Table257[[#This Row],[Corrected time]])</f>
        <v>40</v>
      </c>
      <c r="N781" s="1">
        <v>0.52848800925925932</v>
      </c>
      <c r="O781" s="1">
        <f>Table257[[#This Row],[Time]]-TIME(0,0,3)</f>
        <v>0.52845328703703709</v>
      </c>
      <c r="P781" t="s">
        <v>9</v>
      </c>
      <c r="Q781">
        <v>-122</v>
      </c>
      <c r="R781">
        <f>Table257[[#This Row],[RSSI]]</f>
        <v>-122</v>
      </c>
      <c r="S781">
        <v>-9.5</v>
      </c>
    </row>
    <row r="782" spans="2:19" x14ac:dyDescent="0.25">
      <c r="B782">
        <f>390+2*(Table146[[#This Row],[min value (corrected)]]-37)</f>
        <v>418</v>
      </c>
      <c r="C782">
        <f>MINUTE(Table146[[#This Row],[Corrected time]])</f>
        <v>51</v>
      </c>
      <c r="D782" s="1">
        <v>0.49386910879629625</v>
      </c>
      <c r="E782" s="1">
        <f>Table146[[#This Row],[Time]]-TIME(0,0,1)</f>
        <v>0.49385753472222216</v>
      </c>
      <c r="F782" t="s">
        <v>13</v>
      </c>
      <c r="G782">
        <f t="shared" si="67"/>
        <v>-123</v>
      </c>
      <c r="H782">
        <f>Table146[[#This Row],[RSSI]]</f>
        <v>-123</v>
      </c>
      <c r="I782">
        <f t="shared" si="68"/>
        <v>-9.3000000000000007</v>
      </c>
      <c r="L782">
        <f>390+2*(Table257[[#This Row],[min value (corrected)]]-27)</f>
        <v>416</v>
      </c>
      <c r="M782">
        <f>MINUTE(Table257[[#This Row],[Corrected time]])</f>
        <v>40</v>
      </c>
      <c r="N782" s="1">
        <v>0.52850104166666667</v>
      </c>
      <c r="O782" s="1">
        <f>Table257[[#This Row],[Time]]-TIME(0,0,3)</f>
        <v>0.52846631944444444</v>
      </c>
      <c r="P782" t="s">
        <v>9</v>
      </c>
      <c r="Q782">
        <v>-122</v>
      </c>
      <c r="R782">
        <f>Table257[[#This Row],[RSSI]]</f>
        <v>-122</v>
      </c>
      <c r="S782">
        <v>-8.8000000000000007</v>
      </c>
    </row>
    <row r="783" spans="2:19" x14ac:dyDescent="0.25">
      <c r="B783">
        <f>390+2*(Table146[[#This Row],[min value (corrected)]]-37)</f>
        <v>418</v>
      </c>
      <c r="C783">
        <f>MINUTE(Table146[[#This Row],[Corrected time]])</f>
        <v>51</v>
      </c>
      <c r="D783" s="1">
        <v>0.49388212962962957</v>
      </c>
      <c r="E783" s="1">
        <f>Table146[[#This Row],[Time]]-TIME(0,0,1)</f>
        <v>0.49387055555555548</v>
      </c>
      <c r="F783" t="s">
        <v>9</v>
      </c>
      <c r="G783">
        <v>-123</v>
      </c>
      <c r="H783">
        <f>Table146[[#This Row],[RSSI]]</f>
        <v>-123</v>
      </c>
      <c r="I783">
        <v>-9.5</v>
      </c>
      <c r="L783">
        <f>390+2*(Table257[[#This Row],[min value (corrected)]]-27)</f>
        <v>418</v>
      </c>
      <c r="M783">
        <f>MINUTE(Table257[[#This Row],[Corrected time]])</f>
        <v>41</v>
      </c>
      <c r="N783" s="1">
        <v>0.52851407407407414</v>
      </c>
      <c r="O783" s="1">
        <f>Table257[[#This Row],[Time]]-TIME(0,0,3)</f>
        <v>0.52847935185185191</v>
      </c>
      <c r="P783" t="s">
        <v>13</v>
      </c>
      <c r="Q783">
        <f t="shared" ref="Q783:Q786" si="69">Q782</f>
        <v>-122</v>
      </c>
      <c r="R783">
        <f>Table257[[#This Row],[RSSI]]</f>
        <v>-122</v>
      </c>
      <c r="S783">
        <f t="shared" ref="S783:S786" si="70">S782</f>
        <v>-8.8000000000000007</v>
      </c>
    </row>
    <row r="784" spans="2:19" x14ac:dyDescent="0.25">
      <c r="B784">
        <f>390+2*(Table146[[#This Row],[min value (corrected)]]-37)</f>
        <v>418</v>
      </c>
      <c r="C784">
        <f>MINUTE(Table146[[#This Row],[Corrected time]])</f>
        <v>51</v>
      </c>
      <c r="D784" s="1">
        <v>0.49389516203703704</v>
      </c>
      <c r="E784" s="1">
        <f>Table146[[#This Row],[Time]]-TIME(0,0,1)</f>
        <v>0.49388358796296294</v>
      </c>
      <c r="F784" t="s">
        <v>9</v>
      </c>
      <c r="G784">
        <v>-123</v>
      </c>
      <c r="H784">
        <f>Table146[[#This Row],[RSSI]]</f>
        <v>-123</v>
      </c>
      <c r="I784">
        <v>-9</v>
      </c>
      <c r="L784">
        <f>390+2*(Table257[[#This Row],[min value (corrected)]]-27)</f>
        <v>418</v>
      </c>
      <c r="M784">
        <f>MINUTE(Table257[[#This Row],[Corrected time]])</f>
        <v>41</v>
      </c>
      <c r="N784" s="1">
        <v>0.52852710648148149</v>
      </c>
      <c r="O784" s="1">
        <f>Table257[[#This Row],[Time]]-TIME(0,0,3)</f>
        <v>0.52849238425925926</v>
      </c>
      <c r="P784" t="s">
        <v>27</v>
      </c>
      <c r="Q784">
        <f t="shared" si="69"/>
        <v>-122</v>
      </c>
      <c r="R784">
        <f>Table257[[#This Row],[RSSI]]</f>
        <v>-122</v>
      </c>
      <c r="S784">
        <f t="shared" si="70"/>
        <v>-8.8000000000000007</v>
      </c>
    </row>
    <row r="785" spans="2:19" x14ac:dyDescent="0.25">
      <c r="B785">
        <f>390+2*(Table146[[#This Row],[min value (corrected)]]-37)</f>
        <v>418</v>
      </c>
      <c r="C785">
        <f>MINUTE(Table146[[#This Row],[Corrected time]])</f>
        <v>51</v>
      </c>
      <c r="D785" s="1">
        <v>0.49390819444444439</v>
      </c>
      <c r="E785" s="1">
        <f>Table146[[#This Row],[Time]]-TIME(0,0,1)</f>
        <v>0.4938966203703703</v>
      </c>
      <c r="F785" t="s">
        <v>13</v>
      </c>
      <c r="G785">
        <f>G784</f>
        <v>-123</v>
      </c>
      <c r="H785">
        <f>Table146[[#This Row],[RSSI]]</f>
        <v>-123</v>
      </c>
      <c r="I785">
        <f>I784</f>
        <v>-9</v>
      </c>
      <c r="L785">
        <f>390+2*(Table257[[#This Row],[min value (corrected)]]-27)</f>
        <v>418</v>
      </c>
      <c r="M785">
        <f>MINUTE(Table257[[#This Row],[Corrected time]])</f>
        <v>41</v>
      </c>
      <c r="N785" s="1">
        <v>0.52854013888888896</v>
      </c>
      <c r="O785" s="1">
        <f>Table257[[#This Row],[Time]]-TIME(0,0,3)</f>
        <v>0.52850541666666673</v>
      </c>
      <c r="P785" t="s">
        <v>13</v>
      </c>
      <c r="Q785">
        <f t="shared" si="69"/>
        <v>-122</v>
      </c>
      <c r="R785">
        <f>Table257[[#This Row],[RSSI]]</f>
        <v>-122</v>
      </c>
      <c r="S785">
        <f t="shared" si="70"/>
        <v>-8.8000000000000007</v>
      </c>
    </row>
    <row r="786" spans="2:19" x14ac:dyDescent="0.25">
      <c r="B786">
        <f>390+2*(Table146[[#This Row],[min value (corrected)]]-37)</f>
        <v>418</v>
      </c>
      <c r="C786">
        <f>MINUTE(Table146[[#This Row],[Corrected time]])</f>
        <v>51</v>
      </c>
      <c r="D786" s="1">
        <v>0.49392123842592589</v>
      </c>
      <c r="E786" s="1">
        <f>Table146[[#This Row],[Time]]-TIME(0,0,1)</f>
        <v>0.4939096643518518</v>
      </c>
      <c r="F786" t="s">
        <v>9</v>
      </c>
      <c r="G786">
        <v>-123</v>
      </c>
      <c r="H786">
        <f>Table146[[#This Row],[RSSI]]</f>
        <v>-123</v>
      </c>
      <c r="I786">
        <v>-8.8000000000000007</v>
      </c>
      <c r="L786">
        <f>390+2*(Table257[[#This Row],[min value (corrected)]]-27)</f>
        <v>418</v>
      </c>
      <c r="M786">
        <f>MINUTE(Table257[[#This Row],[Corrected time]])</f>
        <v>41</v>
      </c>
      <c r="N786" s="1">
        <v>0.52855317129629631</v>
      </c>
      <c r="O786" s="1">
        <f>Table257[[#This Row],[Time]]-TIME(0,0,3)</f>
        <v>0.52851844907407408</v>
      </c>
      <c r="P786" t="s">
        <v>27</v>
      </c>
      <c r="Q786">
        <f t="shared" si="69"/>
        <v>-122</v>
      </c>
      <c r="R786">
        <f>Table257[[#This Row],[RSSI]]</f>
        <v>-122</v>
      </c>
      <c r="S786">
        <f t="shared" si="70"/>
        <v>-8.8000000000000007</v>
      </c>
    </row>
    <row r="787" spans="2:19" x14ac:dyDescent="0.25">
      <c r="B787">
        <f>390+2*(Table146[[#This Row],[min value (corrected)]]-37)</f>
        <v>418</v>
      </c>
      <c r="C787">
        <f>MINUTE(Table146[[#This Row],[Corrected time]])</f>
        <v>51</v>
      </c>
      <c r="D787" s="1">
        <v>0.49393427083333336</v>
      </c>
      <c r="E787" s="1">
        <f>Table146[[#This Row],[Time]]-TIME(0,0,1)</f>
        <v>0.49392269675925926</v>
      </c>
      <c r="F787" t="s">
        <v>9</v>
      </c>
      <c r="G787">
        <v>-122</v>
      </c>
      <c r="H787">
        <f>Table146[[#This Row],[RSSI]]</f>
        <v>-122</v>
      </c>
      <c r="I787">
        <v>-8</v>
      </c>
      <c r="L787">
        <f>390+2*(Table257[[#This Row],[min value (corrected)]]-27)</f>
        <v>418</v>
      </c>
      <c r="M787">
        <f>MINUTE(Table257[[#This Row],[Corrected time]])</f>
        <v>41</v>
      </c>
      <c r="N787" s="1">
        <v>0.52856620370370377</v>
      </c>
      <c r="O787" s="1">
        <f>Table257[[#This Row],[Time]]-TIME(0,0,3)</f>
        <v>0.52853148148148155</v>
      </c>
      <c r="P787" t="s">
        <v>9</v>
      </c>
      <c r="Q787">
        <v>-122</v>
      </c>
      <c r="R787">
        <f>Table257[[#This Row],[RSSI]]</f>
        <v>-122</v>
      </c>
      <c r="S787">
        <v>-8.3000000000000007</v>
      </c>
    </row>
    <row r="788" spans="2:19" x14ac:dyDescent="0.25">
      <c r="B788">
        <f>390+2*(Table146[[#This Row],[min value (corrected)]]-37)</f>
        <v>418</v>
      </c>
      <c r="C788">
        <f>MINUTE(Table146[[#This Row],[Corrected time]])</f>
        <v>51</v>
      </c>
      <c r="D788" s="1">
        <v>0.49394730324074071</v>
      </c>
      <c r="E788" s="1">
        <f>Table146[[#This Row],[Time]]-TIME(0,0,1)</f>
        <v>0.49393572916666661</v>
      </c>
      <c r="F788" t="s">
        <v>13</v>
      </c>
      <c r="G788">
        <f t="shared" ref="G788:G790" si="71">G787</f>
        <v>-122</v>
      </c>
      <c r="H788">
        <f>Table146[[#This Row],[RSSI]]</f>
        <v>-122</v>
      </c>
      <c r="I788">
        <f t="shared" ref="I788:I790" si="72">I787</f>
        <v>-8</v>
      </c>
      <c r="L788">
        <f>390+2*(Table257[[#This Row],[min value (corrected)]]-27)</f>
        <v>418</v>
      </c>
      <c r="M788">
        <f>MINUTE(Table257[[#This Row],[Corrected time]])</f>
        <v>41</v>
      </c>
      <c r="N788" s="1">
        <v>0.52857923611111113</v>
      </c>
      <c r="O788" s="1">
        <f>Table257[[#This Row],[Time]]-TIME(0,0,3)</f>
        <v>0.5285445138888889</v>
      </c>
      <c r="P788" t="s">
        <v>9</v>
      </c>
      <c r="Q788">
        <v>-122</v>
      </c>
      <c r="R788">
        <f>Table257[[#This Row],[RSSI]]</f>
        <v>-122</v>
      </c>
      <c r="S788">
        <v>-8.5</v>
      </c>
    </row>
    <row r="789" spans="2:19" x14ac:dyDescent="0.25">
      <c r="B789">
        <f>390+2*(Table146[[#This Row],[min value (corrected)]]-37)</f>
        <v>418</v>
      </c>
      <c r="C789">
        <f>MINUTE(Table146[[#This Row],[Corrected time]])</f>
        <v>51</v>
      </c>
      <c r="D789" s="1">
        <v>0.49396033564814817</v>
      </c>
      <c r="E789" s="1">
        <f>Table146[[#This Row],[Time]]-TIME(0,0,1)</f>
        <v>0.49394876157407408</v>
      </c>
      <c r="F789" t="s">
        <v>13</v>
      </c>
      <c r="G789">
        <f t="shared" si="71"/>
        <v>-122</v>
      </c>
      <c r="H789">
        <f>Table146[[#This Row],[RSSI]]</f>
        <v>-122</v>
      </c>
      <c r="I789">
        <f t="shared" si="72"/>
        <v>-8</v>
      </c>
      <c r="L789">
        <f>390+2*(Table257[[#This Row],[min value (corrected)]]-27)</f>
        <v>418</v>
      </c>
      <c r="M789">
        <f>MINUTE(Table257[[#This Row],[Corrected time]])</f>
        <v>41</v>
      </c>
      <c r="N789" s="1">
        <v>0.52859226851851859</v>
      </c>
      <c r="O789" s="1">
        <f>Table257[[#This Row],[Time]]-TIME(0,0,3)</f>
        <v>0.52855754629629637</v>
      </c>
      <c r="P789" t="s">
        <v>9</v>
      </c>
      <c r="Q789">
        <v>-123</v>
      </c>
      <c r="R789">
        <f>Table257[[#This Row],[RSSI]]</f>
        <v>-123</v>
      </c>
      <c r="S789">
        <v>-9.3000000000000007</v>
      </c>
    </row>
    <row r="790" spans="2:19" x14ac:dyDescent="0.25">
      <c r="B790">
        <f>390+2*(Table146[[#This Row],[min value (corrected)]]-37)</f>
        <v>418</v>
      </c>
      <c r="C790">
        <f>MINUTE(Table146[[#This Row],[Corrected time]])</f>
        <v>51</v>
      </c>
      <c r="D790" s="1">
        <v>0.4939733564814815</v>
      </c>
      <c r="E790" s="1">
        <f>Table146[[#This Row],[Time]]-TIME(0,0,1)</f>
        <v>0.4939617824074074</v>
      </c>
      <c r="F790" t="s">
        <v>13</v>
      </c>
      <c r="G790">
        <f t="shared" si="71"/>
        <v>-122</v>
      </c>
      <c r="H790">
        <f>Table146[[#This Row],[RSSI]]</f>
        <v>-122</v>
      </c>
      <c r="I790">
        <f t="shared" si="72"/>
        <v>-8</v>
      </c>
      <c r="L790">
        <f>390+2*(Table257[[#This Row],[min value (corrected)]]-27)</f>
        <v>418</v>
      </c>
      <c r="M790">
        <f>MINUTE(Table257[[#This Row],[Corrected time]])</f>
        <v>41</v>
      </c>
      <c r="N790" s="1">
        <v>0.52860530092592595</v>
      </c>
      <c r="O790" s="1">
        <f>Table257[[#This Row],[Time]]-TIME(0,0,3)</f>
        <v>0.52857057870370372</v>
      </c>
      <c r="P790" t="s">
        <v>27</v>
      </c>
      <c r="Q790">
        <f t="shared" ref="Q790:Q791" si="73">Q789</f>
        <v>-123</v>
      </c>
      <c r="R790">
        <f>Table257[[#This Row],[RSSI]]</f>
        <v>-123</v>
      </c>
      <c r="S790">
        <f t="shared" ref="S790:S791" si="74">S789</f>
        <v>-9.3000000000000007</v>
      </c>
    </row>
    <row r="791" spans="2:19" x14ac:dyDescent="0.25">
      <c r="B791">
        <f>390+2*(Table146[[#This Row],[min value (corrected)]]-37)</f>
        <v>418</v>
      </c>
      <c r="C791">
        <f>MINUTE(Table146[[#This Row],[Corrected time]])</f>
        <v>51</v>
      </c>
      <c r="D791" s="1">
        <v>0.49398640046296299</v>
      </c>
      <c r="E791" s="1">
        <f>Table146[[#This Row],[Time]]-TIME(0,0,1)</f>
        <v>0.4939748263888889</v>
      </c>
      <c r="F791" t="s">
        <v>9</v>
      </c>
      <c r="G791">
        <v>-122</v>
      </c>
      <c r="H791">
        <f>Table146[[#This Row],[RSSI]]</f>
        <v>-122</v>
      </c>
      <c r="I791">
        <v>-8.5</v>
      </c>
      <c r="L791">
        <f>390+2*(Table257[[#This Row],[min value (corrected)]]-27)</f>
        <v>418</v>
      </c>
      <c r="M791">
        <f>MINUTE(Table257[[#This Row],[Corrected time]])</f>
        <v>41</v>
      </c>
      <c r="N791" s="1">
        <v>0.52861833333333341</v>
      </c>
      <c r="O791" s="1">
        <f>Table257[[#This Row],[Time]]-TIME(0,0,3)</f>
        <v>0.52858361111111118</v>
      </c>
      <c r="P791" t="s">
        <v>13</v>
      </c>
      <c r="Q791">
        <f t="shared" si="73"/>
        <v>-123</v>
      </c>
      <c r="R791">
        <f>Table257[[#This Row],[RSSI]]</f>
        <v>-123</v>
      </c>
      <c r="S791">
        <f t="shared" si="74"/>
        <v>-9.3000000000000007</v>
      </c>
    </row>
    <row r="792" spans="2:19" x14ac:dyDescent="0.25">
      <c r="B792">
        <f>390+2*(Table146[[#This Row],[min value (corrected)]]-37)</f>
        <v>418</v>
      </c>
      <c r="C792">
        <f>MINUTE(Table146[[#This Row],[Corrected time]])</f>
        <v>51</v>
      </c>
      <c r="D792" s="1">
        <v>0.49399943287037035</v>
      </c>
      <c r="E792" s="1">
        <f>Table146[[#This Row],[Time]]-TIME(0,0,1)</f>
        <v>0.49398785879629625</v>
      </c>
      <c r="F792" t="s">
        <v>9</v>
      </c>
      <c r="G792">
        <v>-122</v>
      </c>
      <c r="H792">
        <f>Table146[[#This Row],[RSSI]]</f>
        <v>-122</v>
      </c>
      <c r="I792">
        <v>-8.5</v>
      </c>
      <c r="L792">
        <f>390+2*(Table257[[#This Row],[min value (corrected)]]-27)</f>
        <v>418</v>
      </c>
      <c r="M792">
        <f>MINUTE(Table257[[#This Row],[Corrected time]])</f>
        <v>41</v>
      </c>
      <c r="N792" s="1">
        <v>0.52863136574074077</v>
      </c>
      <c r="O792" s="1">
        <f>Table257[[#This Row],[Time]]-TIME(0,0,3)</f>
        <v>0.52859664351851854</v>
      </c>
      <c r="P792" t="s">
        <v>9</v>
      </c>
      <c r="Q792">
        <v>-122</v>
      </c>
      <c r="R792">
        <f>Table257[[#This Row],[RSSI]]</f>
        <v>-122</v>
      </c>
      <c r="S792">
        <v>-8.5</v>
      </c>
    </row>
    <row r="793" spans="2:19" x14ac:dyDescent="0.25">
      <c r="B793">
        <f>390+2*(Table146[[#This Row],[min value (corrected)]]-37)</f>
        <v>418</v>
      </c>
      <c r="C793">
        <f>MINUTE(Table146[[#This Row],[Corrected time]])</f>
        <v>51</v>
      </c>
      <c r="D793" s="1">
        <v>0.49401246527777781</v>
      </c>
      <c r="E793" s="1">
        <f>Table146[[#This Row],[Time]]-TIME(0,0,1)</f>
        <v>0.49400089120370372</v>
      </c>
      <c r="F793" t="s">
        <v>9</v>
      </c>
      <c r="G793">
        <v>-123</v>
      </c>
      <c r="H793">
        <f>Table146[[#This Row],[RSSI]]</f>
        <v>-123</v>
      </c>
      <c r="I793">
        <v>-9.5</v>
      </c>
      <c r="L793">
        <f>390+2*(Table257[[#This Row],[min value (corrected)]]-27)</f>
        <v>418</v>
      </c>
      <c r="M793">
        <f>MINUTE(Table257[[#This Row],[Corrected time]])</f>
        <v>41</v>
      </c>
      <c r="N793" s="1">
        <v>0.52864439814814812</v>
      </c>
      <c r="O793" s="1">
        <f>Table257[[#This Row],[Time]]-TIME(0,0,3)</f>
        <v>0.52860967592592589</v>
      </c>
      <c r="P793" t="s">
        <v>13</v>
      </c>
      <c r="Q793">
        <f>Q792</f>
        <v>-122</v>
      </c>
      <c r="R793">
        <f>Table257[[#This Row],[RSSI]]</f>
        <v>-122</v>
      </c>
      <c r="S793">
        <f>S792</f>
        <v>-8.5</v>
      </c>
    </row>
    <row r="794" spans="2:19" x14ac:dyDescent="0.25">
      <c r="B794">
        <f>390+2*(Table146[[#This Row],[min value (corrected)]]-37)</f>
        <v>418</v>
      </c>
      <c r="C794">
        <f>MINUTE(Table146[[#This Row],[Corrected time]])</f>
        <v>51</v>
      </c>
      <c r="D794" s="1">
        <v>0.49402549768518517</v>
      </c>
      <c r="E794" s="1">
        <f>Table146[[#This Row],[Time]]-TIME(0,0,1)</f>
        <v>0.49401392361111107</v>
      </c>
      <c r="F794" t="s">
        <v>9</v>
      </c>
      <c r="G794">
        <v>-122</v>
      </c>
      <c r="H794">
        <f>Table146[[#This Row],[RSSI]]</f>
        <v>-122</v>
      </c>
      <c r="I794">
        <v>-8.8000000000000007</v>
      </c>
      <c r="L794">
        <f>390+2*(Table257[[#This Row],[min value (corrected)]]-27)</f>
        <v>418</v>
      </c>
      <c r="M794">
        <f>MINUTE(Table257[[#This Row],[Corrected time]])</f>
        <v>41</v>
      </c>
      <c r="N794" s="1">
        <v>0.52865743055555559</v>
      </c>
      <c r="O794" s="1">
        <f>Table257[[#This Row],[Time]]-TIME(0,0,3)</f>
        <v>0.52862270833333336</v>
      </c>
      <c r="P794" t="s">
        <v>9</v>
      </c>
      <c r="Q794">
        <v>-122</v>
      </c>
      <c r="R794">
        <f>Table257[[#This Row],[RSSI]]</f>
        <v>-122</v>
      </c>
      <c r="S794">
        <v>-8.8000000000000007</v>
      </c>
    </row>
    <row r="795" spans="2:19" x14ac:dyDescent="0.25">
      <c r="B795">
        <f>390+2*(Table146[[#This Row],[min value (corrected)]]-37)</f>
        <v>418</v>
      </c>
      <c r="C795">
        <f>MINUTE(Table146[[#This Row],[Corrected time]])</f>
        <v>51</v>
      </c>
      <c r="D795" s="1">
        <v>0.49403853009259258</v>
      </c>
      <c r="E795" s="1">
        <f>Table146[[#This Row],[Time]]-TIME(0,0,1)</f>
        <v>0.49402695601851848</v>
      </c>
      <c r="F795" t="s">
        <v>9</v>
      </c>
      <c r="G795">
        <v>-123</v>
      </c>
      <c r="H795">
        <f>Table146[[#This Row],[RSSI]]</f>
        <v>-123</v>
      </c>
      <c r="I795">
        <v>-9</v>
      </c>
      <c r="L795">
        <f>390+2*(Table257[[#This Row],[min value (corrected)]]-27)</f>
        <v>418</v>
      </c>
      <c r="M795">
        <f>MINUTE(Table257[[#This Row],[Corrected time]])</f>
        <v>41</v>
      </c>
      <c r="N795" s="1">
        <v>0.52867046296296294</v>
      </c>
      <c r="O795" s="1">
        <f>Table257[[#This Row],[Time]]-TIME(0,0,3)</f>
        <v>0.52863574074074071</v>
      </c>
      <c r="P795" t="s">
        <v>9</v>
      </c>
      <c r="Q795">
        <v>-122</v>
      </c>
      <c r="R795">
        <f>Table257[[#This Row],[RSSI]]</f>
        <v>-122</v>
      </c>
      <c r="S795">
        <v>-8.8000000000000007</v>
      </c>
    </row>
    <row r="796" spans="2:19" x14ac:dyDescent="0.25">
      <c r="B796">
        <f>390+2*(Table146[[#This Row],[min value (corrected)]]-37)</f>
        <v>418</v>
      </c>
      <c r="C796">
        <f>MINUTE(Table146[[#This Row],[Corrected time]])</f>
        <v>51</v>
      </c>
      <c r="D796" s="1">
        <v>0.4940515509259259</v>
      </c>
      <c r="E796" s="1">
        <f>Table146[[#This Row],[Time]]-TIME(0,0,1)</f>
        <v>0.4940399768518518</v>
      </c>
      <c r="F796" t="s">
        <v>9</v>
      </c>
      <c r="G796">
        <v>-123</v>
      </c>
      <c r="H796">
        <f>Table146[[#This Row],[RSSI]]</f>
        <v>-123</v>
      </c>
      <c r="I796">
        <v>-9.3000000000000007</v>
      </c>
      <c r="L796">
        <f>390+2*(Table257[[#This Row],[min value (corrected)]]-27)</f>
        <v>418</v>
      </c>
      <c r="M796">
        <f>MINUTE(Table257[[#This Row],[Corrected time]])</f>
        <v>41</v>
      </c>
      <c r="N796" s="1">
        <v>0.5286834953703704</v>
      </c>
      <c r="O796" s="1">
        <f>Table257[[#This Row],[Time]]-TIME(0,0,3)</f>
        <v>0.52864877314814818</v>
      </c>
      <c r="P796" t="s">
        <v>9</v>
      </c>
      <c r="Q796">
        <v>-123</v>
      </c>
      <c r="R796">
        <f>Table257[[#This Row],[RSSI]]</f>
        <v>-123</v>
      </c>
      <c r="S796">
        <v>-9</v>
      </c>
    </row>
    <row r="797" spans="2:19" x14ac:dyDescent="0.25">
      <c r="B797">
        <f>390+2*(Table146[[#This Row],[min value (corrected)]]-37)</f>
        <v>418</v>
      </c>
      <c r="C797">
        <f>MINUTE(Table146[[#This Row],[Corrected time]])</f>
        <v>51</v>
      </c>
      <c r="D797" s="1">
        <v>0.4940645949074074</v>
      </c>
      <c r="E797" s="1">
        <f>Table146[[#This Row],[Time]]-TIME(0,0,1)</f>
        <v>0.4940530208333333</v>
      </c>
      <c r="F797" t="s">
        <v>13</v>
      </c>
      <c r="G797">
        <f>G796</f>
        <v>-123</v>
      </c>
      <c r="H797">
        <f>Table146[[#This Row],[RSSI]]</f>
        <v>-123</v>
      </c>
      <c r="I797">
        <f>I796</f>
        <v>-9.3000000000000007</v>
      </c>
      <c r="L797">
        <f>390+2*(Table257[[#This Row],[min value (corrected)]]-27)</f>
        <v>418</v>
      </c>
      <c r="M797">
        <f>MINUTE(Table257[[#This Row],[Corrected time]])</f>
        <v>41</v>
      </c>
      <c r="N797" s="1">
        <v>0.52869652777777776</v>
      </c>
      <c r="O797" s="1">
        <f>Table257[[#This Row],[Time]]-TIME(0,0,3)</f>
        <v>0.52866180555555553</v>
      </c>
      <c r="P797" t="s">
        <v>9</v>
      </c>
      <c r="Q797">
        <v>-122</v>
      </c>
      <c r="R797">
        <f>Table257[[#This Row],[RSSI]]</f>
        <v>-122</v>
      </c>
      <c r="S797">
        <v>-8.3000000000000007</v>
      </c>
    </row>
    <row r="798" spans="2:19" x14ac:dyDescent="0.25">
      <c r="B798">
        <f>390+2*(Table146[[#This Row],[min value (corrected)]]-37)</f>
        <v>418</v>
      </c>
      <c r="C798">
        <f>MINUTE(Table146[[#This Row],[Corrected time]])</f>
        <v>51</v>
      </c>
      <c r="D798" s="1">
        <v>0.49407761574074072</v>
      </c>
      <c r="E798" s="1">
        <f>Table146[[#This Row],[Time]]-TIME(0,0,1)</f>
        <v>0.49406604166666662</v>
      </c>
      <c r="F798" t="s">
        <v>9</v>
      </c>
      <c r="G798">
        <v>-122</v>
      </c>
      <c r="H798">
        <f>Table146[[#This Row],[RSSI]]</f>
        <v>-122</v>
      </c>
      <c r="I798">
        <v>-9</v>
      </c>
      <c r="L798">
        <f>390+2*(Table257[[#This Row],[min value (corrected)]]-27)</f>
        <v>418</v>
      </c>
      <c r="M798">
        <f>MINUTE(Table257[[#This Row],[Corrected time]])</f>
        <v>41</v>
      </c>
      <c r="N798" s="1">
        <v>0.52870956018518522</v>
      </c>
      <c r="O798" s="1">
        <f>Table257[[#This Row],[Time]]-TIME(0,0,3)</f>
        <v>0.528674837962963</v>
      </c>
      <c r="P798" t="s">
        <v>13</v>
      </c>
      <c r="Q798">
        <f>Q797</f>
        <v>-122</v>
      </c>
      <c r="R798">
        <f>Table257[[#This Row],[RSSI]]</f>
        <v>-122</v>
      </c>
      <c r="S798">
        <f>S797</f>
        <v>-8.3000000000000007</v>
      </c>
    </row>
    <row r="799" spans="2:19" x14ac:dyDescent="0.25">
      <c r="B799">
        <f>390+2*(Table146[[#This Row],[min value (corrected)]]-37)</f>
        <v>418</v>
      </c>
      <c r="C799">
        <f>MINUTE(Table146[[#This Row],[Corrected time]])</f>
        <v>51</v>
      </c>
      <c r="D799" s="1">
        <v>0.49409065972222221</v>
      </c>
      <c r="E799" s="1">
        <f>Table146[[#This Row],[Time]]-TIME(0,0,1)</f>
        <v>0.49407908564814812</v>
      </c>
      <c r="F799" t="s">
        <v>9</v>
      </c>
      <c r="G799">
        <v>-122</v>
      </c>
      <c r="H799">
        <f>Table146[[#This Row],[RSSI]]</f>
        <v>-122</v>
      </c>
      <c r="I799">
        <v>-9</v>
      </c>
      <c r="L799">
        <f>390+2*(Table257[[#This Row],[min value (corrected)]]-27)</f>
        <v>418</v>
      </c>
      <c r="M799">
        <f>MINUTE(Table257[[#This Row],[Corrected time]])</f>
        <v>41</v>
      </c>
      <c r="N799" s="1">
        <v>0.52872259259259258</v>
      </c>
      <c r="O799" s="1">
        <f>Table257[[#This Row],[Time]]-TIME(0,0,3)</f>
        <v>0.52868787037037035</v>
      </c>
      <c r="P799" t="s">
        <v>9</v>
      </c>
      <c r="Q799">
        <v>-122</v>
      </c>
      <c r="R799">
        <f>Table257[[#This Row],[RSSI]]</f>
        <v>-122</v>
      </c>
      <c r="S799">
        <v>-8.3000000000000007</v>
      </c>
    </row>
    <row r="800" spans="2:19" x14ac:dyDescent="0.25">
      <c r="B800">
        <f>390+2*(Table146[[#This Row],[min value (corrected)]]-37)</f>
        <v>418</v>
      </c>
      <c r="C800">
        <f>MINUTE(Table146[[#This Row],[Corrected time]])</f>
        <v>51</v>
      </c>
      <c r="D800" s="1">
        <v>0.49410369212962962</v>
      </c>
      <c r="E800" s="1">
        <f>Table146[[#This Row],[Time]]-TIME(0,0,1)</f>
        <v>0.49409211805555553</v>
      </c>
      <c r="F800" t="s">
        <v>9</v>
      </c>
      <c r="G800">
        <v>-122</v>
      </c>
      <c r="H800">
        <f>Table146[[#This Row],[RSSI]]</f>
        <v>-122</v>
      </c>
      <c r="I800">
        <v>-8.5</v>
      </c>
      <c r="L800">
        <f>390+2*(Table257[[#This Row],[min value (corrected)]]-27)</f>
        <v>418</v>
      </c>
      <c r="M800">
        <f>MINUTE(Table257[[#This Row],[Corrected time]])</f>
        <v>41</v>
      </c>
      <c r="N800" s="1">
        <v>0.52873562500000004</v>
      </c>
      <c r="O800" s="1">
        <f>Table257[[#This Row],[Time]]-TIME(0,0,3)</f>
        <v>0.52870090277777781</v>
      </c>
      <c r="P800" t="s">
        <v>9</v>
      </c>
      <c r="Q800">
        <v>-122</v>
      </c>
      <c r="R800">
        <f>Table257[[#This Row],[RSSI]]</f>
        <v>-122</v>
      </c>
      <c r="S800">
        <v>-8.8000000000000007</v>
      </c>
    </row>
    <row r="801" spans="2:19" x14ac:dyDescent="0.25">
      <c r="B801">
        <f>390+2*(Table146[[#This Row],[min value (corrected)]]-37)</f>
        <v>418</v>
      </c>
      <c r="C801">
        <f>MINUTE(Table146[[#This Row],[Corrected time]])</f>
        <v>51</v>
      </c>
      <c r="D801" s="1">
        <v>0.49411672453703703</v>
      </c>
      <c r="E801" s="1">
        <f>Table146[[#This Row],[Time]]-TIME(0,0,1)</f>
        <v>0.49410515046296294</v>
      </c>
      <c r="F801" t="s">
        <v>9</v>
      </c>
      <c r="G801">
        <v>-122</v>
      </c>
      <c r="H801">
        <f>Table146[[#This Row],[RSSI]]</f>
        <v>-122</v>
      </c>
      <c r="I801">
        <v>-9</v>
      </c>
      <c r="L801">
        <f>390+2*(Table257[[#This Row],[min value (corrected)]]-27)</f>
        <v>418</v>
      </c>
      <c r="M801">
        <f>MINUTE(Table257[[#This Row],[Corrected time]])</f>
        <v>41</v>
      </c>
      <c r="N801" s="1">
        <v>0.5287486574074074</v>
      </c>
      <c r="O801" s="1">
        <f>Table257[[#This Row],[Time]]-TIME(0,0,3)</f>
        <v>0.52871393518518517</v>
      </c>
      <c r="P801" t="s">
        <v>9</v>
      </c>
      <c r="Q801">
        <v>-122</v>
      </c>
      <c r="R801">
        <f>Table257[[#This Row],[RSSI]]</f>
        <v>-122</v>
      </c>
      <c r="S801">
        <v>-8.5</v>
      </c>
    </row>
    <row r="802" spans="2:19" x14ac:dyDescent="0.25">
      <c r="B802">
        <f>390+2*(Table146[[#This Row],[min value (corrected)]]-37)</f>
        <v>418</v>
      </c>
      <c r="C802">
        <f>MINUTE(Table146[[#This Row],[Corrected time]])</f>
        <v>51</v>
      </c>
      <c r="D802" s="1">
        <v>0.49412974537037035</v>
      </c>
      <c r="E802" s="1">
        <f>Table146[[#This Row],[Time]]-TIME(0,0,1)</f>
        <v>0.49411817129629626</v>
      </c>
      <c r="F802" t="s">
        <v>9</v>
      </c>
      <c r="G802">
        <v>-123</v>
      </c>
      <c r="H802">
        <f>Table146[[#This Row],[RSSI]]</f>
        <v>-123</v>
      </c>
      <c r="I802">
        <v>-9.3000000000000007</v>
      </c>
      <c r="L802">
        <f>390+2*(Table257[[#This Row],[min value (corrected)]]-27)</f>
        <v>418</v>
      </c>
      <c r="M802">
        <f>MINUTE(Table257[[#This Row],[Corrected time]])</f>
        <v>41</v>
      </c>
      <c r="N802" s="1">
        <v>0.52876168981481486</v>
      </c>
      <c r="O802" s="1">
        <f>Table257[[#This Row],[Time]]-TIME(0,0,3)</f>
        <v>0.52872696759259263</v>
      </c>
      <c r="P802" t="s">
        <v>13</v>
      </c>
      <c r="Q802">
        <f t="shared" ref="Q802:Q803" si="75">Q801</f>
        <v>-122</v>
      </c>
      <c r="R802">
        <f>Table257[[#This Row],[RSSI]]</f>
        <v>-122</v>
      </c>
      <c r="S802">
        <f t="shared" ref="S802:S803" si="76">S801</f>
        <v>-8.5</v>
      </c>
    </row>
    <row r="803" spans="2:19" x14ac:dyDescent="0.25">
      <c r="B803">
        <f>390+2*(Table146[[#This Row],[min value (corrected)]]-37)</f>
        <v>418</v>
      </c>
      <c r="C803">
        <f>MINUTE(Table146[[#This Row],[Corrected time]])</f>
        <v>51</v>
      </c>
      <c r="D803" s="1">
        <v>0.49414278935185185</v>
      </c>
      <c r="E803" s="1">
        <f>Table146[[#This Row],[Time]]-TIME(0,0,1)</f>
        <v>0.49413121527777776</v>
      </c>
      <c r="F803" t="s">
        <v>9</v>
      </c>
      <c r="G803">
        <v>-123</v>
      </c>
      <c r="H803">
        <f>Table146[[#This Row],[RSSI]]</f>
        <v>-123</v>
      </c>
      <c r="I803">
        <v>-9.3000000000000007</v>
      </c>
      <c r="L803">
        <f>390+2*(Table257[[#This Row],[min value (corrected)]]-27)</f>
        <v>418</v>
      </c>
      <c r="M803">
        <f>MINUTE(Table257[[#This Row],[Corrected time]])</f>
        <v>41</v>
      </c>
      <c r="N803" s="1">
        <v>0.52877472222222222</v>
      </c>
      <c r="O803" s="1">
        <f>Table257[[#This Row],[Time]]-TIME(0,0,3)</f>
        <v>0.52873999999999999</v>
      </c>
      <c r="P803" t="s">
        <v>13</v>
      </c>
      <c r="Q803">
        <f t="shared" si="75"/>
        <v>-122</v>
      </c>
      <c r="R803">
        <f>Table257[[#This Row],[RSSI]]</f>
        <v>-122</v>
      </c>
      <c r="S803">
        <f t="shared" si="76"/>
        <v>-8.5</v>
      </c>
    </row>
    <row r="804" spans="2:19" x14ac:dyDescent="0.25">
      <c r="B804">
        <f>390+2*(Table146[[#This Row],[min value (corrected)]]-37)</f>
        <v>418</v>
      </c>
      <c r="C804">
        <f>MINUTE(Table146[[#This Row],[Corrected time]])</f>
        <v>51</v>
      </c>
      <c r="D804" s="1">
        <v>0.49415582175925926</v>
      </c>
      <c r="E804" s="1">
        <f>Table146[[#This Row],[Time]]-TIME(0,0,1)</f>
        <v>0.49414424768518517</v>
      </c>
      <c r="F804" t="s">
        <v>9</v>
      </c>
      <c r="G804">
        <v>-122</v>
      </c>
      <c r="H804">
        <f>Table146[[#This Row],[RSSI]]</f>
        <v>-122</v>
      </c>
      <c r="I804">
        <v>-8.8000000000000007</v>
      </c>
      <c r="L804">
        <f>390+2*(Table257[[#This Row],[min value (corrected)]]-27)</f>
        <v>418</v>
      </c>
      <c r="M804">
        <f>MINUTE(Table257[[#This Row],[Corrected time]])</f>
        <v>41</v>
      </c>
      <c r="N804" s="1">
        <v>0.52878775462962968</v>
      </c>
      <c r="O804" s="1">
        <f>Table257[[#This Row],[Time]]-TIME(0,0,3)</f>
        <v>0.52875303240740745</v>
      </c>
      <c r="P804" t="s">
        <v>9</v>
      </c>
      <c r="Q804">
        <v>-122</v>
      </c>
      <c r="R804">
        <f>Table257[[#This Row],[RSSI]]</f>
        <v>-122</v>
      </c>
      <c r="S804">
        <v>-8.5</v>
      </c>
    </row>
    <row r="805" spans="2:19" x14ac:dyDescent="0.25">
      <c r="B805">
        <f>390+2*(Table146[[#This Row],[min value (corrected)]]-37)</f>
        <v>418</v>
      </c>
      <c r="C805">
        <f>MINUTE(Table146[[#This Row],[Corrected time]])</f>
        <v>51</v>
      </c>
      <c r="D805" s="1">
        <v>0.49416885416666667</v>
      </c>
      <c r="E805" s="1">
        <f>Table146[[#This Row],[Time]]-TIME(0,0,1)</f>
        <v>0.49415728009259258</v>
      </c>
      <c r="F805" t="s">
        <v>9</v>
      </c>
      <c r="G805">
        <v>-122</v>
      </c>
      <c r="H805">
        <f>Table146[[#This Row],[RSSI]]</f>
        <v>-122</v>
      </c>
      <c r="I805">
        <v>-8.8000000000000007</v>
      </c>
      <c r="L805">
        <f>390+2*(Table257[[#This Row],[min value (corrected)]]-27)</f>
        <v>418</v>
      </c>
      <c r="M805">
        <f>MINUTE(Table257[[#This Row],[Corrected time]])</f>
        <v>41</v>
      </c>
      <c r="N805" s="1">
        <v>0.52880078703703703</v>
      </c>
      <c r="O805" s="1">
        <f>Table257[[#This Row],[Time]]-TIME(0,0,3)</f>
        <v>0.52876606481481481</v>
      </c>
      <c r="P805" t="s">
        <v>9</v>
      </c>
      <c r="Q805">
        <v>-122</v>
      </c>
      <c r="R805">
        <f>Table257[[#This Row],[RSSI]]</f>
        <v>-122</v>
      </c>
      <c r="S805">
        <v>-8.8000000000000007</v>
      </c>
    </row>
    <row r="806" spans="2:19" x14ac:dyDescent="0.25">
      <c r="B806">
        <f>390+2*(Table146[[#This Row],[min value (corrected)]]-37)</f>
        <v>418</v>
      </c>
      <c r="C806">
        <f>MINUTE(Table146[[#This Row],[Corrected time]])</f>
        <v>51</v>
      </c>
      <c r="D806" s="1">
        <v>0.49418188657407408</v>
      </c>
      <c r="E806" s="1">
        <f>Table146[[#This Row],[Time]]-TIME(0,0,1)</f>
        <v>0.49417031249999999</v>
      </c>
      <c r="F806" t="s">
        <v>9</v>
      </c>
      <c r="G806">
        <v>-122</v>
      </c>
      <c r="H806">
        <f>Table146[[#This Row],[RSSI]]</f>
        <v>-122</v>
      </c>
      <c r="I806">
        <v>-8.5</v>
      </c>
      <c r="L806">
        <f>390+2*(Table257[[#This Row],[min value (corrected)]]-27)</f>
        <v>418</v>
      </c>
      <c r="M806">
        <f>MINUTE(Table257[[#This Row],[Corrected time]])</f>
        <v>41</v>
      </c>
      <c r="N806" s="1">
        <v>0.5288138194444445</v>
      </c>
      <c r="O806" s="1">
        <f>Table257[[#This Row],[Time]]-TIME(0,0,3)</f>
        <v>0.52877909722222227</v>
      </c>
      <c r="P806" t="s">
        <v>9</v>
      </c>
      <c r="Q806">
        <v>-121</v>
      </c>
      <c r="R806">
        <f>Table257[[#This Row],[RSSI]]</f>
        <v>-121</v>
      </c>
      <c r="S806">
        <v>-8.3000000000000007</v>
      </c>
    </row>
    <row r="807" spans="2:19" x14ac:dyDescent="0.25">
      <c r="B807">
        <f>390+2*(Table146[[#This Row],[min value (corrected)]]-37)</f>
        <v>418</v>
      </c>
      <c r="C807">
        <f>MINUTE(Table146[[#This Row],[Corrected time]])</f>
        <v>51</v>
      </c>
      <c r="D807" s="1">
        <v>0.49419491898148149</v>
      </c>
      <c r="E807" s="1">
        <f>Table146[[#This Row],[Time]]-TIME(0,0,1)</f>
        <v>0.4941833449074074</v>
      </c>
      <c r="F807" t="s">
        <v>9</v>
      </c>
      <c r="G807">
        <v>-123</v>
      </c>
      <c r="H807">
        <f>Table146[[#This Row],[RSSI]]</f>
        <v>-123</v>
      </c>
      <c r="I807">
        <v>-9</v>
      </c>
      <c r="L807">
        <f>390+2*(Table257[[#This Row],[min value (corrected)]]-27)</f>
        <v>418</v>
      </c>
      <c r="M807">
        <f>MINUTE(Table257[[#This Row],[Corrected time]])</f>
        <v>41</v>
      </c>
      <c r="N807" s="1">
        <v>0.52882685185185185</v>
      </c>
      <c r="O807" s="1">
        <f>Table257[[#This Row],[Time]]-TIME(0,0,3)</f>
        <v>0.52879212962962963</v>
      </c>
      <c r="P807" t="s">
        <v>9</v>
      </c>
      <c r="Q807">
        <v>-122</v>
      </c>
      <c r="R807">
        <f>Table257[[#This Row],[RSSI]]</f>
        <v>-122</v>
      </c>
      <c r="S807">
        <v>-8.8000000000000007</v>
      </c>
    </row>
    <row r="808" spans="2:19" x14ac:dyDescent="0.25">
      <c r="B808">
        <f>390+2*(Table146[[#This Row],[min value (corrected)]]-37)</f>
        <v>418</v>
      </c>
      <c r="C808">
        <f>MINUTE(Table146[[#This Row],[Corrected time]])</f>
        <v>51</v>
      </c>
      <c r="D808" s="1">
        <v>0.4942079513888889</v>
      </c>
      <c r="E808" s="1">
        <f>Table146[[#This Row],[Time]]-TIME(0,0,1)</f>
        <v>0.49419637731481481</v>
      </c>
      <c r="F808" t="s">
        <v>9</v>
      </c>
      <c r="G808">
        <v>-122</v>
      </c>
      <c r="H808">
        <f>Table146[[#This Row],[RSSI]]</f>
        <v>-122</v>
      </c>
      <c r="I808">
        <v>-8</v>
      </c>
      <c r="L808">
        <f>390+2*(Table257[[#This Row],[min value (corrected)]]-27)</f>
        <v>418</v>
      </c>
      <c r="M808">
        <f>MINUTE(Table257[[#This Row],[Corrected time]])</f>
        <v>41</v>
      </c>
      <c r="N808" s="1">
        <v>0.52883988425925932</v>
      </c>
      <c r="O808" s="1">
        <f>Table257[[#This Row],[Time]]-TIME(0,0,3)</f>
        <v>0.52880516203703709</v>
      </c>
      <c r="P808" t="s">
        <v>9</v>
      </c>
      <c r="Q808">
        <v>-122</v>
      </c>
      <c r="R808">
        <f>Table257[[#This Row],[RSSI]]</f>
        <v>-122</v>
      </c>
      <c r="S808">
        <v>-8.3000000000000007</v>
      </c>
    </row>
    <row r="809" spans="2:19" x14ac:dyDescent="0.25">
      <c r="B809">
        <f>390+2*(Table146[[#This Row],[min value (corrected)]]-37)</f>
        <v>418</v>
      </c>
      <c r="C809">
        <f>MINUTE(Table146[[#This Row],[Corrected time]])</f>
        <v>51</v>
      </c>
      <c r="D809" s="1">
        <v>0.49422098379629631</v>
      </c>
      <c r="E809" s="1">
        <f>Table146[[#This Row],[Time]]-TIME(0,0,1)</f>
        <v>0.49420940972222221</v>
      </c>
      <c r="F809" t="s">
        <v>9</v>
      </c>
      <c r="G809">
        <v>-123</v>
      </c>
      <c r="H809">
        <f>Table146[[#This Row],[RSSI]]</f>
        <v>-123</v>
      </c>
      <c r="I809">
        <v>-9</v>
      </c>
      <c r="L809">
        <f>390+2*(Table257[[#This Row],[min value (corrected)]]-27)</f>
        <v>418</v>
      </c>
      <c r="M809">
        <f>MINUTE(Table257[[#This Row],[Corrected time]])</f>
        <v>41</v>
      </c>
      <c r="N809" s="1">
        <v>0.52885291666666667</v>
      </c>
      <c r="O809" s="1">
        <f>Table257[[#This Row],[Time]]-TIME(0,0,3)</f>
        <v>0.52881819444444444</v>
      </c>
      <c r="P809" t="s">
        <v>9</v>
      </c>
      <c r="Q809">
        <v>-122</v>
      </c>
      <c r="R809">
        <f>Table257[[#This Row],[RSSI]]</f>
        <v>-122</v>
      </c>
      <c r="S809">
        <v>-8.8000000000000007</v>
      </c>
    </row>
    <row r="810" spans="2:19" x14ac:dyDescent="0.25">
      <c r="B810">
        <f>390+2*(Table146[[#This Row],[min value (corrected)]]-37)</f>
        <v>418</v>
      </c>
      <c r="C810">
        <f>MINUTE(Table146[[#This Row],[Corrected time]])</f>
        <v>51</v>
      </c>
      <c r="D810" s="1">
        <v>0.49423401620370372</v>
      </c>
      <c r="E810" s="1">
        <f>Table146[[#This Row],[Time]]-TIME(0,0,1)</f>
        <v>0.49422244212962962</v>
      </c>
      <c r="F810" t="s">
        <v>9</v>
      </c>
      <c r="G810">
        <v>-122</v>
      </c>
      <c r="H810">
        <f>Table146[[#This Row],[RSSI]]</f>
        <v>-122</v>
      </c>
      <c r="I810">
        <v>-8.5</v>
      </c>
      <c r="L810">
        <f>390+2*(Table257[[#This Row],[min value (corrected)]]-27)</f>
        <v>418</v>
      </c>
      <c r="M810">
        <f>MINUTE(Table257[[#This Row],[Corrected time]])</f>
        <v>41</v>
      </c>
      <c r="N810" s="1">
        <v>0.52886594907407403</v>
      </c>
      <c r="O810" s="1">
        <f>Table257[[#This Row],[Time]]-TIME(0,0,3)</f>
        <v>0.5288312268518518</v>
      </c>
      <c r="P810" t="s">
        <v>9</v>
      </c>
      <c r="Q810">
        <v>-122</v>
      </c>
      <c r="R810">
        <f>Table257[[#This Row],[RSSI]]</f>
        <v>-122</v>
      </c>
      <c r="S810">
        <v>-8.8000000000000007</v>
      </c>
    </row>
    <row r="811" spans="2:19" x14ac:dyDescent="0.25">
      <c r="B811">
        <f>390+2*(Table146[[#This Row],[min value (corrected)]]-37)</f>
        <v>418</v>
      </c>
      <c r="C811">
        <f>MINUTE(Table146[[#This Row],[Corrected time]])</f>
        <v>51</v>
      </c>
      <c r="D811" s="1">
        <v>0.49424704861111113</v>
      </c>
      <c r="E811" s="1">
        <f>Table146[[#This Row],[Time]]-TIME(0,0,1)</f>
        <v>0.49423547453703703</v>
      </c>
      <c r="F811" t="s">
        <v>9</v>
      </c>
      <c r="G811">
        <v>-123</v>
      </c>
      <c r="H811">
        <f>Table146[[#This Row],[RSSI]]</f>
        <v>-123</v>
      </c>
      <c r="I811">
        <v>-9.3000000000000007</v>
      </c>
      <c r="L811">
        <f>390+2*(Table257[[#This Row],[min value (corrected)]]-27)</f>
        <v>418</v>
      </c>
      <c r="M811">
        <f>MINUTE(Table257[[#This Row],[Corrected time]])</f>
        <v>41</v>
      </c>
      <c r="N811" s="1">
        <v>0.52887898148148149</v>
      </c>
      <c r="O811" s="1">
        <f>Table257[[#This Row],[Time]]-TIME(0,0,3)</f>
        <v>0.52884425925925926</v>
      </c>
      <c r="P811" t="s">
        <v>13</v>
      </c>
      <c r="Q811">
        <f>Q810</f>
        <v>-122</v>
      </c>
      <c r="R811">
        <f>Table257[[#This Row],[RSSI]]</f>
        <v>-122</v>
      </c>
      <c r="S811">
        <f>S810</f>
        <v>-8.8000000000000007</v>
      </c>
    </row>
    <row r="812" spans="2:19" x14ac:dyDescent="0.25">
      <c r="B812">
        <f>390+2*(Table146[[#This Row],[min value (corrected)]]-37)</f>
        <v>418</v>
      </c>
      <c r="C812">
        <f>MINUTE(Table146[[#This Row],[Corrected time]])</f>
        <v>51</v>
      </c>
      <c r="D812" s="1">
        <v>0.49426008101851854</v>
      </c>
      <c r="E812" s="1">
        <f>Table146[[#This Row],[Time]]-TIME(0,0,1)</f>
        <v>0.49424850694444444</v>
      </c>
      <c r="F812" t="s">
        <v>9</v>
      </c>
      <c r="G812">
        <v>-123</v>
      </c>
      <c r="H812">
        <f>Table146[[#This Row],[RSSI]]</f>
        <v>-123</v>
      </c>
      <c r="I812">
        <v>-9</v>
      </c>
      <c r="L812">
        <f>390+2*(Table257[[#This Row],[min value (corrected)]]-27)</f>
        <v>418</v>
      </c>
      <c r="M812">
        <f>MINUTE(Table257[[#This Row],[Corrected time]])</f>
        <v>41</v>
      </c>
      <c r="N812" s="1">
        <v>0.52889200231481481</v>
      </c>
      <c r="O812" s="1">
        <f>Table257[[#This Row],[Time]]-TIME(0,0,3)</f>
        <v>0.52885728009259259</v>
      </c>
      <c r="P812" t="s">
        <v>9</v>
      </c>
      <c r="Q812">
        <v>-122</v>
      </c>
      <c r="R812">
        <f>Table257[[#This Row],[RSSI]]</f>
        <v>-122</v>
      </c>
      <c r="S812">
        <v>-9</v>
      </c>
    </row>
    <row r="813" spans="2:19" x14ac:dyDescent="0.25">
      <c r="B813">
        <f>390+2*(Table146[[#This Row],[min value (corrected)]]-37)</f>
        <v>418</v>
      </c>
      <c r="C813">
        <f>MINUTE(Table146[[#This Row],[Corrected time]])</f>
        <v>51</v>
      </c>
      <c r="D813" s="1">
        <v>0.49427310185185191</v>
      </c>
      <c r="E813" s="1">
        <f>Table146[[#This Row],[Time]]-TIME(0,0,1)</f>
        <v>0.49426152777777782</v>
      </c>
      <c r="F813" t="s">
        <v>13</v>
      </c>
      <c r="G813">
        <f>G812</f>
        <v>-123</v>
      </c>
      <c r="H813">
        <f>Table146[[#This Row],[RSSI]]</f>
        <v>-123</v>
      </c>
      <c r="I813">
        <f>I812</f>
        <v>-9</v>
      </c>
      <c r="L813">
        <f>390+2*(Table257[[#This Row],[min value (corrected)]]-27)</f>
        <v>418</v>
      </c>
      <c r="M813">
        <f>MINUTE(Table257[[#This Row],[Corrected time]])</f>
        <v>41</v>
      </c>
      <c r="N813" s="1">
        <v>0.52890504629629631</v>
      </c>
      <c r="O813" s="1">
        <f>Table257[[#This Row],[Time]]-TIME(0,0,3)</f>
        <v>0.52887032407407408</v>
      </c>
      <c r="P813" t="s">
        <v>9</v>
      </c>
      <c r="Q813">
        <v>-122</v>
      </c>
      <c r="R813">
        <f>Table257[[#This Row],[RSSI]]</f>
        <v>-122</v>
      </c>
      <c r="S813">
        <v>-8.5</v>
      </c>
    </row>
    <row r="814" spans="2:19" x14ac:dyDescent="0.25">
      <c r="B814">
        <f>390+2*(Table146[[#This Row],[min value (corrected)]]-37)</f>
        <v>418</v>
      </c>
      <c r="C814">
        <f>MINUTE(Table146[[#This Row],[Corrected time]])</f>
        <v>51</v>
      </c>
      <c r="D814" s="1">
        <v>0.4942861458333333</v>
      </c>
      <c r="E814" s="1">
        <f>Table146[[#This Row],[Time]]-TIME(0,0,1)</f>
        <v>0.49427457175925921</v>
      </c>
      <c r="F814" t="s">
        <v>9</v>
      </c>
      <c r="G814">
        <v>-122</v>
      </c>
      <c r="H814">
        <f>Table146[[#This Row],[RSSI]]</f>
        <v>-122</v>
      </c>
      <c r="I814">
        <v>-8</v>
      </c>
      <c r="L814">
        <f>390+2*(Table257[[#This Row],[min value (corrected)]]-27)</f>
        <v>418</v>
      </c>
      <c r="M814">
        <f>MINUTE(Table257[[#This Row],[Corrected time]])</f>
        <v>41</v>
      </c>
      <c r="N814" s="1">
        <v>0.52891807870370366</v>
      </c>
      <c r="O814" s="1">
        <f>Table257[[#This Row],[Time]]-TIME(0,0,3)</f>
        <v>0.52888335648148144</v>
      </c>
      <c r="P814" t="s">
        <v>9</v>
      </c>
      <c r="Q814">
        <v>-122</v>
      </c>
      <c r="R814">
        <f>Table257[[#This Row],[RSSI]]</f>
        <v>-122</v>
      </c>
      <c r="S814">
        <v>-8</v>
      </c>
    </row>
    <row r="815" spans="2:19" x14ac:dyDescent="0.25">
      <c r="B815">
        <f>390+2*(Table146[[#This Row],[min value (corrected)]]-37)</f>
        <v>418</v>
      </c>
      <c r="C815">
        <f>MINUTE(Table146[[#This Row],[Corrected time]])</f>
        <v>51</v>
      </c>
      <c r="D815" s="1">
        <v>0.49429917824074077</v>
      </c>
      <c r="E815" s="1">
        <f>Table146[[#This Row],[Time]]-TIME(0,0,1)</f>
        <v>0.49428760416666667</v>
      </c>
      <c r="F815" t="s">
        <v>9</v>
      </c>
      <c r="G815">
        <v>-123</v>
      </c>
      <c r="H815">
        <f>Table146[[#This Row],[RSSI]]</f>
        <v>-123</v>
      </c>
      <c r="I815">
        <v>-9</v>
      </c>
      <c r="L815">
        <f>390+2*(Table257[[#This Row],[min value (corrected)]]-27)</f>
        <v>418</v>
      </c>
      <c r="M815">
        <f>MINUTE(Table257[[#This Row],[Corrected time]])</f>
        <v>41</v>
      </c>
      <c r="N815" s="1">
        <v>0.52893111111111113</v>
      </c>
      <c r="O815" s="1">
        <f>Table257[[#This Row],[Time]]-TIME(0,0,3)</f>
        <v>0.5288963888888889</v>
      </c>
      <c r="P815" t="s">
        <v>9</v>
      </c>
      <c r="Q815">
        <v>-121</v>
      </c>
      <c r="R815">
        <f>Table257[[#This Row],[RSSI]]</f>
        <v>-121</v>
      </c>
      <c r="S815">
        <v>-7.7</v>
      </c>
    </row>
    <row r="816" spans="2:19" x14ac:dyDescent="0.25">
      <c r="B816">
        <f>390+2*(Table146[[#This Row],[min value (corrected)]]-37)</f>
        <v>418</v>
      </c>
      <c r="C816">
        <f>MINUTE(Table146[[#This Row],[Corrected time]])</f>
        <v>51</v>
      </c>
      <c r="D816" s="1">
        <v>0.49431218749999994</v>
      </c>
      <c r="E816" s="1">
        <f>Table146[[#This Row],[Time]]-TIME(0,0,1)</f>
        <v>0.49430061342592585</v>
      </c>
      <c r="F816" t="s">
        <v>9</v>
      </c>
      <c r="G816">
        <v>-122</v>
      </c>
      <c r="H816">
        <f>Table146[[#This Row],[RSSI]]</f>
        <v>-122</v>
      </c>
      <c r="I816">
        <v>-8.5</v>
      </c>
      <c r="L816">
        <f>390+2*(Table257[[#This Row],[min value (corrected)]]-27)</f>
        <v>418</v>
      </c>
      <c r="M816">
        <f>MINUTE(Table257[[#This Row],[Corrected time]])</f>
        <v>41</v>
      </c>
      <c r="N816" s="1">
        <v>0.52894414351851848</v>
      </c>
      <c r="O816" s="1">
        <f>Table257[[#This Row],[Time]]-TIME(0,0,3)</f>
        <v>0.52890942129629626</v>
      </c>
      <c r="P816" t="s">
        <v>9</v>
      </c>
      <c r="Q816">
        <v>-122</v>
      </c>
      <c r="R816">
        <f>Table257[[#This Row],[RSSI]]</f>
        <v>-122</v>
      </c>
      <c r="S816">
        <v>-7.7</v>
      </c>
    </row>
    <row r="817" spans="2:19" x14ac:dyDescent="0.25">
      <c r="B817">
        <f>390+2*(Table146[[#This Row],[min value (corrected)]]-37)</f>
        <v>418</v>
      </c>
      <c r="C817">
        <f>MINUTE(Table146[[#This Row],[Corrected time]])</f>
        <v>51</v>
      </c>
      <c r="D817" s="1">
        <v>0.49432524305555559</v>
      </c>
      <c r="E817" s="1">
        <f>Table146[[#This Row],[Time]]-TIME(0,0,1)</f>
        <v>0.49431366898148149</v>
      </c>
      <c r="F817" t="s">
        <v>9</v>
      </c>
      <c r="G817">
        <v>-122</v>
      </c>
      <c r="H817">
        <f>Table146[[#This Row],[RSSI]]</f>
        <v>-122</v>
      </c>
      <c r="I817">
        <v>-9</v>
      </c>
      <c r="L817">
        <f>390+2*(Table257[[#This Row],[min value (corrected)]]-27)</f>
        <v>418</v>
      </c>
      <c r="M817">
        <f>MINUTE(Table257[[#This Row],[Corrected time]])</f>
        <v>41</v>
      </c>
      <c r="N817" s="1">
        <v>0.52895717592592595</v>
      </c>
      <c r="O817" s="1">
        <f>Table257[[#This Row],[Time]]-TIME(0,0,3)</f>
        <v>0.52892245370370372</v>
      </c>
      <c r="P817" t="s">
        <v>9</v>
      </c>
      <c r="Q817">
        <v>-122</v>
      </c>
      <c r="R817">
        <f>Table257[[#This Row],[RSSI]]</f>
        <v>-122</v>
      </c>
      <c r="S817">
        <v>-8.3000000000000007</v>
      </c>
    </row>
    <row r="818" spans="2:19" x14ac:dyDescent="0.25">
      <c r="B818">
        <f>390+2*(Table146[[#This Row],[min value (corrected)]]-37)</f>
        <v>418</v>
      </c>
      <c r="C818">
        <f>MINUTE(Table146[[#This Row],[Corrected time]])</f>
        <v>51</v>
      </c>
      <c r="D818" s="1">
        <v>0.49433827546296294</v>
      </c>
      <c r="E818" s="1">
        <f>Table146[[#This Row],[Time]]-TIME(0,0,1)</f>
        <v>0.49432670138888885</v>
      </c>
      <c r="F818" t="s">
        <v>9</v>
      </c>
      <c r="G818">
        <v>-122</v>
      </c>
      <c r="H818">
        <f>Table146[[#This Row],[RSSI]]</f>
        <v>-122</v>
      </c>
      <c r="I818">
        <v>-8.3000000000000007</v>
      </c>
      <c r="L818">
        <f>390+2*(Table257[[#This Row],[min value (corrected)]]-27)</f>
        <v>418</v>
      </c>
      <c r="M818">
        <f>MINUTE(Table257[[#This Row],[Corrected time]])</f>
        <v>41</v>
      </c>
      <c r="N818" s="1">
        <v>0.5289702083333333</v>
      </c>
      <c r="O818" s="1">
        <f>Table257[[#This Row],[Time]]-TIME(0,0,3)</f>
        <v>0.52893548611111108</v>
      </c>
      <c r="P818" t="s">
        <v>9</v>
      </c>
      <c r="Q818">
        <v>-122</v>
      </c>
      <c r="R818">
        <f>Table257[[#This Row],[RSSI]]</f>
        <v>-122</v>
      </c>
      <c r="S818">
        <v>-8.8000000000000007</v>
      </c>
    </row>
    <row r="819" spans="2:19" x14ac:dyDescent="0.25">
      <c r="B819">
        <f>390+2*(Table146[[#This Row],[min value (corrected)]]-37)</f>
        <v>418</v>
      </c>
      <c r="C819">
        <f>MINUTE(Table146[[#This Row],[Corrected time]])</f>
        <v>51</v>
      </c>
      <c r="D819" s="1">
        <v>0.49435129629629626</v>
      </c>
      <c r="E819" s="1">
        <f>Table146[[#This Row],[Time]]-TIME(0,0,1)</f>
        <v>0.49433972222222217</v>
      </c>
      <c r="F819" t="s">
        <v>9</v>
      </c>
      <c r="G819">
        <v>-123</v>
      </c>
      <c r="H819">
        <f>Table146[[#This Row],[RSSI]]</f>
        <v>-123</v>
      </c>
      <c r="I819">
        <v>-8.8000000000000007</v>
      </c>
      <c r="L819">
        <f>390+2*(Table257[[#This Row],[min value (corrected)]]-27)</f>
        <v>418</v>
      </c>
      <c r="M819">
        <f>MINUTE(Table257[[#This Row],[Corrected time]])</f>
        <v>41</v>
      </c>
      <c r="N819" s="1">
        <v>0.52898324074074077</v>
      </c>
      <c r="O819" s="1">
        <f>Table257[[#This Row],[Time]]-TIME(0,0,3)</f>
        <v>0.52894851851851854</v>
      </c>
      <c r="P819" t="s">
        <v>9</v>
      </c>
      <c r="Q819">
        <v>-123</v>
      </c>
      <c r="R819">
        <f>Table257[[#This Row],[RSSI]]</f>
        <v>-123</v>
      </c>
      <c r="S819">
        <v>-9</v>
      </c>
    </row>
    <row r="820" spans="2:19" x14ac:dyDescent="0.25">
      <c r="B820">
        <f>390+2*(Table146[[#This Row],[min value (corrected)]]-37)</f>
        <v>418</v>
      </c>
      <c r="C820">
        <f>MINUTE(Table146[[#This Row],[Corrected time]])</f>
        <v>51</v>
      </c>
      <c r="D820" s="1">
        <v>0.49436432870370373</v>
      </c>
      <c r="E820" s="1">
        <f>Table146[[#This Row],[Time]]-TIME(0,0,1)</f>
        <v>0.49435275462962963</v>
      </c>
      <c r="F820" t="s">
        <v>9</v>
      </c>
      <c r="G820">
        <v>-122</v>
      </c>
      <c r="H820">
        <f>Table146[[#This Row],[RSSI]]</f>
        <v>-122</v>
      </c>
      <c r="I820">
        <v>-8.5</v>
      </c>
      <c r="L820">
        <f>390+2*(Table257[[#This Row],[min value (corrected)]]-27)</f>
        <v>418</v>
      </c>
      <c r="M820">
        <f>MINUTE(Table257[[#This Row],[Corrected time]])</f>
        <v>41</v>
      </c>
      <c r="N820" s="1">
        <v>0.52899627314814812</v>
      </c>
      <c r="O820" s="1">
        <f>Table257[[#This Row],[Time]]-TIME(0,0,3)</f>
        <v>0.52896155092592589</v>
      </c>
      <c r="P820" t="s">
        <v>9</v>
      </c>
      <c r="Q820">
        <v>-122</v>
      </c>
      <c r="R820">
        <f>Table257[[#This Row],[RSSI]]</f>
        <v>-122</v>
      </c>
      <c r="S820">
        <v>-8.3000000000000007</v>
      </c>
    </row>
    <row r="821" spans="2:19" x14ac:dyDescent="0.25">
      <c r="B821">
        <f>390+2*(Table146[[#This Row],[min value (corrected)]]-37)</f>
        <v>418</v>
      </c>
      <c r="C821">
        <f>MINUTE(Table146[[#This Row],[Corrected time]])</f>
        <v>51</v>
      </c>
      <c r="D821" s="1">
        <v>0.49437737268518522</v>
      </c>
      <c r="E821" s="1">
        <f>Table146[[#This Row],[Time]]-TIME(0,0,1)</f>
        <v>0.49436579861111113</v>
      </c>
      <c r="F821" t="s">
        <v>13</v>
      </c>
      <c r="G821">
        <f>G820</f>
        <v>-122</v>
      </c>
      <c r="H821">
        <f>Table146[[#This Row],[RSSI]]</f>
        <v>-122</v>
      </c>
      <c r="I821">
        <f>I820</f>
        <v>-8.5</v>
      </c>
      <c r="L821">
        <f>390+2*(Table257[[#This Row],[min value (corrected)]]-27)</f>
        <v>418</v>
      </c>
      <c r="M821">
        <f>MINUTE(Table257[[#This Row],[Corrected time]])</f>
        <v>41</v>
      </c>
      <c r="N821" s="1">
        <v>0.52900930555555559</v>
      </c>
      <c r="O821" s="1">
        <f>Table257[[#This Row],[Time]]-TIME(0,0,3)</f>
        <v>0.52897458333333336</v>
      </c>
      <c r="P821" t="s">
        <v>9</v>
      </c>
      <c r="Q821">
        <v>-122</v>
      </c>
      <c r="R821">
        <f>Table257[[#This Row],[RSSI]]</f>
        <v>-122</v>
      </c>
      <c r="S821">
        <v>-9</v>
      </c>
    </row>
    <row r="822" spans="2:19" x14ac:dyDescent="0.25">
      <c r="B822">
        <f>390+2*(Table146[[#This Row],[min value (corrected)]]-37)</f>
        <v>418</v>
      </c>
      <c r="C822">
        <f>MINUTE(Table146[[#This Row],[Corrected time]])</f>
        <v>51</v>
      </c>
      <c r="D822" s="1">
        <v>0.49439040509259258</v>
      </c>
      <c r="E822" s="1">
        <f>Table146[[#This Row],[Time]]-TIME(0,0,1)</f>
        <v>0.49437883101851848</v>
      </c>
      <c r="F822" t="s">
        <v>9</v>
      </c>
      <c r="G822">
        <v>-122</v>
      </c>
      <c r="H822">
        <f>Table146[[#This Row],[RSSI]]</f>
        <v>-122</v>
      </c>
      <c r="I822">
        <v>-8.5</v>
      </c>
      <c r="L822">
        <f>390+2*(Table257[[#This Row],[min value (corrected)]]-27)</f>
        <v>418</v>
      </c>
      <c r="M822">
        <f>MINUTE(Table257[[#This Row],[Corrected time]])</f>
        <v>41</v>
      </c>
      <c r="N822" s="1">
        <v>0.52902233796296294</v>
      </c>
      <c r="O822" s="1">
        <f>Table257[[#This Row],[Time]]-TIME(0,0,3)</f>
        <v>0.52898761574074071</v>
      </c>
      <c r="P822" t="s">
        <v>9</v>
      </c>
      <c r="Q822">
        <v>-122</v>
      </c>
      <c r="R822">
        <f>Table257[[#This Row],[RSSI]]</f>
        <v>-122</v>
      </c>
      <c r="S822">
        <v>-9</v>
      </c>
    </row>
    <row r="823" spans="2:19" x14ac:dyDescent="0.25">
      <c r="B823">
        <f>390+2*(Table146[[#This Row],[min value (corrected)]]-37)</f>
        <v>418</v>
      </c>
      <c r="C823">
        <f>MINUTE(Table146[[#This Row],[Corrected time]])</f>
        <v>51</v>
      </c>
      <c r="D823" s="1">
        <v>0.4944034259259259</v>
      </c>
      <c r="E823" s="1">
        <f>Table146[[#This Row],[Time]]-TIME(0,0,1)</f>
        <v>0.4943918518518518</v>
      </c>
      <c r="F823" t="s">
        <v>13</v>
      </c>
      <c r="G823">
        <f>G822</f>
        <v>-122</v>
      </c>
      <c r="H823">
        <f>Table146[[#This Row],[RSSI]]</f>
        <v>-122</v>
      </c>
      <c r="I823">
        <f>I822</f>
        <v>-8.5</v>
      </c>
      <c r="L823">
        <f>390+2*(Table257[[#This Row],[min value (corrected)]]-27)</f>
        <v>418</v>
      </c>
      <c r="M823">
        <f>MINUTE(Table257[[#This Row],[Corrected time]])</f>
        <v>41</v>
      </c>
      <c r="N823" s="1">
        <v>0.52903537037037041</v>
      </c>
      <c r="O823" s="1">
        <f>Table257[[#This Row],[Time]]-TIME(0,0,3)</f>
        <v>0.52900064814814818</v>
      </c>
      <c r="P823" t="s">
        <v>9</v>
      </c>
      <c r="Q823">
        <v>-122</v>
      </c>
      <c r="R823">
        <f>Table257[[#This Row],[RSSI]]</f>
        <v>-122</v>
      </c>
      <c r="S823">
        <v>-7.7</v>
      </c>
    </row>
    <row r="824" spans="2:19" x14ac:dyDescent="0.25">
      <c r="B824">
        <f>390+2*(Table146[[#This Row],[min value (corrected)]]-37)</f>
        <v>418</v>
      </c>
      <c r="C824">
        <f>MINUTE(Table146[[#This Row],[Corrected time]])</f>
        <v>51</v>
      </c>
      <c r="D824" s="1">
        <v>0.4944164699074074</v>
      </c>
      <c r="E824" s="1">
        <f>Table146[[#This Row],[Time]]-TIME(0,0,1)</f>
        <v>0.4944048958333333</v>
      </c>
      <c r="F824" t="s">
        <v>9</v>
      </c>
      <c r="G824">
        <v>-122</v>
      </c>
      <c r="H824">
        <f>Table146[[#This Row],[RSSI]]</f>
        <v>-122</v>
      </c>
      <c r="I824">
        <v>-8.5</v>
      </c>
      <c r="L824">
        <f>390+2*(Table257[[#This Row],[min value (corrected)]]-27)</f>
        <v>418</v>
      </c>
      <c r="M824">
        <f>MINUTE(Table257[[#This Row],[Corrected time]])</f>
        <v>41</v>
      </c>
      <c r="N824" s="1">
        <v>0.52904840277777776</v>
      </c>
      <c r="O824" s="1">
        <f>Table257[[#This Row],[Time]]-TIME(0,0,3)</f>
        <v>0.52901368055555553</v>
      </c>
      <c r="P824" t="s">
        <v>9</v>
      </c>
      <c r="Q824">
        <v>-121</v>
      </c>
      <c r="R824">
        <f>Table257[[#This Row],[RSSI]]</f>
        <v>-121</v>
      </c>
      <c r="S824">
        <v>-8.3000000000000007</v>
      </c>
    </row>
    <row r="825" spans="2:19" x14ac:dyDescent="0.25">
      <c r="B825">
        <f>390+2*(Table146[[#This Row],[min value (corrected)]]-37)</f>
        <v>418</v>
      </c>
      <c r="C825">
        <f>MINUTE(Table146[[#This Row],[Corrected time]])</f>
        <v>51</v>
      </c>
      <c r="D825" s="1">
        <v>0.49442950231481486</v>
      </c>
      <c r="E825" s="1">
        <f>Table146[[#This Row],[Time]]-TIME(0,0,1)</f>
        <v>0.49441792824074077</v>
      </c>
      <c r="F825" t="s">
        <v>13</v>
      </c>
      <c r="G825">
        <f>G824</f>
        <v>-122</v>
      </c>
      <c r="H825">
        <f>Table146[[#This Row],[RSSI]]</f>
        <v>-122</v>
      </c>
      <c r="I825">
        <f>I824</f>
        <v>-8.5</v>
      </c>
      <c r="L825">
        <f>390+2*(Table257[[#This Row],[min value (corrected)]]-27)</f>
        <v>418</v>
      </c>
      <c r="M825">
        <f>MINUTE(Table257[[#This Row],[Corrected time]])</f>
        <v>41</v>
      </c>
      <c r="N825" s="1">
        <v>0.52906143518518522</v>
      </c>
      <c r="O825" s="1">
        <f>Table257[[#This Row],[Time]]-TIME(0,0,3)</f>
        <v>0.529026712962963</v>
      </c>
      <c r="P825" t="s">
        <v>13</v>
      </c>
      <c r="Q825">
        <f>Q824</f>
        <v>-121</v>
      </c>
      <c r="R825">
        <f>Table257[[#This Row],[RSSI]]</f>
        <v>-121</v>
      </c>
      <c r="S825">
        <f>S824</f>
        <v>-8.3000000000000007</v>
      </c>
    </row>
    <row r="826" spans="2:19" x14ac:dyDescent="0.25">
      <c r="B826">
        <f>390+2*(Table146[[#This Row],[min value (corrected)]]-37)</f>
        <v>418</v>
      </c>
      <c r="C826">
        <f>MINUTE(Table146[[#This Row],[Corrected time]])</f>
        <v>51</v>
      </c>
      <c r="D826" s="1">
        <v>0.49444252314814818</v>
      </c>
      <c r="E826" s="1">
        <f>Table146[[#This Row],[Time]]-TIME(0,0,1)</f>
        <v>0.49443094907407409</v>
      </c>
      <c r="F826" t="s">
        <v>9</v>
      </c>
      <c r="G826">
        <v>-122</v>
      </c>
      <c r="H826">
        <f>Table146[[#This Row],[RSSI]]</f>
        <v>-122</v>
      </c>
      <c r="I826">
        <v>-8.8000000000000007</v>
      </c>
      <c r="L826">
        <f>390+2*(Table257[[#This Row],[min value (corrected)]]-27)</f>
        <v>418</v>
      </c>
      <c r="M826">
        <f>MINUTE(Table257[[#This Row],[Corrected time]])</f>
        <v>41</v>
      </c>
      <c r="N826" s="1">
        <v>0.52907446759259258</v>
      </c>
      <c r="O826" s="1">
        <f>Table257[[#This Row],[Time]]-TIME(0,0,3)</f>
        <v>0.52903974537037035</v>
      </c>
      <c r="P826" t="s">
        <v>9</v>
      </c>
      <c r="Q826">
        <v>-122</v>
      </c>
      <c r="R826">
        <f>Table257[[#This Row],[RSSI]]</f>
        <v>-122</v>
      </c>
      <c r="S826">
        <v>-8.3000000000000007</v>
      </c>
    </row>
    <row r="827" spans="2:19" x14ac:dyDescent="0.25">
      <c r="B827">
        <f>390+2*(Table146[[#This Row],[min value (corrected)]]-37)</f>
        <v>420</v>
      </c>
      <c r="C827">
        <f>MINUTE(Table146[[#This Row],[Corrected time]])</f>
        <v>52</v>
      </c>
      <c r="D827" s="1">
        <v>0.49445556712962968</v>
      </c>
      <c r="E827" s="1">
        <f>Table146[[#This Row],[Time]]-TIME(0,0,1)</f>
        <v>0.49444399305555559</v>
      </c>
      <c r="F827" t="s">
        <v>9</v>
      </c>
      <c r="G827">
        <v>-122</v>
      </c>
      <c r="H827">
        <f>Table146[[#This Row],[RSSI]]</f>
        <v>-122</v>
      </c>
      <c r="I827">
        <v>-8.8000000000000007</v>
      </c>
      <c r="L827">
        <f>390+2*(Table257[[#This Row],[min value (corrected)]]-27)</f>
        <v>418</v>
      </c>
      <c r="M827">
        <f>MINUTE(Table257[[#This Row],[Corrected time]])</f>
        <v>41</v>
      </c>
      <c r="N827" s="1">
        <v>0.5290874884259259</v>
      </c>
      <c r="O827" s="1">
        <f>Table257[[#This Row],[Time]]-TIME(0,0,3)</f>
        <v>0.52905276620370367</v>
      </c>
      <c r="P827" t="s">
        <v>13</v>
      </c>
      <c r="Q827">
        <f>Q826</f>
        <v>-122</v>
      </c>
      <c r="R827">
        <f>Table257[[#This Row],[RSSI]]</f>
        <v>-122</v>
      </c>
      <c r="S827">
        <f>S826</f>
        <v>-8.3000000000000007</v>
      </c>
    </row>
    <row r="828" spans="2:19" x14ac:dyDescent="0.25">
      <c r="B828">
        <f>390+2*(Table146[[#This Row],[min value (corrected)]]-37)</f>
        <v>420</v>
      </c>
      <c r="C828">
        <f>MINUTE(Table146[[#This Row],[Corrected time]])</f>
        <v>52</v>
      </c>
      <c r="D828" s="1">
        <v>0.49446859953703703</v>
      </c>
      <c r="E828" s="1">
        <f>Table146[[#This Row],[Time]]-TIME(0,0,1)</f>
        <v>0.49445702546296294</v>
      </c>
      <c r="F828" t="s">
        <v>9</v>
      </c>
      <c r="G828">
        <v>-122</v>
      </c>
      <c r="H828">
        <f>Table146[[#This Row],[RSSI]]</f>
        <v>-122</v>
      </c>
      <c r="I828">
        <v>-8.8000000000000007</v>
      </c>
      <c r="L828">
        <f>390+2*(Table257[[#This Row],[min value (corrected)]]-27)</f>
        <v>418</v>
      </c>
      <c r="M828">
        <f>MINUTE(Table257[[#This Row],[Corrected time]])</f>
        <v>41</v>
      </c>
      <c r="N828" s="1">
        <v>0.5291005324074074</v>
      </c>
      <c r="O828" s="1">
        <f>Table257[[#This Row],[Time]]-TIME(0,0,3)</f>
        <v>0.52906581018518517</v>
      </c>
      <c r="P828" t="s">
        <v>9</v>
      </c>
      <c r="Q828">
        <v>-122</v>
      </c>
      <c r="R828">
        <f>Table257[[#This Row],[RSSI]]</f>
        <v>-122</v>
      </c>
      <c r="S828">
        <v>-8.5</v>
      </c>
    </row>
    <row r="829" spans="2:19" x14ac:dyDescent="0.25">
      <c r="B829">
        <f>390+2*(Table146[[#This Row],[min value (corrected)]]-37)</f>
        <v>420</v>
      </c>
      <c r="C829">
        <f>MINUTE(Table146[[#This Row],[Corrected time]])</f>
        <v>52</v>
      </c>
      <c r="D829" s="1">
        <v>0.4944816319444445</v>
      </c>
      <c r="E829" s="1">
        <f>Table146[[#This Row],[Time]]-TIME(0,0,1)</f>
        <v>0.49447005787037041</v>
      </c>
      <c r="F829" t="s">
        <v>13</v>
      </c>
      <c r="G829">
        <f>G828</f>
        <v>-122</v>
      </c>
      <c r="H829">
        <f>Table146[[#This Row],[RSSI]]</f>
        <v>-122</v>
      </c>
      <c r="I829">
        <f>I828</f>
        <v>-8.8000000000000007</v>
      </c>
      <c r="L829">
        <f>390+2*(Table257[[#This Row],[min value (corrected)]]-27)</f>
        <v>418</v>
      </c>
      <c r="M829">
        <f>MINUTE(Table257[[#This Row],[Corrected time]])</f>
        <v>41</v>
      </c>
      <c r="N829" s="1">
        <v>0.52911356481481475</v>
      </c>
      <c r="O829" s="1">
        <f>Table257[[#This Row],[Time]]-TIME(0,0,3)</f>
        <v>0.52907884259259252</v>
      </c>
      <c r="P829" t="s">
        <v>9</v>
      </c>
      <c r="Q829">
        <v>-122</v>
      </c>
      <c r="R829">
        <f>Table257[[#This Row],[RSSI]]</f>
        <v>-122</v>
      </c>
      <c r="S829">
        <v>-8.8000000000000007</v>
      </c>
    </row>
    <row r="830" spans="2:19" x14ac:dyDescent="0.25">
      <c r="B830">
        <f>390+2*(Table146[[#This Row],[min value (corrected)]]-37)</f>
        <v>420</v>
      </c>
      <c r="C830">
        <f>MINUTE(Table146[[#This Row],[Corrected time]])</f>
        <v>52</v>
      </c>
      <c r="D830" s="1">
        <v>0.49449466435185185</v>
      </c>
      <c r="E830" s="1">
        <f>Table146[[#This Row],[Time]]-TIME(0,0,1)</f>
        <v>0.49448309027777776</v>
      </c>
      <c r="F830" t="s">
        <v>9</v>
      </c>
      <c r="G830">
        <v>-123</v>
      </c>
      <c r="H830">
        <f>Table146[[#This Row],[RSSI]]</f>
        <v>-123</v>
      </c>
      <c r="I830">
        <v>-9</v>
      </c>
      <c r="L830">
        <f>390+2*(Table257[[#This Row],[min value (corrected)]]-27)</f>
        <v>418</v>
      </c>
      <c r="M830">
        <f>MINUTE(Table257[[#This Row],[Corrected time]])</f>
        <v>41</v>
      </c>
      <c r="N830" s="1">
        <v>0.52912659722222222</v>
      </c>
      <c r="O830" s="1">
        <f>Table257[[#This Row],[Time]]-TIME(0,0,3)</f>
        <v>0.52909187499999999</v>
      </c>
      <c r="P830" t="s">
        <v>9</v>
      </c>
      <c r="Q830">
        <v>-122</v>
      </c>
      <c r="R830">
        <f>Table257[[#This Row],[RSSI]]</f>
        <v>-122</v>
      </c>
      <c r="S830">
        <v>-8</v>
      </c>
    </row>
    <row r="831" spans="2:19" x14ac:dyDescent="0.25">
      <c r="B831">
        <f>390+2*(Table146[[#This Row],[min value (corrected)]]-37)</f>
        <v>420</v>
      </c>
      <c r="C831">
        <f>MINUTE(Table146[[#This Row],[Corrected time]])</f>
        <v>52</v>
      </c>
      <c r="D831" s="1">
        <v>0.49450769675925921</v>
      </c>
      <c r="E831" s="1">
        <f>Table146[[#This Row],[Time]]-TIME(0,0,1)</f>
        <v>0.49449612268518511</v>
      </c>
      <c r="F831" t="s">
        <v>13</v>
      </c>
      <c r="G831">
        <f t="shared" ref="G831:G833" si="77">G830</f>
        <v>-123</v>
      </c>
      <c r="H831">
        <f>Table146[[#This Row],[RSSI]]</f>
        <v>-123</v>
      </c>
      <c r="I831">
        <f t="shared" ref="I831:I833" si="78">I830</f>
        <v>-9</v>
      </c>
      <c r="L831">
        <f>390+2*(Table257[[#This Row],[min value (corrected)]]-27)</f>
        <v>418</v>
      </c>
      <c r="M831">
        <f>MINUTE(Table257[[#This Row],[Corrected time]])</f>
        <v>41</v>
      </c>
      <c r="N831" s="1">
        <v>0.52913962962962957</v>
      </c>
      <c r="O831" s="1">
        <f>Table257[[#This Row],[Time]]-TIME(0,0,3)</f>
        <v>0.52910490740740734</v>
      </c>
      <c r="P831" t="s">
        <v>13</v>
      </c>
      <c r="Q831">
        <f>Q830</f>
        <v>-122</v>
      </c>
      <c r="R831">
        <f>Table257[[#This Row],[RSSI]]</f>
        <v>-122</v>
      </c>
      <c r="S831">
        <f>S830</f>
        <v>-8</v>
      </c>
    </row>
    <row r="832" spans="2:19" x14ac:dyDescent="0.25">
      <c r="B832">
        <f>390+2*(Table146[[#This Row],[min value (corrected)]]-37)</f>
        <v>420</v>
      </c>
      <c r="C832">
        <f>MINUTE(Table146[[#This Row],[Corrected time]])</f>
        <v>52</v>
      </c>
      <c r="D832" s="1">
        <v>0.49452072916666667</v>
      </c>
      <c r="E832" s="1">
        <f>Table146[[#This Row],[Time]]-TIME(0,0,1)</f>
        <v>0.49450915509259258</v>
      </c>
      <c r="F832" t="s">
        <v>13</v>
      </c>
      <c r="G832">
        <f t="shared" si="77"/>
        <v>-123</v>
      </c>
      <c r="H832">
        <f>Table146[[#This Row],[RSSI]]</f>
        <v>-123</v>
      </c>
      <c r="I832">
        <f t="shared" si="78"/>
        <v>-9</v>
      </c>
      <c r="L832">
        <f>390+2*(Table257[[#This Row],[min value (corrected)]]-27)</f>
        <v>418</v>
      </c>
      <c r="M832">
        <f>MINUTE(Table257[[#This Row],[Corrected time]])</f>
        <v>41</v>
      </c>
      <c r="N832" s="1">
        <v>0.52915266203703704</v>
      </c>
      <c r="O832" s="1">
        <f>Table257[[#This Row],[Time]]-TIME(0,0,3)</f>
        <v>0.52911793981481481</v>
      </c>
      <c r="P832" t="s">
        <v>9</v>
      </c>
      <c r="Q832">
        <v>-122</v>
      </c>
      <c r="R832">
        <f>Table257[[#This Row],[RSSI]]</f>
        <v>-122</v>
      </c>
      <c r="S832">
        <v>-9</v>
      </c>
    </row>
    <row r="833" spans="2:19" x14ac:dyDescent="0.25">
      <c r="B833">
        <f>390+2*(Table146[[#This Row],[min value (corrected)]]-37)</f>
        <v>420</v>
      </c>
      <c r="C833">
        <f>MINUTE(Table146[[#This Row],[Corrected time]])</f>
        <v>52</v>
      </c>
      <c r="D833" s="1">
        <v>0.49453374999999999</v>
      </c>
      <c r="E833" s="1">
        <f>Table146[[#This Row],[Time]]-TIME(0,0,1)</f>
        <v>0.4945221759259259</v>
      </c>
      <c r="F833" t="s">
        <v>13</v>
      </c>
      <c r="G833">
        <f t="shared" si="77"/>
        <v>-123</v>
      </c>
      <c r="H833">
        <f>Table146[[#This Row],[RSSI]]</f>
        <v>-123</v>
      </c>
      <c r="I833">
        <f t="shared" si="78"/>
        <v>-9</v>
      </c>
      <c r="L833">
        <f>390+2*(Table257[[#This Row],[min value (corrected)]]-27)</f>
        <v>418</v>
      </c>
      <c r="M833">
        <f>MINUTE(Table257[[#This Row],[Corrected time]])</f>
        <v>41</v>
      </c>
      <c r="N833" s="1">
        <v>0.52916569444444439</v>
      </c>
      <c r="O833" s="1">
        <f>Table257[[#This Row],[Time]]-TIME(0,0,3)</f>
        <v>0.52913097222222216</v>
      </c>
      <c r="P833" t="s">
        <v>9</v>
      </c>
      <c r="Q833">
        <v>-123</v>
      </c>
      <c r="R833">
        <f>Table257[[#This Row],[RSSI]]</f>
        <v>-123</v>
      </c>
      <c r="S833">
        <v>-9.3000000000000007</v>
      </c>
    </row>
    <row r="834" spans="2:19" x14ac:dyDescent="0.25">
      <c r="B834">
        <f>390+2*(Table146[[#This Row],[min value (corrected)]]-37)</f>
        <v>420</v>
      </c>
      <c r="C834">
        <f>MINUTE(Table146[[#This Row],[Corrected time]])</f>
        <v>52</v>
      </c>
      <c r="D834" s="1">
        <v>0.49454679398148149</v>
      </c>
      <c r="E834" s="1">
        <f>Table146[[#This Row],[Time]]-TIME(0,0,1)</f>
        <v>0.4945352199074074</v>
      </c>
      <c r="F834" t="s">
        <v>9</v>
      </c>
      <c r="G834">
        <v>-123</v>
      </c>
      <c r="H834">
        <f>Table146[[#This Row],[RSSI]]</f>
        <v>-123</v>
      </c>
      <c r="I834">
        <v>-8.8000000000000007</v>
      </c>
      <c r="L834">
        <f>390+2*(Table257[[#This Row],[min value (corrected)]]-27)</f>
        <v>418</v>
      </c>
      <c r="M834">
        <f>MINUTE(Table257[[#This Row],[Corrected time]])</f>
        <v>41</v>
      </c>
      <c r="N834" s="1">
        <v>0.52917872685185185</v>
      </c>
      <c r="O834" s="1">
        <f>Table257[[#This Row],[Time]]-TIME(0,0,3)</f>
        <v>0.52914400462962963</v>
      </c>
      <c r="P834" t="s">
        <v>9</v>
      </c>
      <c r="Q834">
        <v>-122</v>
      </c>
      <c r="R834">
        <f>Table257[[#This Row],[RSSI]]</f>
        <v>-122</v>
      </c>
      <c r="S834">
        <v>-9</v>
      </c>
    </row>
    <row r="835" spans="2:19" x14ac:dyDescent="0.25">
      <c r="B835">
        <f>390+2*(Table146[[#This Row],[min value (corrected)]]-37)</f>
        <v>420</v>
      </c>
      <c r="C835">
        <f>MINUTE(Table146[[#This Row],[Corrected time]])</f>
        <v>52</v>
      </c>
      <c r="D835" s="1">
        <v>0.49455982638888885</v>
      </c>
      <c r="E835" s="1">
        <f>Table146[[#This Row],[Time]]-TIME(0,0,1)</f>
        <v>0.49454825231481475</v>
      </c>
      <c r="F835" t="s">
        <v>13</v>
      </c>
      <c r="G835">
        <f t="shared" ref="G835:G837" si="79">G834</f>
        <v>-123</v>
      </c>
      <c r="H835">
        <f>Table146[[#This Row],[RSSI]]</f>
        <v>-123</v>
      </c>
      <c r="I835">
        <f t="shared" ref="I835:I837" si="80">I834</f>
        <v>-8.8000000000000007</v>
      </c>
      <c r="L835">
        <f>390+2*(Table257[[#This Row],[min value (corrected)]]-27)</f>
        <v>418</v>
      </c>
      <c r="M835">
        <f>MINUTE(Table257[[#This Row],[Corrected time]])</f>
        <v>41</v>
      </c>
      <c r="N835" s="1">
        <v>0.52919174768518518</v>
      </c>
      <c r="O835" s="1">
        <f>Table257[[#This Row],[Time]]-TIME(0,0,3)</f>
        <v>0.52915702546296295</v>
      </c>
      <c r="P835" t="s">
        <v>9</v>
      </c>
      <c r="Q835">
        <v>-122</v>
      </c>
      <c r="R835">
        <f>Table257[[#This Row],[RSSI]]</f>
        <v>-122</v>
      </c>
      <c r="S835">
        <v>-9</v>
      </c>
    </row>
    <row r="836" spans="2:19" x14ac:dyDescent="0.25">
      <c r="B836">
        <f>390+2*(Table146[[#This Row],[min value (corrected)]]-37)</f>
        <v>420</v>
      </c>
      <c r="C836">
        <f>MINUTE(Table146[[#This Row],[Corrected time]])</f>
        <v>52</v>
      </c>
      <c r="D836" s="1">
        <v>0.49457284722222217</v>
      </c>
      <c r="E836" s="1">
        <f>Table146[[#This Row],[Time]]-TIME(0,0,1)</f>
        <v>0.49456127314814807</v>
      </c>
      <c r="F836" t="s">
        <v>13</v>
      </c>
      <c r="G836">
        <f t="shared" si="79"/>
        <v>-123</v>
      </c>
      <c r="H836">
        <f>Table146[[#This Row],[RSSI]]</f>
        <v>-123</v>
      </c>
      <c r="I836">
        <f t="shared" si="80"/>
        <v>-8.8000000000000007</v>
      </c>
      <c r="L836">
        <f>390+2*(Table257[[#This Row],[min value (corrected)]]-27)</f>
        <v>420</v>
      </c>
      <c r="M836">
        <f>MINUTE(Table257[[#This Row],[Corrected time]])</f>
        <v>42</v>
      </c>
      <c r="N836" s="1">
        <v>0.52920479166666667</v>
      </c>
      <c r="O836" s="1">
        <f>Table257[[#This Row],[Time]]-TIME(0,0,3)</f>
        <v>0.52917006944444445</v>
      </c>
      <c r="P836" t="s">
        <v>13</v>
      </c>
      <c r="Q836">
        <f>Q835</f>
        <v>-122</v>
      </c>
      <c r="R836">
        <f>Table257[[#This Row],[RSSI]]</f>
        <v>-122</v>
      </c>
      <c r="S836">
        <f>S835</f>
        <v>-9</v>
      </c>
    </row>
    <row r="837" spans="2:19" x14ac:dyDescent="0.25">
      <c r="B837">
        <f>390+2*(Table146[[#This Row],[min value (corrected)]]-37)</f>
        <v>420</v>
      </c>
      <c r="C837">
        <f>MINUTE(Table146[[#This Row],[Corrected time]])</f>
        <v>52</v>
      </c>
      <c r="D837" s="1">
        <v>0.49458589120370366</v>
      </c>
      <c r="E837" s="1">
        <f>Table146[[#This Row],[Time]]-TIME(0,0,1)</f>
        <v>0.49457431712962957</v>
      </c>
      <c r="F837" t="s">
        <v>13</v>
      </c>
      <c r="G837">
        <f t="shared" si="79"/>
        <v>-123</v>
      </c>
      <c r="H837">
        <f>Table146[[#This Row],[RSSI]]</f>
        <v>-123</v>
      </c>
      <c r="I837">
        <f t="shared" si="80"/>
        <v>-8.8000000000000007</v>
      </c>
      <c r="L837">
        <f>390+2*(Table257[[#This Row],[min value (corrected)]]-27)</f>
        <v>420</v>
      </c>
      <c r="M837">
        <f>MINUTE(Table257[[#This Row],[Corrected time]])</f>
        <v>42</v>
      </c>
      <c r="N837" s="1">
        <v>0.52921782407407403</v>
      </c>
      <c r="O837" s="1">
        <f>Table257[[#This Row],[Time]]-TIME(0,0,3)</f>
        <v>0.5291831018518518</v>
      </c>
      <c r="P837" t="s">
        <v>9</v>
      </c>
      <c r="Q837">
        <v>-122</v>
      </c>
      <c r="R837">
        <f>Table257[[#This Row],[RSSI]]</f>
        <v>-122</v>
      </c>
      <c r="S837">
        <v>-9</v>
      </c>
    </row>
    <row r="838" spans="2:19" x14ac:dyDescent="0.25">
      <c r="B838">
        <f>390+2*(Table146[[#This Row],[min value (corrected)]]-37)</f>
        <v>420</v>
      </c>
      <c r="C838">
        <f>MINUTE(Table146[[#This Row],[Corrected time]])</f>
        <v>52</v>
      </c>
      <c r="D838" s="1">
        <v>0.49459891203703699</v>
      </c>
      <c r="E838" s="1">
        <f>Table146[[#This Row],[Time]]-TIME(0,0,1)</f>
        <v>0.49458733796296289</v>
      </c>
      <c r="F838" t="s">
        <v>9</v>
      </c>
      <c r="G838">
        <v>-123</v>
      </c>
      <c r="H838">
        <f>Table146[[#This Row],[RSSI]]</f>
        <v>-123</v>
      </c>
      <c r="I838">
        <v>-9.3000000000000007</v>
      </c>
      <c r="L838">
        <f>390+2*(Table257[[#This Row],[min value (corrected)]]-27)</f>
        <v>420</v>
      </c>
      <c r="M838">
        <f>MINUTE(Table257[[#This Row],[Corrected time]])</f>
        <v>42</v>
      </c>
      <c r="N838" s="1">
        <v>0.52923085648148149</v>
      </c>
      <c r="O838" s="1">
        <f>Table257[[#This Row],[Time]]-TIME(0,0,3)</f>
        <v>0.52919613425925927</v>
      </c>
      <c r="P838" t="s">
        <v>9</v>
      </c>
      <c r="Q838">
        <v>-122</v>
      </c>
      <c r="R838">
        <f>Table257[[#This Row],[RSSI]]</f>
        <v>-122</v>
      </c>
      <c r="S838">
        <v>-8.5</v>
      </c>
    </row>
    <row r="839" spans="2:19" x14ac:dyDescent="0.25">
      <c r="B839">
        <f>390+2*(Table146[[#This Row],[min value (corrected)]]-37)</f>
        <v>420</v>
      </c>
      <c r="C839">
        <f>MINUTE(Table146[[#This Row],[Corrected time]])</f>
        <v>52</v>
      </c>
      <c r="D839" s="1">
        <v>0.49461194444444445</v>
      </c>
      <c r="E839" s="1">
        <f>Table146[[#This Row],[Time]]-TIME(0,0,1)</f>
        <v>0.49460037037037036</v>
      </c>
      <c r="F839" t="s">
        <v>9</v>
      </c>
      <c r="G839">
        <v>-123</v>
      </c>
      <c r="H839">
        <f>Table146[[#This Row],[RSSI]]</f>
        <v>-123</v>
      </c>
      <c r="I839">
        <v>-9</v>
      </c>
      <c r="L839">
        <f>390+2*(Table257[[#This Row],[min value (corrected)]]-27)</f>
        <v>420</v>
      </c>
      <c r="M839">
        <f>MINUTE(Table257[[#This Row],[Corrected time]])</f>
        <v>42</v>
      </c>
      <c r="N839" s="1">
        <v>0.52924387731481481</v>
      </c>
      <c r="O839" s="1">
        <f>Table257[[#This Row],[Time]]-TIME(0,0,3)</f>
        <v>0.52920915509259259</v>
      </c>
      <c r="P839" t="s">
        <v>27</v>
      </c>
      <c r="Q839">
        <f>Q838</f>
        <v>-122</v>
      </c>
      <c r="R839">
        <f>Table257[[#This Row],[RSSI]]</f>
        <v>-122</v>
      </c>
      <c r="S839">
        <f>S838</f>
        <v>-8.5</v>
      </c>
    </row>
    <row r="840" spans="2:19" x14ac:dyDescent="0.25">
      <c r="B840">
        <f>390+2*(Table146[[#This Row],[min value (corrected)]]-37)</f>
        <v>420</v>
      </c>
      <c r="C840">
        <f>MINUTE(Table146[[#This Row],[Corrected time]])</f>
        <v>52</v>
      </c>
      <c r="D840" s="1">
        <v>0.49462498842592595</v>
      </c>
      <c r="E840" s="1">
        <f>Table146[[#This Row],[Time]]-TIME(0,0,1)</f>
        <v>0.49461341435185185</v>
      </c>
      <c r="F840" t="s">
        <v>9</v>
      </c>
      <c r="G840">
        <v>-122</v>
      </c>
      <c r="H840">
        <f>Table146[[#This Row],[RSSI]]</f>
        <v>-122</v>
      </c>
      <c r="I840">
        <v>-8.8000000000000007</v>
      </c>
      <c r="L840">
        <f>390+2*(Table257[[#This Row],[min value (corrected)]]-27)</f>
        <v>420</v>
      </c>
      <c r="M840">
        <f>MINUTE(Table257[[#This Row],[Corrected time]])</f>
        <v>42</v>
      </c>
      <c r="N840" s="1">
        <v>0.52925692129629631</v>
      </c>
      <c r="O840" s="1">
        <f>Table257[[#This Row],[Time]]-TIME(0,0,3)</f>
        <v>0.52922219907407408</v>
      </c>
      <c r="P840" t="s">
        <v>9</v>
      </c>
      <c r="Q840">
        <v>-122</v>
      </c>
      <c r="R840">
        <f>Table257[[#This Row],[RSSI]]</f>
        <v>-122</v>
      </c>
      <c r="S840">
        <v>-8</v>
      </c>
    </row>
    <row r="841" spans="2:19" x14ac:dyDescent="0.25">
      <c r="B841">
        <f>390+2*(Table146[[#This Row],[min value (corrected)]]-37)</f>
        <v>420</v>
      </c>
      <c r="C841">
        <f>MINUTE(Table146[[#This Row],[Corrected time]])</f>
        <v>52</v>
      </c>
      <c r="D841" s="1">
        <v>0.49463800925925927</v>
      </c>
      <c r="E841" s="1">
        <f>Table146[[#This Row],[Time]]-TIME(0,0,1)</f>
        <v>0.49462643518518518</v>
      </c>
      <c r="F841" t="s">
        <v>9</v>
      </c>
      <c r="G841">
        <v>-122</v>
      </c>
      <c r="H841">
        <f>Table146[[#This Row],[RSSI]]</f>
        <v>-122</v>
      </c>
      <c r="I841">
        <v>-8.5</v>
      </c>
      <c r="L841">
        <f>390+2*(Table257[[#This Row],[min value (corrected)]]-27)</f>
        <v>420</v>
      </c>
      <c r="M841">
        <f>MINUTE(Table257[[#This Row],[Corrected time]])</f>
        <v>42</v>
      </c>
      <c r="N841" s="1">
        <v>0.52926994212962963</v>
      </c>
      <c r="O841" s="1">
        <f>Table257[[#This Row],[Time]]-TIME(0,0,3)</f>
        <v>0.52923521990740741</v>
      </c>
      <c r="P841" t="s">
        <v>13</v>
      </c>
      <c r="Q841">
        <f>Q840</f>
        <v>-122</v>
      </c>
      <c r="R841">
        <f>Table257[[#This Row],[RSSI]]</f>
        <v>-122</v>
      </c>
      <c r="S841">
        <f>S840</f>
        <v>-8</v>
      </c>
    </row>
    <row r="842" spans="2:19" x14ac:dyDescent="0.25">
      <c r="B842">
        <f>390+2*(Table146[[#This Row],[min value (corrected)]]-37)</f>
        <v>420</v>
      </c>
      <c r="C842">
        <f>MINUTE(Table146[[#This Row],[Corrected time]])</f>
        <v>52</v>
      </c>
      <c r="D842" s="1">
        <v>0.49465104166666662</v>
      </c>
      <c r="E842" s="1">
        <f>Table146[[#This Row],[Time]]-TIME(0,0,1)</f>
        <v>0.49463946759259253</v>
      </c>
      <c r="F842" t="s">
        <v>9</v>
      </c>
      <c r="G842">
        <v>-121</v>
      </c>
      <c r="H842">
        <f>Table146[[#This Row],[RSSI]]</f>
        <v>-121</v>
      </c>
      <c r="I842">
        <v>-7.7</v>
      </c>
      <c r="L842">
        <f>390+2*(Table257[[#This Row],[min value (corrected)]]-27)</f>
        <v>420</v>
      </c>
      <c r="M842">
        <f>MINUTE(Table257[[#This Row],[Corrected time]])</f>
        <v>42</v>
      </c>
      <c r="N842" s="1">
        <v>0.52928298611111113</v>
      </c>
      <c r="O842" s="1">
        <f>Table257[[#This Row],[Time]]-TIME(0,0,3)</f>
        <v>0.5292482638888889</v>
      </c>
      <c r="P842" t="s">
        <v>9</v>
      </c>
      <c r="Q842">
        <v>-122</v>
      </c>
      <c r="R842">
        <f>Table257[[#This Row],[RSSI]]</f>
        <v>-122</v>
      </c>
      <c r="S842">
        <v>-9</v>
      </c>
    </row>
    <row r="843" spans="2:19" x14ac:dyDescent="0.25">
      <c r="B843">
        <f>390+2*(Table146[[#This Row],[min value (corrected)]]-37)</f>
        <v>420</v>
      </c>
      <c r="C843">
        <f>MINUTE(Table146[[#This Row],[Corrected time]])</f>
        <v>52</v>
      </c>
      <c r="D843" s="1">
        <v>0.49466407407407409</v>
      </c>
      <c r="E843" s="1">
        <f>Table146[[#This Row],[Time]]-TIME(0,0,1)</f>
        <v>0.49465249999999999</v>
      </c>
      <c r="F843" t="s">
        <v>13</v>
      </c>
      <c r="G843">
        <f>G842</f>
        <v>-121</v>
      </c>
      <c r="H843">
        <f>Table146[[#This Row],[RSSI]]</f>
        <v>-121</v>
      </c>
      <c r="I843">
        <f>I842</f>
        <v>-7.7</v>
      </c>
      <c r="L843">
        <f>390+2*(Table257[[#This Row],[min value (corrected)]]-27)</f>
        <v>420</v>
      </c>
      <c r="M843">
        <f>MINUTE(Table257[[#This Row],[Corrected time]])</f>
        <v>42</v>
      </c>
      <c r="N843" s="1">
        <v>0.52929601851851849</v>
      </c>
      <c r="O843" s="1">
        <f>Table257[[#This Row],[Time]]-TIME(0,0,3)</f>
        <v>0.52926129629629626</v>
      </c>
      <c r="P843" t="s">
        <v>13</v>
      </c>
      <c r="Q843">
        <f>Q842</f>
        <v>-122</v>
      </c>
      <c r="R843">
        <f>Table257[[#This Row],[RSSI]]</f>
        <v>-122</v>
      </c>
      <c r="S843">
        <f>S842</f>
        <v>-9</v>
      </c>
    </row>
    <row r="844" spans="2:19" x14ac:dyDescent="0.25">
      <c r="B844">
        <f>390+2*(Table146[[#This Row],[min value (corrected)]]-37)</f>
        <v>420</v>
      </c>
      <c r="C844">
        <f>MINUTE(Table146[[#This Row],[Corrected time]])</f>
        <v>52</v>
      </c>
      <c r="D844" s="1">
        <v>0.49467711805555559</v>
      </c>
      <c r="E844" s="1">
        <f>Table146[[#This Row],[Time]]-TIME(0,0,1)</f>
        <v>0.49466554398148149</v>
      </c>
      <c r="F844" t="s">
        <v>9</v>
      </c>
      <c r="G844">
        <v>-122</v>
      </c>
      <c r="H844">
        <f>Table146[[#This Row],[RSSI]]</f>
        <v>-122</v>
      </c>
      <c r="I844">
        <v>-8.5</v>
      </c>
      <c r="L844">
        <f>390+2*(Table257[[#This Row],[min value (corrected)]]-27)</f>
        <v>420</v>
      </c>
      <c r="M844">
        <f>MINUTE(Table257[[#This Row],[Corrected time]])</f>
        <v>42</v>
      </c>
      <c r="N844" s="1">
        <v>0.52930905092592595</v>
      </c>
      <c r="O844" s="1">
        <f>Table257[[#This Row],[Time]]-TIME(0,0,3)</f>
        <v>0.52927432870370372</v>
      </c>
      <c r="P844" t="s">
        <v>9</v>
      </c>
      <c r="Q844">
        <v>-122</v>
      </c>
      <c r="R844">
        <f>Table257[[#This Row],[RSSI]]</f>
        <v>-122</v>
      </c>
      <c r="S844">
        <v>-8.5</v>
      </c>
    </row>
    <row r="845" spans="2:19" x14ac:dyDescent="0.25">
      <c r="B845">
        <f>390+2*(Table146[[#This Row],[min value (corrected)]]-37)</f>
        <v>420</v>
      </c>
      <c r="C845">
        <f>MINUTE(Table146[[#This Row],[Corrected time]])</f>
        <v>52</v>
      </c>
      <c r="D845" s="1">
        <v>0.49469015046296294</v>
      </c>
      <c r="E845" s="1">
        <f>Table146[[#This Row],[Time]]-TIME(0,0,1)</f>
        <v>0.49467857638888885</v>
      </c>
      <c r="F845" t="s">
        <v>9</v>
      </c>
      <c r="G845">
        <v>-123</v>
      </c>
      <c r="H845">
        <f>Table146[[#This Row],[RSSI]]</f>
        <v>-123</v>
      </c>
      <c r="I845">
        <v>-9</v>
      </c>
      <c r="L845">
        <f>390+2*(Table257[[#This Row],[min value (corrected)]]-27)</f>
        <v>420</v>
      </c>
      <c r="M845">
        <f>MINUTE(Table257[[#This Row],[Corrected time]])</f>
        <v>42</v>
      </c>
      <c r="N845" s="1">
        <v>0.5293220833333333</v>
      </c>
      <c r="O845" s="1">
        <f>Table257[[#This Row],[Time]]-TIME(0,0,3)</f>
        <v>0.52928736111111108</v>
      </c>
      <c r="P845" t="s">
        <v>13</v>
      </c>
      <c r="Q845">
        <f>Q844</f>
        <v>-122</v>
      </c>
      <c r="R845">
        <f>Table257[[#This Row],[RSSI]]</f>
        <v>-122</v>
      </c>
      <c r="S845">
        <f>S844</f>
        <v>-8.5</v>
      </c>
    </row>
    <row r="846" spans="2:19" x14ac:dyDescent="0.25">
      <c r="B846">
        <f>390+2*(Table146[[#This Row],[min value (corrected)]]-37)</f>
        <v>420</v>
      </c>
      <c r="C846">
        <f>MINUTE(Table146[[#This Row],[Corrected time]])</f>
        <v>52</v>
      </c>
      <c r="D846" s="1">
        <v>0.49470318287037041</v>
      </c>
      <c r="E846" s="1">
        <f>Table146[[#This Row],[Time]]-TIME(0,0,1)</f>
        <v>0.49469160879629631</v>
      </c>
      <c r="F846" t="s">
        <v>9</v>
      </c>
      <c r="G846">
        <v>-122</v>
      </c>
      <c r="H846">
        <f>Table146[[#This Row],[RSSI]]</f>
        <v>-122</v>
      </c>
      <c r="I846">
        <v>-8.3000000000000007</v>
      </c>
      <c r="L846">
        <f>390+2*(Table257[[#This Row],[min value (corrected)]]-27)</f>
        <v>420</v>
      </c>
      <c r="M846">
        <f>MINUTE(Table257[[#This Row],[Corrected time]])</f>
        <v>42</v>
      </c>
      <c r="N846" s="1">
        <v>0.52933511574074066</v>
      </c>
      <c r="O846" s="1">
        <f>Table257[[#This Row],[Time]]-TIME(0,0,3)</f>
        <v>0.52930039351851843</v>
      </c>
      <c r="P846" t="s">
        <v>9</v>
      </c>
      <c r="Q846">
        <v>-122</v>
      </c>
      <c r="R846">
        <f>Table257[[#This Row],[RSSI]]</f>
        <v>-122</v>
      </c>
      <c r="S846">
        <v>-8</v>
      </c>
    </row>
    <row r="847" spans="2:19" x14ac:dyDescent="0.25">
      <c r="B847">
        <f>390+2*(Table146[[#This Row],[min value (corrected)]]-37)</f>
        <v>420</v>
      </c>
      <c r="C847">
        <f>MINUTE(Table146[[#This Row],[Corrected time]])</f>
        <v>52</v>
      </c>
      <c r="D847" s="1">
        <v>0.49471621527777776</v>
      </c>
      <c r="E847" s="1">
        <f>Table146[[#This Row],[Time]]-TIME(0,0,1)</f>
        <v>0.49470464120370367</v>
      </c>
      <c r="F847" t="s">
        <v>9</v>
      </c>
      <c r="G847">
        <v>-122</v>
      </c>
      <c r="H847">
        <f>Table146[[#This Row],[RSSI]]</f>
        <v>-122</v>
      </c>
      <c r="I847">
        <v>-8.5</v>
      </c>
      <c r="L847">
        <f>390+2*(Table257[[#This Row],[min value (corrected)]]-27)</f>
        <v>420</v>
      </c>
      <c r="M847">
        <f>MINUTE(Table257[[#This Row],[Corrected time]])</f>
        <v>42</v>
      </c>
      <c r="N847" s="1">
        <v>0.52934814814814812</v>
      </c>
      <c r="O847" s="1">
        <f>Table257[[#This Row],[Time]]-TIME(0,0,3)</f>
        <v>0.5293134259259259</v>
      </c>
      <c r="P847" t="s">
        <v>9</v>
      </c>
      <c r="Q847">
        <v>-120</v>
      </c>
      <c r="R847">
        <f>Table257[[#This Row],[RSSI]]</f>
        <v>-120</v>
      </c>
      <c r="S847">
        <v>-8</v>
      </c>
    </row>
    <row r="848" spans="2:19" x14ac:dyDescent="0.25">
      <c r="B848">
        <f>390+2*(Table146[[#This Row],[min value (corrected)]]-37)</f>
        <v>420</v>
      </c>
      <c r="C848">
        <f>MINUTE(Table146[[#This Row],[Corrected time]])</f>
        <v>52</v>
      </c>
      <c r="D848" s="1">
        <v>0.49472923611111108</v>
      </c>
      <c r="E848" s="1">
        <f>Table146[[#This Row],[Time]]-TIME(0,0,1)</f>
        <v>0.49471766203703699</v>
      </c>
      <c r="F848" t="s">
        <v>13</v>
      </c>
      <c r="G848">
        <f>G847</f>
        <v>-122</v>
      </c>
      <c r="H848">
        <f>Table146[[#This Row],[RSSI]]</f>
        <v>-122</v>
      </c>
      <c r="I848">
        <f>I847</f>
        <v>-8.5</v>
      </c>
      <c r="L848">
        <f>390+2*(Table257[[#This Row],[min value (corrected)]]-27)</f>
        <v>420</v>
      </c>
      <c r="M848">
        <f>MINUTE(Table257[[#This Row],[Corrected time]])</f>
        <v>42</v>
      </c>
      <c r="N848" s="1">
        <v>0.52936118055555548</v>
      </c>
      <c r="O848" s="1">
        <f>Table257[[#This Row],[Time]]-TIME(0,0,3)</f>
        <v>0.52932645833333325</v>
      </c>
      <c r="P848" t="s">
        <v>9</v>
      </c>
      <c r="Q848">
        <v>-122</v>
      </c>
      <c r="R848">
        <f>Table257[[#This Row],[RSSI]]</f>
        <v>-122</v>
      </c>
      <c r="S848">
        <v>-8.5</v>
      </c>
    </row>
    <row r="849" spans="2:19" x14ac:dyDescent="0.25">
      <c r="B849">
        <f>390+2*(Table146[[#This Row],[min value (corrected)]]-37)</f>
        <v>420</v>
      </c>
      <c r="C849">
        <f>MINUTE(Table146[[#This Row],[Corrected time]])</f>
        <v>52</v>
      </c>
      <c r="D849" s="1">
        <v>0.49474228009259258</v>
      </c>
      <c r="E849" s="1">
        <f>Table146[[#This Row],[Time]]-TIME(0,0,1)</f>
        <v>0.49473070601851848</v>
      </c>
      <c r="F849" t="s">
        <v>9</v>
      </c>
      <c r="G849">
        <v>-122</v>
      </c>
      <c r="H849">
        <f>Table146[[#This Row],[RSSI]]</f>
        <v>-122</v>
      </c>
      <c r="I849">
        <v>-9</v>
      </c>
      <c r="L849">
        <f>390+2*(Table257[[#This Row],[min value (corrected)]]-27)</f>
        <v>420</v>
      </c>
      <c r="M849">
        <f>MINUTE(Table257[[#This Row],[Corrected time]])</f>
        <v>42</v>
      </c>
      <c r="N849" s="1">
        <v>0.52937421296296294</v>
      </c>
      <c r="O849" s="1">
        <f>Table257[[#This Row],[Time]]-TIME(0,0,3)</f>
        <v>0.52933949074074071</v>
      </c>
      <c r="P849" t="s">
        <v>9</v>
      </c>
      <c r="Q849">
        <v>-122</v>
      </c>
      <c r="R849">
        <f>Table257[[#This Row],[RSSI]]</f>
        <v>-122</v>
      </c>
      <c r="S849">
        <v>-8.3000000000000007</v>
      </c>
    </row>
    <row r="850" spans="2:19" x14ac:dyDescent="0.25">
      <c r="B850">
        <f>390+2*(Table146[[#This Row],[min value (corrected)]]-37)</f>
        <v>420</v>
      </c>
      <c r="C850">
        <f>MINUTE(Table146[[#This Row],[Corrected time]])</f>
        <v>52</v>
      </c>
      <c r="D850" s="1">
        <v>0.49475531249999999</v>
      </c>
      <c r="E850" s="1">
        <f>Table146[[#This Row],[Time]]-TIME(0,0,1)</f>
        <v>0.49474373842592589</v>
      </c>
      <c r="F850" t="s">
        <v>13</v>
      </c>
      <c r="G850">
        <f>G849</f>
        <v>-122</v>
      </c>
      <c r="H850">
        <f>Table146[[#This Row],[RSSI]]</f>
        <v>-122</v>
      </c>
      <c r="I850">
        <f>I849</f>
        <v>-9</v>
      </c>
      <c r="L850">
        <f>390+2*(Table257[[#This Row],[min value (corrected)]]-27)</f>
        <v>420</v>
      </c>
      <c r="M850">
        <f>MINUTE(Table257[[#This Row],[Corrected time]])</f>
        <v>42</v>
      </c>
      <c r="N850" s="1">
        <v>0.5293872453703703</v>
      </c>
      <c r="O850" s="1">
        <f>Table257[[#This Row],[Time]]-TIME(0,0,3)</f>
        <v>0.52935252314814807</v>
      </c>
      <c r="P850" t="s">
        <v>9</v>
      </c>
      <c r="Q850">
        <v>-122</v>
      </c>
      <c r="R850">
        <f>Table257[[#This Row],[RSSI]]</f>
        <v>-122</v>
      </c>
      <c r="S850">
        <v>-8.8000000000000007</v>
      </c>
    </row>
    <row r="851" spans="2:19" x14ac:dyDescent="0.25">
      <c r="B851">
        <f>390+2*(Table146[[#This Row],[min value (corrected)]]-37)</f>
        <v>420</v>
      </c>
      <c r="C851">
        <f>MINUTE(Table146[[#This Row],[Corrected time]])</f>
        <v>52</v>
      </c>
      <c r="D851" s="1">
        <v>0.4947683449074074</v>
      </c>
      <c r="E851" s="1">
        <f>Table146[[#This Row],[Time]]-TIME(0,0,1)</f>
        <v>0.4947567708333333</v>
      </c>
      <c r="F851" t="s">
        <v>9</v>
      </c>
      <c r="G851">
        <v>-123</v>
      </c>
      <c r="H851">
        <f>Table146[[#This Row],[RSSI]]</f>
        <v>-123</v>
      </c>
      <c r="I851">
        <v>-9.3000000000000007</v>
      </c>
      <c r="L851">
        <f>390+2*(Table257[[#This Row],[min value (corrected)]]-27)</f>
        <v>420</v>
      </c>
      <c r="M851">
        <f>MINUTE(Table257[[#This Row],[Corrected time]])</f>
        <v>42</v>
      </c>
      <c r="N851" s="1">
        <v>0.52940027777777776</v>
      </c>
      <c r="O851" s="1">
        <f>Table257[[#This Row],[Time]]-TIME(0,0,3)</f>
        <v>0.52936555555555553</v>
      </c>
      <c r="P851" t="s">
        <v>9</v>
      </c>
      <c r="Q851">
        <v>-122</v>
      </c>
      <c r="R851">
        <f>Table257[[#This Row],[RSSI]]</f>
        <v>-122</v>
      </c>
      <c r="S851">
        <v>-8.3000000000000007</v>
      </c>
    </row>
    <row r="852" spans="2:19" x14ac:dyDescent="0.25">
      <c r="B852">
        <f>390+2*(Table146[[#This Row],[min value (corrected)]]-37)</f>
        <v>420</v>
      </c>
      <c r="C852">
        <f>MINUTE(Table146[[#This Row],[Corrected time]])</f>
        <v>52</v>
      </c>
      <c r="D852" s="1">
        <v>0.49478136574074078</v>
      </c>
      <c r="E852" s="1">
        <f>Table146[[#This Row],[Time]]-TIME(0,0,1)</f>
        <v>0.49476979166666668</v>
      </c>
      <c r="F852" t="s">
        <v>9</v>
      </c>
      <c r="G852">
        <v>-122</v>
      </c>
      <c r="H852">
        <f>Table146[[#This Row],[RSSI]]</f>
        <v>-122</v>
      </c>
      <c r="I852">
        <v>-8.3000000000000007</v>
      </c>
      <c r="L852">
        <f>390+2*(Table257[[#This Row],[min value (corrected)]]-27)</f>
        <v>420</v>
      </c>
      <c r="M852">
        <f>MINUTE(Table257[[#This Row],[Corrected time]])</f>
        <v>42</v>
      </c>
      <c r="N852" s="1">
        <v>0.52941331018518512</v>
      </c>
      <c r="O852" s="1">
        <f>Table257[[#This Row],[Time]]-TIME(0,0,3)</f>
        <v>0.52937858796296289</v>
      </c>
      <c r="P852" t="s">
        <v>9</v>
      </c>
      <c r="Q852">
        <v>-122</v>
      </c>
      <c r="R852">
        <f>Table257[[#This Row],[RSSI]]</f>
        <v>-122</v>
      </c>
      <c r="S852">
        <v>-7.7</v>
      </c>
    </row>
    <row r="853" spans="2:19" x14ac:dyDescent="0.25">
      <c r="B853">
        <f>390+2*(Table146[[#This Row],[min value (corrected)]]-37)</f>
        <v>420</v>
      </c>
      <c r="C853">
        <f>MINUTE(Table146[[#This Row],[Corrected time]])</f>
        <v>52</v>
      </c>
      <c r="D853" s="1">
        <v>0.4947943865740741</v>
      </c>
      <c r="E853" s="1">
        <f>Table146[[#This Row],[Time]]-TIME(0,0,1)</f>
        <v>0.4947828125</v>
      </c>
      <c r="F853" t="s">
        <v>13</v>
      </c>
      <c r="G853">
        <f t="shared" ref="G853:G854" si="81">G852</f>
        <v>-122</v>
      </c>
      <c r="H853">
        <f>Table146[[#This Row],[RSSI]]</f>
        <v>-122</v>
      </c>
      <c r="I853">
        <f t="shared" ref="I853:I854" si="82">I852</f>
        <v>-8.3000000000000007</v>
      </c>
      <c r="L853">
        <f>390+2*(Table257[[#This Row],[min value (corrected)]]-27)</f>
        <v>420</v>
      </c>
      <c r="M853">
        <f>MINUTE(Table257[[#This Row],[Corrected time]])</f>
        <v>42</v>
      </c>
      <c r="N853" s="1">
        <v>0.52942634259259258</v>
      </c>
      <c r="O853" s="1">
        <f>Table257[[#This Row],[Time]]-TIME(0,0,3)</f>
        <v>0.52939162037037035</v>
      </c>
      <c r="P853" t="s">
        <v>9</v>
      </c>
      <c r="Q853">
        <v>-122</v>
      </c>
      <c r="R853">
        <f>Table257[[#This Row],[RSSI]]</f>
        <v>-122</v>
      </c>
      <c r="S853">
        <v>-8.3000000000000007</v>
      </c>
    </row>
    <row r="854" spans="2:19" x14ac:dyDescent="0.25">
      <c r="B854">
        <f>390+2*(Table146[[#This Row],[min value (corrected)]]-37)</f>
        <v>420</v>
      </c>
      <c r="C854">
        <f>MINUTE(Table146[[#This Row],[Corrected time]])</f>
        <v>52</v>
      </c>
      <c r="D854" s="1">
        <v>0.49480744212962963</v>
      </c>
      <c r="E854" s="1">
        <f>Table146[[#This Row],[Time]]-TIME(0,0,1)</f>
        <v>0.49479586805555553</v>
      </c>
      <c r="F854" t="s">
        <v>13</v>
      </c>
      <c r="G854">
        <f t="shared" si="81"/>
        <v>-122</v>
      </c>
      <c r="H854">
        <f>Table146[[#This Row],[RSSI]]</f>
        <v>-122</v>
      </c>
      <c r="I854">
        <f t="shared" si="82"/>
        <v>-8.3000000000000007</v>
      </c>
      <c r="L854">
        <f>390+2*(Table257[[#This Row],[min value (corrected)]]-27)</f>
        <v>420</v>
      </c>
      <c r="M854">
        <f>MINUTE(Table257[[#This Row],[Corrected time]])</f>
        <v>42</v>
      </c>
      <c r="N854" s="1">
        <v>0.5294393634259259</v>
      </c>
      <c r="O854" s="1">
        <f>Table257[[#This Row],[Time]]-TIME(0,0,3)</f>
        <v>0.52940464120370367</v>
      </c>
      <c r="P854" t="s">
        <v>9</v>
      </c>
      <c r="Q854">
        <v>-122</v>
      </c>
      <c r="R854">
        <f>Table257[[#This Row],[RSSI]]</f>
        <v>-122</v>
      </c>
      <c r="S854">
        <v>-9</v>
      </c>
    </row>
    <row r="855" spans="2:19" x14ac:dyDescent="0.25">
      <c r="B855">
        <f>390+2*(Table146[[#This Row],[min value (corrected)]]-37)</f>
        <v>420</v>
      </c>
      <c r="C855">
        <f>MINUTE(Table146[[#This Row],[Corrected time]])</f>
        <v>52</v>
      </c>
      <c r="D855" s="1">
        <v>0.49482047453703704</v>
      </c>
      <c r="E855" s="1">
        <f>Table146[[#This Row],[Time]]-TIME(0,0,1)</f>
        <v>0.49480890046296294</v>
      </c>
      <c r="F855" t="s">
        <v>9</v>
      </c>
      <c r="G855">
        <v>-121</v>
      </c>
      <c r="H855">
        <f>Table146[[#This Row],[RSSI]]</f>
        <v>-121</v>
      </c>
      <c r="I855">
        <v>-8.3000000000000007</v>
      </c>
      <c r="L855">
        <f>390+2*(Table257[[#This Row],[min value (corrected)]]-27)</f>
        <v>420</v>
      </c>
      <c r="M855">
        <f>MINUTE(Table257[[#This Row],[Corrected time]])</f>
        <v>42</v>
      </c>
      <c r="N855" s="1">
        <v>0.5294524074074074</v>
      </c>
      <c r="O855" s="1">
        <f>Table257[[#This Row],[Time]]-TIME(0,0,3)</f>
        <v>0.52941768518518517</v>
      </c>
      <c r="P855" t="s">
        <v>9</v>
      </c>
      <c r="Q855">
        <v>-122</v>
      </c>
      <c r="R855">
        <f>Table257[[#This Row],[RSSI]]</f>
        <v>-122</v>
      </c>
      <c r="S855">
        <v>-8.5</v>
      </c>
    </row>
    <row r="856" spans="2:19" x14ac:dyDescent="0.25">
      <c r="B856">
        <f>390+2*(Table146[[#This Row],[min value (corrected)]]-37)</f>
        <v>420</v>
      </c>
      <c r="C856">
        <f>MINUTE(Table146[[#This Row],[Corrected time]])</f>
        <v>52</v>
      </c>
      <c r="D856" s="1">
        <v>0.49483348379629627</v>
      </c>
      <c r="E856" s="1">
        <f>Table146[[#This Row],[Time]]-TIME(0,0,1)</f>
        <v>0.49482190972222218</v>
      </c>
      <c r="F856" t="s">
        <v>9</v>
      </c>
      <c r="G856">
        <v>-122</v>
      </c>
      <c r="H856">
        <f>Table146[[#This Row],[RSSI]]</f>
        <v>-122</v>
      </c>
      <c r="I856">
        <v>-8.8000000000000007</v>
      </c>
      <c r="L856">
        <f>390+2*(Table257[[#This Row],[min value (corrected)]]-27)</f>
        <v>420</v>
      </c>
      <c r="M856">
        <f>MINUTE(Table257[[#This Row],[Corrected time]])</f>
        <v>42</v>
      </c>
      <c r="N856" s="1">
        <v>0.52946543981481475</v>
      </c>
      <c r="O856" s="1">
        <f>Table257[[#This Row],[Time]]-TIME(0,0,3)</f>
        <v>0.52943071759259253</v>
      </c>
      <c r="P856" t="s">
        <v>13</v>
      </c>
      <c r="Q856">
        <f>Q855</f>
        <v>-122</v>
      </c>
      <c r="R856">
        <f>Table257[[#This Row],[RSSI]]</f>
        <v>-122</v>
      </c>
      <c r="S856">
        <f>S855</f>
        <v>-8.5</v>
      </c>
    </row>
    <row r="857" spans="2:19" x14ac:dyDescent="0.25">
      <c r="B857">
        <f>390+2*(Table146[[#This Row],[min value (corrected)]]-37)</f>
        <v>420</v>
      </c>
      <c r="C857">
        <f>MINUTE(Table146[[#This Row],[Corrected time]])</f>
        <v>52</v>
      </c>
      <c r="D857" s="1">
        <v>0.49484652777777777</v>
      </c>
      <c r="E857" s="1">
        <f>Table146[[#This Row],[Time]]-TIME(0,0,1)</f>
        <v>0.49483495370370367</v>
      </c>
      <c r="F857" t="s">
        <v>9</v>
      </c>
      <c r="G857">
        <v>-123</v>
      </c>
      <c r="H857">
        <f>Table146[[#This Row],[RSSI]]</f>
        <v>-123</v>
      </c>
      <c r="I857">
        <v>-9.3000000000000007</v>
      </c>
      <c r="L857">
        <f>390+2*(Table257[[#This Row],[min value (corrected)]]-27)</f>
        <v>420</v>
      </c>
      <c r="M857">
        <f>MINUTE(Table257[[#This Row],[Corrected time]])</f>
        <v>42</v>
      </c>
      <c r="N857" s="1">
        <v>0.52947847222222222</v>
      </c>
      <c r="O857" s="1">
        <f>Table257[[#This Row],[Time]]-TIME(0,0,3)</f>
        <v>0.52944374999999999</v>
      </c>
      <c r="P857" t="s">
        <v>9</v>
      </c>
      <c r="Q857">
        <v>-123</v>
      </c>
      <c r="R857">
        <f>Table257[[#This Row],[RSSI]]</f>
        <v>-123</v>
      </c>
      <c r="S857">
        <v>-9.3000000000000007</v>
      </c>
    </row>
    <row r="858" spans="2:19" x14ac:dyDescent="0.25">
      <c r="B858">
        <f>390+2*(Table146[[#This Row],[min value (corrected)]]-37)</f>
        <v>420</v>
      </c>
      <c r="C858">
        <f>MINUTE(Table146[[#This Row],[Corrected time]])</f>
        <v>52</v>
      </c>
      <c r="D858" s="1">
        <v>0.49485957175925926</v>
      </c>
      <c r="E858" s="1">
        <f>Table146[[#This Row],[Time]]-TIME(0,0,1)</f>
        <v>0.49484799768518517</v>
      </c>
      <c r="F858" t="s">
        <v>9</v>
      </c>
      <c r="G858">
        <v>-122</v>
      </c>
      <c r="H858">
        <f>Table146[[#This Row],[RSSI]]</f>
        <v>-122</v>
      </c>
      <c r="I858">
        <v>-8.5</v>
      </c>
      <c r="L858">
        <f>390+2*(Table257[[#This Row],[min value (corrected)]]-27)</f>
        <v>420</v>
      </c>
      <c r="M858">
        <f>MINUTE(Table257[[#This Row],[Corrected time]])</f>
        <v>42</v>
      </c>
      <c r="N858" s="1">
        <v>0.52949149305555554</v>
      </c>
      <c r="O858" s="1">
        <f>Table257[[#This Row],[Time]]-TIME(0,0,3)</f>
        <v>0.52945677083333331</v>
      </c>
      <c r="P858" t="s">
        <v>13</v>
      </c>
      <c r="Q858">
        <f>Q857</f>
        <v>-123</v>
      </c>
      <c r="R858">
        <f>Table257[[#This Row],[RSSI]]</f>
        <v>-123</v>
      </c>
      <c r="S858">
        <f>S857</f>
        <v>-9.3000000000000007</v>
      </c>
    </row>
    <row r="859" spans="2:19" x14ac:dyDescent="0.25">
      <c r="B859">
        <f>390+2*(Table146[[#This Row],[min value (corrected)]]-37)</f>
        <v>420</v>
      </c>
      <c r="C859">
        <f>MINUTE(Table146[[#This Row],[Corrected time]])</f>
        <v>52</v>
      </c>
      <c r="D859" s="1">
        <v>0.49487259259259259</v>
      </c>
      <c r="E859" s="1">
        <f>Table146[[#This Row],[Time]]-TIME(0,0,1)</f>
        <v>0.49486101851851849</v>
      </c>
      <c r="F859" t="s">
        <v>9</v>
      </c>
      <c r="G859">
        <v>-121</v>
      </c>
      <c r="H859">
        <f>Table146[[#This Row],[RSSI]]</f>
        <v>-121</v>
      </c>
      <c r="I859">
        <v>-9.3000000000000007</v>
      </c>
      <c r="L859">
        <f>390+2*(Table257[[#This Row],[min value (corrected)]]-27)</f>
        <v>420</v>
      </c>
      <c r="M859">
        <f>MINUTE(Table257[[#This Row],[Corrected time]])</f>
        <v>42</v>
      </c>
      <c r="N859" s="1">
        <v>0.52950453703703704</v>
      </c>
      <c r="O859" s="1">
        <f>Table257[[#This Row],[Time]]-TIME(0,0,3)</f>
        <v>0.52946981481481481</v>
      </c>
      <c r="P859" t="s">
        <v>9</v>
      </c>
      <c r="Q859">
        <v>-122</v>
      </c>
      <c r="R859">
        <f>Table257[[#This Row],[RSSI]]</f>
        <v>-122</v>
      </c>
      <c r="S859">
        <v>-8.3000000000000007</v>
      </c>
    </row>
    <row r="860" spans="2:19" x14ac:dyDescent="0.25">
      <c r="B860">
        <f>390+2*(Table146[[#This Row],[min value (corrected)]]-37)</f>
        <v>420</v>
      </c>
      <c r="C860">
        <f>MINUTE(Table146[[#This Row],[Corrected time]])</f>
        <v>52</v>
      </c>
      <c r="D860" s="1">
        <v>0.49488563657407408</v>
      </c>
      <c r="E860" s="1">
        <f>Table146[[#This Row],[Time]]-TIME(0,0,1)</f>
        <v>0.49487406249999999</v>
      </c>
      <c r="F860" t="s">
        <v>13</v>
      </c>
      <c r="G860">
        <f>G859</f>
        <v>-121</v>
      </c>
      <c r="H860">
        <f>Table146[[#This Row],[RSSI]]</f>
        <v>-121</v>
      </c>
      <c r="I860">
        <f>I859</f>
        <v>-9.3000000000000007</v>
      </c>
      <c r="L860">
        <f>390+2*(Table257[[#This Row],[min value (corrected)]]-27)</f>
        <v>420</v>
      </c>
      <c r="M860">
        <f>MINUTE(Table257[[#This Row],[Corrected time]])</f>
        <v>42</v>
      </c>
      <c r="N860" s="1">
        <v>0.52951756944444439</v>
      </c>
      <c r="O860" s="1">
        <f>Table257[[#This Row],[Time]]-TIME(0,0,3)</f>
        <v>0.52948284722222216</v>
      </c>
      <c r="P860" t="s">
        <v>9</v>
      </c>
      <c r="Q860">
        <v>-122</v>
      </c>
      <c r="R860">
        <f>Table257[[#This Row],[RSSI]]</f>
        <v>-122</v>
      </c>
      <c r="S860">
        <v>-8.5</v>
      </c>
    </row>
    <row r="861" spans="2:19" x14ac:dyDescent="0.25">
      <c r="B861">
        <f>390+2*(Table146[[#This Row],[min value (corrected)]]-37)</f>
        <v>420</v>
      </c>
      <c r="C861">
        <f>MINUTE(Table146[[#This Row],[Corrected time]])</f>
        <v>52</v>
      </c>
      <c r="D861" s="1">
        <v>0.49489866898148149</v>
      </c>
      <c r="E861" s="1">
        <f>Table146[[#This Row],[Time]]-TIME(0,0,1)</f>
        <v>0.4948870949074074</v>
      </c>
      <c r="F861" t="s">
        <v>9</v>
      </c>
      <c r="G861">
        <v>-122</v>
      </c>
      <c r="H861">
        <f>Table146[[#This Row],[RSSI]]</f>
        <v>-122</v>
      </c>
      <c r="I861">
        <v>-8.5</v>
      </c>
      <c r="L861">
        <f>390+2*(Table257[[#This Row],[min value (corrected)]]-27)</f>
        <v>420</v>
      </c>
      <c r="M861">
        <f>MINUTE(Table257[[#This Row],[Corrected time]])</f>
        <v>42</v>
      </c>
      <c r="N861" s="1">
        <v>0.52953060185185186</v>
      </c>
      <c r="O861" s="1">
        <f>Table257[[#This Row],[Time]]-TIME(0,0,3)</f>
        <v>0.52949587962962963</v>
      </c>
      <c r="P861" t="s">
        <v>9</v>
      </c>
      <c r="Q861">
        <v>-121</v>
      </c>
      <c r="R861">
        <f>Table257[[#This Row],[RSSI]]</f>
        <v>-121</v>
      </c>
      <c r="S861">
        <v>-8</v>
      </c>
    </row>
    <row r="862" spans="2:19" x14ac:dyDescent="0.25">
      <c r="B862">
        <f>390+2*(Table146[[#This Row],[min value (corrected)]]-37)</f>
        <v>420</v>
      </c>
      <c r="C862">
        <f>MINUTE(Table146[[#This Row],[Corrected time]])</f>
        <v>52</v>
      </c>
      <c r="D862" s="1">
        <v>0.49491168981481487</v>
      </c>
      <c r="E862" s="1">
        <f>Table146[[#This Row],[Time]]-TIME(0,0,1)</f>
        <v>0.49490011574074078</v>
      </c>
      <c r="F862" t="s">
        <v>13</v>
      </c>
      <c r="G862">
        <f>G861</f>
        <v>-122</v>
      </c>
      <c r="H862">
        <f>Table146[[#This Row],[RSSI]]</f>
        <v>-122</v>
      </c>
      <c r="I862">
        <f>I861</f>
        <v>-8.5</v>
      </c>
      <c r="L862">
        <f>390+2*(Table257[[#This Row],[min value (corrected)]]-27)</f>
        <v>420</v>
      </c>
      <c r="M862">
        <f>MINUTE(Table257[[#This Row],[Corrected time]])</f>
        <v>42</v>
      </c>
      <c r="N862" s="1">
        <v>0.52954363425925921</v>
      </c>
      <c r="O862" s="1">
        <f>Table257[[#This Row],[Time]]-TIME(0,0,3)</f>
        <v>0.52950891203703698</v>
      </c>
      <c r="P862" t="s">
        <v>9</v>
      </c>
      <c r="Q862">
        <v>-122</v>
      </c>
      <c r="R862">
        <f>Table257[[#This Row],[RSSI]]</f>
        <v>-122</v>
      </c>
      <c r="S862">
        <v>-8</v>
      </c>
    </row>
    <row r="863" spans="2:19" x14ac:dyDescent="0.25">
      <c r="B863">
        <f>390+2*(Table146[[#This Row],[min value (corrected)]]-37)</f>
        <v>420</v>
      </c>
      <c r="C863">
        <f>MINUTE(Table146[[#This Row],[Corrected time]])</f>
        <v>52</v>
      </c>
      <c r="D863" s="1">
        <v>0.49492472222222222</v>
      </c>
      <c r="E863" s="1">
        <f>Table146[[#This Row],[Time]]-TIME(0,0,1)</f>
        <v>0.49491314814814813</v>
      </c>
      <c r="F863" t="s">
        <v>9</v>
      </c>
      <c r="G863">
        <v>-122</v>
      </c>
      <c r="H863">
        <f>Table146[[#This Row],[RSSI]]</f>
        <v>-122</v>
      </c>
      <c r="I863">
        <v>-8.3000000000000007</v>
      </c>
      <c r="L863">
        <f>390+2*(Table257[[#This Row],[min value (corrected)]]-27)</f>
        <v>420</v>
      </c>
      <c r="M863">
        <f>MINUTE(Table257[[#This Row],[Corrected time]])</f>
        <v>42</v>
      </c>
      <c r="N863" s="1">
        <v>0.52955665509259264</v>
      </c>
      <c r="O863" s="1">
        <f>Table257[[#This Row],[Time]]-TIME(0,0,3)</f>
        <v>0.52952193287037042</v>
      </c>
      <c r="P863" t="s">
        <v>9</v>
      </c>
      <c r="Q863">
        <v>-122</v>
      </c>
      <c r="R863">
        <f>Table257[[#This Row],[RSSI]]</f>
        <v>-122</v>
      </c>
      <c r="S863">
        <v>-8.8000000000000007</v>
      </c>
    </row>
    <row r="864" spans="2:19" x14ac:dyDescent="0.25">
      <c r="B864">
        <f>390+2*(Table146[[#This Row],[min value (corrected)]]-37)</f>
        <v>420</v>
      </c>
      <c r="C864">
        <f>MINUTE(Table146[[#This Row],[Corrected time]])</f>
        <v>52</v>
      </c>
      <c r="D864" s="1">
        <v>0.49493774305555555</v>
      </c>
      <c r="E864" s="1">
        <f>Table146[[#This Row],[Time]]-TIME(0,0,1)</f>
        <v>0.49492616898148145</v>
      </c>
      <c r="F864" t="s">
        <v>9</v>
      </c>
      <c r="G864">
        <v>-123</v>
      </c>
      <c r="H864">
        <f>Table146[[#This Row],[RSSI]]</f>
        <v>-123</v>
      </c>
      <c r="I864">
        <v>-9</v>
      </c>
      <c r="L864">
        <f>390+2*(Table257[[#This Row],[min value (corrected)]]-27)</f>
        <v>420</v>
      </c>
      <c r="M864">
        <f>MINUTE(Table257[[#This Row],[Corrected time]])</f>
        <v>42</v>
      </c>
      <c r="N864" s="1">
        <v>0.52956969907407403</v>
      </c>
      <c r="O864" s="1">
        <f>Table257[[#This Row],[Time]]-TIME(0,0,3)</f>
        <v>0.5295349768518518</v>
      </c>
      <c r="P864" t="s">
        <v>13</v>
      </c>
      <c r="Q864">
        <f>Q863</f>
        <v>-122</v>
      </c>
      <c r="R864">
        <f>Table257[[#This Row],[RSSI]]</f>
        <v>-122</v>
      </c>
      <c r="S864">
        <f>S863</f>
        <v>-8.8000000000000007</v>
      </c>
    </row>
    <row r="865" spans="2:19" x14ac:dyDescent="0.25">
      <c r="B865">
        <f>390+2*(Table146[[#This Row],[min value (corrected)]]-37)</f>
        <v>420</v>
      </c>
      <c r="C865">
        <f>MINUTE(Table146[[#This Row],[Corrected time]])</f>
        <v>52</v>
      </c>
      <c r="D865" s="1">
        <v>0.49495078703703704</v>
      </c>
      <c r="E865" s="1">
        <f>Table146[[#This Row],[Time]]-TIME(0,0,1)</f>
        <v>0.49493921296296295</v>
      </c>
      <c r="F865" t="s">
        <v>9</v>
      </c>
      <c r="G865">
        <v>-122</v>
      </c>
      <c r="H865">
        <f>Table146[[#This Row],[RSSI]]</f>
        <v>-122</v>
      </c>
      <c r="I865">
        <v>-8.8000000000000007</v>
      </c>
      <c r="L865">
        <f>390+2*(Table257[[#This Row],[min value (corrected)]]-27)</f>
        <v>420</v>
      </c>
      <c r="M865">
        <f>MINUTE(Table257[[#This Row],[Corrected time]])</f>
        <v>42</v>
      </c>
      <c r="N865" s="1">
        <v>0.52958273148148149</v>
      </c>
      <c r="O865" s="1">
        <f>Table257[[#This Row],[Time]]-TIME(0,0,3)</f>
        <v>0.52954800925925927</v>
      </c>
      <c r="P865" t="s">
        <v>9</v>
      </c>
      <c r="Q865">
        <v>-121</v>
      </c>
      <c r="R865">
        <f>Table257[[#This Row],[RSSI]]</f>
        <v>-121</v>
      </c>
      <c r="S865">
        <v>-8</v>
      </c>
    </row>
    <row r="866" spans="2:19" x14ac:dyDescent="0.25">
      <c r="B866">
        <f>390+2*(Table146[[#This Row],[min value (corrected)]]-37)</f>
        <v>420</v>
      </c>
      <c r="C866">
        <f>MINUTE(Table146[[#This Row],[Corrected time]])</f>
        <v>52</v>
      </c>
      <c r="D866" s="1">
        <v>0.49496383101851854</v>
      </c>
      <c r="E866" s="1">
        <f>Table146[[#This Row],[Time]]-TIME(0,0,1)</f>
        <v>0.49495225694444445</v>
      </c>
      <c r="F866" t="s">
        <v>9</v>
      </c>
      <c r="G866">
        <v>-123</v>
      </c>
      <c r="H866">
        <f>Table146[[#This Row],[RSSI]]</f>
        <v>-123</v>
      </c>
      <c r="I866">
        <v>-9.5</v>
      </c>
      <c r="L866">
        <f>390+2*(Table257[[#This Row],[min value (corrected)]]-27)</f>
        <v>420</v>
      </c>
      <c r="M866">
        <f>MINUTE(Table257[[#This Row],[Corrected time]])</f>
        <v>42</v>
      </c>
      <c r="N866" s="1">
        <v>0.52959576388888885</v>
      </c>
      <c r="O866" s="1">
        <f>Table257[[#This Row],[Time]]-TIME(0,0,3)</f>
        <v>0.52956104166666662</v>
      </c>
      <c r="P866" t="s">
        <v>13</v>
      </c>
      <c r="Q866">
        <f>Q865</f>
        <v>-121</v>
      </c>
      <c r="R866">
        <f>Table257[[#This Row],[RSSI]]</f>
        <v>-121</v>
      </c>
      <c r="S866">
        <f>S865</f>
        <v>-8</v>
      </c>
    </row>
    <row r="867" spans="2:19" x14ac:dyDescent="0.25">
      <c r="B867">
        <f>390+2*(Table146[[#This Row],[min value (corrected)]]-37)</f>
        <v>420</v>
      </c>
      <c r="C867">
        <f>MINUTE(Table146[[#This Row],[Corrected time]])</f>
        <v>52</v>
      </c>
      <c r="D867" s="1">
        <v>0.49497686342592589</v>
      </c>
      <c r="E867" s="1">
        <f>Table146[[#This Row],[Time]]-TIME(0,0,1)</f>
        <v>0.4949652893518518</v>
      </c>
      <c r="F867" t="s">
        <v>9</v>
      </c>
      <c r="G867">
        <v>-122</v>
      </c>
      <c r="H867">
        <f>Table146[[#This Row],[RSSI]]</f>
        <v>-122</v>
      </c>
      <c r="I867">
        <v>-8.5</v>
      </c>
      <c r="L867">
        <f>390+2*(Table257[[#This Row],[min value (corrected)]]-27)</f>
        <v>420</v>
      </c>
      <c r="M867">
        <f>MINUTE(Table257[[#This Row],[Corrected time]])</f>
        <v>42</v>
      </c>
      <c r="N867" s="1">
        <v>0.52960879629629631</v>
      </c>
      <c r="O867" s="1">
        <f>Table257[[#This Row],[Time]]-TIME(0,0,3)</f>
        <v>0.52957407407407409</v>
      </c>
      <c r="P867" t="s">
        <v>9</v>
      </c>
      <c r="Q867">
        <v>-123</v>
      </c>
      <c r="R867">
        <f>Table257[[#This Row],[RSSI]]</f>
        <v>-123</v>
      </c>
      <c r="S867">
        <v>-8.8000000000000007</v>
      </c>
    </row>
    <row r="868" spans="2:19" x14ac:dyDescent="0.25">
      <c r="B868">
        <f>390+2*(Table146[[#This Row],[min value (corrected)]]-37)</f>
        <v>420</v>
      </c>
      <c r="C868">
        <f>MINUTE(Table146[[#This Row],[Corrected time]])</f>
        <v>52</v>
      </c>
      <c r="D868" s="1">
        <v>0.49498989583333336</v>
      </c>
      <c r="E868" s="1">
        <f>Table146[[#This Row],[Time]]-TIME(0,0,1)</f>
        <v>0.49497832175925927</v>
      </c>
      <c r="F868" t="s">
        <v>9</v>
      </c>
      <c r="G868">
        <v>-122</v>
      </c>
      <c r="H868">
        <f>Table146[[#This Row],[RSSI]]</f>
        <v>-122</v>
      </c>
      <c r="I868">
        <v>-8.3000000000000007</v>
      </c>
      <c r="L868">
        <f>390+2*(Table257[[#This Row],[min value (corrected)]]-27)</f>
        <v>420</v>
      </c>
      <c r="M868">
        <f>MINUTE(Table257[[#This Row],[Corrected time]])</f>
        <v>42</v>
      </c>
      <c r="N868" s="1">
        <v>0.52962182870370367</v>
      </c>
      <c r="O868" s="1">
        <f>Table257[[#This Row],[Time]]-TIME(0,0,3)</f>
        <v>0.52958710648148144</v>
      </c>
      <c r="P868" t="s">
        <v>9</v>
      </c>
      <c r="Q868">
        <v>-123</v>
      </c>
      <c r="R868">
        <f>Table257[[#This Row],[RSSI]]</f>
        <v>-123</v>
      </c>
      <c r="S868">
        <v>-9.3000000000000007</v>
      </c>
    </row>
    <row r="869" spans="2:19" x14ac:dyDescent="0.25">
      <c r="B869">
        <f>390+2*(Table146[[#This Row],[min value (corrected)]]-37)</f>
        <v>420</v>
      </c>
      <c r="C869">
        <f>MINUTE(Table146[[#This Row],[Corrected time]])</f>
        <v>52</v>
      </c>
      <c r="D869" s="1">
        <v>0.49500291666666668</v>
      </c>
      <c r="E869" s="1">
        <f>Table146[[#This Row],[Time]]-TIME(0,0,1)</f>
        <v>0.49499134259259259</v>
      </c>
      <c r="F869" t="s">
        <v>9</v>
      </c>
      <c r="G869">
        <v>-122</v>
      </c>
      <c r="H869">
        <f>Table146[[#This Row],[RSSI]]</f>
        <v>-122</v>
      </c>
      <c r="I869">
        <v>-8.5</v>
      </c>
      <c r="L869">
        <f>390+2*(Table257[[#This Row],[min value (corrected)]]-27)</f>
        <v>420</v>
      </c>
      <c r="M869">
        <f>MINUTE(Table257[[#This Row],[Corrected time]])</f>
        <v>42</v>
      </c>
      <c r="N869" s="1">
        <v>0.52963486111111113</v>
      </c>
      <c r="O869" s="1">
        <f>Table257[[#This Row],[Time]]-TIME(0,0,3)</f>
        <v>0.5296001388888889</v>
      </c>
      <c r="P869" t="s">
        <v>9</v>
      </c>
      <c r="Q869">
        <v>-122</v>
      </c>
      <c r="R869">
        <f>Table257[[#This Row],[RSSI]]</f>
        <v>-122</v>
      </c>
      <c r="S869">
        <v>-8.8000000000000007</v>
      </c>
    </row>
    <row r="870" spans="2:19" x14ac:dyDescent="0.25">
      <c r="B870">
        <f>390+2*(Table146[[#This Row],[min value (corrected)]]-37)</f>
        <v>420</v>
      </c>
      <c r="C870">
        <f>MINUTE(Table146[[#This Row],[Corrected time]])</f>
        <v>52</v>
      </c>
      <c r="D870" s="1">
        <v>0.49501594907407404</v>
      </c>
      <c r="E870" s="1">
        <f>Table146[[#This Row],[Time]]-TIME(0,0,1)</f>
        <v>0.49500437499999994</v>
      </c>
      <c r="F870" t="s">
        <v>9</v>
      </c>
      <c r="G870">
        <v>-122</v>
      </c>
      <c r="H870">
        <f>Table146[[#This Row],[RSSI]]</f>
        <v>-122</v>
      </c>
      <c r="I870">
        <v>-8.5</v>
      </c>
      <c r="L870">
        <f>390+2*(Table257[[#This Row],[min value (corrected)]]-27)</f>
        <v>420</v>
      </c>
      <c r="M870">
        <f>MINUTE(Table257[[#This Row],[Corrected time]])</f>
        <v>42</v>
      </c>
      <c r="N870" s="1">
        <v>0.52964788194444445</v>
      </c>
      <c r="O870" s="1">
        <f>Table257[[#This Row],[Time]]-TIME(0,0,3)</f>
        <v>0.52961315972222223</v>
      </c>
      <c r="P870" t="s">
        <v>9</v>
      </c>
      <c r="Q870">
        <v>-121</v>
      </c>
      <c r="R870">
        <f>Table257[[#This Row],[RSSI]]</f>
        <v>-121</v>
      </c>
      <c r="S870">
        <v>-8</v>
      </c>
    </row>
    <row r="871" spans="2:19" x14ac:dyDescent="0.25">
      <c r="B871">
        <f>390+2*(Table146[[#This Row],[min value (corrected)]]-37)</f>
        <v>420</v>
      </c>
      <c r="C871">
        <f>MINUTE(Table146[[#This Row],[Corrected time]])</f>
        <v>52</v>
      </c>
      <c r="D871" s="1">
        <v>0.4950289814814815</v>
      </c>
      <c r="E871" s="1">
        <f>Table146[[#This Row],[Time]]-TIME(0,0,1)</f>
        <v>0.49501740740740741</v>
      </c>
      <c r="F871" t="s">
        <v>9</v>
      </c>
      <c r="G871">
        <v>-122</v>
      </c>
      <c r="H871">
        <f>Table146[[#This Row],[RSSI]]</f>
        <v>-122</v>
      </c>
      <c r="I871">
        <v>-8.3000000000000007</v>
      </c>
      <c r="L871">
        <f>390+2*(Table257[[#This Row],[min value (corrected)]]-27)</f>
        <v>420</v>
      </c>
      <c r="M871">
        <f>MINUTE(Table257[[#This Row],[Corrected time]])</f>
        <v>42</v>
      </c>
      <c r="N871" s="1">
        <v>0.52966092592592595</v>
      </c>
      <c r="O871" s="1">
        <f>Table257[[#This Row],[Time]]-TIME(0,0,3)</f>
        <v>0.52962620370370372</v>
      </c>
      <c r="P871" t="s">
        <v>9</v>
      </c>
      <c r="Q871">
        <v>-122</v>
      </c>
      <c r="R871">
        <f>Table257[[#This Row],[RSSI]]</f>
        <v>-122</v>
      </c>
      <c r="S871">
        <v>-8.3000000000000007</v>
      </c>
    </row>
    <row r="872" spans="2:19" x14ac:dyDescent="0.25">
      <c r="B872">
        <f>390+2*(Table146[[#This Row],[min value (corrected)]]-37)</f>
        <v>420</v>
      </c>
      <c r="C872">
        <f>MINUTE(Table146[[#This Row],[Corrected time]])</f>
        <v>52</v>
      </c>
      <c r="D872" s="1">
        <v>0.49504201388888885</v>
      </c>
      <c r="E872" s="1">
        <f>Table146[[#This Row],[Time]]-TIME(0,0,1)</f>
        <v>0.49503043981481476</v>
      </c>
      <c r="F872" t="s">
        <v>9</v>
      </c>
      <c r="G872">
        <v>-122</v>
      </c>
      <c r="H872">
        <f>Table146[[#This Row],[RSSI]]</f>
        <v>-122</v>
      </c>
      <c r="I872">
        <v>-9</v>
      </c>
      <c r="L872">
        <f>390+2*(Table257[[#This Row],[min value (corrected)]]-27)</f>
        <v>420</v>
      </c>
      <c r="M872">
        <f>MINUTE(Table257[[#This Row],[Corrected time]])</f>
        <v>42</v>
      </c>
      <c r="N872" s="1">
        <v>0.52967395833333331</v>
      </c>
      <c r="O872" s="1">
        <f>Table257[[#This Row],[Time]]-TIME(0,0,3)</f>
        <v>0.52963923611111108</v>
      </c>
      <c r="P872" t="s">
        <v>9</v>
      </c>
      <c r="Q872">
        <v>-122</v>
      </c>
      <c r="R872">
        <f>Table257[[#This Row],[RSSI]]</f>
        <v>-122</v>
      </c>
      <c r="S872">
        <v>-8.5</v>
      </c>
    </row>
    <row r="873" spans="2:19" x14ac:dyDescent="0.25">
      <c r="B873">
        <f>390+2*(Table146[[#This Row],[min value (corrected)]]-37)</f>
        <v>420</v>
      </c>
      <c r="C873">
        <f>MINUTE(Table146[[#This Row],[Corrected time]])</f>
        <v>52</v>
      </c>
      <c r="D873" s="1">
        <v>0.49505504629629632</v>
      </c>
      <c r="E873" s="1">
        <f>Table146[[#This Row],[Time]]-TIME(0,0,1)</f>
        <v>0.49504347222222223</v>
      </c>
      <c r="F873" t="s">
        <v>9</v>
      </c>
      <c r="G873">
        <v>-122</v>
      </c>
      <c r="H873">
        <f>Table146[[#This Row],[RSSI]]</f>
        <v>-122</v>
      </c>
      <c r="I873">
        <v>-9.3000000000000007</v>
      </c>
      <c r="L873">
        <f>390+2*(Table257[[#This Row],[min value (corrected)]]-27)</f>
        <v>420</v>
      </c>
      <c r="M873">
        <f>MINUTE(Table257[[#This Row],[Corrected time]])</f>
        <v>42</v>
      </c>
      <c r="N873" s="1">
        <v>0.52968699074074077</v>
      </c>
      <c r="O873" s="1">
        <f>Table257[[#This Row],[Time]]-TIME(0,0,3)</f>
        <v>0.52965226851851854</v>
      </c>
      <c r="P873" t="s">
        <v>9</v>
      </c>
      <c r="Q873">
        <v>-122</v>
      </c>
      <c r="R873">
        <f>Table257[[#This Row],[RSSI]]</f>
        <v>-122</v>
      </c>
      <c r="S873">
        <v>-8</v>
      </c>
    </row>
    <row r="874" spans="2:19" x14ac:dyDescent="0.25">
      <c r="B874">
        <f>390+2*(Table146[[#This Row],[min value (corrected)]]-37)</f>
        <v>420</v>
      </c>
      <c r="C874">
        <f>MINUTE(Table146[[#This Row],[Corrected time]])</f>
        <v>52</v>
      </c>
      <c r="D874" s="1">
        <v>0.49506807870370367</v>
      </c>
      <c r="E874" s="1">
        <f>Table146[[#This Row],[Time]]-TIME(0,0,1)</f>
        <v>0.49505650462962958</v>
      </c>
      <c r="F874" t="s">
        <v>9</v>
      </c>
      <c r="G874">
        <v>-123</v>
      </c>
      <c r="H874">
        <f>Table146[[#This Row],[RSSI]]</f>
        <v>-123</v>
      </c>
      <c r="I874">
        <v>-9.3000000000000007</v>
      </c>
      <c r="L874">
        <f>390+2*(Table257[[#This Row],[min value (corrected)]]-27)</f>
        <v>420</v>
      </c>
      <c r="M874">
        <f>MINUTE(Table257[[#This Row],[Corrected time]])</f>
        <v>42</v>
      </c>
      <c r="N874" s="1">
        <v>0.52970001157407409</v>
      </c>
      <c r="O874" s="1">
        <f>Table257[[#This Row],[Time]]-TIME(0,0,3)</f>
        <v>0.52966528935185186</v>
      </c>
      <c r="P874" t="s">
        <v>9</v>
      </c>
      <c r="Q874">
        <v>-121</v>
      </c>
      <c r="R874">
        <f>Table257[[#This Row],[RSSI]]</f>
        <v>-121</v>
      </c>
      <c r="S874">
        <v>-8</v>
      </c>
    </row>
    <row r="875" spans="2:19" x14ac:dyDescent="0.25">
      <c r="B875">
        <f>390+2*(Table146[[#This Row],[min value (corrected)]]-37)</f>
        <v>420</v>
      </c>
      <c r="C875">
        <f>MINUTE(Table146[[#This Row],[Corrected time]])</f>
        <v>52</v>
      </c>
      <c r="D875" s="1">
        <v>0.49508112268518517</v>
      </c>
      <c r="E875" s="1">
        <f>Table146[[#This Row],[Time]]-TIME(0,0,1)</f>
        <v>0.49506954861111108</v>
      </c>
      <c r="F875" t="s">
        <v>9</v>
      </c>
      <c r="G875">
        <v>-122</v>
      </c>
      <c r="H875">
        <f>Table146[[#This Row],[RSSI]]</f>
        <v>-122</v>
      </c>
      <c r="I875">
        <v>-9</v>
      </c>
      <c r="L875">
        <f>390+2*(Table257[[#This Row],[min value (corrected)]]-27)</f>
        <v>420</v>
      </c>
      <c r="M875">
        <f>MINUTE(Table257[[#This Row],[Corrected time]])</f>
        <v>42</v>
      </c>
      <c r="N875" s="1">
        <v>0.52971304398148156</v>
      </c>
      <c r="O875" s="1">
        <f>Table257[[#This Row],[Time]]-TIME(0,0,3)</f>
        <v>0.52967832175925933</v>
      </c>
      <c r="P875" t="s">
        <v>9</v>
      </c>
      <c r="Q875">
        <v>-122</v>
      </c>
      <c r="R875">
        <f>Table257[[#This Row],[RSSI]]</f>
        <v>-122</v>
      </c>
      <c r="S875">
        <v>-8.3000000000000007</v>
      </c>
    </row>
    <row r="876" spans="2:19" x14ac:dyDescent="0.25">
      <c r="B876">
        <f>390+2*(Table146[[#This Row],[min value (corrected)]]-37)</f>
        <v>420</v>
      </c>
      <c r="C876">
        <f>MINUTE(Table146[[#This Row],[Corrected time]])</f>
        <v>52</v>
      </c>
      <c r="D876" s="1">
        <v>0.49509414351851849</v>
      </c>
      <c r="E876" s="1">
        <f>Table146[[#This Row],[Time]]-TIME(0,0,1)</f>
        <v>0.4950825694444444</v>
      </c>
      <c r="F876" t="s">
        <v>13</v>
      </c>
      <c r="G876">
        <f>G875</f>
        <v>-122</v>
      </c>
      <c r="H876">
        <f>Table146[[#This Row],[RSSI]]</f>
        <v>-122</v>
      </c>
      <c r="I876">
        <f>I875</f>
        <v>-9</v>
      </c>
      <c r="L876">
        <f>390+2*(Table257[[#This Row],[min value (corrected)]]-27)</f>
        <v>420</v>
      </c>
      <c r="M876">
        <f>MINUTE(Table257[[#This Row],[Corrected time]])</f>
        <v>42</v>
      </c>
      <c r="N876" s="1">
        <v>0.52972607638888891</v>
      </c>
      <c r="O876" s="1">
        <f>Table257[[#This Row],[Time]]-TIME(0,0,3)</f>
        <v>0.52969135416666668</v>
      </c>
      <c r="P876" t="s">
        <v>9</v>
      </c>
      <c r="Q876">
        <v>-122</v>
      </c>
      <c r="R876">
        <f>Table257[[#This Row],[RSSI]]</f>
        <v>-122</v>
      </c>
      <c r="S876">
        <v>-8.5</v>
      </c>
    </row>
    <row r="877" spans="2:19" x14ac:dyDescent="0.25">
      <c r="B877">
        <f>390+2*(Table146[[#This Row],[min value (corrected)]]-37)</f>
        <v>420</v>
      </c>
      <c r="C877">
        <f>MINUTE(Table146[[#This Row],[Corrected time]])</f>
        <v>52</v>
      </c>
      <c r="D877" s="1">
        <v>0.49510717592592596</v>
      </c>
      <c r="E877" s="1">
        <f>Table146[[#This Row],[Time]]-TIME(0,0,1)</f>
        <v>0.49509560185185186</v>
      </c>
      <c r="F877" t="s">
        <v>9</v>
      </c>
      <c r="G877">
        <v>-122</v>
      </c>
      <c r="H877">
        <f>Table146[[#This Row],[RSSI]]</f>
        <v>-122</v>
      </c>
      <c r="I877">
        <v>-8.8000000000000007</v>
      </c>
      <c r="L877">
        <f>390+2*(Table257[[#This Row],[min value (corrected)]]-27)</f>
        <v>420</v>
      </c>
      <c r="M877">
        <f>MINUTE(Table257[[#This Row],[Corrected time]])</f>
        <v>42</v>
      </c>
      <c r="N877" s="1">
        <v>0.52973912037037041</v>
      </c>
      <c r="O877" s="1">
        <f>Table257[[#This Row],[Time]]-TIME(0,0,3)</f>
        <v>0.52970439814814818</v>
      </c>
      <c r="P877" t="s">
        <v>9</v>
      </c>
      <c r="Q877">
        <v>-122</v>
      </c>
      <c r="R877">
        <f>Table257[[#This Row],[RSSI]]</f>
        <v>-122</v>
      </c>
      <c r="S877">
        <v>-8.3000000000000007</v>
      </c>
    </row>
    <row r="878" spans="2:19" x14ac:dyDescent="0.25">
      <c r="B878">
        <f>390+2*(Table146[[#This Row],[min value (corrected)]]-37)</f>
        <v>420</v>
      </c>
      <c r="C878">
        <f>MINUTE(Table146[[#This Row],[Corrected time]])</f>
        <v>52</v>
      </c>
      <c r="D878" s="1">
        <v>0.49512021990740746</v>
      </c>
      <c r="E878" s="1">
        <f>Table146[[#This Row],[Time]]-TIME(0,0,1)</f>
        <v>0.49510864583333336</v>
      </c>
      <c r="F878" t="s">
        <v>13</v>
      </c>
      <c r="G878">
        <f>G877</f>
        <v>-122</v>
      </c>
      <c r="H878">
        <f>Table146[[#This Row],[RSSI]]</f>
        <v>-122</v>
      </c>
      <c r="I878">
        <f>I877</f>
        <v>-8.8000000000000007</v>
      </c>
      <c r="L878">
        <f>390+2*(Table257[[#This Row],[min value (corrected)]]-27)</f>
        <v>420</v>
      </c>
      <c r="M878">
        <f>MINUTE(Table257[[#This Row],[Corrected time]])</f>
        <v>42</v>
      </c>
      <c r="N878" s="1">
        <v>0.52975214120370373</v>
      </c>
      <c r="O878" s="1">
        <f>Table257[[#This Row],[Time]]-TIME(0,0,3)</f>
        <v>0.5297174189814815</v>
      </c>
      <c r="P878" t="s">
        <v>9</v>
      </c>
      <c r="Q878">
        <v>-122</v>
      </c>
      <c r="R878">
        <f>Table257[[#This Row],[RSSI]]</f>
        <v>-122</v>
      </c>
      <c r="S878">
        <v>-8.8000000000000007</v>
      </c>
    </row>
    <row r="879" spans="2:19" x14ac:dyDescent="0.25">
      <c r="B879">
        <f>390+2*(Table146[[#This Row],[min value (corrected)]]-37)</f>
        <v>420</v>
      </c>
      <c r="C879">
        <f>MINUTE(Table146[[#This Row],[Corrected time]])</f>
        <v>52</v>
      </c>
      <c r="D879" s="1">
        <v>0.49513325231481481</v>
      </c>
      <c r="E879" s="1">
        <f>Table146[[#This Row],[Time]]-TIME(0,0,1)</f>
        <v>0.49512167824074071</v>
      </c>
      <c r="F879" t="s">
        <v>9</v>
      </c>
      <c r="G879">
        <v>-121</v>
      </c>
      <c r="H879">
        <f>Table146[[#This Row],[RSSI]]</f>
        <v>-121</v>
      </c>
      <c r="I879">
        <v>-8</v>
      </c>
      <c r="L879">
        <f>390+2*(Table257[[#This Row],[min value (corrected)]]-27)</f>
        <v>420</v>
      </c>
      <c r="M879">
        <f>MINUTE(Table257[[#This Row],[Corrected time]])</f>
        <v>42</v>
      </c>
      <c r="N879" s="1">
        <v>0.52976518518518523</v>
      </c>
      <c r="O879" s="1">
        <f>Table257[[#This Row],[Time]]-TIME(0,0,3)</f>
        <v>0.529730462962963</v>
      </c>
      <c r="P879" t="s">
        <v>9</v>
      </c>
      <c r="Q879">
        <v>-122</v>
      </c>
      <c r="R879">
        <f>Table257[[#This Row],[RSSI]]</f>
        <v>-122</v>
      </c>
      <c r="S879">
        <v>-8</v>
      </c>
    </row>
    <row r="880" spans="2:19" x14ac:dyDescent="0.25">
      <c r="B880">
        <f>390+2*(Table146[[#This Row],[min value (corrected)]]-37)</f>
        <v>422</v>
      </c>
      <c r="C880">
        <f>MINUTE(Table146[[#This Row],[Corrected time]])</f>
        <v>53</v>
      </c>
      <c r="D880" s="1">
        <v>0.49514628472222227</v>
      </c>
      <c r="E880" s="1">
        <f>Table146[[#This Row],[Time]]-TIME(0,0,1)</f>
        <v>0.49513471064814818</v>
      </c>
      <c r="F880" t="s">
        <v>13</v>
      </c>
      <c r="G880">
        <f t="shared" ref="G880:G883" si="83">G879</f>
        <v>-121</v>
      </c>
      <c r="H880">
        <f>Table146[[#This Row],[RSSI]]</f>
        <v>-121</v>
      </c>
      <c r="I880">
        <f t="shared" ref="I880:I883" si="84">I879</f>
        <v>-8</v>
      </c>
      <c r="L880">
        <f>390+2*(Table257[[#This Row],[min value (corrected)]]-27)</f>
        <v>420</v>
      </c>
      <c r="M880">
        <f>MINUTE(Table257[[#This Row],[Corrected time]])</f>
        <v>42</v>
      </c>
      <c r="N880" s="1">
        <v>0.52977821759259258</v>
      </c>
      <c r="O880" s="1">
        <f>Table257[[#This Row],[Time]]-TIME(0,0,3)</f>
        <v>0.52974349537037035</v>
      </c>
      <c r="P880" t="s">
        <v>9</v>
      </c>
      <c r="Q880">
        <v>-122</v>
      </c>
      <c r="R880">
        <f>Table257[[#This Row],[RSSI]]</f>
        <v>-122</v>
      </c>
      <c r="S880">
        <v>-8.8000000000000007</v>
      </c>
    </row>
    <row r="881" spans="2:19" x14ac:dyDescent="0.25">
      <c r="B881">
        <f>390+2*(Table146[[#This Row],[min value (corrected)]]-37)</f>
        <v>422</v>
      </c>
      <c r="C881">
        <f>MINUTE(Table146[[#This Row],[Corrected time]])</f>
        <v>53</v>
      </c>
      <c r="D881" s="1">
        <v>0.4951593055555556</v>
      </c>
      <c r="E881" s="1">
        <f>Table146[[#This Row],[Time]]-TIME(0,0,1)</f>
        <v>0.4951477314814815</v>
      </c>
      <c r="F881" t="s">
        <v>13</v>
      </c>
      <c r="G881">
        <f t="shared" si="83"/>
        <v>-121</v>
      </c>
      <c r="H881">
        <f>Table146[[#This Row],[RSSI]]</f>
        <v>-121</v>
      </c>
      <c r="I881">
        <f t="shared" si="84"/>
        <v>-8</v>
      </c>
      <c r="L881">
        <f>390+2*(Table257[[#This Row],[min value (corrected)]]-27)</f>
        <v>420</v>
      </c>
      <c r="M881">
        <f>MINUTE(Table257[[#This Row],[Corrected time]])</f>
        <v>42</v>
      </c>
      <c r="N881" s="1">
        <v>0.52979123842592601</v>
      </c>
      <c r="O881" s="1">
        <f>Table257[[#This Row],[Time]]-TIME(0,0,3)</f>
        <v>0.52975651620370379</v>
      </c>
      <c r="P881" t="s">
        <v>9</v>
      </c>
      <c r="Q881">
        <v>-122</v>
      </c>
      <c r="R881">
        <f>Table257[[#This Row],[RSSI]]</f>
        <v>-122</v>
      </c>
      <c r="S881">
        <v>-9</v>
      </c>
    </row>
    <row r="882" spans="2:19" x14ac:dyDescent="0.25">
      <c r="B882">
        <f>390+2*(Table146[[#This Row],[min value (corrected)]]-37)</f>
        <v>422</v>
      </c>
      <c r="C882">
        <f>MINUTE(Table146[[#This Row],[Corrected time]])</f>
        <v>53</v>
      </c>
      <c r="D882" s="1">
        <v>0.49517233796296295</v>
      </c>
      <c r="E882" s="1">
        <f>Table146[[#This Row],[Time]]-TIME(0,0,1)</f>
        <v>0.49516076388888886</v>
      </c>
      <c r="F882" t="s">
        <v>13</v>
      </c>
      <c r="G882">
        <f t="shared" si="83"/>
        <v>-121</v>
      </c>
      <c r="H882">
        <f>Table146[[#This Row],[RSSI]]</f>
        <v>-121</v>
      </c>
      <c r="I882">
        <f t="shared" si="84"/>
        <v>-8</v>
      </c>
      <c r="L882">
        <f>390+2*(Table257[[#This Row],[min value (corrected)]]-27)</f>
        <v>420</v>
      </c>
      <c r="M882">
        <f>MINUTE(Table257[[#This Row],[Corrected time]])</f>
        <v>42</v>
      </c>
      <c r="N882" s="1">
        <v>0.5298042824074074</v>
      </c>
      <c r="O882" s="1">
        <f>Table257[[#This Row],[Time]]-TIME(0,0,3)</f>
        <v>0.52976956018518517</v>
      </c>
      <c r="P882" t="s">
        <v>9</v>
      </c>
      <c r="Q882">
        <v>-122</v>
      </c>
      <c r="R882">
        <f>Table257[[#This Row],[RSSI]]</f>
        <v>-122</v>
      </c>
      <c r="S882">
        <v>-8.8000000000000007</v>
      </c>
    </row>
    <row r="883" spans="2:19" x14ac:dyDescent="0.25">
      <c r="B883">
        <f>390+2*(Table146[[#This Row],[min value (corrected)]]-37)</f>
        <v>422</v>
      </c>
      <c r="C883">
        <f>MINUTE(Table146[[#This Row],[Corrected time]])</f>
        <v>53</v>
      </c>
      <c r="D883" s="1">
        <v>0.49518537037037041</v>
      </c>
      <c r="E883" s="1">
        <f>Table146[[#This Row],[Time]]-TIME(0,0,1)</f>
        <v>0.49517379629629632</v>
      </c>
      <c r="F883" t="s">
        <v>13</v>
      </c>
      <c r="G883">
        <f t="shared" si="83"/>
        <v>-121</v>
      </c>
      <c r="H883">
        <f>Table146[[#This Row],[RSSI]]</f>
        <v>-121</v>
      </c>
      <c r="I883">
        <f t="shared" si="84"/>
        <v>-8</v>
      </c>
      <c r="L883">
        <f>390+2*(Table257[[#This Row],[min value (corrected)]]-27)</f>
        <v>420</v>
      </c>
      <c r="M883">
        <f>MINUTE(Table257[[#This Row],[Corrected time]])</f>
        <v>42</v>
      </c>
      <c r="N883" s="1">
        <v>0.52981731481481487</v>
      </c>
      <c r="O883" s="1">
        <f>Table257[[#This Row],[Time]]-TIME(0,0,3)</f>
        <v>0.52978259259259264</v>
      </c>
      <c r="P883" t="s">
        <v>27</v>
      </c>
      <c r="Q883">
        <f>Q882</f>
        <v>-122</v>
      </c>
      <c r="R883">
        <f>Table257[[#This Row],[RSSI]]</f>
        <v>-122</v>
      </c>
      <c r="S883">
        <f>S882</f>
        <v>-8.8000000000000007</v>
      </c>
    </row>
    <row r="884" spans="2:19" x14ac:dyDescent="0.25">
      <c r="B884">
        <f>390+2*(Table146[[#This Row],[min value (corrected)]]-37)</f>
        <v>422</v>
      </c>
      <c r="C884">
        <f>MINUTE(Table146[[#This Row],[Corrected time]])</f>
        <v>53</v>
      </c>
      <c r="D884" s="1">
        <v>0.4951984143518518</v>
      </c>
      <c r="E884" s="1">
        <f>Table146[[#This Row],[Time]]-TIME(0,0,1)</f>
        <v>0.49518684027777771</v>
      </c>
      <c r="F884" t="s">
        <v>9</v>
      </c>
      <c r="G884">
        <v>-123</v>
      </c>
      <c r="H884">
        <f>Table146[[#This Row],[RSSI]]</f>
        <v>-123</v>
      </c>
      <c r="I884">
        <v>-9.3000000000000007</v>
      </c>
      <c r="L884">
        <f>390+2*(Table257[[#This Row],[min value (corrected)]]-27)</f>
        <v>420</v>
      </c>
      <c r="M884">
        <f>MINUTE(Table257[[#This Row],[Corrected time]])</f>
        <v>42</v>
      </c>
      <c r="N884" s="1">
        <v>0.52983034722222222</v>
      </c>
      <c r="O884" s="1">
        <f>Table257[[#This Row],[Time]]-TIME(0,0,3)</f>
        <v>0.52979562499999999</v>
      </c>
      <c r="P884" t="s">
        <v>9</v>
      </c>
      <c r="Q884">
        <v>-122</v>
      </c>
      <c r="R884">
        <f>Table257[[#This Row],[RSSI]]</f>
        <v>-122</v>
      </c>
      <c r="S884">
        <v>-8.3000000000000007</v>
      </c>
    </row>
    <row r="885" spans="2:19" x14ac:dyDescent="0.25">
      <c r="B885">
        <f>390+2*(Table146[[#This Row],[min value (corrected)]]-37)</f>
        <v>422</v>
      </c>
      <c r="C885">
        <f>MINUTE(Table146[[#This Row],[Corrected time]])</f>
        <v>53</v>
      </c>
      <c r="D885" s="1">
        <v>0.49521143518518512</v>
      </c>
      <c r="E885" s="1">
        <f>Table146[[#This Row],[Time]]-TIME(0,0,1)</f>
        <v>0.49519986111111103</v>
      </c>
      <c r="F885" t="s">
        <v>9</v>
      </c>
      <c r="G885">
        <v>-123</v>
      </c>
      <c r="H885">
        <f>Table146[[#This Row],[RSSI]]</f>
        <v>-123</v>
      </c>
      <c r="I885">
        <v>-9.8000000000000007</v>
      </c>
      <c r="L885">
        <f>390+2*(Table257[[#This Row],[min value (corrected)]]-27)</f>
        <v>420</v>
      </c>
      <c r="M885">
        <f>MINUTE(Table257[[#This Row],[Corrected time]])</f>
        <v>42</v>
      </c>
      <c r="N885" s="1">
        <v>0.52984337962962968</v>
      </c>
      <c r="O885" s="1">
        <f>Table257[[#This Row],[Time]]-TIME(0,0,3)</f>
        <v>0.52980865740740746</v>
      </c>
      <c r="P885" t="s">
        <v>9</v>
      </c>
      <c r="Q885">
        <v>-122</v>
      </c>
      <c r="R885">
        <f>Table257[[#This Row],[RSSI]]</f>
        <v>-122</v>
      </c>
      <c r="S885">
        <v>-8.3000000000000007</v>
      </c>
    </row>
    <row r="886" spans="2:19" x14ac:dyDescent="0.25">
      <c r="B886">
        <f>390+2*(Table146[[#This Row],[min value (corrected)]]-37)</f>
        <v>422</v>
      </c>
      <c r="C886">
        <f>MINUTE(Table146[[#This Row],[Corrected time]])</f>
        <v>53</v>
      </c>
      <c r="D886" s="1">
        <v>0.49522446759259259</v>
      </c>
      <c r="E886" s="1">
        <f>Table146[[#This Row],[Time]]-TIME(0,0,1)</f>
        <v>0.49521289351851849</v>
      </c>
      <c r="F886" t="s">
        <v>13</v>
      </c>
      <c r="G886">
        <f>G885</f>
        <v>-123</v>
      </c>
      <c r="H886">
        <f>Table146[[#This Row],[RSSI]]</f>
        <v>-123</v>
      </c>
      <c r="I886">
        <f>I885</f>
        <v>-9.8000000000000007</v>
      </c>
      <c r="L886">
        <f>390+2*(Table257[[#This Row],[min value (corrected)]]-27)</f>
        <v>420</v>
      </c>
      <c r="M886">
        <f>MINUTE(Table257[[#This Row],[Corrected time]])</f>
        <v>42</v>
      </c>
      <c r="N886" s="1">
        <v>0.52985641203703704</v>
      </c>
      <c r="O886" s="1">
        <f>Table257[[#This Row],[Time]]-TIME(0,0,3)</f>
        <v>0.52982168981481481</v>
      </c>
      <c r="P886" t="s">
        <v>9</v>
      </c>
      <c r="Q886">
        <v>-122</v>
      </c>
      <c r="R886">
        <f>Table257[[#This Row],[RSSI]]</f>
        <v>-122</v>
      </c>
      <c r="S886">
        <v>-8</v>
      </c>
    </row>
    <row r="887" spans="2:19" x14ac:dyDescent="0.25">
      <c r="B887">
        <f>390+2*(Table146[[#This Row],[min value (corrected)]]-37)</f>
        <v>422</v>
      </c>
      <c r="C887">
        <f>MINUTE(Table146[[#This Row],[Corrected time]])</f>
        <v>53</v>
      </c>
      <c r="D887" s="1">
        <v>0.49523751157407409</v>
      </c>
      <c r="E887" s="1">
        <f>Table146[[#This Row],[Time]]-TIME(0,0,1)</f>
        <v>0.49522593749999999</v>
      </c>
      <c r="F887" t="s">
        <v>9</v>
      </c>
      <c r="G887">
        <v>-122</v>
      </c>
      <c r="H887">
        <f>Table146[[#This Row],[RSSI]]</f>
        <v>-122</v>
      </c>
      <c r="I887">
        <v>-8.8000000000000007</v>
      </c>
      <c r="L887">
        <f>390+2*(Table257[[#This Row],[min value (corrected)]]-27)</f>
        <v>420</v>
      </c>
      <c r="M887">
        <f>MINUTE(Table257[[#This Row],[Corrected time]])</f>
        <v>42</v>
      </c>
      <c r="N887" s="1">
        <v>0.5298694444444445</v>
      </c>
      <c r="O887" s="1">
        <f>Table257[[#This Row],[Time]]-TIME(0,0,3)</f>
        <v>0.52983472222222228</v>
      </c>
      <c r="P887" t="s">
        <v>9</v>
      </c>
      <c r="Q887">
        <v>-122</v>
      </c>
      <c r="R887">
        <f>Table257[[#This Row],[RSSI]]</f>
        <v>-122</v>
      </c>
      <c r="S887">
        <v>-8.8000000000000007</v>
      </c>
    </row>
    <row r="888" spans="2:19" x14ac:dyDescent="0.25">
      <c r="B888">
        <f>390+2*(Table146[[#This Row],[min value (corrected)]]-37)</f>
        <v>422</v>
      </c>
      <c r="C888">
        <f>MINUTE(Table146[[#This Row],[Corrected time]])</f>
        <v>53</v>
      </c>
      <c r="D888" s="1">
        <v>0.49525053240740741</v>
      </c>
      <c r="E888" s="1">
        <f>Table146[[#This Row],[Time]]-TIME(0,0,1)</f>
        <v>0.49523895833333331</v>
      </c>
      <c r="F888" t="s">
        <v>13</v>
      </c>
      <c r="G888">
        <f>G887</f>
        <v>-122</v>
      </c>
      <c r="H888">
        <f>Table146[[#This Row],[RSSI]]</f>
        <v>-122</v>
      </c>
      <c r="I888">
        <f>I887</f>
        <v>-8.8000000000000007</v>
      </c>
      <c r="L888">
        <f>390+2*(Table257[[#This Row],[min value (corrected)]]-27)</f>
        <v>420</v>
      </c>
      <c r="M888">
        <f>MINUTE(Table257[[#This Row],[Corrected time]])</f>
        <v>42</v>
      </c>
      <c r="N888" s="1">
        <v>0.52988247685185186</v>
      </c>
      <c r="O888" s="1">
        <f>Table257[[#This Row],[Time]]-TIME(0,0,3)</f>
        <v>0.52984775462962963</v>
      </c>
      <c r="P888" t="s">
        <v>9</v>
      </c>
      <c r="Q888">
        <v>-122</v>
      </c>
      <c r="R888">
        <f>Table257[[#This Row],[RSSI]]</f>
        <v>-122</v>
      </c>
      <c r="S888">
        <v>-8.5</v>
      </c>
    </row>
    <row r="889" spans="2:19" x14ac:dyDescent="0.25">
      <c r="B889">
        <f>390+2*(Table146[[#This Row],[min value (corrected)]]-37)</f>
        <v>422</v>
      </c>
      <c r="C889">
        <f>MINUTE(Table146[[#This Row],[Corrected time]])</f>
        <v>53</v>
      </c>
      <c r="D889" s="1">
        <v>0.49526356481481476</v>
      </c>
      <c r="E889" s="1">
        <f>Table146[[#This Row],[Time]]-TIME(0,0,1)</f>
        <v>0.49525199074074067</v>
      </c>
      <c r="F889" t="s">
        <v>9</v>
      </c>
      <c r="G889">
        <v>-123</v>
      </c>
      <c r="H889">
        <f>Table146[[#This Row],[RSSI]]</f>
        <v>-123</v>
      </c>
      <c r="I889">
        <v>-8.8000000000000007</v>
      </c>
      <c r="L889">
        <f>390+2*(Table257[[#This Row],[min value (corrected)]]-27)</f>
        <v>422</v>
      </c>
      <c r="M889">
        <f>MINUTE(Table257[[#This Row],[Corrected time]])</f>
        <v>43</v>
      </c>
      <c r="N889" s="1">
        <v>0.52989549768518518</v>
      </c>
      <c r="O889" s="1">
        <f>Table257[[#This Row],[Time]]-TIME(0,0,3)</f>
        <v>0.52986077546296295</v>
      </c>
      <c r="P889" t="s">
        <v>13</v>
      </c>
      <c r="Q889">
        <f t="shared" ref="Q889:Q890" si="85">Q888</f>
        <v>-122</v>
      </c>
      <c r="R889">
        <f>Table257[[#This Row],[RSSI]]</f>
        <v>-122</v>
      </c>
      <c r="S889">
        <f t="shared" ref="S889:S890" si="86">S888</f>
        <v>-8.5</v>
      </c>
    </row>
    <row r="890" spans="2:19" x14ac:dyDescent="0.25">
      <c r="B890">
        <f>390+2*(Table146[[#This Row],[min value (corrected)]]-37)</f>
        <v>422</v>
      </c>
      <c r="C890">
        <f>MINUTE(Table146[[#This Row],[Corrected time]])</f>
        <v>53</v>
      </c>
      <c r="D890" s="1">
        <v>0.49527660879629626</v>
      </c>
      <c r="E890" s="1">
        <f>Table146[[#This Row],[Time]]-TIME(0,0,1)</f>
        <v>0.49526503472222216</v>
      </c>
      <c r="F890" t="s">
        <v>13</v>
      </c>
      <c r="G890">
        <f t="shared" ref="G890:G891" si="87">G889</f>
        <v>-123</v>
      </c>
      <c r="H890">
        <f>Table146[[#This Row],[RSSI]]</f>
        <v>-123</v>
      </c>
      <c r="I890">
        <f t="shared" ref="I890:I891" si="88">I889</f>
        <v>-8.8000000000000007</v>
      </c>
      <c r="L890">
        <f>390+2*(Table257[[#This Row],[min value (corrected)]]-27)</f>
        <v>422</v>
      </c>
      <c r="M890">
        <f>MINUTE(Table257[[#This Row],[Corrected time]])</f>
        <v>43</v>
      </c>
      <c r="N890" s="1">
        <v>0.5299085185185185</v>
      </c>
      <c r="O890" s="1">
        <f>Table257[[#This Row],[Time]]-TIME(0,0,3)</f>
        <v>0.52987379629629627</v>
      </c>
      <c r="P890" t="s">
        <v>13</v>
      </c>
      <c r="Q890">
        <f t="shared" si="85"/>
        <v>-122</v>
      </c>
      <c r="R890">
        <f>Table257[[#This Row],[RSSI]]</f>
        <v>-122</v>
      </c>
      <c r="S890">
        <f t="shared" si="86"/>
        <v>-8.5</v>
      </c>
    </row>
    <row r="891" spans="2:19" x14ac:dyDescent="0.25">
      <c r="B891">
        <f>390+2*(Table146[[#This Row],[min value (corrected)]]-37)</f>
        <v>422</v>
      </c>
      <c r="C891">
        <f>MINUTE(Table146[[#This Row],[Corrected time]])</f>
        <v>53</v>
      </c>
      <c r="D891" s="1">
        <v>0.49528962962962958</v>
      </c>
      <c r="E891" s="1">
        <f>Table146[[#This Row],[Time]]-TIME(0,0,1)</f>
        <v>0.49527805555555549</v>
      </c>
      <c r="F891" t="s">
        <v>27</v>
      </c>
      <c r="G891">
        <f t="shared" si="87"/>
        <v>-123</v>
      </c>
      <c r="H891">
        <f>Table146[[#This Row],[RSSI]]</f>
        <v>-123</v>
      </c>
      <c r="I891">
        <f t="shared" si="88"/>
        <v>-8.8000000000000007</v>
      </c>
      <c r="L891">
        <f>390+2*(Table257[[#This Row],[min value (corrected)]]-27)</f>
        <v>422</v>
      </c>
      <c r="M891">
        <f>MINUTE(Table257[[#This Row],[Corrected time]])</f>
        <v>43</v>
      </c>
      <c r="N891" s="1">
        <v>0.52992157407407414</v>
      </c>
      <c r="O891" s="1">
        <f>Table257[[#This Row],[Time]]-TIME(0,0,3)</f>
        <v>0.52988685185185191</v>
      </c>
      <c r="P891" t="s">
        <v>9</v>
      </c>
      <c r="Q891">
        <v>-123</v>
      </c>
      <c r="R891">
        <f>Table257[[#This Row],[RSSI]]</f>
        <v>-123</v>
      </c>
      <c r="S891">
        <v>-9</v>
      </c>
    </row>
    <row r="892" spans="2:19" x14ac:dyDescent="0.25">
      <c r="B892">
        <f>390+2*(Table146[[#This Row],[min value (corrected)]]-37)</f>
        <v>422</v>
      </c>
      <c r="C892">
        <f>MINUTE(Table146[[#This Row],[Corrected time]])</f>
        <v>53</v>
      </c>
      <c r="D892" s="1">
        <v>0.49530266203703704</v>
      </c>
      <c r="E892" s="1">
        <f>Table146[[#This Row],[Time]]-TIME(0,0,1)</f>
        <v>0.49529108796296295</v>
      </c>
      <c r="F892" t="s">
        <v>9</v>
      </c>
      <c r="G892">
        <v>-122</v>
      </c>
      <c r="H892">
        <f>Table146[[#This Row],[RSSI]]</f>
        <v>-122</v>
      </c>
      <c r="I892">
        <v>-9</v>
      </c>
      <c r="L892">
        <f>390+2*(Table257[[#This Row],[min value (corrected)]]-27)</f>
        <v>422</v>
      </c>
      <c r="M892">
        <f>MINUTE(Table257[[#This Row],[Corrected time]])</f>
        <v>43</v>
      </c>
      <c r="N892" s="1">
        <v>0.5299346064814815</v>
      </c>
      <c r="O892" s="1">
        <f>Table257[[#This Row],[Time]]-TIME(0,0,3)</f>
        <v>0.52989988425925927</v>
      </c>
      <c r="P892" t="s">
        <v>13</v>
      </c>
      <c r="Q892">
        <f t="shared" ref="Q892:Q894" si="89">Q891</f>
        <v>-123</v>
      </c>
      <c r="R892">
        <f>Table257[[#This Row],[RSSI]]</f>
        <v>-123</v>
      </c>
      <c r="S892">
        <f t="shared" ref="S892:S894" si="90">S891</f>
        <v>-9</v>
      </c>
    </row>
    <row r="893" spans="2:19" x14ac:dyDescent="0.25">
      <c r="B893">
        <f>390+2*(Table146[[#This Row],[min value (corrected)]]-37)</f>
        <v>422</v>
      </c>
      <c r="C893">
        <f>MINUTE(Table146[[#This Row],[Corrected time]])</f>
        <v>53</v>
      </c>
      <c r="D893" s="1">
        <v>0.49531570601851854</v>
      </c>
      <c r="E893" s="1">
        <f>Table146[[#This Row],[Time]]-TIME(0,0,1)</f>
        <v>0.49530413194444445</v>
      </c>
      <c r="F893" t="s">
        <v>9</v>
      </c>
      <c r="G893">
        <v>-122</v>
      </c>
      <c r="H893">
        <f>Table146[[#This Row],[RSSI]]</f>
        <v>-122</v>
      </c>
      <c r="I893">
        <v>-8.8000000000000007</v>
      </c>
      <c r="L893">
        <f>390+2*(Table257[[#This Row],[min value (corrected)]]-27)</f>
        <v>422</v>
      </c>
      <c r="M893">
        <f>MINUTE(Table257[[#This Row],[Corrected time]])</f>
        <v>43</v>
      </c>
      <c r="N893" s="1">
        <v>0.52994763888888896</v>
      </c>
      <c r="O893" s="1">
        <f>Table257[[#This Row],[Time]]-TIME(0,0,3)</f>
        <v>0.52991291666666673</v>
      </c>
      <c r="P893" t="s">
        <v>13</v>
      </c>
      <c r="Q893">
        <f t="shared" si="89"/>
        <v>-123</v>
      </c>
      <c r="R893">
        <f>Table257[[#This Row],[RSSI]]</f>
        <v>-123</v>
      </c>
      <c r="S893">
        <f t="shared" si="90"/>
        <v>-9</v>
      </c>
    </row>
    <row r="894" spans="2:19" x14ac:dyDescent="0.25">
      <c r="B894">
        <f>390+2*(Table146[[#This Row],[min value (corrected)]]-37)</f>
        <v>422</v>
      </c>
      <c r="C894">
        <f>MINUTE(Table146[[#This Row],[Corrected time]])</f>
        <v>53</v>
      </c>
      <c r="D894" s="1">
        <v>0.4953287384259259</v>
      </c>
      <c r="E894" s="1">
        <f>Table146[[#This Row],[Time]]-TIME(0,0,1)</f>
        <v>0.4953171643518518</v>
      </c>
      <c r="F894" t="s">
        <v>13</v>
      </c>
      <c r="G894">
        <f>G893</f>
        <v>-122</v>
      </c>
      <c r="H894">
        <f>Table146[[#This Row],[RSSI]]</f>
        <v>-122</v>
      </c>
      <c r="I894">
        <f>I893</f>
        <v>-8.8000000000000007</v>
      </c>
      <c r="L894">
        <f>390+2*(Table257[[#This Row],[min value (corrected)]]-27)</f>
        <v>422</v>
      </c>
      <c r="M894">
        <f>MINUTE(Table257[[#This Row],[Corrected time]])</f>
        <v>43</v>
      </c>
      <c r="N894" s="1">
        <v>0.52996065972222228</v>
      </c>
      <c r="O894" s="1">
        <f>Table257[[#This Row],[Time]]-TIME(0,0,3)</f>
        <v>0.52992593750000005</v>
      </c>
      <c r="P894" t="s">
        <v>13</v>
      </c>
      <c r="Q894">
        <f t="shared" si="89"/>
        <v>-123</v>
      </c>
      <c r="R894">
        <f>Table257[[#This Row],[RSSI]]</f>
        <v>-123</v>
      </c>
      <c r="S894">
        <f t="shared" si="90"/>
        <v>-9</v>
      </c>
    </row>
    <row r="895" spans="2:19" x14ac:dyDescent="0.25">
      <c r="B895">
        <f>390+2*(Table146[[#This Row],[min value (corrected)]]-37)</f>
        <v>422</v>
      </c>
      <c r="C895">
        <f>MINUTE(Table146[[#This Row],[Corrected time]])</f>
        <v>53</v>
      </c>
      <c r="D895" s="1">
        <v>0.49534175925925922</v>
      </c>
      <c r="E895" s="1">
        <f>Table146[[#This Row],[Time]]-TIME(0,0,1)</f>
        <v>0.49533018518518512</v>
      </c>
      <c r="F895" t="s">
        <v>9</v>
      </c>
      <c r="G895">
        <v>-122</v>
      </c>
      <c r="H895">
        <f>Table146[[#This Row],[RSSI]]</f>
        <v>-122</v>
      </c>
      <c r="I895">
        <v>-8.8000000000000007</v>
      </c>
      <c r="L895">
        <f>390+2*(Table257[[#This Row],[min value (corrected)]]-27)</f>
        <v>422</v>
      </c>
      <c r="M895">
        <f>MINUTE(Table257[[#This Row],[Corrected time]])</f>
        <v>43</v>
      </c>
      <c r="N895" s="1">
        <v>0.52997370370370378</v>
      </c>
      <c r="O895" s="1">
        <f>Table257[[#This Row],[Time]]-TIME(0,0,3)</f>
        <v>0.52993898148148155</v>
      </c>
      <c r="P895" t="s">
        <v>9</v>
      </c>
      <c r="Q895">
        <v>-122</v>
      </c>
      <c r="R895">
        <f>Table257[[#This Row],[RSSI]]</f>
        <v>-122</v>
      </c>
      <c r="S895">
        <v>-8.8000000000000007</v>
      </c>
    </row>
    <row r="896" spans="2:19" x14ac:dyDescent="0.25">
      <c r="B896">
        <f>390+2*(Table146[[#This Row],[min value (corrected)]]-37)</f>
        <v>422</v>
      </c>
      <c r="C896">
        <f>MINUTE(Table146[[#This Row],[Corrected time]])</f>
        <v>53</v>
      </c>
      <c r="D896" s="1">
        <v>0.49535479166666668</v>
      </c>
      <c r="E896" s="1">
        <f>Table146[[#This Row],[Time]]-TIME(0,0,1)</f>
        <v>0.49534321759259259</v>
      </c>
      <c r="F896" t="s">
        <v>9</v>
      </c>
      <c r="G896">
        <v>-123</v>
      </c>
      <c r="H896">
        <f>Table146[[#This Row],[RSSI]]</f>
        <v>-123</v>
      </c>
      <c r="I896">
        <v>-9</v>
      </c>
      <c r="L896">
        <f>390+2*(Table257[[#This Row],[min value (corrected)]]-27)</f>
        <v>422</v>
      </c>
      <c r="M896">
        <f>MINUTE(Table257[[#This Row],[Corrected time]])</f>
        <v>43</v>
      </c>
      <c r="N896" s="1">
        <v>0.52998673611111113</v>
      </c>
      <c r="O896" s="1">
        <f>Table257[[#This Row],[Time]]-TIME(0,0,3)</f>
        <v>0.52995201388888891</v>
      </c>
      <c r="P896" t="s">
        <v>13</v>
      </c>
      <c r="Q896">
        <f>Q895</f>
        <v>-122</v>
      </c>
      <c r="R896">
        <f>Table257[[#This Row],[RSSI]]</f>
        <v>-122</v>
      </c>
      <c r="S896">
        <f>S895</f>
        <v>-8.8000000000000007</v>
      </c>
    </row>
    <row r="897" spans="2:19" x14ac:dyDescent="0.25">
      <c r="B897">
        <f>390+2*(Table146[[#This Row],[min value (corrected)]]-37)</f>
        <v>422</v>
      </c>
      <c r="C897">
        <f>MINUTE(Table146[[#This Row],[Corrected time]])</f>
        <v>53</v>
      </c>
      <c r="D897" s="1">
        <v>0.49536783564814818</v>
      </c>
      <c r="E897" s="1">
        <f>Table146[[#This Row],[Time]]-TIME(0,0,1)</f>
        <v>0.49535626157407409</v>
      </c>
      <c r="F897" t="s">
        <v>9</v>
      </c>
      <c r="G897">
        <v>-122</v>
      </c>
      <c r="H897">
        <f>Table146[[#This Row],[RSSI]]</f>
        <v>-122</v>
      </c>
      <c r="I897">
        <v>-8.5</v>
      </c>
      <c r="L897">
        <f>390+2*(Table257[[#This Row],[min value (corrected)]]-27)</f>
        <v>422</v>
      </c>
      <c r="M897">
        <f>MINUTE(Table257[[#This Row],[Corrected time]])</f>
        <v>43</v>
      </c>
      <c r="N897" s="1">
        <v>0.5299997685185186</v>
      </c>
      <c r="O897" s="1">
        <f>Table257[[#This Row],[Time]]-TIME(0,0,3)</f>
        <v>0.52996504629629637</v>
      </c>
      <c r="P897" t="s">
        <v>9</v>
      </c>
      <c r="Q897">
        <v>-122</v>
      </c>
      <c r="R897">
        <f>Table257[[#This Row],[RSSI]]</f>
        <v>-122</v>
      </c>
      <c r="S897">
        <v>-8</v>
      </c>
    </row>
    <row r="898" spans="2:19" x14ac:dyDescent="0.25">
      <c r="B898">
        <f>390+2*(Table146[[#This Row],[min value (corrected)]]-37)</f>
        <v>422</v>
      </c>
      <c r="C898">
        <f>MINUTE(Table146[[#This Row],[Corrected time]])</f>
        <v>53</v>
      </c>
      <c r="D898" s="1">
        <v>0.4953808564814815</v>
      </c>
      <c r="E898" s="1">
        <f>Table146[[#This Row],[Time]]-TIME(0,0,1)</f>
        <v>0.49536928240740741</v>
      </c>
      <c r="F898" t="s">
        <v>9</v>
      </c>
      <c r="G898">
        <v>-122</v>
      </c>
      <c r="H898">
        <f>Table146[[#This Row],[RSSI]]</f>
        <v>-122</v>
      </c>
      <c r="I898">
        <v>-9</v>
      </c>
      <c r="L898">
        <f>390+2*(Table257[[#This Row],[min value (corrected)]]-27)</f>
        <v>422</v>
      </c>
      <c r="M898">
        <f>MINUTE(Table257[[#This Row],[Corrected time]])</f>
        <v>43</v>
      </c>
      <c r="N898" s="1">
        <v>0.53001277777777778</v>
      </c>
      <c r="O898" s="1">
        <f>Table257[[#This Row],[Time]]-TIME(0,0,3)</f>
        <v>0.52997805555555555</v>
      </c>
      <c r="P898" t="s">
        <v>9</v>
      </c>
      <c r="Q898">
        <v>-122</v>
      </c>
      <c r="R898">
        <f>Table257[[#This Row],[RSSI]]</f>
        <v>-122</v>
      </c>
      <c r="S898">
        <v>-8.3000000000000007</v>
      </c>
    </row>
    <row r="899" spans="2:19" x14ac:dyDescent="0.25">
      <c r="B899">
        <f>390+2*(Table146[[#This Row],[min value (corrected)]]-37)</f>
        <v>422</v>
      </c>
      <c r="C899">
        <f>MINUTE(Table146[[#This Row],[Corrected time]])</f>
        <v>53</v>
      </c>
      <c r="D899" s="1">
        <v>0.49539388888888886</v>
      </c>
      <c r="E899" s="1">
        <f>Table146[[#This Row],[Time]]-TIME(0,0,1)</f>
        <v>0.49538231481481476</v>
      </c>
      <c r="F899" t="s">
        <v>13</v>
      </c>
      <c r="G899">
        <f>G898</f>
        <v>-122</v>
      </c>
      <c r="H899">
        <f>Table146[[#This Row],[RSSI]]</f>
        <v>-122</v>
      </c>
      <c r="I899">
        <f>I898</f>
        <v>-9</v>
      </c>
      <c r="L899">
        <f>390+2*(Table257[[#This Row],[min value (corrected)]]-27)</f>
        <v>422</v>
      </c>
      <c r="M899">
        <f>MINUTE(Table257[[#This Row],[Corrected time]])</f>
        <v>43</v>
      </c>
      <c r="N899" s="1">
        <v>0.53002583333333342</v>
      </c>
      <c r="O899" s="1">
        <f>Table257[[#This Row],[Time]]-TIME(0,0,3)</f>
        <v>0.52999111111111119</v>
      </c>
      <c r="P899" t="s">
        <v>9</v>
      </c>
      <c r="Q899">
        <v>-122</v>
      </c>
      <c r="R899">
        <f>Table257[[#This Row],[RSSI]]</f>
        <v>-122</v>
      </c>
      <c r="S899">
        <v>-8.5</v>
      </c>
    </row>
    <row r="900" spans="2:19" x14ac:dyDescent="0.25">
      <c r="B900">
        <f>390+2*(Table146[[#This Row],[min value (corrected)]]-37)</f>
        <v>422</v>
      </c>
      <c r="C900">
        <f>MINUTE(Table146[[#This Row],[Corrected time]])</f>
        <v>53</v>
      </c>
      <c r="D900" s="1">
        <v>0.49540692129629632</v>
      </c>
      <c r="E900" s="1">
        <f>Table146[[#This Row],[Time]]-TIME(0,0,1)</f>
        <v>0.49539534722222223</v>
      </c>
      <c r="F900" t="s">
        <v>9</v>
      </c>
      <c r="G900">
        <v>-122</v>
      </c>
      <c r="H900">
        <f>Table146[[#This Row],[RSSI]]</f>
        <v>-122</v>
      </c>
      <c r="I900">
        <v>-8.8000000000000007</v>
      </c>
      <c r="L900">
        <f>390+2*(Table257[[#This Row],[min value (corrected)]]-27)</f>
        <v>422</v>
      </c>
      <c r="M900">
        <f>MINUTE(Table257[[#This Row],[Corrected time]])</f>
        <v>43</v>
      </c>
      <c r="N900" s="1">
        <v>0.53003886574074077</v>
      </c>
      <c r="O900" s="1">
        <f>Table257[[#This Row],[Time]]-TIME(0,0,3)</f>
        <v>0.53000414351851854</v>
      </c>
      <c r="P900" t="s">
        <v>13</v>
      </c>
      <c r="Q900">
        <f>Q899</f>
        <v>-122</v>
      </c>
      <c r="R900">
        <f>Table257[[#This Row],[RSSI]]</f>
        <v>-122</v>
      </c>
      <c r="S900">
        <f>S899</f>
        <v>-8.5</v>
      </c>
    </row>
    <row r="901" spans="2:19" x14ac:dyDescent="0.25">
      <c r="B901">
        <f>390+2*(Table146[[#This Row],[min value (corrected)]]-37)</f>
        <v>422</v>
      </c>
      <c r="C901">
        <f>MINUTE(Table146[[#This Row],[Corrected time]])</f>
        <v>53</v>
      </c>
      <c r="D901" s="1">
        <v>0.49541995370370367</v>
      </c>
      <c r="E901" s="1">
        <f>Table146[[#This Row],[Time]]-TIME(0,0,1)</f>
        <v>0.49540837962962958</v>
      </c>
      <c r="F901" t="s">
        <v>13</v>
      </c>
      <c r="G901">
        <f>G900</f>
        <v>-122</v>
      </c>
      <c r="H901">
        <f>Table146[[#This Row],[RSSI]]</f>
        <v>-122</v>
      </c>
      <c r="I901">
        <f>I900</f>
        <v>-8.8000000000000007</v>
      </c>
      <c r="L901">
        <f>390+2*(Table257[[#This Row],[min value (corrected)]]-27)</f>
        <v>422</v>
      </c>
      <c r="M901">
        <f>MINUTE(Table257[[#This Row],[Corrected time]])</f>
        <v>43</v>
      </c>
      <c r="N901" s="1">
        <v>0.53005188657407409</v>
      </c>
      <c r="O901" s="1">
        <f>Table257[[#This Row],[Time]]-TIME(0,0,3)</f>
        <v>0.53001716435185187</v>
      </c>
      <c r="P901" t="s">
        <v>9</v>
      </c>
      <c r="Q901">
        <v>-123</v>
      </c>
      <c r="R901">
        <f>Table257[[#This Row],[RSSI]]</f>
        <v>-123</v>
      </c>
      <c r="S901">
        <v>-9.5</v>
      </c>
    </row>
    <row r="902" spans="2:19" x14ac:dyDescent="0.25">
      <c r="B902">
        <f>390+2*(Table146[[#This Row],[min value (corrected)]]-37)</f>
        <v>422</v>
      </c>
      <c r="C902">
        <f>MINUTE(Table146[[#This Row],[Corrected time]])</f>
        <v>53</v>
      </c>
      <c r="D902" s="1">
        <v>0.49543298611111114</v>
      </c>
      <c r="E902" s="1">
        <f>Table146[[#This Row],[Time]]-TIME(0,0,1)</f>
        <v>0.49542141203703705</v>
      </c>
      <c r="F902" t="s">
        <v>9</v>
      </c>
      <c r="G902">
        <v>-122</v>
      </c>
      <c r="H902">
        <f>Table146[[#This Row],[RSSI]]</f>
        <v>-122</v>
      </c>
      <c r="I902">
        <v>-8.5</v>
      </c>
      <c r="L902">
        <f>390+2*(Table257[[#This Row],[min value (corrected)]]-27)</f>
        <v>422</v>
      </c>
      <c r="M902">
        <f>MINUTE(Table257[[#This Row],[Corrected time]])</f>
        <v>43</v>
      </c>
      <c r="N902" s="1">
        <v>0.53006493055555559</v>
      </c>
      <c r="O902" s="1">
        <f>Table257[[#This Row],[Time]]-TIME(0,0,3)</f>
        <v>0.53003020833333336</v>
      </c>
      <c r="P902" t="s">
        <v>9</v>
      </c>
      <c r="Q902">
        <v>-123</v>
      </c>
      <c r="R902">
        <f>Table257[[#This Row],[RSSI]]</f>
        <v>-123</v>
      </c>
      <c r="S902">
        <v>-9</v>
      </c>
    </row>
    <row r="903" spans="2:19" x14ac:dyDescent="0.25">
      <c r="B903">
        <f>390+2*(Table146[[#This Row],[min value (corrected)]]-37)</f>
        <v>422</v>
      </c>
      <c r="C903">
        <f>MINUTE(Table146[[#This Row],[Corrected time]])</f>
        <v>53</v>
      </c>
      <c r="D903" s="1">
        <v>0.49544601851851849</v>
      </c>
      <c r="E903" s="1">
        <f>Table146[[#This Row],[Time]]-TIME(0,0,1)</f>
        <v>0.4954344444444444</v>
      </c>
      <c r="F903" t="s">
        <v>9</v>
      </c>
      <c r="G903">
        <v>-122</v>
      </c>
      <c r="H903">
        <f>Table146[[#This Row],[RSSI]]</f>
        <v>-122</v>
      </c>
      <c r="I903">
        <v>-8.5</v>
      </c>
      <c r="L903">
        <f>390+2*(Table257[[#This Row],[min value (corrected)]]-27)</f>
        <v>422</v>
      </c>
      <c r="M903">
        <f>MINUTE(Table257[[#This Row],[Corrected time]])</f>
        <v>43</v>
      </c>
      <c r="N903" s="1">
        <v>0.53007795138888891</v>
      </c>
      <c r="O903" s="1">
        <f>Table257[[#This Row],[Time]]-TIME(0,0,3)</f>
        <v>0.53004322916666669</v>
      </c>
      <c r="P903" t="s">
        <v>9</v>
      </c>
      <c r="Q903">
        <v>-122</v>
      </c>
      <c r="R903">
        <f>Table257[[#This Row],[RSSI]]</f>
        <v>-122</v>
      </c>
      <c r="S903">
        <v>-8.8000000000000007</v>
      </c>
    </row>
    <row r="904" spans="2:19" x14ac:dyDescent="0.25">
      <c r="B904">
        <f>390+2*(Table146[[#This Row],[min value (corrected)]]-37)</f>
        <v>422</v>
      </c>
      <c r="C904">
        <f>MINUTE(Table146[[#This Row],[Corrected time]])</f>
        <v>53</v>
      </c>
      <c r="D904" s="1">
        <v>0.4954590509259259</v>
      </c>
      <c r="E904" s="1">
        <f>Table146[[#This Row],[Time]]-TIME(0,0,1)</f>
        <v>0.49544747685185181</v>
      </c>
      <c r="F904" t="s">
        <v>9</v>
      </c>
      <c r="G904">
        <v>-121</v>
      </c>
      <c r="H904">
        <f>Table146[[#This Row],[RSSI]]</f>
        <v>-121</v>
      </c>
      <c r="I904">
        <v>-7.7</v>
      </c>
      <c r="L904">
        <f>390+2*(Table257[[#This Row],[min value (corrected)]]-27)</f>
        <v>422</v>
      </c>
      <c r="M904">
        <f>MINUTE(Table257[[#This Row],[Corrected time]])</f>
        <v>43</v>
      </c>
      <c r="N904" s="1">
        <v>0.53009098379629627</v>
      </c>
      <c r="O904" s="1">
        <f>Table257[[#This Row],[Time]]-TIME(0,0,3)</f>
        <v>0.53005626157407404</v>
      </c>
      <c r="P904" t="s">
        <v>9</v>
      </c>
      <c r="Q904">
        <v>-122</v>
      </c>
      <c r="R904">
        <f>Table257[[#This Row],[RSSI]]</f>
        <v>-122</v>
      </c>
      <c r="S904">
        <v>-8.5</v>
      </c>
    </row>
    <row r="905" spans="2:19" x14ac:dyDescent="0.25">
      <c r="B905">
        <f>390+2*(Table146[[#This Row],[min value (corrected)]]-37)</f>
        <v>422</v>
      </c>
      <c r="C905">
        <f>MINUTE(Table146[[#This Row],[Corrected time]])</f>
        <v>53</v>
      </c>
      <c r="D905" s="1">
        <v>0.49547208333333331</v>
      </c>
      <c r="E905" s="1">
        <f>Table146[[#This Row],[Time]]-TIME(0,0,1)</f>
        <v>0.49546050925925922</v>
      </c>
      <c r="F905" t="s">
        <v>9</v>
      </c>
      <c r="G905">
        <v>-122</v>
      </c>
      <c r="H905">
        <f>Table146[[#This Row],[RSSI]]</f>
        <v>-122</v>
      </c>
      <c r="I905">
        <v>-8</v>
      </c>
      <c r="L905">
        <f>390+2*(Table257[[#This Row],[min value (corrected)]]-27)</f>
        <v>422</v>
      </c>
      <c r="M905">
        <f>MINUTE(Table257[[#This Row],[Corrected time]])</f>
        <v>43</v>
      </c>
      <c r="N905" s="1">
        <v>0.53010402777777776</v>
      </c>
      <c r="O905" s="1">
        <f>Table257[[#This Row],[Time]]-TIME(0,0,3)</f>
        <v>0.53006930555555554</v>
      </c>
      <c r="P905" t="s">
        <v>9</v>
      </c>
      <c r="Q905">
        <v>-122</v>
      </c>
      <c r="R905">
        <f>Table257[[#This Row],[RSSI]]</f>
        <v>-122</v>
      </c>
      <c r="S905">
        <v>-8</v>
      </c>
    </row>
    <row r="906" spans="2:19" x14ac:dyDescent="0.25">
      <c r="B906">
        <f>390+2*(Table146[[#This Row],[min value (corrected)]]-37)</f>
        <v>422</v>
      </c>
      <c r="C906">
        <f>MINUTE(Table146[[#This Row],[Corrected time]])</f>
        <v>53</v>
      </c>
      <c r="D906" s="1">
        <v>0.49548511574074072</v>
      </c>
      <c r="E906" s="1">
        <f>Table146[[#This Row],[Time]]-TIME(0,0,1)</f>
        <v>0.49547354166666663</v>
      </c>
      <c r="F906" t="s">
        <v>13</v>
      </c>
      <c r="G906">
        <f>G905</f>
        <v>-122</v>
      </c>
      <c r="H906">
        <f>Table146[[#This Row],[RSSI]]</f>
        <v>-122</v>
      </c>
      <c r="I906">
        <f>I905</f>
        <v>-8</v>
      </c>
      <c r="L906">
        <f>390+2*(Table257[[#This Row],[min value (corrected)]]-27)</f>
        <v>422</v>
      </c>
      <c r="M906">
        <f>MINUTE(Table257[[#This Row],[Corrected time]])</f>
        <v>43</v>
      </c>
      <c r="N906" s="1">
        <v>0.53011706018518523</v>
      </c>
      <c r="O906" s="1">
        <f>Table257[[#This Row],[Time]]-TIME(0,0,3)</f>
        <v>0.530082337962963</v>
      </c>
      <c r="P906" t="s">
        <v>9</v>
      </c>
      <c r="Q906">
        <v>-122</v>
      </c>
      <c r="R906">
        <f>Table257[[#This Row],[RSSI]]</f>
        <v>-122</v>
      </c>
      <c r="S906">
        <v>-8.5</v>
      </c>
    </row>
    <row r="907" spans="2:19" x14ac:dyDescent="0.25">
      <c r="B907">
        <f>390+2*(Table146[[#This Row],[min value (corrected)]]-37)</f>
        <v>422</v>
      </c>
      <c r="C907">
        <f>MINUTE(Table146[[#This Row],[Corrected time]])</f>
        <v>53</v>
      </c>
      <c r="D907" s="1">
        <v>0.49549814814814813</v>
      </c>
      <c r="E907" s="1">
        <f>Table146[[#This Row],[Time]]-TIME(0,0,1)</f>
        <v>0.49548657407407404</v>
      </c>
      <c r="F907" t="s">
        <v>9</v>
      </c>
      <c r="G907">
        <v>-123</v>
      </c>
      <c r="H907">
        <f>Table146[[#This Row],[RSSI]]</f>
        <v>-123</v>
      </c>
      <c r="I907">
        <v>-9</v>
      </c>
      <c r="L907">
        <f>390+2*(Table257[[#This Row],[min value (corrected)]]-27)</f>
        <v>422</v>
      </c>
      <c r="M907">
        <f>MINUTE(Table257[[#This Row],[Corrected time]])</f>
        <v>43</v>
      </c>
      <c r="N907" s="1">
        <v>0.53013009259259258</v>
      </c>
      <c r="O907" s="1">
        <f>Table257[[#This Row],[Time]]-TIME(0,0,3)</f>
        <v>0.53009537037037036</v>
      </c>
      <c r="P907" t="s">
        <v>9</v>
      </c>
      <c r="Q907">
        <v>-122</v>
      </c>
      <c r="R907">
        <f>Table257[[#This Row],[RSSI]]</f>
        <v>-122</v>
      </c>
      <c r="S907">
        <v>-8.5</v>
      </c>
    </row>
    <row r="908" spans="2:19" x14ac:dyDescent="0.25">
      <c r="B908">
        <f>390+2*(Table146[[#This Row],[min value (corrected)]]-37)</f>
        <v>422</v>
      </c>
      <c r="C908">
        <f>MINUTE(Table146[[#This Row],[Corrected time]])</f>
        <v>53</v>
      </c>
      <c r="D908" s="1">
        <v>0.49551118055555554</v>
      </c>
      <c r="E908" s="1">
        <f>Table146[[#This Row],[Time]]-TIME(0,0,1)</f>
        <v>0.49549960648148145</v>
      </c>
      <c r="F908" t="s">
        <v>13</v>
      </c>
      <c r="G908">
        <f>G907</f>
        <v>-123</v>
      </c>
      <c r="H908">
        <f>Table146[[#This Row],[RSSI]]</f>
        <v>-123</v>
      </c>
      <c r="I908">
        <f>I907</f>
        <v>-9</v>
      </c>
      <c r="L908">
        <f>390+2*(Table257[[#This Row],[min value (corrected)]]-27)</f>
        <v>422</v>
      </c>
      <c r="M908">
        <f>MINUTE(Table257[[#This Row],[Corrected time]])</f>
        <v>43</v>
      </c>
      <c r="N908" s="1">
        <v>0.53014312500000005</v>
      </c>
      <c r="O908" s="1">
        <f>Table257[[#This Row],[Time]]-TIME(0,0,3)</f>
        <v>0.53010840277777782</v>
      </c>
      <c r="P908" t="s">
        <v>9</v>
      </c>
      <c r="Q908">
        <v>-122</v>
      </c>
      <c r="R908">
        <f>Table257[[#This Row],[RSSI]]</f>
        <v>-122</v>
      </c>
      <c r="S908">
        <v>-8.8000000000000007</v>
      </c>
    </row>
    <row r="909" spans="2:19" x14ac:dyDescent="0.25">
      <c r="B909">
        <f>390+2*(Table146[[#This Row],[min value (corrected)]]-37)</f>
        <v>422</v>
      </c>
      <c r="C909">
        <f>MINUTE(Table146[[#This Row],[Corrected time]])</f>
        <v>53</v>
      </c>
      <c r="D909" s="1">
        <v>0.49552421296296295</v>
      </c>
      <c r="E909" s="1">
        <f>Table146[[#This Row],[Time]]-TIME(0,0,1)</f>
        <v>0.49551263888888886</v>
      </c>
      <c r="F909" t="s">
        <v>9</v>
      </c>
      <c r="G909">
        <v>-122</v>
      </c>
      <c r="H909">
        <f>Table146[[#This Row],[RSSI]]</f>
        <v>-122</v>
      </c>
      <c r="I909">
        <v>-8.5</v>
      </c>
      <c r="L909">
        <f>390+2*(Table257[[#This Row],[min value (corrected)]]-27)</f>
        <v>422</v>
      </c>
      <c r="M909">
        <f>MINUTE(Table257[[#This Row],[Corrected time]])</f>
        <v>43</v>
      </c>
      <c r="N909" s="1">
        <v>0.5301561574074074</v>
      </c>
      <c r="O909" s="1">
        <f>Table257[[#This Row],[Time]]-TIME(0,0,3)</f>
        <v>0.53012143518518517</v>
      </c>
      <c r="P909" t="s">
        <v>9</v>
      </c>
      <c r="Q909">
        <v>-123</v>
      </c>
      <c r="R909">
        <f>Table257[[#This Row],[RSSI]]</f>
        <v>-123</v>
      </c>
      <c r="S909">
        <v>-8.5</v>
      </c>
    </row>
    <row r="910" spans="2:19" x14ac:dyDescent="0.25">
      <c r="B910">
        <f>390+2*(Table146[[#This Row],[min value (corrected)]]-37)</f>
        <v>422</v>
      </c>
      <c r="C910">
        <f>MINUTE(Table146[[#This Row],[Corrected time]])</f>
        <v>53</v>
      </c>
      <c r="D910" s="1">
        <v>0.49553724537037036</v>
      </c>
      <c r="E910" s="1">
        <f>Table146[[#This Row],[Time]]-TIME(0,0,1)</f>
        <v>0.49552567129629627</v>
      </c>
      <c r="F910" t="s">
        <v>9</v>
      </c>
      <c r="G910">
        <v>-122</v>
      </c>
      <c r="H910">
        <f>Table146[[#This Row],[RSSI]]</f>
        <v>-122</v>
      </c>
      <c r="I910">
        <v>-8.8000000000000007</v>
      </c>
      <c r="L910">
        <f>390+2*(Table257[[#This Row],[min value (corrected)]]-27)</f>
        <v>422</v>
      </c>
      <c r="M910">
        <f>MINUTE(Table257[[#This Row],[Corrected time]])</f>
        <v>43</v>
      </c>
      <c r="N910" s="1">
        <v>0.53016918981481487</v>
      </c>
      <c r="O910" s="1">
        <f>Table257[[#This Row],[Time]]-TIME(0,0,3)</f>
        <v>0.53013446759259264</v>
      </c>
      <c r="P910" t="s">
        <v>9</v>
      </c>
      <c r="Q910">
        <v>-122</v>
      </c>
      <c r="R910">
        <f>Table257[[#This Row],[RSSI]]</f>
        <v>-122</v>
      </c>
      <c r="S910">
        <v>-8.8000000000000007</v>
      </c>
    </row>
    <row r="911" spans="2:19" x14ac:dyDescent="0.25">
      <c r="B911">
        <f>390+2*(Table146[[#This Row],[min value (corrected)]]-37)</f>
        <v>422</v>
      </c>
      <c r="C911">
        <f>MINUTE(Table146[[#This Row],[Corrected time]])</f>
        <v>53</v>
      </c>
      <c r="D911" s="1">
        <v>0.49555027777777777</v>
      </c>
      <c r="E911" s="1">
        <f>Table146[[#This Row],[Time]]-TIME(0,0,1)</f>
        <v>0.49553870370370368</v>
      </c>
      <c r="F911" t="s">
        <v>9</v>
      </c>
      <c r="G911">
        <v>-123</v>
      </c>
      <c r="H911">
        <f>Table146[[#This Row],[RSSI]]</f>
        <v>-123</v>
      </c>
      <c r="I911">
        <v>-8.5</v>
      </c>
      <c r="L911">
        <f>390+2*(Table257[[#This Row],[min value (corrected)]]-27)</f>
        <v>422</v>
      </c>
      <c r="M911">
        <f>MINUTE(Table257[[#This Row],[Corrected time]])</f>
        <v>43</v>
      </c>
      <c r="N911" s="1">
        <v>0.53018222222222222</v>
      </c>
      <c r="O911" s="1">
        <f>Table257[[#This Row],[Time]]-TIME(0,0,3)</f>
        <v>0.53014749999999999</v>
      </c>
      <c r="P911" t="s">
        <v>13</v>
      </c>
      <c r="Q911">
        <f>Q910</f>
        <v>-122</v>
      </c>
      <c r="R911">
        <f>Table257[[#This Row],[RSSI]]</f>
        <v>-122</v>
      </c>
      <c r="S911">
        <f>S910</f>
        <v>-8.8000000000000007</v>
      </c>
    </row>
    <row r="912" spans="2:19" x14ac:dyDescent="0.25">
      <c r="B912">
        <f>390+2*(Table146[[#This Row],[min value (corrected)]]-37)</f>
        <v>422</v>
      </c>
      <c r="C912">
        <f>MINUTE(Table146[[#This Row],[Corrected time]])</f>
        <v>53</v>
      </c>
      <c r="D912" s="1">
        <v>0.49556331018518518</v>
      </c>
      <c r="E912" s="1">
        <f>Table146[[#This Row],[Time]]-TIME(0,0,1)</f>
        <v>0.49555173611111109</v>
      </c>
      <c r="F912" t="s">
        <v>9</v>
      </c>
      <c r="G912">
        <v>-122</v>
      </c>
      <c r="H912">
        <f>Table146[[#This Row],[RSSI]]</f>
        <v>-122</v>
      </c>
      <c r="I912">
        <v>-8.3000000000000007</v>
      </c>
      <c r="L912">
        <f>390+2*(Table257[[#This Row],[min value (corrected)]]-27)</f>
        <v>422</v>
      </c>
      <c r="M912">
        <f>MINUTE(Table257[[#This Row],[Corrected time]])</f>
        <v>43</v>
      </c>
      <c r="N912" s="1">
        <v>0.53019525462962969</v>
      </c>
      <c r="O912" s="1">
        <f>Table257[[#This Row],[Time]]-TIME(0,0,3)</f>
        <v>0.53016053240740746</v>
      </c>
      <c r="P912" t="s">
        <v>9</v>
      </c>
      <c r="Q912">
        <v>-123</v>
      </c>
      <c r="R912">
        <f>Table257[[#This Row],[RSSI]]</f>
        <v>-123</v>
      </c>
      <c r="S912">
        <v>-9</v>
      </c>
    </row>
    <row r="913" spans="2:19" x14ac:dyDescent="0.25">
      <c r="B913">
        <f>390+2*(Table146[[#This Row],[min value (corrected)]]-37)</f>
        <v>422</v>
      </c>
      <c r="C913">
        <f>MINUTE(Table146[[#This Row],[Corrected time]])</f>
        <v>53</v>
      </c>
      <c r="D913" s="1">
        <v>0.49557634259259259</v>
      </c>
      <c r="E913" s="1">
        <f>Table146[[#This Row],[Time]]-TIME(0,0,1)</f>
        <v>0.49556476851851849</v>
      </c>
      <c r="F913" t="s">
        <v>9</v>
      </c>
      <c r="G913">
        <v>-122</v>
      </c>
      <c r="H913">
        <f>Table146[[#This Row],[RSSI]]</f>
        <v>-122</v>
      </c>
      <c r="I913">
        <v>-8.3000000000000007</v>
      </c>
      <c r="L913">
        <f>390+2*(Table257[[#This Row],[min value (corrected)]]-27)</f>
        <v>422</v>
      </c>
      <c r="M913">
        <f>MINUTE(Table257[[#This Row],[Corrected time]])</f>
        <v>43</v>
      </c>
      <c r="N913" s="1">
        <v>0.53020828703703704</v>
      </c>
      <c r="O913" s="1">
        <f>Table257[[#This Row],[Time]]-TIME(0,0,3)</f>
        <v>0.53017356481481481</v>
      </c>
      <c r="P913" t="s">
        <v>9</v>
      </c>
      <c r="Q913">
        <v>-122</v>
      </c>
      <c r="R913">
        <f>Table257[[#This Row],[RSSI]]</f>
        <v>-122</v>
      </c>
      <c r="S913">
        <v>-9</v>
      </c>
    </row>
    <row r="914" spans="2:19" x14ac:dyDescent="0.25">
      <c r="B914">
        <f>390+2*(Table146[[#This Row],[min value (corrected)]]-37)</f>
        <v>422</v>
      </c>
      <c r="C914">
        <f>MINUTE(Table146[[#This Row],[Corrected time]])</f>
        <v>53</v>
      </c>
      <c r="D914" s="1">
        <v>0.495589375</v>
      </c>
      <c r="E914" s="1">
        <f>Table146[[#This Row],[Time]]-TIME(0,0,1)</f>
        <v>0.4955778009259259</v>
      </c>
      <c r="F914" t="s">
        <v>9</v>
      </c>
      <c r="G914">
        <v>-122</v>
      </c>
      <c r="H914">
        <f>Table146[[#This Row],[RSSI]]</f>
        <v>-122</v>
      </c>
      <c r="I914">
        <v>-9</v>
      </c>
      <c r="L914">
        <f>390+2*(Table257[[#This Row],[min value (corrected)]]-27)</f>
        <v>422</v>
      </c>
      <c r="M914">
        <f>MINUTE(Table257[[#This Row],[Corrected time]])</f>
        <v>43</v>
      </c>
      <c r="N914" s="1">
        <v>0.53022130787037036</v>
      </c>
      <c r="O914" s="1">
        <f>Table257[[#This Row],[Time]]-TIME(0,0,3)</f>
        <v>0.53018658564814813</v>
      </c>
      <c r="P914" t="s">
        <v>9</v>
      </c>
      <c r="Q914">
        <v>-122</v>
      </c>
      <c r="R914">
        <f>Table257[[#This Row],[RSSI]]</f>
        <v>-122</v>
      </c>
      <c r="S914">
        <v>-8.3000000000000007</v>
      </c>
    </row>
    <row r="915" spans="2:19" x14ac:dyDescent="0.25">
      <c r="B915">
        <f>390+2*(Table146[[#This Row],[min value (corrected)]]-37)</f>
        <v>422</v>
      </c>
      <c r="C915">
        <f>MINUTE(Table146[[#This Row],[Corrected time]])</f>
        <v>53</v>
      </c>
      <c r="D915" s="1">
        <v>0.49560239583333332</v>
      </c>
      <c r="E915" s="1">
        <f>Table146[[#This Row],[Time]]-TIME(0,0,1)</f>
        <v>0.49559082175925923</v>
      </c>
      <c r="F915" t="s">
        <v>9</v>
      </c>
      <c r="G915">
        <v>-122</v>
      </c>
      <c r="H915">
        <f>Table146[[#This Row],[RSSI]]</f>
        <v>-122</v>
      </c>
      <c r="I915">
        <v>-9.3000000000000007</v>
      </c>
      <c r="L915">
        <f>390+2*(Table257[[#This Row],[min value (corrected)]]-27)</f>
        <v>422</v>
      </c>
      <c r="M915">
        <f>MINUTE(Table257[[#This Row],[Corrected time]])</f>
        <v>43</v>
      </c>
      <c r="N915" s="1">
        <v>0.53023435185185186</v>
      </c>
      <c r="O915" s="1">
        <f>Table257[[#This Row],[Time]]-TIME(0,0,3)</f>
        <v>0.53019962962962963</v>
      </c>
      <c r="P915" t="s">
        <v>9</v>
      </c>
      <c r="Q915">
        <v>-123</v>
      </c>
      <c r="R915">
        <f>Table257[[#This Row],[RSSI]]</f>
        <v>-123</v>
      </c>
      <c r="S915">
        <v>-9</v>
      </c>
    </row>
    <row r="916" spans="2:19" x14ac:dyDescent="0.25">
      <c r="B916">
        <f>390+2*(Table146[[#This Row],[min value (corrected)]]-37)</f>
        <v>422</v>
      </c>
      <c r="C916">
        <f>MINUTE(Table146[[#This Row],[Corrected time]])</f>
        <v>53</v>
      </c>
      <c r="D916" s="1">
        <v>0.49561543981481482</v>
      </c>
      <c r="E916" s="1">
        <f>Table146[[#This Row],[Time]]-TIME(0,0,1)</f>
        <v>0.49560386574074072</v>
      </c>
      <c r="F916" t="s">
        <v>9</v>
      </c>
      <c r="G916">
        <v>-121</v>
      </c>
      <c r="H916">
        <f>Table146[[#This Row],[RSSI]]</f>
        <v>-121</v>
      </c>
      <c r="I916">
        <v>-8.3000000000000007</v>
      </c>
      <c r="L916">
        <f>390+2*(Table257[[#This Row],[min value (corrected)]]-27)</f>
        <v>422</v>
      </c>
      <c r="M916">
        <f>MINUTE(Table257[[#This Row],[Corrected time]])</f>
        <v>43</v>
      </c>
      <c r="N916" s="1">
        <v>0.53024738425925932</v>
      </c>
      <c r="O916" s="1">
        <f>Table257[[#This Row],[Time]]-TIME(0,0,3)</f>
        <v>0.5302126620370371</v>
      </c>
      <c r="P916" t="s">
        <v>9</v>
      </c>
      <c r="Q916">
        <v>-122</v>
      </c>
      <c r="R916">
        <f>Table257[[#This Row],[RSSI]]</f>
        <v>-122</v>
      </c>
      <c r="S916">
        <v>-8.8000000000000007</v>
      </c>
    </row>
    <row r="917" spans="2:19" x14ac:dyDescent="0.25">
      <c r="B917">
        <f>390+2*(Table146[[#This Row],[min value (corrected)]]-37)</f>
        <v>422</v>
      </c>
      <c r="C917">
        <f>MINUTE(Table146[[#This Row],[Corrected time]])</f>
        <v>53</v>
      </c>
      <c r="D917" s="1">
        <v>0.49562847222222228</v>
      </c>
      <c r="E917" s="1">
        <f>Table146[[#This Row],[Time]]-TIME(0,0,1)</f>
        <v>0.49561689814814819</v>
      </c>
      <c r="F917" t="s">
        <v>9</v>
      </c>
      <c r="G917">
        <v>-121</v>
      </c>
      <c r="H917">
        <f>Table146[[#This Row],[RSSI]]</f>
        <v>-121</v>
      </c>
      <c r="I917">
        <v>-8</v>
      </c>
      <c r="L917">
        <f>390+2*(Table257[[#This Row],[min value (corrected)]]-27)</f>
        <v>422</v>
      </c>
      <c r="M917">
        <f>MINUTE(Table257[[#This Row],[Corrected time]])</f>
        <v>43</v>
      </c>
      <c r="N917" s="1">
        <v>0.53026041666666668</v>
      </c>
      <c r="O917" s="1">
        <f>Table257[[#This Row],[Time]]-TIME(0,0,3)</f>
        <v>0.53022569444444445</v>
      </c>
      <c r="P917" t="s">
        <v>9</v>
      </c>
      <c r="Q917">
        <v>-122</v>
      </c>
      <c r="R917">
        <f>Table257[[#This Row],[RSSI]]</f>
        <v>-122</v>
      </c>
      <c r="S917">
        <v>-8.8000000000000007</v>
      </c>
    </row>
    <row r="918" spans="2:19" x14ac:dyDescent="0.25">
      <c r="B918">
        <f>390+2*(Table146[[#This Row],[min value (corrected)]]-37)</f>
        <v>422</v>
      </c>
      <c r="C918">
        <f>MINUTE(Table146[[#This Row],[Corrected time]])</f>
        <v>53</v>
      </c>
      <c r="D918" s="1">
        <v>0.49564150462962964</v>
      </c>
      <c r="E918" s="1">
        <f>Table146[[#This Row],[Time]]-TIME(0,0,1)</f>
        <v>0.49562993055555554</v>
      </c>
      <c r="F918" t="s">
        <v>13</v>
      </c>
      <c r="G918">
        <f>G917</f>
        <v>-121</v>
      </c>
      <c r="H918">
        <f>Table146[[#This Row],[RSSI]]</f>
        <v>-121</v>
      </c>
      <c r="I918">
        <f>I917</f>
        <v>-8</v>
      </c>
      <c r="L918">
        <f>390+2*(Table257[[#This Row],[min value (corrected)]]-27)</f>
        <v>422</v>
      </c>
      <c r="M918">
        <f>MINUTE(Table257[[#This Row],[Corrected time]])</f>
        <v>43</v>
      </c>
      <c r="N918" s="1">
        <v>0.53027344907407403</v>
      </c>
      <c r="O918" s="1">
        <f>Table257[[#This Row],[Time]]-TIME(0,0,3)</f>
        <v>0.5302387268518518</v>
      </c>
      <c r="P918" t="s">
        <v>9</v>
      </c>
      <c r="Q918">
        <v>-122</v>
      </c>
      <c r="R918">
        <f>Table257[[#This Row],[RSSI]]</f>
        <v>-122</v>
      </c>
      <c r="S918">
        <v>-8.8000000000000007</v>
      </c>
    </row>
    <row r="919" spans="2:19" x14ac:dyDescent="0.25">
      <c r="B919">
        <f>390+2*(Table146[[#This Row],[min value (corrected)]]-37)</f>
        <v>422</v>
      </c>
      <c r="C919">
        <f>MINUTE(Table146[[#This Row],[Corrected time]])</f>
        <v>53</v>
      </c>
      <c r="D919" s="1">
        <v>0.4956545370370371</v>
      </c>
      <c r="E919" s="1">
        <f>Table146[[#This Row],[Time]]-TIME(0,0,1)</f>
        <v>0.49564296296296301</v>
      </c>
      <c r="F919" t="s">
        <v>9</v>
      </c>
      <c r="G919">
        <v>-122</v>
      </c>
      <c r="H919">
        <f>Table146[[#This Row],[RSSI]]</f>
        <v>-122</v>
      </c>
      <c r="I919">
        <v>-8.8000000000000007</v>
      </c>
      <c r="L919">
        <f>390+2*(Table257[[#This Row],[min value (corrected)]]-27)</f>
        <v>422</v>
      </c>
      <c r="M919">
        <f>MINUTE(Table257[[#This Row],[Corrected time]])</f>
        <v>43</v>
      </c>
      <c r="N919" s="1">
        <v>0.5302864814814815</v>
      </c>
      <c r="O919" s="1">
        <f>Table257[[#This Row],[Time]]-TIME(0,0,3)</f>
        <v>0.53025175925925927</v>
      </c>
      <c r="P919" t="s">
        <v>9</v>
      </c>
      <c r="Q919">
        <v>-122</v>
      </c>
      <c r="R919">
        <f>Table257[[#This Row],[RSSI]]</f>
        <v>-122</v>
      </c>
      <c r="S919">
        <v>-8.5</v>
      </c>
    </row>
    <row r="920" spans="2:19" x14ac:dyDescent="0.25">
      <c r="B920">
        <f>390+2*(Table146[[#This Row],[min value (corrected)]]-37)</f>
        <v>422</v>
      </c>
      <c r="C920">
        <f>MINUTE(Table146[[#This Row],[Corrected time]])</f>
        <v>53</v>
      </c>
      <c r="D920" s="1">
        <v>0.49566756944444446</v>
      </c>
      <c r="E920" s="1">
        <f>Table146[[#This Row],[Time]]-TIME(0,0,1)</f>
        <v>0.49565599537037036</v>
      </c>
      <c r="F920" t="s">
        <v>13</v>
      </c>
      <c r="G920">
        <f>G919</f>
        <v>-122</v>
      </c>
      <c r="H920">
        <f>Table146[[#This Row],[RSSI]]</f>
        <v>-122</v>
      </c>
      <c r="I920">
        <f>I919</f>
        <v>-8.8000000000000007</v>
      </c>
      <c r="L920">
        <f>390+2*(Table257[[#This Row],[min value (corrected)]]-27)</f>
        <v>422</v>
      </c>
      <c r="M920">
        <f>MINUTE(Table257[[#This Row],[Corrected time]])</f>
        <v>43</v>
      </c>
      <c r="N920" s="1">
        <v>0.53029950231481482</v>
      </c>
      <c r="O920" s="1">
        <f>Table257[[#This Row],[Time]]-TIME(0,0,3)</f>
        <v>0.53026478009259259</v>
      </c>
      <c r="P920" t="s">
        <v>9</v>
      </c>
      <c r="Q920">
        <v>-123</v>
      </c>
      <c r="R920">
        <f>Table257[[#This Row],[RSSI]]</f>
        <v>-123</v>
      </c>
      <c r="S920">
        <v>-9</v>
      </c>
    </row>
    <row r="921" spans="2:19" x14ac:dyDescent="0.25">
      <c r="B921">
        <f>390+2*(Table146[[#This Row],[min value (corrected)]]-37)</f>
        <v>422</v>
      </c>
      <c r="C921">
        <f>MINUTE(Table146[[#This Row],[Corrected time]])</f>
        <v>53</v>
      </c>
      <c r="D921" s="1">
        <v>0.49568060185185181</v>
      </c>
      <c r="E921" s="1">
        <f>Table146[[#This Row],[Time]]-TIME(0,0,1)</f>
        <v>0.49566902777777772</v>
      </c>
      <c r="F921" t="s">
        <v>9</v>
      </c>
      <c r="G921">
        <v>-122</v>
      </c>
      <c r="H921">
        <f>Table146[[#This Row],[RSSI]]</f>
        <v>-122</v>
      </c>
      <c r="I921">
        <v>-8.3000000000000007</v>
      </c>
      <c r="L921">
        <f>390+2*(Table257[[#This Row],[min value (corrected)]]-27)</f>
        <v>422</v>
      </c>
      <c r="M921">
        <f>MINUTE(Table257[[#This Row],[Corrected time]])</f>
        <v>43</v>
      </c>
      <c r="N921" s="1">
        <v>0.53031254629629632</v>
      </c>
      <c r="O921" s="1">
        <f>Table257[[#This Row],[Time]]-TIME(0,0,3)</f>
        <v>0.53027782407407409</v>
      </c>
      <c r="P921" t="s">
        <v>13</v>
      </c>
      <c r="Q921">
        <f>Q920</f>
        <v>-123</v>
      </c>
      <c r="R921">
        <f>Table257[[#This Row],[RSSI]]</f>
        <v>-123</v>
      </c>
      <c r="S921">
        <f>S920</f>
        <v>-9</v>
      </c>
    </row>
    <row r="922" spans="2:19" x14ac:dyDescent="0.25">
      <c r="B922">
        <f>390+2*(Table146[[#This Row],[min value (corrected)]]-37)</f>
        <v>422</v>
      </c>
      <c r="C922">
        <f>MINUTE(Table146[[#This Row],[Corrected time]])</f>
        <v>53</v>
      </c>
      <c r="D922" s="1">
        <v>0.49569363425925927</v>
      </c>
      <c r="E922" s="1">
        <f>Table146[[#This Row],[Time]]-TIME(0,0,1)</f>
        <v>0.49568206018518518</v>
      </c>
      <c r="F922" t="s">
        <v>9</v>
      </c>
      <c r="G922">
        <v>-122</v>
      </c>
      <c r="H922">
        <f>Table146[[#This Row],[RSSI]]</f>
        <v>-122</v>
      </c>
      <c r="I922">
        <v>-8.5</v>
      </c>
      <c r="L922">
        <f>390+2*(Table257[[#This Row],[min value (corrected)]]-27)</f>
        <v>422</v>
      </c>
      <c r="M922">
        <f>MINUTE(Table257[[#This Row],[Corrected time]])</f>
        <v>43</v>
      </c>
      <c r="N922" s="1">
        <v>0.53032557870370367</v>
      </c>
      <c r="O922" s="1">
        <f>Table257[[#This Row],[Time]]-TIME(0,0,3)</f>
        <v>0.53029085648148144</v>
      </c>
      <c r="P922" t="s">
        <v>9</v>
      </c>
      <c r="Q922">
        <v>-123</v>
      </c>
      <c r="R922">
        <f>Table257[[#This Row],[RSSI]]</f>
        <v>-123</v>
      </c>
      <c r="S922">
        <v>-8.8000000000000007</v>
      </c>
    </row>
    <row r="923" spans="2:19" x14ac:dyDescent="0.25">
      <c r="B923">
        <f>390+2*(Table146[[#This Row],[min value (corrected)]]-37)</f>
        <v>422</v>
      </c>
      <c r="C923">
        <f>MINUTE(Table146[[#This Row],[Corrected time]])</f>
        <v>53</v>
      </c>
      <c r="D923" s="1">
        <v>0.49570666666666663</v>
      </c>
      <c r="E923" s="1">
        <f>Table146[[#This Row],[Time]]-TIME(0,0,1)</f>
        <v>0.49569509259259253</v>
      </c>
      <c r="F923" t="s">
        <v>13</v>
      </c>
      <c r="G923">
        <f>G922</f>
        <v>-122</v>
      </c>
      <c r="H923">
        <f>Table146[[#This Row],[RSSI]]</f>
        <v>-122</v>
      </c>
      <c r="I923">
        <f>I922</f>
        <v>-8.5</v>
      </c>
      <c r="L923">
        <f>390+2*(Table257[[#This Row],[min value (corrected)]]-27)</f>
        <v>422</v>
      </c>
      <c r="M923">
        <f>MINUTE(Table257[[#This Row],[Corrected time]])</f>
        <v>43</v>
      </c>
      <c r="N923" s="1">
        <v>0.53033861111111114</v>
      </c>
      <c r="O923" s="1">
        <f>Table257[[#This Row],[Time]]-TIME(0,0,3)</f>
        <v>0.53030388888888891</v>
      </c>
      <c r="P923" t="s">
        <v>9</v>
      </c>
      <c r="Q923">
        <v>-122</v>
      </c>
      <c r="R923">
        <f>Table257[[#This Row],[RSSI]]</f>
        <v>-122</v>
      </c>
      <c r="S923">
        <v>-8.8000000000000007</v>
      </c>
    </row>
    <row r="924" spans="2:19" x14ac:dyDescent="0.25">
      <c r="B924">
        <f>390+2*(Table146[[#This Row],[min value (corrected)]]-37)</f>
        <v>422</v>
      </c>
      <c r="C924">
        <f>MINUTE(Table146[[#This Row],[Corrected time]])</f>
        <v>53</v>
      </c>
      <c r="D924" s="1">
        <v>0.49571969907407409</v>
      </c>
      <c r="E924" s="1">
        <f>Table146[[#This Row],[Time]]-TIME(0,0,1)</f>
        <v>0.495708125</v>
      </c>
      <c r="F924" t="s">
        <v>9</v>
      </c>
      <c r="G924">
        <v>-122</v>
      </c>
      <c r="H924">
        <f>Table146[[#This Row],[RSSI]]</f>
        <v>-122</v>
      </c>
      <c r="I924">
        <v>-8.3000000000000007</v>
      </c>
      <c r="L924">
        <f>390+2*(Table257[[#This Row],[min value (corrected)]]-27)</f>
        <v>422</v>
      </c>
      <c r="M924">
        <f>MINUTE(Table257[[#This Row],[Corrected time]])</f>
        <v>43</v>
      </c>
      <c r="N924" s="1">
        <v>0.53035164351851849</v>
      </c>
      <c r="O924" s="1">
        <f>Table257[[#This Row],[Time]]-TIME(0,0,3)</f>
        <v>0.53031692129629626</v>
      </c>
      <c r="P924" t="s">
        <v>9</v>
      </c>
      <c r="Q924">
        <v>-122</v>
      </c>
      <c r="R924">
        <f>Table257[[#This Row],[RSSI]]</f>
        <v>-122</v>
      </c>
      <c r="S924">
        <v>-8.5</v>
      </c>
    </row>
    <row r="925" spans="2:19" x14ac:dyDescent="0.25">
      <c r="B925">
        <f>390+2*(Table146[[#This Row],[min value (corrected)]]-37)</f>
        <v>422</v>
      </c>
      <c r="C925">
        <f>MINUTE(Table146[[#This Row],[Corrected time]])</f>
        <v>53</v>
      </c>
      <c r="D925" s="1">
        <v>0.49573273148148145</v>
      </c>
      <c r="E925" s="1">
        <f>Table146[[#This Row],[Time]]-TIME(0,0,1)</f>
        <v>0.49572115740740735</v>
      </c>
      <c r="F925" t="s">
        <v>13</v>
      </c>
      <c r="G925">
        <f>G924</f>
        <v>-122</v>
      </c>
      <c r="H925">
        <f>Table146[[#This Row],[RSSI]]</f>
        <v>-122</v>
      </c>
      <c r="I925">
        <f>I924</f>
        <v>-8.3000000000000007</v>
      </c>
      <c r="L925">
        <f>390+2*(Table257[[#This Row],[min value (corrected)]]-27)</f>
        <v>422</v>
      </c>
      <c r="M925">
        <f>MINUTE(Table257[[#This Row],[Corrected time]])</f>
        <v>43</v>
      </c>
      <c r="N925" s="1">
        <v>0.53036467592592595</v>
      </c>
      <c r="O925" s="1">
        <f>Table257[[#This Row],[Time]]-TIME(0,0,3)</f>
        <v>0.53032995370370373</v>
      </c>
      <c r="P925" t="s">
        <v>13</v>
      </c>
      <c r="Q925">
        <f>Q924</f>
        <v>-122</v>
      </c>
      <c r="R925">
        <f>Table257[[#This Row],[RSSI]]</f>
        <v>-122</v>
      </c>
      <c r="S925">
        <f>S924</f>
        <v>-8.5</v>
      </c>
    </row>
    <row r="926" spans="2:19" x14ac:dyDescent="0.25">
      <c r="B926">
        <f>390+2*(Table146[[#This Row],[min value (corrected)]]-37)</f>
        <v>422</v>
      </c>
      <c r="C926">
        <f>MINUTE(Table146[[#This Row],[Corrected time]])</f>
        <v>53</v>
      </c>
      <c r="D926" s="1">
        <v>0.49574576388888891</v>
      </c>
      <c r="E926" s="1">
        <f>Table146[[#This Row],[Time]]-TIME(0,0,1)</f>
        <v>0.49573418981481482</v>
      </c>
      <c r="F926" t="s">
        <v>9</v>
      </c>
      <c r="G926">
        <v>-122</v>
      </c>
      <c r="H926">
        <f>Table146[[#This Row],[RSSI]]</f>
        <v>-122</v>
      </c>
      <c r="I926">
        <v>-9</v>
      </c>
      <c r="L926">
        <f>390+2*(Table257[[#This Row],[min value (corrected)]]-27)</f>
        <v>422</v>
      </c>
      <c r="M926">
        <f>MINUTE(Table257[[#This Row],[Corrected time]])</f>
        <v>43</v>
      </c>
      <c r="N926" s="1">
        <v>0.53037769675925928</v>
      </c>
      <c r="O926" s="1">
        <f>Table257[[#This Row],[Time]]-TIME(0,0,3)</f>
        <v>0.53034297453703705</v>
      </c>
      <c r="P926" t="s">
        <v>9</v>
      </c>
      <c r="Q926">
        <v>-122</v>
      </c>
      <c r="R926">
        <f>Table257[[#This Row],[RSSI]]</f>
        <v>-122</v>
      </c>
      <c r="S926">
        <v>-8.8000000000000007</v>
      </c>
    </row>
    <row r="927" spans="2:19" x14ac:dyDescent="0.25">
      <c r="B927">
        <f>390+2*(Table146[[#This Row],[min value (corrected)]]-37)</f>
        <v>422</v>
      </c>
      <c r="C927">
        <f>MINUTE(Table146[[#This Row],[Corrected time]])</f>
        <v>53</v>
      </c>
      <c r="D927" s="1">
        <v>0.49575879629629627</v>
      </c>
      <c r="E927" s="1">
        <f>Table146[[#This Row],[Time]]-TIME(0,0,1)</f>
        <v>0.49574722222222217</v>
      </c>
      <c r="F927" t="s">
        <v>9</v>
      </c>
      <c r="G927">
        <v>-122</v>
      </c>
      <c r="H927">
        <f>Table146[[#This Row],[RSSI]]</f>
        <v>-122</v>
      </c>
      <c r="I927">
        <v>-8.8000000000000007</v>
      </c>
      <c r="L927">
        <f>390+2*(Table257[[#This Row],[min value (corrected)]]-27)</f>
        <v>422</v>
      </c>
      <c r="M927">
        <f>MINUTE(Table257[[#This Row],[Corrected time]])</f>
        <v>43</v>
      </c>
      <c r="N927" s="1">
        <v>0.53039072916666663</v>
      </c>
      <c r="O927" s="1">
        <f>Table257[[#This Row],[Time]]-TIME(0,0,3)</f>
        <v>0.5303560069444444</v>
      </c>
      <c r="P927" t="s">
        <v>13</v>
      </c>
      <c r="Q927">
        <f>Q926</f>
        <v>-122</v>
      </c>
      <c r="R927">
        <f>Table257[[#This Row],[RSSI]]</f>
        <v>-122</v>
      </c>
      <c r="S927">
        <f>S926</f>
        <v>-8.8000000000000007</v>
      </c>
    </row>
    <row r="928" spans="2:19" x14ac:dyDescent="0.25">
      <c r="B928">
        <f>390+2*(Table146[[#This Row],[min value (corrected)]]-37)</f>
        <v>422</v>
      </c>
      <c r="C928">
        <f>MINUTE(Table146[[#This Row],[Corrected time]])</f>
        <v>53</v>
      </c>
      <c r="D928" s="1">
        <v>0.49577182870370373</v>
      </c>
      <c r="E928" s="1">
        <f>Table146[[#This Row],[Time]]-TIME(0,0,1)</f>
        <v>0.49576025462962964</v>
      </c>
      <c r="F928" t="s">
        <v>9</v>
      </c>
      <c r="G928">
        <v>-122</v>
      </c>
      <c r="H928">
        <f>Table146[[#This Row],[RSSI]]</f>
        <v>-122</v>
      </c>
      <c r="I928">
        <v>-8.3000000000000007</v>
      </c>
      <c r="L928">
        <f>390+2*(Table257[[#This Row],[min value (corrected)]]-27)</f>
        <v>422</v>
      </c>
      <c r="M928">
        <f>MINUTE(Table257[[#This Row],[Corrected time]])</f>
        <v>43</v>
      </c>
      <c r="N928" s="1">
        <v>0.53040377314814813</v>
      </c>
      <c r="O928" s="1">
        <f>Table257[[#This Row],[Time]]-TIME(0,0,3)</f>
        <v>0.5303690509259259</v>
      </c>
      <c r="P928" t="s">
        <v>9</v>
      </c>
      <c r="Q928">
        <v>-123</v>
      </c>
      <c r="R928">
        <f>Table257[[#This Row],[RSSI]]</f>
        <v>-123</v>
      </c>
      <c r="S928">
        <v>-9</v>
      </c>
    </row>
    <row r="929" spans="2:19" x14ac:dyDescent="0.25">
      <c r="B929">
        <f>390+2*(Table146[[#This Row],[min value (corrected)]]-37)</f>
        <v>422</v>
      </c>
      <c r="C929">
        <f>MINUTE(Table146[[#This Row],[Corrected time]])</f>
        <v>53</v>
      </c>
      <c r="D929" s="1">
        <v>0.49578486111111109</v>
      </c>
      <c r="E929" s="1">
        <f>Table146[[#This Row],[Time]]-TIME(0,0,1)</f>
        <v>0.49577328703703699</v>
      </c>
      <c r="F929" t="s">
        <v>9</v>
      </c>
      <c r="G929">
        <v>-123</v>
      </c>
      <c r="H929">
        <f>Table146[[#This Row],[RSSI]]</f>
        <v>-123</v>
      </c>
      <c r="I929">
        <v>-9.3000000000000007</v>
      </c>
      <c r="L929">
        <f>390+2*(Table257[[#This Row],[min value (corrected)]]-27)</f>
        <v>422</v>
      </c>
      <c r="M929">
        <f>MINUTE(Table257[[#This Row],[Corrected time]])</f>
        <v>43</v>
      </c>
      <c r="N929" s="1">
        <v>0.53041680555555559</v>
      </c>
      <c r="O929" s="1">
        <f>Table257[[#This Row],[Time]]-TIME(0,0,3)</f>
        <v>0.53038208333333337</v>
      </c>
      <c r="P929" t="s">
        <v>13</v>
      </c>
      <c r="Q929">
        <f>Q928</f>
        <v>-123</v>
      </c>
      <c r="R929">
        <f>Table257[[#This Row],[RSSI]]</f>
        <v>-123</v>
      </c>
      <c r="S929">
        <f>S928</f>
        <v>-9</v>
      </c>
    </row>
    <row r="930" spans="2:19" x14ac:dyDescent="0.25">
      <c r="B930">
        <f>390+2*(Table146[[#This Row],[min value (corrected)]]-37)</f>
        <v>422</v>
      </c>
      <c r="C930">
        <f>MINUTE(Table146[[#This Row],[Corrected time]])</f>
        <v>53</v>
      </c>
      <c r="D930" s="1">
        <v>0.49579789351851855</v>
      </c>
      <c r="E930" s="1">
        <f>Table146[[#This Row],[Time]]-TIME(0,0,1)</f>
        <v>0.49578631944444446</v>
      </c>
      <c r="F930" t="s">
        <v>9</v>
      </c>
      <c r="G930">
        <v>-122</v>
      </c>
      <c r="H930">
        <f>Table146[[#This Row],[RSSI]]</f>
        <v>-122</v>
      </c>
      <c r="I930">
        <v>-8.3000000000000007</v>
      </c>
      <c r="L930">
        <f>390+2*(Table257[[#This Row],[min value (corrected)]]-27)</f>
        <v>422</v>
      </c>
      <c r="M930">
        <f>MINUTE(Table257[[#This Row],[Corrected time]])</f>
        <v>43</v>
      </c>
      <c r="N930" s="1">
        <v>0.53042982638888891</v>
      </c>
      <c r="O930" s="1">
        <f>Table257[[#This Row],[Time]]-TIME(0,0,3)</f>
        <v>0.53039510416666669</v>
      </c>
      <c r="P930" t="s">
        <v>9</v>
      </c>
      <c r="Q930">
        <v>-122</v>
      </c>
      <c r="R930">
        <f>Table257[[#This Row],[RSSI]]</f>
        <v>-122</v>
      </c>
      <c r="S930">
        <v>-8.3000000000000007</v>
      </c>
    </row>
    <row r="931" spans="2:19" x14ac:dyDescent="0.25">
      <c r="B931">
        <f>390+2*(Table146[[#This Row],[min value (corrected)]]-37)</f>
        <v>422</v>
      </c>
      <c r="C931">
        <f>MINUTE(Table146[[#This Row],[Corrected time]])</f>
        <v>53</v>
      </c>
      <c r="D931" s="1">
        <v>0.4958109259259259</v>
      </c>
      <c r="E931" s="1">
        <f>Table146[[#This Row],[Time]]-TIME(0,0,1)</f>
        <v>0.49579935185185181</v>
      </c>
      <c r="F931" t="s">
        <v>9</v>
      </c>
      <c r="G931">
        <v>-123</v>
      </c>
      <c r="H931">
        <f>Table146[[#This Row],[RSSI]]</f>
        <v>-123</v>
      </c>
      <c r="I931">
        <v>-9</v>
      </c>
      <c r="L931">
        <f>390+2*(Table257[[#This Row],[min value (corrected)]]-27)</f>
        <v>422</v>
      </c>
      <c r="M931">
        <f>MINUTE(Table257[[#This Row],[Corrected time]])</f>
        <v>43</v>
      </c>
      <c r="N931" s="1">
        <v>0.53044287037037041</v>
      </c>
      <c r="O931" s="1">
        <f>Table257[[#This Row],[Time]]-TIME(0,0,3)</f>
        <v>0.53040814814814818</v>
      </c>
      <c r="P931" t="s">
        <v>9</v>
      </c>
      <c r="Q931">
        <v>-122</v>
      </c>
      <c r="R931">
        <f>Table257[[#This Row],[RSSI]]</f>
        <v>-122</v>
      </c>
      <c r="S931">
        <v>-8.8000000000000007</v>
      </c>
    </row>
    <row r="932" spans="2:19" x14ac:dyDescent="0.25">
      <c r="B932">
        <f>390+2*(Table146[[#This Row],[min value (corrected)]]-37)</f>
        <v>422</v>
      </c>
      <c r="C932">
        <f>MINUTE(Table146[[#This Row],[Corrected time]])</f>
        <v>53</v>
      </c>
      <c r="D932" s="1">
        <v>0.49582395833333337</v>
      </c>
      <c r="E932" s="1">
        <f>Table146[[#This Row],[Time]]-TIME(0,0,1)</f>
        <v>0.49581238425925928</v>
      </c>
      <c r="F932" t="s">
        <v>9</v>
      </c>
      <c r="G932">
        <v>-122</v>
      </c>
      <c r="H932">
        <f>Table146[[#This Row],[RSSI]]</f>
        <v>-122</v>
      </c>
      <c r="I932">
        <v>-8.5</v>
      </c>
      <c r="L932">
        <f>390+2*(Table257[[#This Row],[min value (corrected)]]-27)</f>
        <v>422</v>
      </c>
      <c r="M932">
        <f>MINUTE(Table257[[#This Row],[Corrected time]])</f>
        <v>43</v>
      </c>
      <c r="N932" s="1">
        <v>0.53045590277777777</v>
      </c>
      <c r="O932" s="1">
        <f>Table257[[#This Row],[Time]]-TIME(0,0,3)</f>
        <v>0.53042118055555554</v>
      </c>
      <c r="P932" t="s">
        <v>13</v>
      </c>
      <c r="Q932">
        <f>Q931</f>
        <v>-122</v>
      </c>
      <c r="R932">
        <f>Table257[[#This Row],[RSSI]]</f>
        <v>-122</v>
      </c>
      <c r="S932">
        <f>S931</f>
        <v>-8.8000000000000007</v>
      </c>
    </row>
    <row r="933" spans="2:19" x14ac:dyDescent="0.25">
      <c r="B933">
        <f>390+2*(Table146[[#This Row],[min value (corrected)]]-37)</f>
        <v>422</v>
      </c>
      <c r="C933">
        <f>MINUTE(Table146[[#This Row],[Corrected time]])</f>
        <v>53</v>
      </c>
      <c r="D933" s="1">
        <v>0.49583697916666669</v>
      </c>
      <c r="E933" s="1">
        <f>Table146[[#This Row],[Time]]-TIME(0,0,1)</f>
        <v>0.4958254050925926</v>
      </c>
      <c r="F933" t="s">
        <v>9</v>
      </c>
      <c r="G933">
        <v>-122</v>
      </c>
      <c r="H933">
        <f>Table146[[#This Row],[RSSI]]</f>
        <v>-122</v>
      </c>
      <c r="I933">
        <v>-9</v>
      </c>
      <c r="L933">
        <f>390+2*(Table257[[#This Row],[min value (corrected)]]-27)</f>
        <v>422</v>
      </c>
      <c r="M933">
        <f>MINUTE(Table257[[#This Row],[Corrected time]])</f>
        <v>43</v>
      </c>
      <c r="N933" s="1">
        <v>0.53046893518518523</v>
      </c>
      <c r="O933" s="1">
        <f>Table257[[#This Row],[Time]]-TIME(0,0,3)</f>
        <v>0.530434212962963</v>
      </c>
      <c r="P933" t="s">
        <v>9</v>
      </c>
      <c r="Q933">
        <v>-122</v>
      </c>
      <c r="R933">
        <f>Table257[[#This Row],[RSSI]]</f>
        <v>-122</v>
      </c>
      <c r="S933">
        <v>-8.3000000000000007</v>
      </c>
    </row>
    <row r="934" spans="2:19" x14ac:dyDescent="0.25">
      <c r="B934">
        <f>390+2*(Table146[[#This Row],[min value (corrected)]]-37)</f>
        <v>424</v>
      </c>
      <c r="C934">
        <f>MINUTE(Table146[[#This Row],[Corrected time]])</f>
        <v>54</v>
      </c>
      <c r="D934" s="1">
        <v>0.49585002314814819</v>
      </c>
      <c r="E934" s="1">
        <f>Table146[[#This Row],[Time]]-TIME(0,0,1)</f>
        <v>0.49583844907407409</v>
      </c>
      <c r="F934" t="s">
        <v>9</v>
      </c>
      <c r="G934">
        <v>-122</v>
      </c>
      <c r="H934">
        <f>Table146[[#This Row],[RSSI]]</f>
        <v>-122</v>
      </c>
      <c r="I934">
        <v>-8.3000000000000007</v>
      </c>
      <c r="L934">
        <f>390+2*(Table257[[#This Row],[min value (corrected)]]-27)</f>
        <v>422</v>
      </c>
      <c r="M934">
        <f>MINUTE(Table257[[#This Row],[Corrected time]])</f>
        <v>43</v>
      </c>
      <c r="N934" s="1">
        <v>0.53048196759259258</v>
      </c>
      <c r="O934" s="1">
        <f>Table257[[#This Row],[Time]]-TIME(0,0,3)</f>
        <v>0.53044724537037036</v>
      </c>
      <c r="P934" t="s">
        <v>9</v>
      </c>
      <c r="Q934">
        <v>-122</v>
      </c>
      <c r="R934">
        <f>Table257[[#This Row],[RSSI]]</f>
        <v>-122</v>
      </c>
      <c r="S934">
        <v>-9</v>
      </c>
    </row>
    <row r="935" spans="2:19" x14ac:dyDescent="0.25">
      <c r="B935">
        <f>390+2*(Table146[[#This Row],[min value (corrected)]]-37)</f>
        <v>424</v>
      </c>
      <c r="C935">
        <f>MINUTE(Table146[[#This Row],[Corrected time]])</f>
        <v>54</v>
      </c>
      <c r="D935" s="1">
        <v>0.49586305555555554</v>
      </c>
      <c r="E935" s="1">
        <f>Table146[[#This Row],[Time]]-TIME(0,0,1)</f>
        <v>0.49585148148148145</v>
      </c>
      <c r="F935" t="s">
        <v>13</v>
      </c>
      <c r="G935">
        <f t="shared" ref="G935:G936" si="91">G934</f>
        <v>-122</v>
      </c>
      <c r="H935">
        <f>Table146[[#This Row],[RSSI]]</f>
        <v>-122</v>
      </c>
      <c r="I935">
        <f t="shared" ref="I935:I936" si="92">I934</f>
        <v>-8.3000000000000007</v>
      </c>
      <c r="L935">
        <f>390+2*(Table257[[#This Row],[min value (corrected)]]-27)</f>
        <v>422</v>
      </c>
      <c r="M935">
        <f>MINUTE(Table257[[#This Row],[Corrected time]])</f>
        <v>43</v>
      </c>
      <c r="N935" s="1">
        <v>0.53049498842592591</v>
      </c>
      <c r="O935" s="1">
        <f>Table257[[#This Row],[Time]]-TIME(0,0,3)</f>
        <v>0.53046026620370368</v>
      </c>
      <c r="P935" t="s">
        <v>9</v>
      </c>
      <c r="Q935">
        <v>-123</v>
      </c>
      <c r="R935">
        <f>Table257[[#This Row],[RSSI]]</f>
        <v>-123</v>
      </c>
      <c r="S935">
        <v>-9.8000000000000007</v>
      </c>
    </row>
    <row r="936" spans="2:19" x14ac:dyDescent="0.25">
      <c r="B936">
        <f>390+2*(Table146[[#This Row],[min value (corrected)]]-37)</f>
        <v>424</v>
      </c>
      <c r="C936">
        <f>MINUTE(Table146[[#This Row],[Corrected time]])</f>
        <v>54</v>
      </c>
      <c r="D936" s="1">
        <v>0.49587608796296301</v>
      </c>
      <c r="E936" s="1">
        <f>Table146[[#This Row],[Time]]-TIME(0,0,1)</f>
        <v>0.49586451388888891</v>
      </c>
      <c r="F936" t="s">
        <v>13</v>
      </c>
      <c r="G936">
        <f t="shared" si="91"/>
        <v>-122</v>
      </c>
      <c r="H936">
        <f>Table146[[#This Row],[RSSI]]</f>
        <v>-122</v>
      </c>
      <c r="I936">
        <f t="shared" si="92"/>
        <v>-8.3000000000000007</v>
      </c>
      <c r="L936">
        <f>390+2*(Table257[[#This Row],[min value (corrected)]]-27)</f>
        <v>422</v>
      </c>
      <c r="M936">
        <f>MINUTE(Table257[[#This Row],[Corrected time]])</f>
        <v>43</v>
      </c>
      <c r="N936" s="1">
        <v>0.53050802083333326</v>
      </c>
      <c r="O936" s="1">
        <f>Table257[[#This Row],[Time]]-TIME(0,0,3)</f>
        <v>0.53047329861111103</v>
      </c>
      <c r="P936" t="s">
        <v>9</v>
      </c>
      <c r="Q936">
        <v>-122</v>
      </c>
      <c r="R936">
        <f>Table257[[#This Row],[RSSI]]</f>
        <v>-122</v>
      </c>
      <c r="S936">
        <v>-8.8000000000000007</v>
      </c>
    </row>
    <row r="937" spans="2:19" x14ac:dyDescent="0.25">
      <c r="B937">
        <f>390+2*(Table146[[#This Row],[min value (corrected)]]-37)</f>
        <v>424</v>
      </c>
      <c r="C937">
        <f>MINUTE(Table146[[#This Row],[Corrected time]])</f>
        <v>54</v>
      </c>
      <c r="D937" s="1">
        <v>0.49588912037037036</v>
      </c>
      <c r="E937" s="1">
        <f>Table146[[#This Row],[Time]]-TIME(0,0,1)</f>
        <v>0.49587754629629627</v>
      </c>
      <c r="F937" t="s">
        <v>9</v>
      </c>
      <c r="G937">
        <v>-123</v>
      </c>
      <c r="H937">
        <f>Table146[[#This Row],[RSSI]]</f>
        <v>-123</v>
      </c>
      <c r="I937">
        <v>-9</v>
      </c>
      <c r="L937">
        <f>390+2*(Table257[[#This Row],[min value (corrected)]]-27)</f>
        <v>422</v>
      </c>
      <c r="M937">
        <f>MINUTE(Table257[[#This Row],[Corrected time]])</f>
        <v>43</v>
      </c>
      <c r="N937" s="1">
        <v>0.53052106481481476</v>
      </c>
      <c r="O937" s="1">
        <f>Table257[[#This Row],[Time]]-TIME(0,0,3)</f>
        <v>0.53048634259259253</v>
      </c>
      <c r="P937" t="s">
        <v>9</v>
      </c>
      <c r="Q937">
        <v>-122</v>
      </c>
      <c r="R937">
        <f>Table257[[#This Row],[RSSI]]</f>
        <v>-122</v>
      </c>
      <c r="S937">
        <v>-8.8000000000000007</v>
      </c>
    </row>
    <row r="938" spans="2:19" x14ac:dyDescent="0.25">
      <c r="B938">
        <f>390+2*(Table146[[#This Row],[min value (corrected)]]-37)</f>
        <v>424</v>
      </c>
      <c r="C938">
        <f>MINUTE(Table146[[#This Row],[Corrected time]])</f>
        <v>54</v>
      </c>
      <c r="D938" s="1">
        <v>0.49590215277777783</v>
      </c>
      <c r="E938" s="1">
        <f>Table146[[#This Row],[Time]]-TIME(0,0,1)</f>
        <v>0.49589057870370373</v>
      </c>
      <c r="F938" t="s">
        <v>9</v>
      </c>
      <c r="G938">
        <v>-122</v>
      </c>
      <c r="H938">
        <f>Table146[[#This Row],[RSSI]]</f>
        <v>-122</v>
      </c>
      <c r="I938">
        <v>-8.3000000000000007</v>
      </c>
      <c r="L938">
        <f>390+2*(Table257[[#This Row],[min value (corrected)]]-27)</f>
        <v>422</v>
      </c>
      <c r="M938">
        <f>MINUTE(Table257[[#This Row],[Corrected time]])</f>
        <v>43</v>
      </c>
      <c r="N938" s="1">
        <v>0.53053409722222222</v>
      </c>
      <c r="O938" s="1">
        <f>Table257[[#This Row],[Time]]-TIME(0,0,3)</f>
        <v>0.530499375</v>
      </c>
      <c r="P938" t="s">
        <v>9</v>
      </c>
      <c r="Q938">
        <v>-122</v>
      </c>
      <c r="R938">
        <f>Table257[[#This Row],[RSSI]]</f>
        <v>-122</v>
      </c>
      <c r="S938">
        <v>-9</v>
      </c>
    </row>
    <row r="939" spans="2:19" x14ac:dyDescent="0.25">
      <c r="B939">
        <f>390+2*(Table146[[#This Row],[min value (corrected)]]-37)</f>
        <v>424</v>
      </c>
      <c r="C939">
        <f>MINUTE(Table146[[#This Row],[Corrected time]])</f>
        <v>54</v>
      </c>
      <c r="D939" s="1">
        <v>0.49591518518518518</v>
      </c>
      <c r="E939" s="1">
        <f>Table146[[#This Row],[Time]]-TIME(0,0,1)</f>
        <v>0.49590361111111109</v>
      </c>
      <c r="F939" t="s">
        <v>13</v>
      </c>
      <c r="G939">
        <f>G938</f>
        <v>-122</v>
      </c>
      <c r="H939">
        <f>Table146[[#This Row],[RSSI]]</f>
        <v>-122</v>
      </c>
      <c r="I939">
        <f>I938</f>
        <v>-8.3000000000000007</v>
      </c>
      <c r="L939">
        <f>390+2*(Table257[[#This Row],[min value (corrected)]]-27)</f>
        <v>422</v>
      </c>
      <c r="M939">
        <f>MINUTE(Table257[[#This Row],[Corrected time]])</f>
        <v>43</v>
      </c>
      <c r="N939" s="1">
        <v>0.53054712962962958</v>
      </c>
      <c r="O939" s="1">
        <f>Table257[[#This Row],[Time]]-TIME(0,0,3)</f>
        <v>0.53051240740740735</v>
      </c>
      <c r="P939" t="s">
        <v>13</v>
      </c>
      <c r="Q939">
        <f>Q938</f>
        <v>-122</v>
      </c>
      <c r="R939">
        <f>Table257[[#This Row],[RSSI]]</f>
        <v>-122</v>
      </c>
      <c r="S939">
        <f>S938</f>
        <v>-9</v>
      </c>
    </row>
    <row r="940" spans="2:19" x14ac:dyDescent="0.25">
      <c r="B940">
        <f>390+2*(Table146[[#This Row],[min value (corrected)]]-37)</f>
        <v>424</v>
      </c>
      <c r="C940">
        <f>MINUTE(Table146[[#This Row],[Corrected time]])</f>
        <v>54</v>
      </c>
      <c r="D940" s="1">
        <v>0.49592821759259254</v>
      </c>
      <c r="E940" s="1">
        <f>Table146[[#This Row],[Time]]-TIME(0,0,1)</f>
        <v>0.49591664351851844</v>
      </c>
      <c r="F940" t="s">
        <v>9</v>
      </c>
      <c r="G940">
        <v>-123</v>
      </c>
      <c r="H940">
        <f>Table146[[#This Row],[RSSI]]</f>
        <v>-123</v>
      </c>
      <c r="I940">
        <v>-9.5</v>
      </c>
      <c r="L940">
        <f>390+2*(Table257[[#This Row],[min value (corrected)]]-27)</f>
        <v>422</v>
      </c>
      <c r="M940">
        <f>MINUTE(Table257[[#This Row],[Corrected time]])</f>
        <v>43</v>
      </c>
      <c r="N940" s="1">
        <v>0.53056016203703704</v>
      </c>
      <c r="O940" s="1">
        <f>Table257[[#This Row],[Time]]-TIME(0,0,3)</f>
        <v>0.53052543981481481</v>
      </c>
      <c r="P940" t="s">
        <v>9</v>
      </c>
      <c r="Q940">
        <v>-123</v>
      </c>
      <c r="R940">
        <f>Table257[[#This Row],[RSSI]]</f>
        <v>-123</v>
      </c>
      <c r="S940">
        <v>-9.3000000000000007</v>
      </c>
    </row>
    <row r="941" spans="2:19" x14ac:dyDescent="0.25">
      <c r="B941">
        <f>390+2*(Table146[[#This Row],[min value (corrected)]]-37)</f>
        <v>424</v>
      </c>
      <c r="C941">
        <f>MINUTE(Table146[[#This Row],[Corrected time]])</f>
        <v>54</v>
      </c>
      <c r="D941" s="1">
        <v>0.49594125</v>
      </c>
      <c r="E941" s="1">
        <f>Table146[[#This Row],[Time]]-TIME(0,0,1)</f>
        <v>0.49592967592592591</v>
      </c>
      <c r="F941" t="s">
        <v>13</v>
      </c>
      <c r="G941">
        <f>G940</f>
        <v>-123</v>
      </c>
      <c r="H941">
        <f>Table146[[#This Row],[RSSI]]</f>
        <v>-123</v>
      </c>
      <c r="I941">
        <f>I940</f>
        <v>-9.5</v>
      </c>
      <c r="L941">
        <f>390+2*(Table257[[#This Row],[min value (corrected)]]-27)</f>
        <v>422</v>
      </c>
      <c r="M941">
        <f>MINUTE(Table257[[#This Row],[Corrected time]])</f>
        <v>43</v>
      </c>
      <c r="N941" s="1">
        <v>0.5305731944444444</v>
      </c>
      <c r="O941" s="1">
        <f>Table257[[#This Row],[Time]]-TIME(0,0,3)</f>
        <v>0.53053847222222217</v>
      </c>
      <c r="P941" t="s">
        <v>13</v>
      </c>
      <c r="Q941">
        <f t="shared" ref="Q941:Q942" si="93">Q940</f>
        <v>-123</v>
      </c>
      <c r="R941">
        <f>Table257[[#This Row],[RSSI]]</f>
        <v>-123</v>
      </c>
      <c r="S941">
        <f t="shared" ref="S941:S942" si="94">S940</f>
        <v>-9.3000000000000007</v>
      </c>
    </row>
    <row r="942" spans="2:19" x14ac:dyDescent="0.25">
      <c r="B942">
        <f>390+2*(Table146[[#This Row],[min value (corrected)]]-37)</f>
        <v>424</v>
      </c>
      <c r="C942">
        <f>MINUTE(Table146[[#This Row],[Corrected time]])</f>
        <v>54</v>
      </c>
      <c r="D942" s="1">
        <v>0.49595427083333332</v>
      </c>
      <c r="E942" s="1">
        <f>Table146[[#This Row],[Time]]-TIME(0,0,1)</f>
        <v>0.49594269675925923</v>
      </c>
      <c r="F942" t="s">
        <v>9</v>
      </c>
      <c r="G942">
        <v>-123</v>
      </c>
      <c r="H942">
        <f>Table146[[#This Row],[RSSI]]</f>
        <v>-123</v>
      </c>
      <c r="I942">
        <v>-9.3000000000000007</v>
      </c>
      <c r="L942">
        <f>390+2*(Table257[[#This Row],[min value (corrected)]]-27)</f>
        <v>424</v>
      </c>
      <c r="M942">
        <f>MINUTE(Table257[[#This Row],[Corrected time]])</f>
        <v>44</v>
      </c>
      <c r="N942" s="1">
        <v>0.53058622685185186</v>
      </c>
      <c r="O942" s="1">
        <f>Table257[[#This Row],[Time]]-TIME(0,0,3)</f>
        <v>0.53055150462962963</v>
      </c>
      <c r="P942" t="s">
        <v>13</v>
      </c>
      <c r="Q942">
        <f t="shared" si="93"/>
        <v>-123</v>
      </c>
      <c r="R942">
        <f>Table257[[#This Row],[RSSI]]</f>
        <v>-123</v>
      </c>
      <c r="S942">
        <f t="shared" si="94"/>
        <v>-9.3000000000000007</v>
      </c>
    </row>
    <row r="943" spans="2:19" x14ac:dyDescent="0.25">
      <c r="B943">
        <f>390+2*(Table146[[#This Row],[min value (corrected)]]-37)</f>
        <v>424</v>
      </c>
      <c r="C943">
        <f>MINUTE(Table146[[#This Row],[Corrected time]])</f>
        <v>54</v>
      </c>
      <c r="D943" s="1">
        <v>0.49596731481481482</v>
      </c>
      <c r="E943" s="1">
        <f>Table146[[#This Row],[Time]]-TIME(0,0,1)</f>
        <v>0.49595574074074072</v>
      </c>
      <c r="F943" t="s">
        <v>13</v>
      </c>
      <c r="G943">
        <f t="shared" ref="G943:G944" si="95">G942</f>
        <v>-123</v>
      </c>
      <c r="H943">
        <f>Table146[[#This Row],[RSSI]]</f>
        <v>-123</v>
      </c>
      <c r="I943">
        <f t="shared" ref="I943:I944" si="96">I942</f>
        <v>-9.3000000000000007</v>
      </c>
      <c r="L943">
        <f>390+2*(Table257[[#This Row],[min value (corrected)]]-27)</f>
        <v>424</v>
      </c>
      <c r="M943">
        <f>MINUTE(Table257[[#This Row],[Corrected time]])</f>
        <v>44</v>
      </c>
      <c r="N943" s="1">
        <v>0.53059925925925921</v>
      </c>
      <c r="O943" s="1">
        <f>Table257[[#This Row],[Time]]-TIME(0,0,3)</f>
        <v>0.53056453703703699</v>
      </c>
      <c r="P943" t="s">
        <v>9</v>
      </c>
      <c r="Q943">
        <v>-123</v>
      </c>
      <c r="R943">
        <f>Table257[[#This Row],[RSSI]]</f>
        <v>-123</v>
      </c>
      <c r="S943">
        <v>-9</v>
      </c>
    </row>
    <row r="944" spans="2:19" x14ac:dyDescent="0.25">
      <c r="B944">
        <f>390+2*(Table146[[#This Row],[min value (corrected)]]-37)</f>
        <v>424</v>
      </c>
      <c r="C944">
        <f>MINUTE(Table146[[#This Row],[Corrected time]])</f>
        <v>54</v>
      </c>
      <c r="D944" s="1">
        <v>0.49598034722222217</v>
      </c>
      <c r="E944" s="1">
        <f>Table146[[#This Row],[Time]]-TIME(0,0,1)</f>
        <v>0.49596877314814808</v>
      </c>
      <c r="F944" t="s">
        <v>13</v>
      </c>
      <c r="G944">
        <f t="shared" si="95"/>
        <v>-123</v>
      </c>
      <c r="H944">
        <f>Table146[[#This Row],[RSSI]]</f>
        <v>-123</v>
      </c>
      <c r="I944">
        <f t="shared" si="96"/>
        <v>-9.3000000000000007</v>
      </c>
      <c r="L944">
        <f>390+2*(Table257[[#This Row],[min value (corrected)]]-27)</f>
        <v>424</v>
      </c>
      <c r="M944">
        <f>MINUTE(Table257[[#This Row],[Corrected time]])</f>
        <v>44</v>
      </c>
      <c r="N944" s="1">
        <v>0.53061228009259254</v>
      </c>
      <c r="O944" s="1">
        <f>Table257[[#This Row],[Time]]-TIME(0,0,3)</f>
        <v>0.53057755787037031</v>
      </c>
      <c r="P944" t="s">
        <v>9</v>
      </c>
      <c r="Q944">
        <v>-122</v>
      </c>
      <c r="R944">
        <f>Table257[[#This Row],[RSSI]]</f>
        <v>-122</v>
      </c>
      <c r="S944">
        <v>-8.5</v>
      </c>
    </row>
    <row r="945" spans="2:19" x14ac:dyDescent="0.25">
      <c r="B945">
        <f>390+2*(Table146[[#This Row],[min value (corrected)]]-37)</f>
        <v>424</v>
      </c>
      <c r="C945">
        <f>MINUTE(Table146[[#This Row],[Corrected time]])</f>
        <v>54</v>
      </c>
      <c r="D945" s="1">
        <v>0.49599336805555555</v>
      </c>
      <c r="E945" s="1">
        <f>Table146[[#This Row],[Time]]-TIME(0,0,1)</f>
        <v>0.49598179398148146</v>
      </c>
      <c r="F945" t="s">
        <v>9</v>
      </c>
      <c r="G945">
        <v>-123</v>
      </c>
      <c r="H945">
        <f>Table146[[#This Row],[RSSI]]</f>
        <v>-123</v>
      </c>
      <c r="I945">
        <v>-9.3000000000000007</v>
      </c>
      <c r="L945">
        <f>390+2*(Table257[[#This Row],[min value (corrected)]]-27)</f>
        <v>424</v>
      </c>
      <c r="M945">
        <f>MINUTE(Table257[[#This Row],[Corrected time]])</f>
        <v>44</v>
      </c>
      <c r="N945" s="1">
        <v>0.53062532407407403</v>
      </c>
      <c r="O945" s="1">
        <f>Table257[[#This Row],[Time]]-TIME(0,0,3)</f>
        <v>0.53059060185185181</v>
      </c>
      <c r="P945" t="s">
        <v>13</v>
      </c>
      <c r="Q945">
        <f t="shared" ref="Q945:Q951" si="97">Q944</f>
        <v>-122</v>
      </c>
      <c r="R945">
        <f>Table257[[#This Row],[RSSI]]</f>
        <v>-122</v>
      </c>
      <c r="S945">
        <f t="shared" ref="S945:S951" si="98">S944</f>
        <v>-8.5</v>
      </c>
    </row>
    <row r="946" spans="2:19" x14ac:dyDescent="0.25">
      <c r="B946">
        <f>390+2*(Table146[[#This Row],[min value (corrected)]]-37)</f>
        <v>424</v>
      </c>
      <c r="C946">
        <f>MINUTE(Table146[[#This Row],[Corrected time]])</f>
        <v>54</v>
      </c>
      <c r="D946" s="1">
        <v>0.49600641203703699</v>
      </c>
      <c r="E946" s="1">
        <f>Table146[[#This Row],[Time]]-TIME(0,0,1)</f>
        <v>0.4959948379629629</v>
      </c>
      <c r="F946" t="s">
        <v>9</v>
      </c>
      <c r="G946">
        <v>-123</v>
      </c>
      <c r="H946">
        <f>Table146[[#This Row],[RSSI]]</f>
        <v>-123</v>
      </c>
      <c r="I946">
        <v>-9</v>
      </c>
      <c r="L946">
        <f>390+2*(Table257[[#This Row],[min value (corrected)]]-27)</f>
        <v>424</v>
      </c>
      <c r="M946">
        <f>MINUTE(Table257[[#This Row],[Corrected time]])</f>
        <v>44</v>
      </c>
      <c r="N946" s="1">
        <v>0.5306383564814815</v>
      </c>
      <c r="O946" s="1">
        <f>Table257[[#This Row],[Time]]-TIME(0,0,3)</f>
        <v>0.53060363425925927</v>
      </c>
      <c r="P946" t="s">
        <v>13</v>
      </c>
      <c r="Q946">
        <f t="shared" si="97"/>
        <v>-122</v>
      </c>
      <c r="R946">
        <f>Table257[[#This Row],[RSSI]]</f>
        <v>-122</v>
      </c>
      <c r="S946">
        <f t="shared" si="98"/>
        <v>-8.5</v>
      </c>
    </row>
    <row r="947" spans="2:19" x14ac:dyDescent="0.25">
      <c r="B947">
        <f>390+2*(Table146[[#This Row],[min value (corrected)]]-37)</f>
        <v>424</v>
      </c>
      <c r="C947">
        <f>MINUTE(Table146[[#This Row],[Corrected time]])</f>
        <v>54</v>
      </c>
      <c r="D947" s="1">
        <v>0.49601944444444446</v>
      </c>
      <c r="E947" s="1">
        <f>Table146[[#This Row],[Time]]-TIME(0,0,1)</f>
        <v>0.49600787037037036</v>
      </c>
      <c r="F947" t="s">
        <v>13</v>
      </c>
      <c r="G947">
        <f t="shared" ref="G947:G948" si="99">G946</f>
        <v>-123</v>
      </c>
      <c r="H947">
        <f>Table146[[#This Row],[RSSI]]</f>
        <v>-123</v>
      </c>
      <c r="I947">
        <f t="shared" ref="I947:I948" si="100">I946</f>
        <v>-9</v>
      </c>
      <c r="L947">
        <f>390+2*(Table257[[#This Row],[min value (corrected)]]-27)</f>
        <v>424</v>
      </c>
      <c r="M947">
        <f>MINUTE(Table257[[#This Row],[Corrected time]])</f>
        <v>44</v>
      </c>
      <c r="N947" s="1">
        <v>0.53065138888888885</v>
      </c>
      <c r="O947" s="1">
        <f>Table257[[#This Row],[Time]]-TIME(0,0,3)</f>
        <v>0.53061666666666663</v>
      </c>
      <c r="P947" t="s">
        <v>13</v>
      </c>
      <c r="Q947">
        <f t="shared" si="97"/>
        <v>-122</v>
      </c>
      <c r="R947">
        <f>Table257[[#This Row],[RSSI]]</f>
        <v>-122</v>
      </c>
      <c r="S947">
        <f t="shared" si="98"/>
        <v>-8.5</v>
      </c>
    </row>
    <row r="948" spans="2:19" x14ac:dyDescent="0.25">
      <c r="B948">
        <f>390+2*(Table146[[#This Row],[min value (corrected)]]-37)</f>
        <v>424</v>
      </c>
      <c r="C948">
        <f>MINUTE(Table146[[#This Row],[Corrected time]])</f>
        <v>54</v>
      </c>
      <c r="D948" s="1">
        <v>0.49603247685185181</v>
      </c>
      <c r="E948" s="1">
        <f>Table146[[#This Row],[Time]]-TIME(0,0,1)</f>
        <v>0.49602090277777772</v>
      </c>
      <c r="F948" t="s">
        <v>13</v>
      </c>
      <c r="G948">
        <f t="shared" si="99"/>
        <v>-123</v>
      </c>
      <c r="H948">
        <f>Table146[[#This Row],[RSSI]]</f>
        <v>-123</v>
      </c>
      <c r="I948">
        <f t="shared" si="100"/>
        <v>-9</v>
      </c>
      <c r="L948">
        <f>390+2*(Table257[[#This Row],[min value (corrected)]]-27)</f>
        <v>424</v>
      </c>
      <c r="M948">
        <f>MINUTE(Table257[[#This Row],[Corrected time]])</f>
        <v>44</v>
      </c>
      <c r="N948" s="1">
        <v>0.53066442129629632</v>
      </c>
      <c r="O948" s="1">
        <f>Table257[[#This Row],[Time]]-TIME(0,0,3)</f>
        <v>0.53062969907407409</v>
      </c>
      <c r="P948" t="s">
        <v>13</v>
      </c>
      <c r="Q948">
        <f t="shared" si="97"/>
        <v>-122</v>
      </c>
      <c r="R948">
        <f>Table257[[#This Row],[RSSI]]</f>
        <v>-122</v>
      </c>
      <c r="S948">
        <f t="shared" si="98"/>
        <v>-8.5</v>
      </c>
    </row>
    <row r="949" spans="2:19" x14ac:dyDescent="0.25">
      <c r="B949">
        <f>390+2*(Table146[[#This Row],[min value (corrected)]]-37)</f>
        <v>424</v>
      </c>
      <c r="C949">
        <f>MINUTE(Table146[[#This Row],[Corrected time]])</f>
        <v>54</v>
      </c>
      <c r="D949" s="1">
        <v>0.49604550925925928</v>
      </c>
      <c r="E949" s="1">
        <f>Table146[[#This Row],[Time]]-TIME(0,0,1)</f>
        <v>0.49603393518518518</v>
      </c>
      <c r="F949" t="s">
        <v>9</v>
      </c>
      <c r="G949">
        <v>-123</v>
      </c>
      <c r="H949">
        <f>Table146[[#This Row],[RSSI]]</f>
        <v>-123</v>
      </c>
      <c r="I949">
        <v>-9</v>
      </c>
      <c r="L949">
        <f>390+2*(Table257[[#This Row],[min value (corrected)]]-27)</f>
        <v>424</v>
      </c>
      <c r="M949">
        <f>MINUTE(Table257[[#This Row],[Corrected time]])</f>
        <v>44</v>
      </c>
      <c r="N949" s="1">
        <v>0.53067745370370367</v>
      </c>
      <c r="O949" s="1">
        <f>Table257[[#This Row],[Time]]-TIME(0,0,3)</f>
        <v>0.53064273148148144</v>
      </c>
      <c r="P949" t="s">
        <v>13</v>
      </c>
      <c r="Q949">
        <f t="shared" si="97"/>
        <v>-122</v>
      </c>
      <c r="R949">
        <f>Table257[[#This Row],[RSSI]]</f>
        <v>-122</v>
      </c>
      <c r="S949">
        <f t="shared" si="98"/>
        <v>-8.5</v>
      </c>
    </row>
    <row r="950" spans="2:19" x14ac:dyDescent="0.25">
      <c r="B950">
        <f>390+2*(Table146[[#This Row],[min value (corrected)]]-37)</f>
        <v>424</v>
      </c>
      <c r="C950">
        <f>MINUTE(Table146[[#This Row],[Corrected time]])</f>
        <v>54</v>
      </c>
      <c r="D950" s="1">
        <v>0.49605854166666663</v>
      </c>
      <c r="E950" s="1">
        <f>Table146[[#This Row],[Time]]-TIME(0,0,1)</f>
        <v>0.49604696759259254</v>
      </c>
      <c r="F950" t="s">
        <v>9</v>
      </c>
      <c r="G950">
        <v>-122</v>
      </c>
      <c r="H950">
        <f>Table146[[#This Row],[RSSI]]</f>
        <v>-122</v>
      </c>
      <c r="I950">
        <v>-8.3000000000000007</v>
      </c>
      <c r="L950">
        <f>390+2*(Table257[[#This Row],[min value (corrected)]]-27)</f>
        <v>424</v>
      </c>
      <c r="M950">
        <f>MINUTE(Table257[[#This Row],[Corrected time]])</f>
        <v>44</v>
      </c>
      <c r="N950" s="1">
        <v>0.53069047453703699</v>
      </c>
      <c r="O950" s="1">
        <f>Table257[[#This Row],[Time]]-TIME(0,0,3)</f>
        <v>0.53065575231481477</v>
      </c>
      <c r="P950" t="s">
        <v>13</v>
      </c>
      <c r="Q950">
        <f t="shared" si="97"/>
        <v>-122</v>
      </c>
      <c r="R950">
        <f>Table257[[#This Row],[RSSI]]</f>
        <v>-122</v>
      </c>
      <c r="S950">
        <f t="shared" si="98"/>
        <v>-8.5</v>
      </c>
    </row>
    <row r="951" spans="2:19" x14ac:dyDescent="0.25">
      <c r="B951">
        <f>390+2*(Table146[[#This Row],[min value (corrected)]]-37)</f>
        <v>424</v>
      </c>
      <c r="C951">
        <f>MINUTE(Table146[[#This Row],[Corrected time]])</f>
        <v>54</v>
      </c>
      <c r="D951" s="1">
        <v>0.4960715740740741</v>
      </c>
      <c r="E951" s="1">
        <f>Table146[[#This Row],[Time]]-TIME(0,0,1)</f>
        <v>0.49606</v>
      </c>
      <c r="F951" t="s">
        <v>13</v>
      </c>
      <c r="G951">
        <f t="shared" ref="G951:G953" si="101">G950</f>
        <v>-122</v>
      </c>
      <c r="H951">
        <f>Table146[[#This Row],[RSSI]]</f>
        <v>-122</v>
      </c>
      <c r="I951">
        <f t="shared" ref="I951:I953" si="102">I950</f>
        <v>-8.3000000000000007</v>
      </c>
      <c r="L951">
        <f>390+2*(Table257[[#This Row],[min value (corrected)]]-27)</f>
        <v>424</v>
      </c>
      <c r="M951">
        <f>MINUTE(Table257[[#This Row],[Corrected time]])</f>
        <v>44</v>
      </c>
      <c r="N951" s="1">
        <v>0.53070351851851849</v>
      </c>
      <c r="O951" s="1">
        <f>Table257[[#This Row],[Time]]-TIME(0,0,3)</f>
        <v>0.53066879629629626</v>
      </c>
      <c r="P951" t="s">
        <v>13</v>
      </c>
      <c r="Q951">
        <f t="shared" si="97"/>
        <v>-122</v>
      </c>
      <c r="R951">
        <f>Table257[[#This Row],[RSSI]]</f>
        <v>-122</v>
      </c>
      <c r="S951">
        <f t="shared" si="98"/>
        <v>-8.5</v>
      </c>
    </row>
    <row r="952" spans="2:19" x14ac:dyDescent="0.25">
      <c r="B952">
        <f>390+2*(Table146[[#This Row],[min value (corrected)]]-37)</f>
        <v>424</v>
      </c>
      <c r="C952">
        <f>MINUTE(Table146[[#This Row],[Corrected time]])</f>
        <v>54</v>
      </c>
      <c r="D952" s="1">
        <v>0.49608460648148145</v>
      </c>
      <c r="E952" s="1">
        <f>Table146[[#This Row],[Time]]-TIME(0,0,1)</f>
        <v>0.49607303240740735</v>
      </c>
      <c r="F952" t="s">
        <v>13</v>
      </c>
      <c r="G952">
        <f t="shared" si="101"/>
        <v>-122</v>
      </c>
      <c r="H952">
        <f>Table146[[#This Row],[RSSI]]</f>
        <v>-122</v>
      </c>
      <c r="I952">
        <f t="shared" si="102"/>
        <v>-8.3000000000000007</v>
      </c>
      <c r="L952">
        <f>390+2*(Table257[[#This Row],[min value (corrected)]]-27)</f>
        <v>424</v>
      </c>
      <c r="M952">
        <f>MINUTE(Table257[[#This Row],[Corrected time]])</f>
        <v>44</v>
      </c>
      <c r="N952" s="1">
        <v>0.53071655092592596</v>
      </c>
      <c r="O952" s="1">
        <f>Table257[[#This Row],[Time]]-TIME(0,0,3)</f>
        <v>0.53068182870370373</v>
      </c>
      <c r="P952" t="s">
        <v>9</v>
      </c>
      <c r="Q952">
        <v>-122</v>
      </c>
      <c r="R952">
        <f>Table257[[#This Row],[RSSI]]</f>
        <v>-122</v>
      </c>
      <c r="S952">
        <v>-8.8000000000000007</v>
      </c>
    </row>
    <row r="953" spans="2:19" x14ac:dyDescent="0.25">
      <c r="B953">
        <f>390+2*(Table146[[#This Row],[min value (corrected)]]-37)</f>
        <v>424</v>
      </c>
      <c r="C953">
        <f>MINUTE(Table146[[#This Row],[Corrected time]])</f>
        <v>54</v>
      </c>
      <c r="D953" s="1">
        <v>0.49609763888888891</v>
      </c>
      <c r="E953" s="1">
        <f>Table146[[#This Row],[Time]]-TIME(0,0,1)</f>
        <v>0.49608606481481482</v>
      </c>
      <c r="F953" t="s">
        <v>13</v>
      </c>
      <c r="G953">
        <f t="shared" si="101"/>
        <v>-122</v>
      </c>
      <c r="H953">
        <f>Table146[[#This Row],[RSSI]]</f>
        <v>-122</v>
      </c>
      <c r="I953">
        <f t="shared" si="102"/>
        <v>-8.3000000000000007</v>
      </c>
      <c r="L953">
        <f>390+2*(Table257[[#This Row],[min value (corrected)]]-27)</f>
        <v>424</v>
      </c>
      <c r="M953">
        <f>MINUTE(Table257[[#This Row],[Corrected time]])</f>
        <v>44</v>
      </c>
      <c r="N953" s="1">
        <v>0.53072958333333331</v>
      </c>
      <c r="O953" s="1">
        <f>Table257[[#This Row],[Time]]-TIME(0,0,3)</f>
        <v>0.53069486111111108</v>
      </c>
      <c r="P953" t="s">
        <v>9</v>
      </c>
      <c r="Q953">
        <v>-123</v>
      </c>
      <c r="R953">
        <f>Table257[[#This Row],[RSSI]]</f>
        <v>-123</v>
      </c>
      <c r="S953">
        <v>-9.5</v>
      </c>
    </row>
    <row r="954" spans="2:19" x14ac:dyDescent="0.25">
      <c r="B954">
        <f>390+2*(Table146[[#This Row],[min value (corrected)]]-37)</f>
        <v>424</v>
      </c>
      <c r="C954">
        <f>MINUTE(Table146[[#This Row],[Corrected time]])</f>
        <v>54</v>
      </c>
      <c r="D954" s="1">
        <v>0.49611067129629627</v>
      </c>
      <c r="E954" s="1">
        <f>Table146[[#This Row],[Time]]-TIME(0,0,1)</f>
        <v>0.49609909722222217</v>
      </c>
      <c r="F954" t="s">
        <v>9</v>
      </c>
      <c r="G954">
        <v>-122</v>
      </c>
      <c r="H954">
        <f>Table146[[#This Row],[RSSI]]</f>
        <v>-122</v>
      </c>
      <c r="I954">
        <v>-8.8000000000000007</v>
      </c>
      <c r="L954">
        <f>390+2*(Table257[[#This Row],[min value (corrected)]]-27)</f>
        <v>424</v>
      </c>
      <c r="M954">
        <f>MINUTE(Table257[[#This Row],[Corrected time]])</f>
        <v>44</v>
      </c>
      <c r="N954" s="1">
        <v>0.53074260416666663</v>
      </c>
      <c r="O954" s="1">
        <f>Table257[[#This Row],[Time]]-TIME(0,0,3)</f>
        <v>0.5307078819444444</v>
      </c>
      <c r="P954" t="s">
        <v>9</v>
      </c>
      <c r="Q954">
        <v>-122</v>
      </c>
      <c r="R954">
        <f>Table257[[#This Row],[RSSI]]</f>
        <v>-122</v>
      </c>
      <c r="S954">
        <v>-8.8000000000000007</v>
      </c>
    </row>
    <row r="955" spans="2:19" x14ac:dyDescent="0.25">
      <c r="B955">
        <f>390+2*(Table146[[#This Row],[min value (corrected)]]-37)</f>
        <v>424</v>
      </c>
      <c r="C955">
        <f>MINUTE(Table146[[#This Row],[Corrected time]])</f>
        <v>54</v>
      </c>
      <c r="D955" s="1">
        <v>0.49612370370370373</v>
      </c>
      <c r="E955" s="1">
        <f>Table146[[#This Row],[Time]]-TIME(0,0,1)</f>
        <v>0.49611212962962964</v>
      </c>
      <c r="F955" t="s">
        <v>13</v>
      </c>
      <c r="G955">
        <f>G954</f>
        <v>-122</v>
      </c>
      <c r="H955">
        <f>Table146[[#This Row],[RSSI]]</f>
        <v>-122</v>
      </c>
      <c r="I955">
        <f>I954</f>
        <v>-8.8000000000000007</v>
      </c>
      <c r="L955">
        <f>390+2*(Table257[[#This Row],[min value (corrected)]]-27)</f>
        <v>424</v>
      </c>
      <c r="M955">
        <f>MINUTE(Table257[[#This Row],[Corrected time]])</f>
        <v>44</v>
      </c>
      <c r="N955" s="1">
        <v>0.53075564814814813</v>
      </c>
      <c r="O955" s="1">
        <f>Table257[[#This Row],[Time]]-TIME(0,0,3)</f>
        <v>0.5307209259259259</v>
      </c>
      <c r="P955" t="s">
        <v>9</v>
      </c>
      <c r="Q955">
        <v>-122</v>
      </c>
      <c r="R955">
        <f>Table257[[#This Row],[RSSI]]</f>
        <v>-122</v>
      </c>
      <c r="S955">
        <v>-8.3000000000000007</v>
      </c>
    </row>
    <row r="956" spans="2:19" x14ac:dyDescent="0.25">
      <c r="B956">
        <f>390+2*(Table146[[#This Row],[min value (corrected)]]-37)</f>
        <v>424</v>
      </c>
      <c r="C956">
        <f>MINUTE(Table146[[#This Row],[Corrected time]])</f>
        <v>54</v>
      </c>
      <c r="D956" s="1">
        <v>0.49613673611111109</v>
      </c>
      <c r="E956" s="1">
        <f>Table146[[#This Row],[Time]]-TIME(0,0,1)</f>
        <v>0.49612516203703699</v>
      </c>
      <c r="F956" t="s">
        <v>9</v>
      </c>
      <c r="G956">
        <v>-122</v>
      </c>
      <c r="H956">
        <f>Table146[[#This Row],[RSSI]]</f>
        <v>-122</v>
      </c>
      <c r="I956">
        <v>-8.3000000000000007</v>
      </c>
      <c r="L956">
        <f>390+2*(Table257[[#This Row],[min value (corrected)]]-27)</f>
        <v>424</v>
      </c>
      <c r="M956">
        <f>MINUTE(Table257[[#This Row],[Corrected time]])</f>
        <v>44</v>
      </c>
      <c r="N956" s="1">
        <v>0.53076868055555548</v>
      </c>
      <c r="O956" s="1">
        <f>Table257[[#This Row],[Time]]-TIME(0,0,3)</f>
        <v>0.53073395833333326</v>
      </c>
      <c r="P956" t="s">
        <v>13</v>
      </c>
      <c r="Q956">
        <f>Q955</f>
        <v>-122</v>
      </c>
      <c r="R956">
        <f>Table257[[#This Row],[RSSI]]</f>
        <v>-122</v>
      </c>
      <c r="S956">
        <f>S955</f>
        <v>-8.3000000000000007</v>
      </c>
    </row>
    <row r="957" spans="2:19" x14ac:dyDescent="0.25">
      <c r="B957">
        <f>390+2*(Table146[[#This Row],[min value (corrected)]]-37)</f>
        <v>424</v>
      </c>
      <c r="C957">
        <f>MINUTE(Table146[[#This Row],[Corrected time]])</f>
        <v>54</v>
      </c>
      <c r="D957" s="1">
        <v>0.4961497685185185</v>
      </c>
      <c r="E957" s="1">
        <f>Table146[[#This Row],[Time]]-TIME(0,0,1)</f>
        <v>0.4961381944444444</v>
      </c>
      <c r="F957" t="s">
        <v>9</v>
      </c>
      <c r="G957">
        <v>-122</v>
      </c>
      <c r="H957">
        <f>Table146[[#This Row],[RSSI]]</f>
        <v>-122</v>
      </c>
      <c r="I957">
        <v>-8.5</v>
      </c>
      <c r="L957">
        <f>390+2*(Table257[[#This Row],[min value (corrected)]]-27)</f>
        <v>424</v>
      </c>
      <c r="M957">
        <f>MINUTE(Table257[[#This Row],[Corrected time]])</f>
        <v>44</v>
      </c>
      <c r="N957" s="1">
        <v>0.53078171296296295</v>
      </c>
      <c r="O957" s="1">
        <f>Table257[[#This Row],[Time]]-TIME(0,0,3)</f>
        <v>0.53074699074074072</v>
      </c>
      <c r="P957" t="s">
        <v>9</v>
      </c>
      <c r="Q957">
        <v>-122</v>
      </c>
      <c r="R957">
        <f>Table257[[#This Row],[RSSI]]</f>
        <v>-122</v>
      </c>
      <c r="S957">
        <v>-8.8000000000000007</v>
      </c>
    </row>
    <row r="958" spans="2:19" x14ac:dyDescent="0.25">
      <c r="B958">
        <f>390+2*(Table146[[#This Row],[min value (corrected)]]-37)</f>
        <v>424</v>
      </c>
      <c r="C958">
        <f>MINUTE(Table146[[#This Row],[Corrected time]])</f>
        <v>54</v>
      </c>
      <c r="D958" s="1">
        <v>0.49616280092592591</v>
      </c>
      <c r="E958" s="1">
        <f>Table146[[#This Row],[Time]]-TIME(0,0,1)</f>
        <v>0.49615122685185181</v>
      </c>
      <c r="F958" t="s">
        <v>9</v>
      </c>
      <c r="G958">
        <v>-122</v>
      </c>
      <c r="H958">
        <f>Table146[[#This Row],[RSSI]]</f>
        <v>-122</v>
      </c>
      <c r="I958">
        <v>-9</v>
      </c>
      <c r="L958">
        <f>390+2*(Table257[[#This Row],[min value (corrected)]]-27)</f>
        <v>424</v>
      </c>
      <c r="M958">
        <f>MINUTE(Table257[[#This Row],[Corrected time]])</f>
        <v>44</v>
      </c>
      <c r="N958" s="1">
        <v>0.5307947453703703</v>
      </c>
      <c r="O958" s="1">
        <f>Table257[[#This Row],[Time]]-TIME(0,0,3)</f>
        <v>0.53076002314814807</v>
      </c>
      <c r="P958" t="s">
        <v>9</v>
      </c>
      <c r="Q958">
        <v>-122</v>
      </c>
      <c r="R958">
        <f>Table257[[#This Row],[RSSI]]</f>
        <v>-122</v>
      </c>
      <c r="S958">
        <v>-8.5</v>
      </c>
    </row>
    <row r="959" spans="2:19" x14ac:dyDescent="0.25">
      <c r="B959">
        <f>390+2*(Table146[[#This Row],[min value (corrected)]]-37)</f>
        <v>424</v>
      </c>
      <c r="C959">
        <f>MINUTE(Table146[[#This Row],[Corrected time]])</f>
        <v>54</v>
      </c>
      <c r="D959" s="1">
        <v>0.49617583333333332</v>
      </c>
      <c r="E959" s="1">
        <f>Table146[[#This Row],[Time]]-TIME(0,0,1)</f>
        <v>0.49616425925925922</v>
      </c>
      <c r="F959" t="s">
        <v>9</v>
      </c>
      <c r="G959">
        <v>-121</v>
      </c>
      <c r="H959">
        <f>Table146[[#This Row],[RSSI]]</f>
        <v>-121</v>
      </c>
      <c r="I959">
        <v>-8</v>
      </c>
      <c r="L959">
        <f>390+2*(Table257[[#This Row],[min value (corrected)]]-27)</f>
        <v>424</v>
      </c>
      <c r="M959">
        <f>MINUTE(Table257[[#This Row],[Corrected time]])</f>
        <v>44</v>
      </c>
      <c r="N959" s="1">
        <v>0.53080776620370362</v>
      </c>
      <c r="O959" s="1">
        <f>Table257[[#This Row],[Time]]-TIME(0,0,3)</f>
        <v>0.5307730439814814</v>
      </c>
      <c r="P959" t="s">
        <v>9</v>
      </c>
      <c r="Q959">
        <v>-123</v>
      </c>
      <c r="R959">
        <f>Table257[[#This Row],[RSSI]]</f>
        <v>-123</v>
      </c>
      <c r="S959">
        <v>-9.5</v>
      </c>
    </row>
    <row r="960" spans="2:19" x14ac:dyDescent="0.25">
      <c r="B960">
        <f>390+2*(Table146[[#This Row],[min value (corrected)]]-37)</f>
        <v>424</v>
      </c>
      <c r="C960">
        <f>MINUTE(Table146[[#This Row],[Corrected time]])</f>
        <v>54</v>
      </c>
      <c r="D960" s="1">
        <v>0.49618886574074073</v>
      </c>
      <c r="E960" s="1">
        <f>Table146[[#This Row],[Time]]-TIME(0,0,1)</f>
        <v>0.49617729166666663</v>
      </c>
      <c r="F960" t="s">
        <v>9</v>
      </c>
      <c r="G960">
        <v>-122</v>
      </c>
      <c r="H960">
        <f>Table146[[#This Row],[RSSI]]</f>
        <v>-122</v>
      </c>
      <c r="I960">
        <v>-8.3000000000000007</v>
      </c>
      <c r="L960">
        <f>390+2*(Table257[[#This Row],[min value (corrected)]]-27)</f>
        <v>424</v>
      </c>
      <c r="M960">
        <f>MINUTE(Table257[[#This Row],[Corrected time]])</f>
        <v>44</v>
      </c>
      <c r="N960" s="1">
        <v>0.53082079861111109</v>
      </c>
      <c r="O960" s="1">
        <f>Table257[[#This Row],[Time]]-TIME(0,0,3)</f>
        <v>0.53078607638888886</v>
      </c>
      <c r="P960" t="s">
        <v>9</v>
      </c>
      <c r="Q960">
        <v>-122</v>
      </c>
      <c r="R960">
        <f>Table257[[#This Row],[RSSI]]</f>
        <v>-122</v>
      </c>
      <c r="S960">
        <v>-9</v>
      </c>
    </row>
    <row r="961" spans="2:19" x14ac:dyDescent="0.25">
      <c r="B961">
        <f>390+2*(Table146[[#This Row],[min value (corrected)]]-37)</f>
        <v>424</v>
      </c>
      <c r="C961">
        <f>MINUTE(Table146[[#This Row],[Corrected time]])</f>
        <v>54</v>
      </c>
      <c r="D961" s="1">
        <v>0.49620189814814814</v>
      </c>
      <c r="E961" s="1">
        <f>Table146[[#This Row],[Time]]-TIME(0,0,1)</f>
        <v>0.49619032407407404</v>
      </c>
      <c r="F961" t="s">
        <v>9</v>
      </c>
      <c r="G961">
        <v>-123</v>
      </c>
      <c r="H961">
        <f>Table146[[#This Row],[RSSI]]</f>
        <v>-123</v>
      </c>
      <c r="I961">
        <v>-10</v>
      </c>
      <c r="L961">
        <f>390+2*(Table257[[#This Row],[min value (corrected)]]-27)</f>
        <v>424</v>
      </c>
      <c r="M961">
        <f>MINUTE(Table257[[#This Row],[Corrected time]])</f>
        <v>44</v>
      </c>
      <c r="N961" s="1">
        <v>0.53083384259259259</v>
      </c>
      <c r="O961" s="1">
        <f>Table257[[#This Row],[Time]]-TIME(0,0,3)</f>
        <v>0.53079912037037036</v>
      </c>
      <c r="P961" t="s">
        <v>13</v>
      </c>
      <c r="Q961">
        <f>Q960</f>
        <v>-122</v>
      </c>
      <c r="R961">
        <f>Table257[[#This Row],[RSSI]]</f>
        <v>-122</v>
      </c>
      <c r="S961">
        <f>S960</f>
        <v>-9</v>
      </c>
    </row>
    <row r="962" spans="2:19" x14ac:dyDescent="0.25">
      <c r="B962">
        <f>390+2*(Table146[[#This Row],[min value (corrected)]]-37)</f>
        <v>424</v>
      </c>
      <c r="C962">
        <f>MINUTE(Table146[[#This Row],[Corrected time]])</f>
        <v>54</v>
      </c>
      <c r="D962" s="1">
        <v>0.49621491898148146</v>
      </c>
      <c r="E962" s="1">
        <f>Table146[[#This Row],[Time]]-TIME(0,0,1)</f>
        <v>0.49620334490740736</v>
      </c>
      <c r="F962" t="s">
        <v>9</v>
      </c>
      <c r="G962">
        <v>-122</v>
      </c>
      <c r="H962">
        <f>Table146[[#This Row],[RSSI]]</f>
        <v>-122</v>
      </c>
      <c r="I962">
        <v>-8.8000000000000007</v>
      </c>
      <c r="L962">
        <f>390+2*(Table257[[#This Row],[min value (corrected)]]-27)</f>
        <v>424</v>
      </c>
      <c r="M962">
        <f>MINUTE(Table257[[#This Row],[Corrected time]])</f>
        <v>44</v>
      </c>
      <c r="N962" s="1">
        <v>0.53084685185185188</v>
      </c>
      <c r="O962" s="1">
        <f>Table257[[#This Row],[Time]]-TIME(0,0,3)</f>
        <v>0.53081212962962965</v>
      </c>
      <c r="P962" t="s">
        <v>9</v>
      </c>
      <c r="Q962">
        <v>-122</v>
      </c>
      <c r="R962">
        <f>Table257[[#This Row],[RSSI]]</f>
        <v>-122</v>
      </c>
      <c r="S962">
        <v>-8.3000000000000007</v>
      </c>
    </row>
    <row r="963" spans="2:19" x14ac:dyDescent="0.25">
      <c r="B963">
        <f>390+2*(Table146[[#This Row],[min value (corrected)]]-37)</f>
        <v>424</v>
      </c>
      <c r="C963">
        <f>MINUTE(Table146[[#This Row],[Corrected time]])</f>
        <v>54</v>
      </c>
      <c r="D963" s="1">
        <v>0.49622796296296295</v>
      </c>
      <c r="E963" s="1">
        <f>Table146[[#This Row],[Time]]-TIME(0,0,1)</f>
        <v>0.49621638888888886</v>
      </c>
      <c r="F963" t="s">
        <v>9</v>
      </c>
      <c r="G963">
        <v>-122</v>
      </c>
      <c r="H963">
        <f>Table146[[#This Row],[RSSI]]</f>
        <v>-122</v>
      </c>
      <c r="I963">
        <v>-8.5</v>
      </c>
      <c r="L963">
        <f>390+2*(Table257[[#This Row],[min value (corrected)]]-27)</f>
        <v>424</v>
      </c>
      <c r="M963">
        <f>MINUTE(Table257[[#This Row],[Corrected time]])</f>
        <v>44</v>
      </c>
      <c r="N963" s="1">
        <v>0.53085990740740741</v>
      </c>
      <c r="O963" s="1">
        <f>Table257[[#This Row],[Time]]-TIME(0,0,3)</f>
        <v>0.53082518518518518</v>
      </c>
      <c r="P963" t="s">
        <v>9</v>
      </c>
      <c r="Q963">
        <v>-122</v>
      </c>
      <c r="R963">
        <f>Table257[[#This Row],[RSSI]]</f>
        <v>-122</v>
      </c>
      <c r="S963">
        <v>-8.8000000000000007</v>
      </c>
    </row>
    <row r="964" spans="2:19" x14ac:dyDescent="0.25">
      <c r="B964">
        <f>390+2*(Table146[[#This Row],[min value (corrected)]]-37)</f>
        <v>424</v>
      </c>
      <c r="C964">
        <f>MINUTE(Table146[[#This Row],[Corrected time]])</f>
        <v>54</v>
      </c>
      <c r="D964" s="1">
        <v>0.49624099537037036</v>
      </c>
      <c r="E964" s="1">
        <f>Table146[[#This Row],[Time]]-TIME(0,0,1)</f>
        <v>0.49622942129629627</v>
      </c>
      <c r="F964" t="s">
        <v>9</v>
      </c>
      <c r="G964">
        <v>-122</v>
      </c>
      <c r="H964">
        <f>Table146[[#This Row],[RSSI]]</f>
        <v>-122</v>
      </c>
      <c r="I964">
        <v>-8.8000000000000007</v>
      </c>
      <c r="L964">
        <f>390+2*(Table257[[#This Row],[min value (corrected)]]-27)</f>
        <v>424</v>
      </c>
      <c r="M964">
        <f>MINUTE(Table257[[#This Row],[Corrected time]])</f>
        <v>44</v>
      </c>
      <c r="N964" s="1">
        <v>0.53087291666666669</v>
      </c>
      <c r="O964" s="1">
        <f>Table257[[#This Row],[Time]]-TIME(0,0,3)</f>
        <v>0.53083819444444447</v>
      </c>
      <c r="P964" t="s">
        <v>9</v>
      </c>
      <c r="Q964">
        <v>-123</v>
      </c>
      <c r="R964">
        <f>Table257[[#This Row],[RSSI]]</f>
        <v>-123</v>
      </c>
      <c r="S964">
        <v>-9</v>
      </c>
    </row>
    <row r="965" spans="2:19" x14ac:dyDescent="0.25">
      <c r="B965">
        <f>390+2*(Table146[[#This Row],[min value (corrected)]]-37)</f>
        <v>424</v>
      </c>
      <c r="C965">
        <f>MINUTE(Table146[[#This Row],[Corrected time]])</f>
        <v>54</v>
      </c>
      <c r="D965" s="1">
        <v>0.49625402777777777</v>
      </c>
      <c r="E965" s="1">
        <f>Table146[[#This Row],[Time]]-TIME(0,0,1)</f>
        <v>0.49624245370370368</v>
      </c>
      <c r="F965" t="s">
        <v>13</v>
      </c>
      <c r="G965">
        <f t="shared" ref="G965:G967" si="103">G964</f>
        <v>-122</v>
      </c>
      <c r="H965">
        <f>Table146[[#This Row],[RSSI]]</f>
        <v>-122</v>
      </c>
      <c r="I965">
        <f t="shared" ref="I965:I967" si="104">I964</f>
        <v>-8.8000000000000007</v>
      </c>
      <c r="L965">
        <f>390+2*(Table257[[#This Row],[min value (corrected)]]-27)</f>
        <v>424</v>
      </c>
      <c r="M965">
        <f>MINUTE(Table257[[#This Row],[Corrected time]])</f>
        <v>44</v>
      </c>
      <c r="N965" s="1">
        <v>0.53088597222222222</v>
      </c>
      <c r="O965" s="1">
        <f>Table257[[#This Row],[Time]]-TIME(0,0,3)</f>
        <v>0.53085125</v>
      </c>
      <c r="P965" t="s">
        <v>9</v>
      </c>
      <c r="Q965">
        <v>-122</v>
      </c>
      <c r="R965">
        <f>Table257[[#This Row],[RSSI]]</f>
        <v>-122</v>
      </c>
      <c r="S965">
        <v>-8.8000000000000007</v>
      </c>
    </row>
    <row r="966" spans="2:19" x14ac:dyDescent="0.25">
      <c r="B966">
        <f>390+2*(Table146[[#This Row],[min value (corrected)]]-37)</f>
        <v>424</v>
      </c>
      <c r="C966">
        <f>MINUTE(Table146[[#This Row],[Corrected time]])</f>
        <v>54</v>
      </c>
      <c r="D966" s="1">
        <v>0.49626706018518518</v>
      </c>
      <c r="E966" s="1">
        <f>Table146[[#This Row],[Time]]-TIME(0,0,1)</f>
        <v>0.49625548611111109</v>
      </c>
      <c r="F966" t="s">
        <v>13</v>
      </c>
      <c r="G966">
        <f t="shared" si="103"/>
        <v>-122</v>
      </c>
      <c r="H966">
        <f>Table146[[#This Row],[RSSI]]</f>
        <v>-122</v>
      </c>
      <c r="I966">
        <f t="shared" si="104"/>
        <v>-8.8000000000000007</v>
      </c>
      <c r="L966">
        <f>390+2*(Table257[[#This Row],[min value (corrected)]]-27)</f>
        <v>424</v>
      </c>
      <c r="M966">
        <f>MINUTE(Table257[[#This Row],[Corrected time]])</f>
        <v>44</v>
      </c>
      <c r="N966" s="1">
        <v>0.53089900462962958</v>
      </c>
      <c r="O966" s="1">
        <f>Table257[[#This Row],[Time]]-TIME(0,0,3)</f>
        <v>0.53086428240740735</v>
      </c>
      <c r="P966" t="s">
        <v>9</v>
      </c>
      <c r="Q966">
        <v>-122</v>
      </c>
      <c r="R966">
        <f>Table257[[#This Row],[RSSI]]</f>
        <v>-122</v>
      </c>
      <c r="S966">
        <v>-8.3000000000000007</v>
      </c>
    </row>
    <row r="967" spans="2:19" x14ac:dyDescent="0.25">
      <c r="B967">
        <f>390+2*(Table146[[#This Row],[min value (corrected)]]-37)</f>
        <v>424</v>
      </c>
      <c r="C967">
        <f>MINUTE(Table146[[#This Row],[Corrected time]])</f>
        <v>54</v>
      </c>
      <c r="D967" s="1">
        <v>0.49628009259259259</v>
      </c>
      <c r="E967" s="1">
        <f>Table146[[#This Row],[Time]]-TIME(0,0,1)</f>
        <v>0.4962685185185185</v>
      </c>
      <c r="F967" t="s">
        <v>13</v>
      </c>
      <c r="G967">
        <f t="shared" si="103"/>
        <v>-122</v>
      </c>
      <c r="H967">
        <f>Table146[[#This Row],[RSSI]]</f>
        <v>-122</v>
      </c>
      <c r="I967">
        <f t="shared" si="104"/>
        <v>-8.8000000000000007</v>
      </c>
      <c r="L967">
        <f>390+2*(Table257[[#This Row],[min value (corrected)]]-27)</f>
        <v>424</v>
      </c>
      <c r="M967">
        <f>MINUTE(Table257[[#This Row],[Corrected time]])</f>
        <v>44</v>
      </c>
      <c r="N967" s="1">
        <v>0.5309120254629629</v>
      </c>
      <c r="O967" s="1">
        <f>Table257[[#This Row],[Time]]-TIME(0,0,3)</f>
        <v>0.53087730324074067</v>
      </c>
      <c r="P967" t="s">
        <v>9</v>
      </c>
      <c r="Q967">
        <v>-122</v>
      </c>
      <c r="R967">
        <f>Table257[[#This Row],[RSSI]]</f>
        <v>-122</v>
      </c>
      <c r="S967">
        <v>-9</v>
      </c>
    </row>
    <row r="968" spans="2:19" x14ac:dyDescent="0.25">
      <c r="B968">
        <f>390+2*(Table146[[#This Row],[min value (corrected)]]-37)</f>
        <v>424</v>
      </c>
      <c r="C968">
        <f>MINUTE(Table146[[#This Row],[Corrected time]])</f>
        <v>54</v>
      </c>
      <c r="D968" s="1">
        <v>0.496293125</v>
      </c>
      <c r="E968" s="1">
        <f>Table146[[#This Row],[Time]]-TIME(0,0,1)</f>
        <v>0.49628155092592591</v>
      </c>
      <c r="F968" t="s">
        <v>9</v>
      </c>
      <c r="G968">
        <v>-123</v>
      </c>
      <c r="H968">
        <f>Table146[[#This Row],[RSSI]]</f>
        <v>-123</v>
      </c>
      <c r="I968">
        <v>-9</v>
      </c>
      <c r="L968">
        <f>390+2*(Table257[[#This Row],[min value (corrected)]]-27)</f>
        <v>424</v>
      </c>
      <c r="M968">
        <f>MINUTE(Table257[[#This Row],[Corrected time]])</f>
        <v>44</v>
      </c>
      <c r="N968" s="1">
        <v>0.5309250694444444</v>
      </c>
      <c r="O968" s="1">
        <f>Table257[[#This Row],[Time]]-TIME(0,0,3)</f>
        <v>0.53089034722222217</v>
      </c>
      <c r="P968" t="s">
        <v>9</v>
      </c>
      <c r="Q968">
        <v>-122</v>
      </c>
      <c r="R968">
        <f>Table257[[#This Row],[RSSI]]</f>
        <v>-122</v>
      </c>
      <c r="S968">
        <v>-8.8000000000000007</v>
      </c>
    </row>
    <row r="969" spans="2:19" x14ac:dyDescent="0.25">
      <c r="B969">
        <f>390+2*(Table146[[#This Row],[min value (corrected)]]-37)</f>
        <v>424</v>
      </c>
      <c r="C969">
        <f>MINUTE(Table146[[#This Row],[Corrected time]])</f>
        <v>54</v>
      </c>
      <c r="D969" s="1">
        <v>0.49630615740740741</v>
      </c>
      <c r="E969" s="1">
        <f>Table146[[#This Row],[Time]]-TIME(0,0,1)</f>
        <v>0.49629458333333332</v>
      </c>
      <c r="F969" t="s">
        <v>9</v>
      </c>
      <c r="G969">
        <v>-122</v>
      </c>
      <c r="H969">
        <f>Table146[[#This Row],[RSSI]]</f>
        <v>-122</v>
      </c>
      <c r="I969">
        <v>-8.5</v>
      </c>
      <c r="L969">
        <f>390+2*(Table257[[#This Row],[min value (corrected)]]-27)</f>
        <v>424</v>
      </c>
      <c r="M969">
        <f>MINUTE(Table257[[#This Row],[Corrected time]])</f>
        <v>44</v>
      </c>
      <c r="N969" s="1">
        <v>0.53093810185185186</v>
      </c>
      <c r="O969" s="1">
        <f>Table257[[#This Row],[Time]]-TIME(0,0,3)</f>
        <v>0.53090337962962963</v>
      </c>
      <c r="P969" t="s">
        <v>13</v>
      </c>
      <c r="Q969">
        <f>Q968</f>
        <v>-122</v>
      </c>
      <c r="R969">
        <f>Table257[[#This Row],[RSSI]]</f>
        <v>-122</v>
      </c>
      <c r="S969">
        <f>S968</f>
        <v>-8.8000000000000007</v>
      </c>
    </row>
    <row r="970" spans="2:19" x14ac:dyDescent="0.25">
      <c r="B970">
        <f>390+2*(Table146[[#This Row],[min value (corrected)]]-37)</f>
        <v>424</v>
      </c>
      <c r="C970">
        <f>MINUTE(Table146[[#This Row],[Corrected time]])</f>
        <v>54</v>
      </c>
      <c r="D970" s="1">
        <v>0.49631918981481482</v>
      </c>
      <c r="E970" s="1">
        <f>Table146[[#This Row],[Time]]-TIME(0,0,1)</f>
        <v>0.49630761574074073</v>
      </c>
      <c r="F970" t="s">
        <v>13</v>
      </c>
      <c r="G970">
        <f>G969</f>
        <v>-122</v>
      </c>
      <c r="H970">
        <f>Table146[[#This Row],[RSSI]]</f>
        <v>-122</v>
      </c>
      <c r="I970">
        <f>I969</f>
        <v>-8.5</v>
      </c>
      <c r="L970">
        <f>390+2*(Table257[[#This Row],[min value (corrected)]]-27)</f>
        <v>424</v>
      </c>
      <c r="M970">
        <f>MINUTE(Table257[[#This Row],[Corrected time]])</f>
        <v>44</v>
      </c>
      <c r="N970" s="1">
        <v>0.53095113425925922</v>
      </c>
      <c r="O970" s="1">
        <f>Table257[[#This Row],[Time]]-TIME(0,0,3)</f>
        <v>0.53091641203703699</v>
      </c>
      <c r="P970" t="s">
        <v>9</v>
      </c>
      <c r="Q970">
        <v>-122</v>
      </c>
      <c r="R970">
        <f>Table257[[#This Row],[RSSI]]</f>
        <v>-122</v>
      </c>
      <c r="S970">
        <v>-8.3000000000000007</v>
      </c>
    </row>
    <row r="971" spans="2:19" x14ac:dyDescent="0.25">
      <c r="B971">
        <f>390+2*(Table146[[#This Row],[min value (corrected)]]-37)</f>
        <v>424</v>
      </c>
      <c r="C971">
        <f>MINUTE(Table146[[#This Row],[Corrected time]])</f>
        <v>54</v>
      </c>
      <c r="D971" s="1">
        <v>0.49633222222222223</v>
      </c>
      <c r="E971" s="1">
        <f>Table146[[#This Row],[Time]]-TIME(0,0,1)</f>
        <v>0.49632064814814814</v>
      </c>
      <c r="F971" t="s">
        <v>9</v>
      </c>
      <c r="G971">
        <v>-122</v>
      </c>
      <c r="H971">
        <f>Table146[[#This Row],[RSSI]]</f>
        <v>-122</v>
      </c>
      <c r="I971">
        <v>-8.8000000000000007</v>
      </c>
      <c r="L971">
        <f>390+2*(Table257[[#This Row],[min value (corrected)]]-27)</f>
        <v>424</v>
      </c>
      <c r="M971">
        <f>MINUTE(Table257[[#This Row],[Corrected time]])</f>
        <v>44</v>
      </c>
      <c r="N971" s="1">
        <v>0.53096416666666657</v>
      </c>
      <c r="O971" s="1">
        <f>Table257[[#This Row],[Time]]-TIME(0,0,3)</f>
        <v>0.53092944444444434</v>
      </c>
      <c r="P971" t="s">
        <v>13</v>
      </c>
      <c r="Q971">
        <f>Q970</f>
        <v>-122</v>
      </c>
      <c r="R971">
        <f>Table257[[#This Row],[RSSI]]</f>
        <v>-122</v>
      </c>
      <c r="S971">
        <f>S970</f>
        <v>-8.3000000000000007</v>
      </c>
    </row>
    <row r="972" spans="2:19" x14ac:dyDescent="0.25">
      <c r="B972">
        <f>390+2*(Table146[[#This Row],[min value (corrected)]]-37)</f>
        <v>424</v>
      </c>
      <c r="C972">
        <f>MINUTE(Table146[[#This Row],[Corrected time]])</f>
        <v>54</v>
      </c>
      <c r="D972" s="1">
        <v>0.49634525462962964</v>
      </c>
      <c r="E972" s="1">
        <f>Table146[[#This Row],[Time]]-TIME(0,0,1)</f>
        <v>0.49633368055555555</v>
      </c>
      <c r="F972" t="s">
        <v>9</v>
      </c>
      <c r="G972">
        <v>-122</v>
      </c>
      <c r="H972">
        <f>Table146[[#This Row],[RSSI]]</f>
        <v>-122</v>
      </c>
      <c r="I972">
        <v>-8</v>
      </c>
      <c r="L972">
        <f>390+2*(Table257[[#This Row],[min value (corrected)]]-27)</f>
        <v>424</v>
      </c>
      <c r="M972">
        <f>MINUTE(Table257[[#This Row],[Corrected time]])</f>
        <v>44</v>
      </c>
      <c r="N972" s="1">
        <v>0.53097719907407404</v>
      </c>
      <c r="O972" s="1">
        <f>Table257[[#This Row],[Time]]-TIME(0,0,3)</f>
        <v>0.53094247685185181</v>
      </c>
      <c r="P972" t="s">
        <v>9</v>
      </c>
      <c r="Q972">
        <v>-122</v>
      </c>
      <c r="R972">
        <f>Table257[[#This Row],[RSSI]]</f>
        <v>-122</v>
      </c>
      <c r="S972">
        <v>-8</v>
      </c>
    </row>
    <row r="973" spans="2:19" x14ac:dyDescent="0.25">
      <c r="B973">
        <f>390+2*(Table146[[#This Row],[min value (corrected)]]-37)</f>
        <v>424</v>
      </c>
      <c r="C973">
        <f>MINUTE(Table146[[#This Row],[Corrected time]])</f>
        <v>54</v>
      </c>
      <c r="D973" s="1">
        <v>0.49635828703703705</v>
      </c>
      <c r="E973" s="1">
        <f>Table146[[#This Row],[Time]]-TIME(0,0,1)</f>
        <v>0.49634671296296295</v>
      </c>
      <c r="F973" t="s">
        <v>13</v>
      </c>
      <c r="G973">
        <f>G972</f>
        <v>-122</v>
      </c>
      <c r="H973">
        <f>Table146[[#This Row],[RSSI]]</f>
        <v>-122</v>
      </c>
      <c r="I973">
        <f>I972</f>
        <v>-8</v>
      </c>
      <c r="L973">
        <f>390+2*(Table257[[#This Row],[min value (corrected)]]-27)</f>
        <v>424</v>
      </c>
      <c r="M973">
        <f>MINUTE(Table257[[#This Row],[Corrected time]])</f>
        <v>44</v>
      </c>
      <c r="N973" s="1">
        <v>0.53099021990740736</v>
      </c>
      <c r="O973" s="1">
        <f>Table257[[#This Row],[Time]]-TIME(0,0,3)</f>
        <v>0.53095549768518513</v>
      </c>
      <c r="P973" t="s">
        <v>9</v>
      </c>
      <c r="Q973">
        <v>-122</v>
      </c>
      <c r="R973">
        <f>Table257[[#This Row],[RSSI]]</f>
        <v>-122</v>
      </c>
      <c r="S973">
        <v>-8.8000000000000007</v>
      </c>
    </row>
    <row r="974" spans="2:19" x14ac:dyDescent="0.25">
      <c r="B974">
        <f>390+2*(Table146[[#This Row],[min value (corrected)]]-37)</f>
        <v>424</v>
      </c>
      <c r="C974">
        <f>MINUTE(Table146[[#This Row],[Corrected time]])</f>
        <v>54</v>
      </c>
      <c r="D974" s="1">
        <v>0.49637131944444446</v>
      </c>
      <c r="E974" s="1">
        <f>Table146[[#This Row],[Time]]-TIME(0,0,1)</f>
        <v>0.49635974537037036</v>
      </c>
      <c r="F974" t="s">
        <v>9</v>
      </c>
      <c r="G974">
        <v>-123</v>
      </c>
      <c r="H974">
        <f>Table146[[#This Row],[RSSI]]</f>
        <v>-123</v>
      </c>
      <c r="I974">
        <v>-9.8000000000000007</v>
      </c>
      <c r="L974">
        <f>390+2*(Table257[[#This Row],[min value (corrected)]]-27)</f>
        <v>424</v>
      </c>
      <c r="M974">
        <f>MINUTE(Table257[[#This Row],[Corrected time]])</f>
        <v>44</v>
      </c>
      <c r="N974" s="1">
        <v>0.53100326388888885</v>
      </c>
      <c r="O974" s="1">
        <f>Table257[[#This Row],[Time]]-TIME(0,0,3)</f>
        <v>0.53096854166666663</v>
      </c>
      <c r="P974" t="s">
        <v>13</v>
      </c>
      <c r="Q974">
        <f>Q973</f>
        <v>-122</v>
      </c>
      <c r="R974">
        <f>Table257[[#This Row],[RSSI]]</f>
        <v>-122</v>
      </c>
      <c r="S974">
        <f>S973</f>
        <v>-8.8000000000000007</v>
      </c>
    </row>
    <row r="975" spans="2:19" x14ac:dyDescent="0.25">
      <c r="B975">
        <f>390+2*(Table146[[#This Row],[min value (corrected)]]-37)</f>
        <v>424</v>
      </c>
      <c r="C975">
        <f>MINUTE(Table146[[#This Row],[Corrected time]])</f>
        <v>54</v>
      </c>
      <c r="D975" s="1">
        <v>0.49638434027777784</v>
      </c>
      <c r="E975" s="1">
        <f>Table146[[#This Row],[Time]]-TIME(0,0,1)</f>
        <v>0.49637276620370374</v>
      </c>
      <c r="F975" t="s">
        <v>13</v>
      </c>
      <c r="G975">
        <f>G974</f>
        <v>-123</v>
      </c>
      <c r="H975">
        <f>Table146[[#This Row],[RSSI]]</f>
        <v>-123</v>
      </c>
      <c r="I975">
        <f>I974</f>
        <v>-9.8000000000000007</v>
      </c>
      <c r="L975">
        <f>390+2*(Table257[[#This Row],[min value (corrected)]]-27)</f>
        <v>424</v>
      </c>
      <c r="M975">
        <f>MINUTE(Table257[[#This Row],[Corrected time]])</f>
        <v>44</v>
      </c>
      <c r="N975" s="1">
        <v>0.53101628472222218</v>
      </c>
      <c r="O975" s="1">
        <f>Table257[[#This Row],[Time]]-TIME(0,0,3)</f>
        <v>0.53098156249999995</v>
      </c>
      <c r="P975" t="s">
        <v>9</v>
      </c>
      <c r="Q975">
        <v>-122</v>
      </c>
      <c r="R975">
        <f>Table257[[#This Row],[RSSI]]</f>
        <v>-122</v>
      </c>
      <c r="S975">
        <v>-9</v>
      </c>
    </row>
    <row r="976" spans="2:19" x14ac:dyDescent="0.25">
      <c r="B976">
        <f>390+2*(Table146[[#This Row],[min value (corrected)]]-37)</f>
        <v>424</v>
      </c>
      <c r="C976">
        <f>MINUTE(Table146[[#This Row],[Corrected time]])</f>
        <v>54</v>
      </c>
      <c r="D976" s="1">
        <v>0.49639738425925922</v>
      </c>
      <c r="E976" s="1">
        <f>Table146[[#This Row],[Time]]-TIME(0,0,1)</f>
        <v>0.49638581018518513</v>
      </c>
      <c r="F976" t="s">
        <v>9</v>
      </c>
      <c r="G976">
        <v>-122</v>
      </c>
      <c r="H976">
        <f>Table146[[#This Row],[RSSI]]</f>
        <v>-122</v>
      </c>
      <c r="I976">
        <v>-8.5</v>
      </c>
      <c r="L976">
        <f>390+2*(Table257[[#This Row],[min value (corrected)]]-27)</f>
        <v>424</v>
      </c>
      <c r="M976">
        <f>MINUTE(Table257[[#This Row],[Corrected time]])</f>
        <v>44</v>
      </c>
      <c r="N976" s="1">
        <v>0.53102931712962964</v>
      </c>
      <c r="O976" s="1">
        <f>Table257[[#This Row],[Time]]-TIME(0,0,3)</f>
        <v>0.53099459490740741</v>
      </c>
      <c r="P976" t="s">
        <v>9</v>
      </c>
      <c r="Q976">
        <v>-118</v>
      </c>
      <c r="R976">
        <f>Table257[[#This Row],[RSSI]]</f>
        <v>-118</v>
      </c>
      <c r="S976">
        <v>-8.5</v>
      </c>
    </row>
    <row r="977" spans="2:19" x14ac:dyDescent="0.25">
      <c r="B977">
        <f>390+2*(Table146[[#This Row],[min value (corrected)]]-37)</f>
        <v>424</v>
      </c>
      <c r="C977">
        <f>MINUTE(Table146[[#This Row],[Corrected time]])</f>
        <v>54</v>
      </c>
      <c r="D977" s="1">
        <v>0.49641041666666669</v>
      </c>
      <c r="E977" s="1">
        <f>Table146[[#This Row],[Time]]-TIME(0,0,1)</f>
        <v>0.49639884259259259</v>
      </c>
      <c r="F977" t="s">
        <v>9</v>
      </c>
      <c r="G977">
        <v>-122</v>
      </c>
      <c r="H977">
        <f>Table146[[#This Row],[RSSI]]</f>
        <v>-122</v>
      </c>
      <c r="I977">
        <v>-8.3000000000000007</v>
      </c>
      <c r="L977">
        <f>390+2*(Table257[[#This Row],[min value (corrected)]]-27)</f>
        <v>424</v>
      </c>
      <c r="M977">
        <f>MINUTE(Table257[[#This Row],[Corrected time]])</f>
        <v>44</v>
      </c>
      <c r="N977" s="1">
        <v>0.53104236111111114</v>
      </c>
      <c r="O977" s="1">
        <f>Table257[[#This Row],[Time]]-TIME(0,0,3)</f>
        <v>0.53100763888888891</v>
      </c>
      <c r="P977" t="s">
        <v>9</v>
      </c>
      <c r="Q977">
        <v>-122</v>
      </c>
      <c r="R977">
        <f>Table257[[#This Row],[RSSI]]</f>
        <v>-122</v>
      </c>
      <c r="S977">
        <v>-8.3000000000000007</v>
      </c>
    </row>
    <row r="978" spans="2:19" x14ac:dyDescent="0.25">
      <c r="B978">
        <f>390+2*(Table146[[#This Row],[min value (corrected)]]-37)</f>
        <v>424</v>
      </c>
      <c r="C978">
        <f>MINUTE(Table146[[#This Row],[Corrected time]])</f>
        <v>54</v>
      </c>
      <c r="D978" s="1">
        <v>0.49642344907407404</v>
      </c>
      <c r="E978" s="1">
        <f>Table146[[#This Row],[Time]]-TIME(0,0,1)</f>
        <v>0.49641187499999995</v>
      </c>
      <c r="F978" t="s">
        <v>9</v>
      </c>
      <c r="G978">
        <v>-122</v>
      </c>
      <c r="H978">
        <f>Table146[[#This Row],[RSSI]]</f>
        <v>-122</v>
      </c>
      <c r="I978">
        <v>-8.8000000000000007</v>
      </c>
      <c r="L978">
        <f>390+2*(Table257[[#This Row],[min value (corrected)]]-27)</f>
        <v>424</v>
      </c>
      <c r="M978">
        <f>MINUTE(Table257[[#This Row],[Corrected time]])</f>
        <v>44</v>
      </c>
      <c r="N978" s="1">
        <v>0.53105539351851849</v>
      </c>
      <c r="O978" s="1">
        <f>Table257[[#This Row],[Time]]-TIME(0,0,3)</f>
        <v>0.53102067129629626</v>
      </c>
      <c r="P978" t="s">
        <v>9</v>
      </c>
      <c r="Q978">
        <v>-123</v>
      </c>
      <c r="R978">
        <f>Table257[[#This Row],[RSSI]]</f>
        <v>-123</v>
      </c>
      <c r="S978">
        <v>-9.5</v>
      </c>
    </row>
    <row r="979" spans="2:19" x14ac:dyDescent="0.25">
      <c r="B979">
        <f>390+2*(Table146[[#This Row],[min value (corrected)]]-37)</f>
        <v>424</v>
      </c>
      <c r="C979">
        <f>MINUTE(Table146[[#This Row],[Corrected time]])</f>
        <v>54</v>
      </c>
      <c r="D979" s="1">
        <v>0.49643648148148151</v>
      </c>
      <c r="E979" s="1">
        <f>Table146[[#This Row],[Time]]-TIME(0,0,1)</f>
        <v>0.49642490740740741</v>
      </c>
      <c r="F979" t="s">
        <v>9</v>
      </c>
      <c r="G979">
        <v>-122</v>
      </c>
      <c r="H979">
        <f>Table146[[#This Row],[RSSI]]</f>
        <v>-122</v>
      </c>
      <c r="I979">
        <v>-8.5</v>
      </c>
      <c r="L979">
        <f>390+2*(Table257[[#This Row],[min value (corrected)]]-27)</f>
        <v>424</v>
      </c>
      <c r="M979">
        <f>MINUTE(Table257[[#This Row],[Corrected time]])</f>
        <v>44</v>
      </c>
      <c r="N979" s="1">
        <v>0.53106842592592596</v>
      </c>
      <c r="O979" s="1">
        <f>Table257[[#This Row],[Time]]-TIME(0,0,3)</f>
        <v>0.53103370370370373</v>
      </c>
      <c r="P979" t="s">
        <v>9</v>
      </c>
      <c r="Q979">
        <v>-121</v>
      </c>
      <c r="R979">
        <f>Table257[[#This Row],[RSSI]]</f>
        <v>-121</v>
      </c>
      <c r="S979">
        <v>-8.3000000000000007</v>
      </c>
    </row>
    <row r="980" spans="2:19" x14ac:dyDescent="0.25">
      <c r="B980">
        <f>390+2*(Table146[[#This Row],[min value (corrected)]]-37)</f>
        <v>424</v>
      </c>
      <c r="C980">
        <f>MINUTE(Table146[[#This Row],[Corrected time]])</f>
        <v>54</v>
      </c>
      <c r="D980" s="1">
        <v>0.49644951388888886</v>
      </c>
      <c r="E980" s="1">
        <f>Table146[[#This Row],[Time]]-TIME(0,0,1)</f>
        <v>0.49643793981481477</v>
      </c>
      <c r="F980" t="s">
        <v>9</v>
      </c>
      <c r="G980">
        <v>-123</v>
      </c>
      <c r="H980">
        <f>Table146[[#This Row],[RSSI]]</f>
        <v>-123</v>
      </c>
      <c r="I980">
        <v>-9</v>
      </c>
      <c r="L980">
        <f>390+2*(Table257[[#This Row],[min value (corrected)]]-27)</f>
        <v>424</v>
      </c>
      <c r="M980">
        <f>MINUTE(Table257[[#This Row],[Corrected time]])</f>
        <v>44</v>
      </c>
      <c r="N980" s="1">
        <v>0.53108145833333331</v>
      </c>
      <c r="O980" s="1">
        <f>Table257[[#This Row],[Time]]-TIME(0,0,3)</f>
        <v>0.53104673611111108</v>
      </c>
      <c r="P980" t="s">
        <v>13</v>
      </c>
      <c r="Q980">
        <f>Q979</f>
        <v>-121</v>
      </c>
      <c r="R980">
        <f>Table257[[#This Row],[RSSI]]</f>
        <v>-121</v>
      </c>
      <c r="S980">
        <f>S979</f>
        <v>-8.3000000000000007</v>
      </c>
    </row>
    <row r="981" spans="2:19" x14ac:dyDescent="0.25">
      <c r="B981">
        <f>390+2*(Table146[[#This Row],[min value (corrected)]]-37)</f>
        <v>424</v>
      </c>
      <c r="C981">
        <f>MINUTE(Table146[[#This Row],[Corrected time]])</f>
        <v>54</v>
      </c>
      <c r="D981" s="1">
        <v>0.49646254629629633</v>
      </c>
      <c r="E981" s="1">
        <f>Table146[[#This Row],[Time]]-TIME(0,0,1)</f>
        <v>0.49645097222222223</v>
      </c>
      <c r="F981" t="s">
        <v>9</v>
      </c>
      <c r="G981">
        <v>-122</v>
      </c>
      <c r="H981">
        <f>Table146[[#This Row],[RSSI]]</f>
        <v>-122</v>
      </c>
      <c r="I981">
        <v>-8.5</v>
      </c>
      <c r="L981">
        <f>390+2*(Table257[[#This Row],[min value (corrected)]]-27)</f>
        <v>424</v>
      </c>
      <c r="M981">
        <f>MINUTE(Table257[[#This Row],[Corrected time]])</f>
        <v>44</v>
      </c>
      <c r="N981" s="1">
        <v>0.53109449074074078</v>
      </c>
      <c r="O981" s="1">
        <f>Table257[[#This Row],[Time]]-TIME(0,0,3)</f>
        <v>0.53105976851851855</v>
      </c>
      <c r="P981" t="s">
        <v>9</v>
      </c>
      <c r="Q981">
        <v>-122</v>
      </c>
      <c r="R981">
        <f>Table257[[#This Row],[RSSI]]</f>
        <v>-122</v>
      </c>
      <c r="S981">
        <v>-8.8000000000000007</v>
      </c>
    </row>
    <row r="982" spans="2:19" x14ac:dyDescent="0.25">
      <c r="B982">
        <f>390+2*(Table146[[#This Row],[min value (corrected)]]-37)</f>
        <v>424</v>
      </c>
      <c r="C982">
        <f>MINUTE(Table146[[#This Row],[Corrected time]])</f>
        <v>54</v>
      </c>
      <c r="D982" s="1">
        <v>0.49647557870370368</v>
      </c>
      <c r="E982" s="1">
        <f>Table146[[#This Row],[Time]]-TIME(0,0,1)</f>
        <v>0.49646400462962958</v>
      </c>
      <c r="F982" t="s">
        <v>13</v>
      </c>
      <c r="G982">
        <f>G981</f>
        <v>-122</v>
      </c>
      <c r="H982">
        <f>Table146[[#This Row],[RSSI]]</f>
        <v>-122</v>
      </c>
      <c r="I982">
        <f>I981</f>
        <v>-8.5</v>
      </c>
      <c r="L982">
        <f>390+2*(Table257[[#This Row],[min value (corrected)]]-27)</f>
        <v>424</v>
      </c>
      <c r="M982">
        <f>MINUTE(Table257[[#This Row],[Corrected time]])</f>
        <v>44</v>
      </c>
      <c r="N982" s="1">
        <v>0.53110752314814813</v>
      </c>
      <c r="O982" s="1">
        <f>Table257[[#This Row],[Time]]-TIME(0,0,3)</f>
        <v>0.5310728009259259</v>
      </c>
      <c r="P982" t="s">
        <v>13</v>
      </c>
      <c r="Q982">
        <f>Q981</f>
        <v>-122</v>
      </c>
      <c r="R982">
        <f>Table257[[#This Row],[RSSI]]</f>
        <v>-122</v>
      </c>
      <c r="S982">
        <f>S981</f>
        <v>-8.8000000000000007</v>
      </c>
    </row>
    <row r="983" spans="2:19" x14ac:dyDescent="0.25">
      <c r="B983">
        <f>390+2*(Table146[[#This Row],[min value (corrected)]]-37)</f>
        <v>424</v>
      </c>
      <c r="C983">
        <f>MINUTE(Table146[[#This Row],[Corrected time]])</f>
        <v>54</v>
      </c>
      <c r="D983" s="1">
        <v>0.49648861111111114</v>
      </c>
      <c r="E983" s="1">
        <f>Table146[[#This Row],[Time]]-TIME(0,0,1)</f>
        <v>0.49647703703703705</v>
      </c>
      <c r="F983" t="s">
        <v>9</v>
      </c>
      <c r="G983">
        <v>-122</v>
      </c>
      <c r="H983">
        <f>Table146[[#This Row],[RSSI]]</f>
        <v>-122</v>
      </c>
      <c r="I983">
        <v>-8.3000000000000007</v>
      </c>
      <c r="L983">
        <f>390+2*(Table257[[#This Row],[min value (corrected)]]-27)</f>
        <v>424</v>
      </c>
      <c r="M983">
        <f>MINUTE(Table257[[#This Row],[Corrected time]])</f>
        <v>44</v>
      </c>
      <c r="N983" s="1">
        <v>0.5311205555555556</v>
      </c>
      <c r="O983" s="1">
        <f>Table257[[#This Row],[Time]]-TIME(0,0,3)</f>
        <v>0.53108583333333337</v>
      </c>
      <c r="P983" t="s">
        <v>9</v>
      </c>
      <c r="Q983">
        <v>-123</v>
      </c>
      <c r="R983">
        <f>Table257[[#This Row],[RSSI]]</f>
        <v>-123</v>
      </c>
      <c r="S983">
        <v>-9.3000000000000007</v>
      </c>
    </row>
    <row r="984" spans="2:19" x14ac:dyDescent="0.25">
      <c r="B984">
        <f>390+2*(Table146[[#This Row],[min value (corrected)]]-37)</f>
        <v>424</v>
      </c>
      <c r="C984">
        <f>MINUTE(Table146[[#This Row],[Corrected time]])</f>
        <v>54</v>
      </c>
      <c r="D984" s="1">
        <v>0.4965016435185185</v>
      </c>
      <c r="E984" s="1">
        <f>Table146[[#This Row],[Time]]-TIME(0,0,1)</f>
        <v>0.4964900694444444</v>
      </c>
      <c r="F984" t="s">
        <v>9</v>
      </c>
      <c r="G984">
        <v>-122</v>
      </c>
      <c r="H984">
        <f>Table146[[#This Row],[RSSI]]</f>
        <v>-122</v>
      </c>
      <c r="I984">
        <v>-8.5</v>
      </c>
      <c r="L984">
        <f>390+2*(Table257[[#This Row],[min value (corrected)]]-27)</f>
        <v>424</v>
      </c>
      <c r="M984">
        <f>MINUTE(Table257[[#This Row],[Corrected time]])</f>
        <v>44</v>
      </c>
      <c r="N984" s="1">
        <v>0.53113357638888892</v>
      </c>
      <c r="O984" s="1">
        <f>Table257[[#This Row],[Time]]-TIME(0,0,3)</f>
        <v>0.53109885416666669</v>
      </c>
      <c r="P984" t="s">
        <v>13</v>
      </c>
      <c r="Q984">
        <f t="shared" ref="Q984:Q989" si="105">Q983</f>
        <v>-123</v>
      </c>
      <c r="R984">
        <f>Table257[[#This Row],[RSSI]]</f>
        <v>-123</v>
      </c>
      <c r="S984">
        <f t="shared" ref="S984:S989" si="106">S983</f>
        <v>-9.3000000000000007</v>
      </c>
    </row>
    <row r="985" spans="2:19" x14ac:dyDescent="0.25">
      <c r="B985">
        <f>390+2*(Table146[[#This Row],[min value (corrected)]]-37)</f>
        <v>424</v>
      </c>
      <c r="C985">
        <f>MINUTE(Table146[[#This Row],[Corrected time]])</f>
        <v>54</v>
      </c>
      <c r="D985" s="1">
        <v>0.49651467592592596</v>
      </c>
      <c r="E985" s="1">
        <f>Table146[[#This Row],[Time]]-TIME(0,0,1)</f>
        <v>0.49650310185185187</v>
      </c>
      <c r="F985" t="s">
        <v>9</v>
      </c>
      <c r="G985">
        <v>-123</v>
      </c>
      <c r="H985">
        <f>Table146[[#This Row],[RSSI]]</f>
        <v>-123</v>
      </c>
      <c r="I985">
        <v>-9.5</v>
      </c>
      <c r="L985">
        <f>390+2*(Table257[[#This Row],[min value (corrected)]]-27)</f>
        <v>424</v>
      </c>
      <c r="M985">
        <f>MINUTE(Table257[[#This Row],[Corrected time]])</f>
        <v>44</v>
      </c>
      <c r="N985" s="1">
        <v>0.53114662037037041</v>
      </c>
      <c r="O985" s="1">
        <f>Table257[[#This Row],[Time]]-TIME(0,0,3)</f>
        <v>0.53111189814814819</v>
      </c>
      <c r="P985" t="s">
        <v>13</v>
      </c>
      <c r="Q985">
        <f t="shared" si="105"/>
        <v>-123</v>
      </c>
      <c r="R985">
        <f>Table257[[#This Row],[RSSI]]</f>
        <v>-123</v>
      </c>
      <c r="S985">
        <f t="shared" si="106"/>
        <v>-9.3000000000000007</v>
      </c>
    </row>
    <row r="986" spans="2:19" x14ac:dyDescent="0.25">
      <c r="B986">
        <f>390+2*(Table146[[#This Row],[min value (corrected)]]-37)</f>
        <v>424</v>
      </c>
      <c r="C986">
        <f>MINUTE(Table146[[#This Row],[Corrected time]])</f>
        <v>54</v>
      </c>
      <c r="D986" s="1">
        <v>0.49652770833333332</v>
      </c>
      <c r="E986" s="1">
        <f>Table146[[#This Row],[Time]]-TIME(0,0,1)</f>
        <v>0.49651613425925922</v>
      </c>
      <c r="F986" t="s">
        <v>9</v>
      </c>
      <c r="G986">
        <v>-123</v>
      </c>
      <c r="H986">
        <f>Table146[[#This Row],[RSSI]]</f>
        <v>-123</v>
      </c>
      <c r="I986">
        <v>-9.5</v>
      </c>
      <c r="L986">
        <f>390+2*(Table257[[#This Row],[min value (corrected)]]-27)</f>
        <v>424</v>
      </c>
      <c r="M986">
        <f>MINUTE(Table257[[#This Row],[Corrected time]])</f>
        <v>44</v>
      </c>
      <c r="N986" s="1">
        <v>0.53115965277777777</v>
      </c>
      <c r="O986" s="1">
        <f>Table257[[#This Row],[Time]]-TIME(0,0,3)</f>
        <v>0.53112493055555554</v>
      </c>
      <c r="P986" t="s">
        <v>13</v>
      </c>
      <c r="Q986">
        <f t="shared" si="105"/>
        <v>-123</v>
      </c>
      <c r="R986">
        <f>Table257[[#This Row],[RSSI]]</f>
        <v>-123</v>
      </c>
      <c r="S986">
        <f t="shared" si="106"/>
        <v>-9.3000000000000007</v>
      </c>
    </row>
    <row r="987" spans="2:19" x14ac:dyDescent="0.25">
      <c r="B987">
        <f>390+2*(Table146[[#This Row],[min value (corrected)]]-37)</f>
        <v>426</v>
      </c>
      <c r="C987">
        <f>MINUTE(Table146[[#This Row],[Corrected time]])</f>
        <v>55</v>
      </c>
      <c r="D987" s="1">
        <v>0.49654074074074078</v>
      </c>
      <c r="E987" s="1">
        <f>Table146[[#This Row],[Time]]-TIME(0,0,1)</f>
        <v>0.49652916666666669</v>
      </c>
      <c r="F987" t="s">
        <v>13</v>
      </c>
      <c r="G987">
        <f>G986</f>
        <v>-123</v>
      </c>
      <c r="H987">
        <f>Table146[[#This Row],[RSSI]]</f>
        <v>-123</v>
      </c>
      <c r="I987">
        <f>I986</f>
        <v>-9.5</v>
      </c>
      <c r="L987">
        <f>390+2*(Table257[[#This Row],[min value (corrected)]]-27)</f>
        <v>424</v>
      </c>
      <c r="M987">
        <f>MINUTE(Table257[[#This Row],[Corrected time]])</f>
        <v>44</v>
      </c>
      <c r="N987" s="1">
        <v>0.5311726736111112</v>
      </c>
      <c r="O987" s="1">
        <f>Table257[[#This Row],[Time]]-TIME(0,0,3)</f>
        <v>0.53113795138888897</v>
      </c>
      <c r="P987" t="s">
        <v>13</v>
      </c>
      <c r="Q987">
        <f t="shared" si="105"/>
        <v>-123</v>
      </c>
      <c r="R987">
        <f>Table257[[#This Row],[RSSI]]</f>
        <v>-123</v>
      </c>
      <c r="S987">
        <f t="shared" si="106"/>
        <v>-9.3000000000000007</v>
      </c>
    </row>
    <row r="988" spans="2:19" x14ac:dyDescent="0.25">
      <c r="B988">
        <f>390+2*(Table146[[#This Row],[min value (corrected)]]-37)</f>
        <v>426</v>
      </c>
      <c r="C988">
        <f>MINUTE(Table146[[#This Row],[Corrected time]])</f>
        <v>55</v>
      </c>
      <c r="D988" s="1">
        <v>0.49655377314814814</v>
      </c>
      <c r="E988" s="1">
        <f>Table146[[#This Row],[Time]]-TIME(0,0,1)</f>
        <v>0.49654219907407404</v>
      </c>
      <c r="F988" t="s">
        <v>9</v>
      </c>
      <c r="G988">
        <v>-123</v>
      </c>
      <c r="H988">
        <f>Table146[[#This Row],[RSSI]]</f>
        <v>-123</v>
      </c>
      <c r="I988">
        <v>-9.3000000000000007</v>
      </c>
      <c r="L988">
        <f>390+2*(Table257[[#This Row],[min value (corrected)]]-27)</f>
        <v>424</v>
      </c>
      <c r="M988">
        <f>MINUTE(Table257[[#This Row],[Corrected time]])</f>
        <v>44</v>
      </c>
      <c r="N988" s="1">
        <v>0.53118571759259259</v>
      </c>
      <c r="O988" s="1">
        <f>Table257[[#This Row],[Time]]-TIME(0,0,3)</f>
        <v>0.53115099537037036</v>
      </c>
      <c r="P988" t="s">
        <v>13</v>
      </c>
      <c r="Q988">
        <f t="shared" si="105"/>
        <v>-123</v>
      </c>
      <c r="R988">
        <f>Table257[[#This Row],[RSSI]]</f>
        <v>-123</v>
      </c>
      <c r="S988">
        <f t="shared" si="106"/>
        <v>-9.3000000000000007</v>
      </c>
    </row>
    <row r="989" spans="2:19" x14ac:dyDescent="0.25">
      <c r="B989">
        <f>390+2*(Table146[[#This Row],[min value (corrected)]]-37)</f>
        <v>426</v>
      </c>
      <c r="C989">
        <f>MINUTE(Table146[[#This Row],[Corrected time]])</f>
        <v>55</v>
      </c>
      <c r="D989" s="1">
        <v>0.4965668055555556</v>
      </c>
      <c r="E989" s="1">
        <f>Table146[[#This Row],[Time]]-TIME(0,0,1)</f>
        <v>0.49655523148148151</v>
      </c>
      <c r="F989" t="s">
        <v>13</v>
      </c>
      <c r="G989">
        <f t="shared" ref="G989:G999" si="107">G988</f>
        <v>-123</v>
      </c>
      <c r="H989">
        <f>Table146[[#This Row],[RSSI]]</f>
        <v>-123</v>
      </c>
      <c r="I989">
        <f t="shared" ref="I989:I999" si="108">I988</f>
        <v>-9.3000000000000007</v>
      </c>
      <c r="L989">
        <f>390+2*(Table257[[#This Row],[min value (corrected)]]-27)</f>
        <v>424</v>
      </c>
      <c r="M989">
        <f>MINUTE(Table257[[#This Row],[Corrected time]])</f>
        <v>44</v>
      </c>
      <c r="N989" s="1">
        <v>0.53119875000000005</v>
      </c>
      <c r="O989" s="1">
        <f>Table257[[#This Row],[Time]]-TIME(0,0,3)</f>
        <v>0.53116402777777783</v>
      </c>
      <c r="P989" t="s">
        <v>13</v>
      </c>
      <c r="Q989">
        <f t="shared" si="105"/>
        <v>-123</v>
      </c>
      <c r="R989">
        <f>Table257[[#This Row],[RSSI]]</f>
        <v>-123</v>
      </c>
      <c r="S989">
        <f t="shared" si="106"/>
        <v>-9.3000000000000007</v>
      </c>
    </row>
    <row r="990" spans="2:19" x14ac:dyDescent="0.25">
      <c r="B990">
        <f>390+2*(Table146[[#This Row],[min value (corrected)]]-37)</f>
        <v>426</v>
      </c>
      <c r="C990">
        <f>MINUTE(Table146[[#This Row],[Corrected time]])</f>
        <v>55</v>
      </c>
      <c r="D990" s="1">
        <v>0.49657983796296296</v>
      </c>
      <c r="E990" s="1">
        <f>Table146[[#This Row],[Time]]-TIME(0,0,1)</f>
        <v>0.49656826388888886</v>
      </c>
      <c r="F990" t="s">
        <v>13</v>
      </c>
      <c r="G990">
        <f t="shared" si="107"/>
        <v>-123</v>
      </c>
      <c r="H990">
        <f>Table146[[#This Row],[RSSI]]</f>
        <v>-123</v>
      </c>
      <c r="I990">
        <f t="shared" si="108"/>
        <v>-9.3000000000000007</v>
      </c>
      <c r="L990">
        <f>390+2*(Table257[[#This Row],[min value (corrected)]]-27)</f>
        <v>424</v>
      </c>
      <c r="M990">
        <f>MINUTE(Table257[[#This Row],[Corrected time]])</f>
        <v>44</v>
      </c>
      <c r="N990" s="1">
        <v>0.53121177083333337</v>
      </c>
      <c r="O990" s="1">
        <f>Table257[[#This Row],[Time]]-TIME(0,0,3)</f>
        <v>0.53117704861111115</v>
      </c>
      <c r="P990" t="s">
        <v>9</v>
      </c>
      <c r="Q990">
        <v>-122</v>
      </c>
      <c r="R990">
        <f>Table257[[#This Row],[RSSI]]</f>
        <v>-122</v>
      </c>
      <c r="S990">
        <v>-8.5</v>
      </c>
    </row>
    <row r="991" spans="2:19" x14ac:dyDescent="0.25">
      <c r="B991">
        <f>390+2*(Table146[[#This Row],[min value (corrected)]]-37)</f>
        <v>426</v>
      </c>
      <c r="C991">
        <f>MINUTE(Table146[[#This Row],[Corrected time]])</f>
        <v>55</v>
      </c>
      <c r="D991" s="1">
        <v>0.49659287037037042</v>
      </c>
      <c r="E991" s="1">
        <f>Table146[[#This Row],[Time]]-TIME(0,0,1)</f>
        <v>0.49658129629629633</v>
      </c>
      <c r="F991" t="s">
        <v>13</v>
      </c>
      <c r="G991">
        <f t="shared" si="107"/>
        <v>-123</v>
      </c>
      <c r="H991">
        <f>Table146[[#This Row],[RSSI]]</f>
        <v>-123</v>
      </c>
      <c r="I991">
        <f t="shared" si="108"/>
        <v>-9.3000000000000007</v>
      </c>
      <c r="L991">
        <f>390+2*(Table257[[#This Row],[min value (corrected)]]-27)</f>
        <v>424</v>
      </c>
      <c r="M991">
        <f>MINUTE(Table257[[#This Row],[Corrected time]])</f>
        <v>44</v>
      </c>
      <c r="N991" s="1">
        <v>0.53122481481481487</v>
      </c>
      <c r="O991" s="1">
        <f>Table257[[#This Row],[Time]]-TIME(0,0,3)</f>
        <v>0.53119009259259264</v>
      </c>
      <c r="P991" t="s">
        <v>9</v>
      </c>
      <c r="Q991">
        <v>-122</v>
      </c>
      <c r="R991">
        <f>Table257[[#This Row],[RSSI]]</f>
        <v>-122</v>
      </c>
      <c r="S991">
        <v>-8.8000000000000007</v>
      </c>
    </row>
    <row r="992" spans="2:19" x14ac:dyDescent="0.25">
      <c r="B992">
        <f>390+2*(Table146[[#This Row],[min value (corrected)]]-37)</f>
        <v>426</v>
      </c>
      <c r="C992">
        <f>MINUTE(Table146[[#This Row],[Corrected time]])</f>
        <v>55</v>
      </c>
      <c r="D992" s="1">
        <v>0.49660589120370374</v>
      </c>
      <c r="E992" s="1">
        <f>Table146[[#This Row],[Time]]-TIME(0,0,1)</f>
        <v>0.49659431712962965</v>
      </c>
      <c r="F992" t="s">
        <v>13</v>
      </c>
      <c r="G992">
        <f t="shared" si="107"/>
        <v>-123</v>
      </c>
      <c r="H992">
        <f>Table146[[#This Row],[RSSI]]</f>
        <v>-123</v>
      </c>
      <c r="I992">
        <f t="shared" si="108"/>
        <v>-9.3000000000000007</v>
      </c>
      <c r="L992">
        <f>390+2*(Table257[[#This Row],[min value (corrected)]]-27)</f>
        <v>424</v>
      </c>
      <c r="M992">
        <f>MINUTE(Table257[[#This Row],[Corrected time]])</f>
        <v>44</v>
      </c>
      <c r="N992" s="1">
        <v>0.53123784722222223</v>
      </c>
      <c r="O992" s="1">
        <f>Table257[[#This Row],[Time]]-TIME(0,0,3)</f>
        <v>0.531203125</v>
      </c>
      <c r="P992" t="s">
        <v>9</v>
      </c>
      <c r="Q992">
        <v>-123</v>
      </c>
      <c r="R992">
        <f>Table257[[#This Row],[RSSI]]</f>
        <v>-123</v>
      </c>
      <c r="S992">
        <v>-9</v>
      </c>
    </row>
    <row r="993" spans="2:19" x14ac:dyDescent="0.25">
      <c r="B993">
        <f>390+2*(Table146[[#This Row],[min value (corrected)]]-37)</f>
        <v>426</v>
      </c>
      <c r="C993">
        <f>MINUTE(Table146[[#This Row],[Corrected time]])</f>
        <v>55</v>
      </c>
      <c r="D993" s="1">
        <v>0.49661893518518513</v>
      </c>
      <c r="E993" s="1">
        <f>Table146[[#This Row],[Time]]-TIME(0,0,1)</f>
        <v>0.49660736111111103</v>
      </c>
      <c r="F993" t="s">
        <v>13</v>
      </c>
      <c r="G993">
        <f t="shared" si="107"/>
        <v>-123</v>
      </c>
      <c r="H993">
        <f>Table146[[#This Row],[RSSI]]</f>
        <v>-123</v>
      </c>
      <c r="I993">
        <f t="shared" si="108"/>
        <v>-9.3000000000000007</v>
      </c>
      <c r="L993">
        <f>390+2*(Table257[[#This Row],[min value (corrected)]]-27)</f>
        <v>424</v>
      </c>
      <c r="M993">
        <f>MINUTE(Table257[[#This Row],[Corrected time]])</f>
        <v>44</v>
      </c>
      <c r="N993" s="1">
        <v>0.53125086805555555</v>
      </c>
      <c r="O993" s="1">
        <f>Table257[[#This Row],[Time]]-TIME(0,0,3)</f>
        <v>0.53121614583333332</v>
      </c>
      <c r="P993" t="s">
        <v>9</v>
      </c>
      <c r="Q993">
        <v>-123</v>
      </c>
      <c r="R993">
        <f>Table257[[#This Row],[RSSI]]</f>
        <v>-123</v>
      </c>
      <c r="S993">
        <v>-8.8000000000000007</v>
      </c>
    </row>
    <row r="994" spans="2:19" x14ac:dyDescent="0.25">
      <c r="B994">
        <f>390+2*(Table146[[#This Row],[min value (corrected)]]-37)</f>
        <v>426</v>
      </c>
      <c r="C994">
        <f>MINUTE(Table146[[#This Row],[Corrected time]])</f>
        <v>55</v>
      </c>
      <c r="D994" s="1">
        <v>0.49663196759259259</v>
      </c>
      <c r="E994" s="1">
        <f>Table146[[#This Row],[Time]]-TIME(0,0,1)</f>
        <v>0.4966203935185185</v>
      </c>
      <c r="F994" t="s">
        <v>13</v>
      </c>
      <c r="G994">
        <f t="shared" si="107"/>
        <v>-123</v>
      </c>
      <c r="H994">
        <f>Table146[[#This Row],[RSSI]]</f>
        <v>-123</v>
      </c>
      <c r="I994">
        <f t="shared" si="108"/>
        <v>-9.3000000000000007</v>
      </c>
      <c r="L994">
        <f>390+2*(Table257[[#This Row],[min value (corrected)]]-27)</f>
        <v>424</v>
      </c>
      <c r="M994">
        <f>MINUTE(Table257[[#This Row],[Corrected time]])</f>
        <v>44</v>
      </c>
      <c r="N994" s="1">
        <v>0.53126391203703704</v>
      </c>
      <c r="O994" s="1">
        <f>Table257[[#This Row],[Time]]-TIME(0,0,3)</f>
        <v>0.53122918981481482</v>
      </c>
      <c r="P994" t="s">
        <v>9</v>
      </c>
      <c r="Q994">
        <v>-122</v>
      </c>
      <c r="R994">
        <f>Table257[[#This Row],[RSSI]]</f>
        <v>-122</v>
      </c>
      <c r="S994">
        <v>-8.5</v>
      </c>
    </row>
    <row r="995" spans="2:19" x14ac:dyDescent="0.25">
      <c r="B995">
        <f>390+2*(Table146[[#This Row],[min value (corrected)]]-37)</f>
        <v>426</v>
      </c>
      <c r="C995">
        <f>MINUTE(Table146[[#This Row],[Corrected time]])</f>
        <v>55</v>
      </c>
      <c r="D995" s="1">
        <v>0.49664499999999995</v>
      </c>
      <c r="E995" s="1">
        <f>Table146[[#This Row],[Time]]-TIME(0,0,1)</f>
        <v>0.49663342592592585</v>
      </c>
      <c r="F995" t="s">
        <v>13</v>
      </c>
      <c r="G995">
        <f t="shared" si="107"/>
        <v>-123</v>
      </c>
      <c r="H995">
        <f>Table146[[#This Row],[RSSI]]</f>
        <v>-123</v>
      </c>
      <c r="I995">
        <f t="shared" si="108"/>
        <v>-9.3000000000000007</v>
      </c>
      <c r="L995">
        <f>390+2*(Table257[[#This Row],[min value (corrected)]]-27)</f>
        <v>424</v>
      </c>
      <c r="M995">
        <f>MINUTE(Table257[[#This Row],[Corrected time]])</f>
        <v>44</v>
      </c>
      <c r="N995" s="1">
        <v>0.53127694444444451</v>
      </c>
      <c r="O995" s="1">
        <f>Table257[[#This Row],[Time]]-TIME(0,0,3)</f>
        <v>0.53124222222222228</v>
      </c>
      <c r="P995" t="s">
        <v>9</v>
      </c>
      <c r="Q995">
        <v>-123</v>
      </c>
      <c r="R995">
        <f>Table257[[#This Row],[RSSI]]</f>
        <v>-123</v>
      </c>
      <c r="S995">
        <v>-9</v>
      </c>
    </row>
    <row r="996" spans="2:19" x14ac:dyDescent="0.25">
      <c r="B996">
        <f>390+2*(Table146[[#This Row],[min value (corrected)]]-37)</f>
        <v>426</v>
      </c>
      <c r="C996">
        <f>MINUTE(Table146[[#This Row],[Corrected time]])</f>
        <v>55</v>
      </c>
      <c r="D996" s="1">
        <v>0.49665803240740741</v>
      </c>
      <c r="E996" s="1">
        <f>Table146[[#This Row],[Time]]-TIME(0,0,1)</f>
        <v>0.49664645833333332</v>
      </c>
      <c r="F996" t="s">
        <v>13</v>
      </c>
      <c r="G996">
        <f t="shared" si="107"/>
        <v>-123</v>
      </c>
      <c r="H996">
        <f>Table146[[#This Row],[RSSI]]</f>
        <v>-123</v>
      </c>
      <c r="I996">
        <f t="shared" si="108"/>
        <v>-9.3000000000000007</v>
      </c>
      <c r="L996">
        <f>390+2*(Table257[[#This Row],[min value (corrected)]]-27)</f>
        <v>426</v>
      </c>
      <c r="M996">
        <f>MINUTE(Table257[[#This Row],[Corrected time]])</f>
        <v>45</v>
      </c>
      <c r="N996" s="1">
        <v>0.53128996527777783</v>
      </c>
      <c r="O996" s="1">
        <f>Table257[[#This Row],[Time]]-TIME(0,0,3)</f>
        <v>0.5312552430555556</v>
      </c>
      <c r="P996" t="s">
        <v>9</v>
      </c>
      <c r="Q996">
        <v>-123</v>
      </c>
      <c r="R996">
        <f>Table257[[#This Row],[RSSI]]</f>
        <v>-123</v>
      </c>
      <c r="S996">
        <v>-8.8000000000000007</v>
      </c>
    </row>
    <row r="997" spans="2:19" x14ac:dyDescent="0.25">
      <c r="B997">
        <f>390+2*(Table146[[#This Row],[min value (corrected)]]-37)</f>
        <v>426</v>
      </c>
      <c r="C997">
        <f>MINUTE(Table146[[#This Row],[Corrected time]])</f>
        <v>55</v>
      </c>
      <c r="D997" s="1">
        <v>0.49667105324074073</v>
      </c>
      <c r="E997" s="1">
        <f>Table146[[#This Row],[Time]]-TIME(0,0,1)</f>
        <v>0.49665947916666664</v>
      </c>
      <c r="F997" t="s">
        <v>13</v>
      </c>
      <c r="G997">
        <f t="shared" si="107"/>
        <v>-123</v>
      </c>
      <c r="H997">
        <f>Table146[[#This Row],[RSSI]]</f>
        <v>-123</v>
      </c>
      <c r="I997">
        <f t="shared" si="108"/>
        <v>-9.3000000000000007</v>
      </c>
      <c r="L997">
        <f>390+2*(Table257[[#This Row],[min value (corrected)]]-27)</f>
        <v>426</v>
      </c>
      <c r="M997">
        <f>MINUTE(Table257[[#This Row],[Corrected time]])</f>
        <v>45</v>
      </c>
      <c r="N997" s="1">
        <v>0.53130300925925933</v>
      </c>
      <c r="O997" s="1">
        <f>Table257[[#This Row],[Time]]-TIME(0,0,3)</f>
        <v>0.5312682870370371</v>
      </c>
      <c r="P997" t="s">
        <v>13</v>
      </c>
      <c r="Q997">
        <f t="shared" ref="Q997:Q1000" si="109">Q996</f>
        <v>-123</v>
      </c>
      <c r="R997">
        <f>Table257[[#This Row],[RSSI]]</f>
        <v>-123</v>
      </c>
      <c r="S997">
        <f t="shared" ref="S997:S1000" si="110">S996</f>
        <v>-8.8000000000000007</v>
      </c>
    </row>
    <row r="998" spans="2:19" x14ac:dyDescent="0.25">
      <c r="B998">
        <f>390+2*(Table146[[#This Row],[min value (corrected)]]-37)</f>
        <v>426</v>
      </c>
      <c r="C998">
        <f>MINUTE(Table146[[#This Row],[Corrected time]])</f>
        <v>55</v>
      </c>
      <c r="D998" s="1">
        <v>0.49668409722222223</v>
      </c>
      <c r="E998" s="1">
        <f>Table146[[#This Row],[Time]]-TIME(0,0,1)</f>
        <v>0.49667252314814814</v>
      </c>
      <c r="F998" t="s">
        <v>13</v>
      </c>
      <c r="G998">
        <f t="shared" si="107"/>
        <v>-123</v>
      </c>
      <c r="H998">
        <f>Table146[[#This Row],[RSSI]]</f>
        <v>-123</v>
      </c>
      <c r="I998">
        <f t="shared" si="108"/>
        <v>-9.3000000000000007</v>
      </c>
      <c r="L998">
        <f>390+2*(Table257[[#This Row],[min value (corrected)]]-27)</f>
        <v>426</v>
      </c>
      <c r="M998">
        <f>MINUTE(Table257[[#This Row],[Corrected time]])</f>
        <v>45</v>
      </c>
      <c r="N998" s="1">
        <v>0.53131603009259265</v>
      </c>
      <c r="O998" s="1">
        <f>Table257[[#This Row],[Time]]-TIME(0,0,3)</f>
        <v>0.53128130787037042</v>
      </c>
      <c r="P998" t="s">
        <v>13</v>
      </c>
      <c r="Q998">
        <f t="shared" si="109"/>
        <v>-123</v>
      </c>
      <c r="R998">
        <f>Table257[[#This Row],[RSSI]]</f>
        <v>-123</v>
      </c>
      <c r="S998">
        <f t="shared" si="110"/>
        <v>-8.8000000000000007</v>
      </c>
    </row>
    <row r="999" spans="2:19" x14ac:dyDescent="0.25">
      <c r="B999">
        <f>390+2*(Table146[[#This Row],[min value (corrected)]]-37)</f>
        <v>426</v>
      </c>
      <c r="C999">
        <f>MINUTE(Table146[[#This Row],[Corrected time]])</f>
        <v>55</v>
      </c>
      <c r="D999" s="1">
        <v>0.49669712962962959</v>
      </c>
      <c r="E999" s="1">
        <f>Table146[[#This Row],[Time]]-TIME(0,0,1)</f>
        <v>0.49668555555555549</v>
      </c>
      <c r="F999" t="s">
        <v>13</v>
      </c>
      <c r="G999">
        <f t="shared" si="107"/>
        <v>-123</v>
      </c>
      <c r="H999">
        <f>Table146[[#This Row],[RSSI]]</f>
        <v>-123</v>
      </c>
      <c r="I999">
        <f t="shared" si="108"/>
        <v>-9.3000000000000007</v>
      </c>
      <c r="L999">
        <f>390+2*(Table257[[#This Row],[min value (corrected)]]-27)</f>
        <v>426</v>
      </c>
      <c r="M999">
        <f>MINUTE(Table257[[#This Row],[Corrected time]])</f>
        <v>45</v>
      </c>
      <c r="N999" s="1">
        <v>0.5313290625</v>
      </c>
      <c r="O999" s="1">
        <f>Table257[[#This Row],[Time]]-TIME(0,0,3)</f>
        <v>0.53129434027777778</v>
      </c>
      <c r="P999" t="s">
        <v>13</v>
      </c>
      <c r="Q999">
        <f t="shared" si="109"/>
        <v>-123</v>
      </c>
      <c r="R999">
        <f>Table257[[#This Row],[RSSI]]</f>
        <v>-123</v>
      </c>
      <c r="S999">
        <f t="shared" si="110"/>
        <v>-8.8000000000000007</v>
      </c>
    </row>
    <row r="1000" spans="2:19" x14ac:dyDescent="0.25">
      <c r="B1000">
        <f>390+2*(Table146[[#This Row],[min value (corrected)]]-37)</f>
        <v>426</v>
      </c>
      <c r="C1000">
        <f>MINUTE(Table146[[#This Row],[Corrected time]])</f>
        <v>55</v>
      </c>
      <c r="D1000" s="1">
        <v>0.49671016203703705</v>
      </c>
      <c r="E1000" s="1">
        <f>Table146[[#This Row],[Time]]-TIME(0,0,1)</f>
        <v>0.49669858796296296</v>
      </c>
      <c r="F1000" t="s">
        <v>9</v>
      </c>
      <c r="G1000">
        <v>-122</v>
      </c>
      <c r="H1000">
        <f>Table146[[#This Row],[RSSI]]</f>
        <v>-122</v>
      </c>
      <c r="I1000">
        <v>-9</v>
      </c>
      <c r="L1000">
        <f>390+2*(Table257[[#This Row],[min value (corrected)]]-27)</f>
        <v>426</v>
      </c>
      <c r="M1000">
        <f>MINUTE(Table257[[#This Row],[Corrected time]])</f>
        <v>45</v>
      </c>
      <c r="N1000" s="1">
        <v>0.53134209490740747</v>
      </c>
      <c r="O1000" s="1">
        <f>Table257[[#This Row],[Time]]-TIME(0,0,3)</f>
        <v>0.53130737268518524</v>
      </c>
      <c r="P1000" t="s">
        <v>13</v>
      </c>
      <c r="Q1000">
        <f t="shared" si="109"/>
        <v>-123</v>
      </c>
      <c r="R1000">
        <f>Table257[[#This Row],[RSSI]]</f>
        <v>-123</v>
      </c>
      <c r="S1000">
        <f t="shared" si="110"/>
        <v>-8.8000000000000007</v>
      </c>
    </row>
    <row r="1001" spans="2:19" x14ac:dyDescent="0.25">
      <c r="B1001">
        <f>390+2*(Table146[[#This Row],[min value (corrected)]]-37)</f>
        <v>426</v>
      </c>
      <c r="C1001">
        <f>MINUTE(Table146[[#This Row],[Corrected time]])</f>
        <v>55</v>
      </c>
      <c r="D1001" s="1">
        <v>0.4967231944444444</v>
      </c>
      <c r="E1001" s="1">
        <f>Table146[[#This Row],[Time]]-TIME(0,0,1)</f>
        <v>0.49671162037037031</v>
      </c>
      <c r="F1001" t="s">
        <v>13</v>
      </c>
      <c r="G1001">
        <f>G1000</f>
        <v>-122</v>
      </c>
      <c r="H1001">
        <f>Table146[[#This Row],[RSSI]]</f>
        <v>-122</v>
      </c>
      <c r="I1001">
        <f>I1000</f>
        <v>-9</v>
      </c>
      <c r="L1001">
        <f>390+2*(Table257[[#This Row],[min value (corrected)]]-27)</f>
        <v>426</v>
      </c>
      <c r="M1001">
        <f>MINUTE(Table257[[#This Row],[Corrected time]])</f>
        <v>45</v>
      </c>
      <c r="N1001" s="1">
        <v>0.53135513888888897</v>
      </c>
      <c r="O1001" s="1">
        <f>Table257[[#This Row],[Time]]-TIME(0,0,3)</f>
        <v>0.53132041666666674</v>
      </c>
      <c r="P1001" t="s">
        <v>9</v>
      </c>
      <c r="Q1001">
        <v>-122</v>
      </c>
      <c r="R1001">
        <f>Table257[[#This Row],[RSSI]]</f>
        <v>-122</v>
      </c>
      <c r="S1001">
        <v>-9</v>
      </c>
    </row>
    <row r="1002" spans="2:19" x14ac:dyDescent="0.25">
      <c r="B1002">
        <f>390+2*(Table146[[#This Row],[min value (corrected)]]-37)</f>
        <v>426</v>
      </c>
      <c r="C1002">
        <f>MINUTE(Table146[[#This Row],[Corrected time]])</f>
        <v>55</v>
      </c>
      <c r="D1002" s="1">
        <v>0.49673622685185187</v>
      </c>
      <c r="E1002" s="1">
        <f>Table146[[#This Row],[Time]]-TIME(0,0,1)</f>
        <v>0.49672465277777778</v>
      </c>
      <c r="F1002" t="s">
        <v>9</v>
      </c>
      <c r="G1002">
        <v>-122</v>
      </c>
      <c r="H1002">
        <f>Table146[[#This Row],[RSSI]]</f>
        <v>-122</v>
      </c>
      <c r="I1002">
        <v>-8.8000000000000007</v>
      </c>
      <c r="L1002">
        <f>390+2*(Table257[[#This Row],[min value (corrected)]]-27)</f>
        <v>426</v>
      </c>
      <c r="M1002">
        <f>MINUTE(Table257[[#This Row],[Corrected time]])</f>
        <v>45</v>
      </c>
      <c r="N1002" s="1">
        <v>0.53136817129629632</v>
      </c>
      <c r="O1002" s="1">
        <f>Table257[[#This Row],[Time]]-TIME(0,0,3)</f>
        <v>0.53133344907407409</v>
      </c>
      <c r="P1002" t="s">
        <v>13</v>
      </c>
      <c r="Q1002">
        <f>Q1001</f>
        <v>-122</v>
      </c>
      <c r="R1002">
        <f>Table257[[#This Row],[RSSI]]</f>
        <v>-122</v>
      </c>
      <c r="S1002">
        <f>S1001</f>
        <v>-9</v>
      </c>
    </row>
    <row r="1003" spans="2:19" x14ac:dyDescent="0.25">
      <c r="B1003">
        <f>390+2*(Table146[[#This Row],[min value (corrected)]]-37)</f>
        <v>426</v>
      </c>
      <c r="C1003">
        <f>MINUTE(Table146[[#This Row],[Corrected time]])</f>
        <v>55</v>
      </c>
      <c r="D1003" s="1">
        <v>0.49674925925925922</v>
      </c>
      <c r="E1003" s="1">
        <f>Table146[[#This Row],[Time]]-TIME(0,0,1)</f>
        <v>0.49673768518518513</v>
      </c>
      <c r="F1003" t="s">
        <v>9</v>
      </c>
      <c r="G1003">
        <v>-122</v>
      </c>
      <c r="H1003">
        <f>Table146[[#This Row],[RSSI]]</f>
        <v>-122</v>
      </c>
      <c r="I1003">
        <v>-8.3000000000000007</v>
      </c>
      <c r="L1003">
        <f>390+2*(Table257[[#This Row],[min value (corrected)]]-27)</f>
        <v>426</v>
      </c>
      <c r="M1003">
        <f>MINUTE(Table257[[#This Row],[Corrected time]])</f>
        <v>45</v>
      </c>
      <c r="N1003" s="1">
        <v>0.53138120370370379</v>
      </c>
      <c r="O1003" s="1">
        <f>Table257[[#This Row],[Time]]-TIME(0,0,3)</f>
        <v>0.53134648148148156</v>
      </c>
      <c r="P1003" t="s">
        <v>9</v>
      </c>
      <c r="Q1003">
        <v>-122</v>
      </c>
      <c r="R1003">
        <f>Table257[[#This Row],[RSSI]]</f>
        <v>-122</v>
      </c>
      <c r="S1003">
        <v>-8.5</v>
      </c>
    </row>
    <row r="1004" spans="2:19" x14ac:dyDescent="0.25">
      <c r="B1004">
        <f>390+2*(Table146[[#This Row],[min value (corrected)]]-37)</f>
        <v>426</v>
      </c>
      <c r="C1004">
        <f>MINUTE(Table146[[#This Row],[Corrected time]])</f>
        <v>55</v>
      </c>
      <c r="D1004" s="1">
        <v>0.49676229166666669</v>
      </c>
      <c r="E1004" s="1">
        <f>Table146[[#This Row],[Time]]-TIME(0,0,1)</f>
        <v>0.49675071759259259</v>
      </c>
      <c r="F1004" t="s">
        <v>9</v>
      </c>
      <c r="G1004">
        <v>-122</v>
      </c>
      <c r="H1004">
        <f>Table146[[#This Row],[RSSI]]</f>
        <v>-122</v>
      </c>
      <c r="I1004">
        <v>-9.3000000000000007</v>
      </c>
      <c r="L1004">
        <f>390+2*(Table257[[#This Row],[min value (corrected)]]-27)</f>
        <v>426</v>
      </c>
      <c r="M1004">
        <f>MINUTE(Table257[[#This Row],[Corrected time]])</f>
        <v>45</v>
      </c>
      <c r="N1004" s="1">
        <v>0.53139422453703711</v>
      </c>
      <c r="O1004" s="1">
        <f>Table257[[#This Row],[Time]]-TIME(0,0,3)</f>
        <v>0.53135950231481488</v>
      </c>
      <c r="P1004" t="s">
        <v>13</v>
      </c>
      <c r="Q1004">
        <f t="shared" ref="Q1004:Q1005" si="111">Q1003</f>
        <v>-122</v>
      </c>
      <c r="R1004">
        <f>Table257[[#This Row],[RSSI]]</f>
        <v>-122</v>
      </c>
      <c r="S1004">
        <f t="shared" ref="S1004:S1005" si="112">S1003</f>
        <v>-8.5</v>
      </c>
    </row>
    <row r="1005" spans="2:19" x14ac:dyDescent="0.25">
      <c r="B1005">
        <f>390+2*(Table146[[#This Row],[min value (corrected)]]-37)</f>
        <v>426</v>
      </c>
      <c r="C1005">
        <f>MINUTE(Table146[[#This Row],[Corrected time]])</f>
        <v>55</v>
      </c>
      <c r="D1005" s="1">
        <v>0.49677532407407404</v>
      </c>
      <c r="E1005" s="1">
        <f>Table146[[#This Row],[Time]]-TIME(0,0,1)</f>
        <v>0.49676374999999995</v>
      </c>
      <c r="F1005" t="s">
        <v>9</v>
      </c>
      <c r="G1005">
        <v>-123</v>
      </c>
      <c r="H1005">
        <f>Table146[[#This Row],[RSSI]]</f>
        <v>-123</v>
      </c>
      <c r="I1005">
        <v>-9</v>
      </c>
      <c r="L1005">
        <f>390+2*(Table257[[#This Row],[min value (corrected)]]-27)</f>
        <v>426</v>
      </c>
      <c r="M1005">
        <f>MINUTE(Table257[[#This Row],[Corrected time]])</f>
        <v>45</v>
      </c>
      <c r="N1005" s="1">
        <v>0.53140724537037043</v>
      </c>
      <c r="O1005" s="1">
        <f>Table257[[#This Row],[Time]]-TIME(0,0,3)</f>
        <v>0.5313725231481482</v>
      </c>
      <c r="P1005" t="s">
        <v>13</v>
      </c>
      <c r="Q1005">
        <f t="shared" si="111"/>
        <v>-122</v>
      </c>
      <c r="R1005">
        <f>Table257[[#This Row],[RSSI]]</f>
        <v>-122</v>
      </c>
      <c r="S1005">
        <f t="shared" si="112"/>
        <v>-8.5</v>
      </c>
    </row>
    <row r="1006" spans="2:19" x14ac:dyDescent="0.25">
      <c r="B1006">
        <f>390+2*(Table146[[#This Row],[min value (corrected)]]-37)</f>
        <v>426</v>
      </c>
      <c r="C1006">
        <f>MINUTE(Table146[[#This Row],[Corrected time]])</f>
        <v>55</v>
      </c>
      <c r="D1006" s="1">
        <v>0.49678835648148151</v>
      </c>
      <c r="E1006" s="1">
        <f>Table146[[#This Row],[Time]]-TIME(0,0,1)</f>
        <v>0.49677678240740741</v>
      </c>
      <c r="F1006" t="s">
        <v>9</v>
      </c>
      <c r="G1006">
        <v>-122</v>
      </c>
      <c r="H1006">
        <f>Table146[[#This Row],[RSSI]]</f>
        <v>-122</v>
      </c>
      <c r="I1006">
        <v>-8.8000000000000007</v>
      </c>
      <c r="L1006">
        <f>390+2*(Table257[[#This Row],[min value (corrected)]]-27)</f>
        <v>426</v>
      </c>
      <c r="M1006">
        <f>MINUTE(Table257[[#This Row],[Corrected time]])</f>
        <v>45</v>
      </c>
      <c r="N1006" s="1">
        <v>0.53142030092592596</v>
      </c>
      <c r="O1006" s="1">
        <f>Table257[[#This Row],[Time]]-TIME(0,0,3)</f>
        <v>0.53138557870370373</v>
      </c>
      <c r="P1006" t="s">
        <v>9</v>
      </c>
      <c r="Q1006">
        <v>-122</v>
      </c>
      <c r="R1006">
        <f>Table257[[#This Row],[RSSI]]</f>
        <v>-122</v>
      </c>
      <c r="S1006">
        <v>-8.8000000000000007</v>
      </c>
    </row>
    <row r="1007" spans="2:19" x14ac:dyDescent="0.25">
      <c r="B1007">
        <f>390+2*(Table146[[#This Row],[min value (corrected)]]-37)</f>
        <v>426</v>
      </c>
      <c r="C1007">
        <f>MINUTE(Table146[[#This Row],[Corrected time]])</f>
        <v>55</v>
      </c>
      <c r="D1007" s="1">
        <v>0.49680138888888886</v>
      </c>
      <c r="E1007" s="1">
        <f>Table146[[#This Row],[Time]]-TIME(0,0,1)</f>
        <v>0.49678981481481477</v>
      </c>
      <c r="F1007" t="s">
        <v>13</v>
      </c>
      <c r="G1007">
        <f t="shared" ref="G1007:G1009" si="113">G1006</f>
        <v>-122</v>
      </c>
      <c r="H1007">
        <f>Table146[[#This Row],[RSSI]]</f>
        <v>-122</v>
      </c>
      <c r="I1007">
        <f t="shared" ref="I1007:I1009" si="114">I1006</f>
        <v>-8.8000000000000007</v>
      </c>
      <c r="L1007">
        <f>390+2*(Table257[[#This Row],[min value (corrected)]]-27)</f>
        <v>426</v>
      </c>
      <c r="M1007">
        <f>MINUTE(Table257[[#This Row],[Corrected time]])</f>
        <v>45</v>
      </c>
      <c r="N1007" s="1">
        <v>0.53143333333333331</v>
      </c>
      <c r="O1007" s="1">
        <f>Table257[[#This Row],[Time]]-TIME(0,0,3)</f>
        <v>0.53139861111111109</v>
      </c>
      <c r="P1007" t="s">
        <v>9</v>
      </c>
      <c r="Q1007">
        <v>-121</v>
      </c>
      <c r="R1007">
        <f>Table257[[#This Row],[RSSI]]</f>
        <v>-121</v>
      </c>
      <c r="S1007">
        <v>-8</v>
      </c>
    </row>
    <row r="1008" spans="2:19" x14ac:dyDescent="0.25">
      <c r="B1008">
        <f>390+2*(Table146[[#This Row],[min value (corrected)]]-37)</f>
        <v>426</v>
      </c>
      <c r="C1008">
        <f>MINUTE(Table146[[#This Row],[Corrected time]])</f>
        <v>55</v>
      </c>
      <c r="D1008" s="1">
        <v>0.49681442129629633</v>
      </c>
      <c r="E1008" s="1">
        <f>Table146[[#This Row],[Time]]-TIME(0,0,1)</f>
        <v>0.49680284722222223</v>
      </c>
      <c r="F1008" t="s">
        <v>27</v>
      </c>
      <c r="G1008">
        <f t="shared" si="113"/>
        <v>-122</v>
      </c>
      <c r="H1008">
        <f>Table146[[#This Row],[RSSI]]</f>
        <v>-122</v>
      </c>
      <c r="I1008">
        <f t="shared" si="114"/>
        <v>-8.8000000000000007</v>
      </c>
      <c r="L1008">
        <f>390+2*(Table257[[#This Row],[min value (corrected)]]-27)</f>
        <v>426</v>
      </c>
      <c r="M1008">
        <f>MINUTE(Table257[[#This Row],[Corrected time]])</f>
        <v>45</v>
      </c>
      <c r="N1008" s="1">
        <v>0.53144636574074078</v>
      </c>
      <c r="O1008" s="1">
        <f>Table257[[#This Row],[Time]]-TIME(0,0,3)</f>
        <v>0.53141164351851855</v>
      </c>
      <c r="P1008" t="s">
        <v>9</v>
      </c>
      <c r="Q1008">
        <v>-122</v>
      </c>
      <c r="R1008">
        <f>Table257[[#This Row],[RSSI]]</f>
        <v>-122</v>
      </c>
      <c r="S1008">
        <v>-8.8000000000000007</v>
      </c>
    </row>
    <row r="1009" spans="2:19" x14ac:dyDescent="0.25">
      <c r="B1009">
        <f>390+2*(Table146[[#This Row],[min value (corrected)]]-37)</f>
        <v>426</v>
      </c>
      <c r="C1009">
        <f>MINUTE(Table146[[#This Row],[Corrected time]])</f>
        <v>55</v>
      </c>
      <c r="D1009" s="1">
        <v>0.49682745370370368</v>
      </c>
      <c r="E1009" s="1">
        <f>Table146[[#This Row],[Time]]-TIME(0,0,1)</f>
        <v>0.49681587962962959</v>
      </c>
      <c r="F1009" t="s">
        <v>13</v>
      </c>
      <c r="G1009">
        <f t="shared" si="113"/>
        <v>-122</v>
      </c>
      <c r="H1009">
        <f>Table146[[#This Row],[RSSI]]</f>
        <v>-122</v>
      </c>
      <c r="I1009">
        <f t="shared" si="114"/>
        <v>-8.8000000000000007</v>
      </c>
      <c r="L1009">
        <f>390+2*(Table257[[#This Row],[min value (corrected)]]-27)</f>
        <v>426</v>
      </c>
      <c r="M1009">
        <f>MINUTE(Table257[[#This Row],[Corrected time]])</f>
        <v>45</v>
      </c>
      <c r="N1009" s="1">
        <v>0.53145939814814813</v>
      </c>
      <c r="O1009" s="1">
        <f>Table257[[#This Row],[Time]]-TIME(0,0,3)</f>
        <v>0.5314246759259259</v>
      </c>
      <c r="P1009" t="s">
        <v>9</v>
      </c>
      <c r="Q1009">
        <v>-122</v>
      </c>
      <c r="R1009">
        <f>Table257[[#This Row],[RSSI]]</f>
        <v>-122</v>
      </c>
      <c r="S1009">
        <v>-9</v>
      </c>
    </row>
    <row r="1010" spans="2:19" x14ac:dyDescent="0.25">
      <c r="B1010">
        <f>390+2*(Table146[[#This Row],[min value (corrected)]]-37)</f>
        <v>426</v>
      </c>
      <c r="C1010">
        <f>MINUTE(Table146[[#This Row],[Corrected time]])</f>
        <v>55</v>
      </c>
      <c r="D1010" s="1">
        <v>0.49684048611111109</v>
      </c>
      <c r="E1010" s="1">
        <f>Table146[[#This Row],[Time]]-TIME(0,0,1)</f>
        <v>0.496828912037037</v>
      </c>
      <c r="F1010" t="s">
        <v>9</v>
      </c>
      <c r="G1010">
        <v>-123</v>
      </c>
      <c r="H1010">
        <f>Table146[[#This Row],[RSSI]]</f>
        <v>-123</v>
      </c>
      <c r="I1010">
        <v>-9.5</v>
      </c>
      <c r="L1010">
        <f>390+2*(Table257[[#This Row],[min value (corrected)]]-27)</f>
        <v>426</v>
      </c>
      <c r="M1010">
        <f>MINUTE(Table257[[#This Row],[Corrected time]])</f>
        <v>45</v>
      </c>
      <c r="N1010" s="1">
        <v>0.5314724305555556</v>
      </c>
      <c r="O1010" s="1">
        <f>Table257[[#This Row],[Time]]-TIME(0,0,3)</f>
        <v>0.53143770833333337</v>
      </c>
      <c r="P1010" t="s">
        <v>9</v>
      </c>
      <c r="Q1010">
        <v>-122</v>
      </c>
      <c r="R1010">
        <f>Table257[[#This Row],[RSSI]]</f>
        <v>-122</v>
      </c>
      <c r="S1010">
        <v>-8.8000000000000007</v>
      </c>
    </row>
    <row r="1011" spans="2:19" x14ac:dyDescent="0.25">
      <c r="B1011">
        <f>390+2*(Table146[[#This Row],[min value (corrected)]]-37)</f>
        <v>426</v>
      </c>
      <c r="C1011">
        <f>MINUTE(Table146[[#This Row],[Corrected time]])</f>
        <v>55</v>
      </c>
      <c r="D1011" s="1">
        <v>0.4968535185185185</v>
      </c>
      <c r="E1011" s="1">
        <f>Table146[[#This Row],[Time]]-TIME(0,0,1)</f>
        <v>0.49684194444444441</v>
      </c>
      <c r="F1011" t="s">
        <v>9</v>
      </c>
      <c r="G1011">
        <v>-122</v>
      </c>
      <c r="H1011">
        <f>Table146[[#This Row],[RSSI]]</f>
        <v>-122</v>
      </c>
      <c r="I1011">
        <v>-8.5</v>
      </c>
      <c r="L1011">
        <f>390+2*(Table257[[#This Row],[min value (corrected)]]-27)</f>
        <v>426</v>
      </c>
      <c r="M1011">
        <f>MINUTE(Table257[[#This Row],[Corrected time]])</f>
        <v>45</v>
      </c>
      <c r="N1011" s="1">
        <v>0.53148546296296295</v>
      </c>
      <c r="O1011" s="1">
        <f>Table257[[#This Row],[Time]]-TIME(0,0,3)</f>
        <v>0.53145074074074072</v>
      </c>
      <c r="P1011" t="s">
        <v>13</v>
      </c>
      <c r="Q1011">
        <f>Q1010</f>
        <v>-122</v>
      </c>
      <c r="R1011">
        <f>Table257[[#This Row],[RSSI]]</f>
        <v>-122</v>
      </c>
      <c r="S1011">
        <f>S1010</f>
        <v>-8.8000000000000007</v>
      </c>
    </row>
    <row r="1012" spans="2:19" x14ac:dyDescent="0.25">
      <c r="B1012">
        <f>390+2*(Table146[[#This Row],[min value (corrected)]]-37)</f>
        <v>426</v>
      </c>
      <c r="C1012">
        <f>MINUTE(Table146[[#This Row],[Corrected time]])</f>
        <v>55</v>
      </c>
      <c r="D1012" s="1">
        <v>0.49686655092592591</v>
      </c>
      <c r="E1012" s="1">
        <f>Table146[[#This Row],[Time]]-TIME(0,0,1)</f>
        <v>0.49685497685185182</v>
      </c>
      <c r="F1012" t="s">
        <v>9</v>
      </c>
      <c r="G1012">
        <v>-122</v>
      </c>
      <c r="H1012">
        <f>Table146[[#This Row],[RSSI]]</f>
        <v>-122</v>
      </c>
      <c r="I1012">
        <v>-9</v>
      </c>
      <c r="L1012">
        <f>390+2*(Table257[[#This Row],[min value (corrected)]]-27)</f>
        <v>426</v>
      </c>
      <c r="M1012">
        <f>MINUTE(Table257[[#This Row],[Corrected time]])</f>
        <v>45</v>
      </c>
      <c r="N1012" s="1">
        <v>0.53149849537037042</v>
      </c>
      <c r="O1012" s="1">
        <f>Table257[[#This Row],[Time]]-TIME(0,0,3)</f>
        <v>0.53146377314814819</v>
      </c>
      <c r="P1012" t="s">
        <v>9</v>
      </c>
      <c r="Q1012">
        <v>-122</v>
      </c>
      <c r="R1012">
        <f>Table257[[#This Row],[RSSI]]</f>
        <v>-122</v>
      </c>
      <c r="S1012">
        <v>-8.3000000000000007</v>
      </c>
    </row>
    <row r="1013" spans="2:19" x14ac:dyDescent="0.25">
      <c r="B1013">
        <f>390+2*(Table146[[#This Row],[min value (corrected)]]-37)</f>
        <v>426</v>
      </c>
      <c r="C1013">
        <f>MINUTE(Table146[[#This Row],[Corrected time]])</f>
        <v>55</v>
      </c>
      <c r="D1013" s="1">
        <v>0.49687958333333332</v>
      </c>
      <c r="E1013" s="1">
        <f>Table146[[#This Row],[Time]]-TIME(0,0,1)</f>
        <v>0.49686800925925922</v>
      </c>
      <c r="F1013" t="s">
        <v>27</v>
      </c>
      <c r="G1013">
        <f>G1012</f>
        <v>-122</v>
      </c>
      <c r="H1013">
        <f>Table146[[#This Row],[RSSI]]</f>
        <v>-122</v>
      </c>
      <c r="I1013">
        <f>I1012</f>
        <v>-9</v>
      </c>
      <c r="L1013">
        <f>390+2*(Table257[[#This Row],[min value (corrected)]]-27)</f>
        <v>426</v>
      </c>
      <c r="M1013">
        <f>MINUTE(Table257[[#This Row],[Corrected time]])</f>
        <v>45</v>
      </c>
      <c r="N1013" s="1">
        <v>0.53151151620370374</v>
      </c>
      <c r="O1013" s="1">
        <f>Table257[[#This Row],[Time]]-TIME(0,0,3)</f>
        <v>0.53147679398148151</v>
      </c>
      <c r="P1013" t="s">
        <v>9</v>
      </c>
      <c r="Q1013">
        <v>-122</v>
      </c>
      <c r="R1013">
        <f>Table257[[#This Row],[RSSI]]</f>
        <v>-122</v>
      </c>
      <c r="S1013">
        <v>-8.5</v>
      </c>
    </row>
    <row r="1014" spans="2:19" x14ac:dyDescent="0.25">
      <c r="B1014">
        <f>390+2*(Table146[[#This Row],[min value (corrected)]]-37)</f>
        <v>426</v>
      </c>
      <c r="C1014">
        <f>MINUTE(Table146[[#This Row],[Corrected time]])</f>
        <v>55</v>
      </c>
      <c r="D1014" s="1">
        <v>0.49689261574074073</v>
      </c>
      <c r="E1014" s="1">
        <f>Table146[[#This Row],[Time]]-TIME(0,0,1)</f>
        <v>0.49688104166666663</v>
      </c>
      <c r="F1014" t="s">
        <v>9</v>
      </c>
      <c r="G1014">
        <v>-122</v>
      </c>
      <c r="H1014">
        <f>Table146[[#This Row],[RSSI]]</f>
        <v>-122</v>
      </c>
      <c r="I1014">
        <v>-8.8000000000000007</v>
      </c>
      <c r="L1014">
        <f>390+2*(Table257[[#This Row],[min value (corrected)]]-27)</f>
        <v>426</v>
      </c>
      <c r="M1014">
        <f>MINUTE(Table257[[#This Row],[Corrected time]])</f>
        <v>45</v>
      </c>
      <c r="N1014" s="1">
        <v>0.53152456018518524</v>
      </c>
      <c r="O1014" s="1">
        <f>Table257[[#This Row],[Time]]-TIME(0,0,3)</f>
        <v>0.53148983796296301</v>
      </c>
      <c r="P1014" t="s">
        <v>13</v>
      </c>
      <c r="Q1014">
        <f t="shared" ref="Q1014:Q1015" si="115">Q1013</f>
        <v>-122</v>
      </c>
      <c r="R1014">
        <f>Table257[[#This Row],[RSSI]]</f>
        <v>-122</v>
      </c>
      <c r="S1014">
        <f t="shared" ref="S1014:S1015" si="116">S1013</f>
        <v>-8.5</v>
      </c>
    </row>
    <row r="1015" spans="2:19" x14ac:dyDescent="0.25">
      <c r="B1015">
        <f>390+2*(Table146[[#This Row],[min value (corrected)]]-37)</f>
        <v>426</v>
      </c>
      <c r="C1015">
        <f>MINUTE(Table146[[#This Row],[Corrected time]])</f>
        <v>55</v>
      </c>
      <c r="D1015" s="1">
        <v>0.49690564814814814</v>
      </c>
      <c r="E1015" s="1">
        <f>Table146[[#This Row],[Time]]-TIME(0,0,1)</f>
        <v>0.49689407407407404</v>
      </c>
      <c r="F1015" t="s">
        <v>13</v>
      </c>
      <c r="G1015">
        <f>G1014</f>
        <v>-122</v>
      </c>
      <c r="H1015">
        <f>Table146[[#This Row],[RSSI]]</f>
        <v>-122</v>
      </c>
      <c r="I1015">
        <f>I1014</f>
        <v>-8.8000000000000007</v>
      </c>
      <c r="L1015">
        <f>390+2*(Table257[[#This Row],[min value (corrected)]]-27)</f>
        <v>426</v>
      </c>
      <c r="M1015">
        <f>MINUTE(Table257[[#This Row],[Corrected time]])</f>
        <v>45</v>
      </c>
      <c r="N1015" s="1">
        <v>0.53153758101851856</v>
      </c>
      <c r="O1015" s="1">
        <f>Table257[[#This Row],[Time]]-TIME(0,0,3)</f>
        <v>0.53150285879629633</v>
      </c>
      <c r="P1015" t="s">
        <v>13</v>
      </c>
      <c r="Q1015">
        <f t="shared" si="115"/>
        <v>-122</v>
      </c>
      <c r="R1015">
        <f>Table257[[#This Row],[RSSI]]</f>
        <v>-122</v>
      </c>
      <c r="S1015">
        <f t="shared" si="116"/>
        <v>-8.5</v>
      </c>
    </row>
    <row r="1016" spans="2:19" x14ac:dyDescent="0.25">
      <c r="B1016">
        <f>390+2*(Table146[[#This Row],[min value (corrected)]]-37)</f>
        <v>426</v>
      </c>
      <c r="C1016">
        <f>MINUTE(Table146[[#This Row],[Corrected time]])</f>
        <v>55</v>
      </c>
      <c r="D1016" s="1">
        <v>0.49691868055555555</v>
      </c>
      <c r="E1016" s="1">
        <f>Table146[[#This Row],[Time]]-TIME(0,0,1)</f>
        <v>0.49690710648148145</v>
      </c>
      <c r="F1016" t="s">
        <v>9</v>
      </c>
      <c r="G1016">
        <v>-121</v>
      </c>
      <c r="H1016">
        <f>Table146[[#This Row],[RSSI]]</f>
        <v>-121</v>
      </c>
      <c r="I1016">
        <v>-8.5</v>
      </c>
      <c r="L1016">
        <f>390+2*(Table257[[#This Row],[min value (corrected)]]-27)</f>
        <v>426</v>
      </c>
      <c r="M1016">
        <f>MINUTE(Table257[[#This Row],[Corrected time]])</f>
        <v>45</v>
      </c>
      <c r="N1016" s="1">
        <v>0.53155062500000005</v>
      </c>
      <c r="O1016" s="1">
        <f>Table257[[#This Row],[Time]]-TIME(0,0,3)</f>
        <v>0.53151590277777783</v>
      </c>
      <c r="P1016" t="s">
        <v>9</v>
      </c>
      <c r="Q1016">
        <v>-123</v>
      </c>
      <c r="R1016">
        <f>Table257[[#This Row],[RSSI]]</f>
        <v>-123</v>
      </c>
      <c r="S1016">
        <v>-9</v>
      </c>
    </row>
    <row r="1017" spans="2:19" x14ac:dyDescent="0.25">
      <c r="B1017">
        <f>390+2*(Table146[[#This Row],[min value (corrected)]]-37)</f>
        <v>426</v>
      </c>
      <c r="C1017">
        <f>MINUTE(Table146[[#This Row],[Corrected time]])</f>
        <v>55</v>
      </c>
      <c r="D1017" s="1">
        <v>0.49693171296296296</v>
      </c>
      <c r="E1017" s="1">
        <f>Table146[[#This Row],[Time]]-TIME(0,0,1)</f>
        <v>0.49692013888888886</v>
      </c>
      <c r="F1017" t="s">
        <v>9</v>
      </c>
      <c r="G1017">
        <v>-122</v>
      </c>
      <c r="H1017">
        <f>Table146[[#This Row],[RSSI]]</f>
        <v>-122</v>
      </c>
      <c r="I1017">
        <v>-8.3000000000000007</v>
      </c>
      <c r="L1017">
        <f>390+2*(Table257[[#This Row],[min value (corrected)]]-27)</f>
        <v>426</v>
      </c>
      <c r="M1017">
        <f>MINUTE(Table257[[#This Row],[Corrected time]])</f>
        <v>45</v>
      </c>
      <c r="N1017" s="1">
        <v>0.53156363425925923</v>
      </c>
      <c r="O1017" s="1">
        <f>Table257[[#This Row],[Time]]-TIME(0,0,3)</f>
        <v>0.531528912037037</v>
      </c>
      <c r="P1017" t="s">
        <v>13</v>
      </c>
      <c r="Q1017">
        <f>Q1016</f>
        <v>-123</v>
      </c>
      <c r="R1017">
        <f>Table257[[#This Row],[RSSI]]</f>
        <v>-123</v>
      </c>
      <c r="S1017">
        <f>S1016</f>
        <v>-9</v>
      </c>
    </row>
    <row r="1018" spans="2:19" x14ac:dyDescent="0.25">
      <c r="B1018">
        <f>390+2*(Table146[[#This Row],[min value (corrected)]]-37)</f>
        <v>426</v>
      </c>
      <c r="C1018">
        <f>MINUTE(Table146[[#This Row],[Corrected time]])</f>
        <v>55</v>
      </c>
      <c r="D1018" s="1">
        <v>0.49694474537037037</v>
      </c>
      <c r="E1018" s="1">
        <f>Table146[[#This Row],[Time]]-TIME(0,0,1)</f>
        <v>0.49693317129629627</v>
      </c>
      <c r="F1018" t="s">
        <v>13</v>
      </c>
      <c r="G1018">
        <f>G1017</f>
        <v>-122</v>
      </c>
      <c r="H1018">
        <f>Table146[[#This Row],[RSSI]]</f>
        <v>-122</v>
      </c>
      <c r="I1018">
        <f>I1017</f>
        <v>-8.3000000000000007</v>
      </c>
      <c r="L1018">
        <f>390+2*(Table257[[#This Row],[min value (corrected)]]-27)</f>
        <v>426</v>
      </c>
      <c r="M1018">
        <f>MINUTE(Table257[[#This Row],[Corrected time]])</f>
        <v>45</v>
      </c>
      <c r="N1018" s="1">
        <v>0.53157668981481487</v>
      </c>
      <c r="O1018" s="1">
        <f>Table257[[#This Row],[Time]]-TIME(0,0,3)</f>
        <v>0.53154196759259265</v>
      </c>
      <c r="P1018" t="s">
        <v>9</v>
      </c>
      <c r="Q1018">
        <v>-122</v>
      </c>
      <c r="R1018">
        <f>Table257[[#This Row],[RSSI]]</f>
        <v>-122</v>
      </c>
      <c r="S1018">
        <v>-8.5</v>
      </c>
    </row>
    <row r="1019" spans="2:19" x14ac:dyDescent="0.25">
      <c r="B1019">
        <f>390+2*(Table146[[#This Row],[min value (corrected)]]-37)</f>
        <v>426</v>
      </c>
      <c r="C1019">
        <f>MINUTE(Table146[[#This Row],[Corrected time]])</f>
        <v>55</v>
      </c>
      <c r="D1019" s="1">
        <v>0.49695776620370369</v>
      </c>
      <c r="E1019" s="1">
        <f>Table146[[#This Row],[Time]]-TIME(0,0,1)</f>
        <v>0.49694619212962959</v>
      </c>
      <c r="F1019" t="s">
        <v>9</v>
      </c>
      <c r="G1019">
        <v>-122</v>
      </c>
      <c r="H1019">
        <f>Table146[[#This Row],[RSSI]]</f>
        <v>-122</v>
      </c>
      <c r="I1019">
        <v>-8.3000000000000007</v>
      </c>
      <c r="L1019">
        <f>390+2*(Table257[[#This Row],[min value (corrected)]]-27)</f>
        <v>426</v>
      </c>
      <c r="M1019">
        <f>MINUTE(Table257[[#This Row],[Corrected time]])</f>
        <v>45</v>
      </c>
      <c r="N1019" s="1">
        <v>0.53158971064814819</v>
      </c>
      <c r="O1019" s="1">
        <f>Table257[[#This Row],[Time]]-TIME(0,0,3)</f>
        <v>0.53155498842592597</v>
      </c>
      <c r="P1019" t="s">
        <v>13</v>
      </c>
      <c r="Q1019">
        <f>Q1018</f>
        <v>-122</v>
      </c>
      <c r="R1019">
        <f>Table257[[#This Row],[RSSI]]</f>
        <v>-122</v>
      </c>
      <c r="S1019">
        <f>S1018</f>
        <v>-8.5</v>
      </c>
    </row>
    <row r="1020" spans="2:19" x14ac:dyDescent="0.25">
      <c r="B1020">
        <f>390+2*(Table146[[#This Row],[min value (corrected)]]-37)</f>
        <v>426</v>
      </c>
      <c r="C1020">
        <f>MINUTE(Table146[[#This Row],[Corrected time]])</f>
        <v>55</v>
      </c>
      <c r="D1020" s="1">
        <v>0.49697081018518519</v>
      </c>
      <c r="E1020" s="1">
        <f>Table146[[#This Row],[Time]]-TIME(0,0,1)</f>
        <v>0.49695923611111109</v>
      </c>
      <c r="F1020" t="s">
        <v>9</v>
      </c>
      <c r="G1020">
        <v>-123</v>
      </c>
      <c r="H1020">
        <f>Table146[[#This Row],[RSSI]]</f>
        <v>-123</v>
      </c>
      <c r="I1020">
        <v>-9.5</v>
      </c>
      <c r="L1020">
        <f>390+2*(Table257[[#This Row],[min value (corrected)]]-27)</f>
        <v>426</v>
      </c>
      <c r="M1020">
        <f>MINUTE(Table257[[#This Row],[Corrected time]])</f>
        <v>45</v>
      </c>
      <c r="N1020" s="1">
        <v>0.53160274305555555</v>
      </c>
      <c r="O1020" s="1">
        <f>Table257[[#This Row],[Time]]-TIME(0,0,3)</f>
        <v>0.53156802083333332</v>
      </c>
      <c r="P1020" t="s">
        <v>9</v>
      </c>
      <c r="Q1020">
        <v>-121</v>
      </c>
      <c r="R1020">
        <f>Table257[[#This Row],[RSSI]]</f>
        <v>-121</v>
      </c>
      <c r="S1020">
        <v>-8.3000000000000007</v>
      </c>
    </row>
    <row r="1021" spans="2:19" x14ac:dyDescent="0.25">
      <c r="B1021">
        <f>390+2*(Table146[[#This Row],[min value (corrected)]]-37)</f>
        <v>426</v>
      </c>
      <c r="C1021">
        <f>MINUTE(Table146[[#This Row],[Corrected time]])</f>
        <v>55</v>
      </c>
      <c r="D1021" s="1">
        <v>0.4969838425925926</v>
      </c>
      <c r="E1021" s="1">
        <f>Table146[[#This Row],[Time]]-TIME(0,0,1)</f>
        <v>0.4969722685185185</v>
      </c>
      <c r="F1021" t="s">
        <v>9</v>
      </c>
      <c r="G1021">
        <v>-123</v>
      </c>
      <c r="H1021">
        <f>Table146[[#This Row],[RSSI]]</f>
        <v>-123</v>
      </c>
      <c r="I1021">
        <v>-9.3000000000000007</v>
      </c>
      <c r="L1021">
        <f>390+2*(Table257[[#This Row],[min value (corrected)]]-27)</f>
        <v>426</v>
      </c>
      <c r="M1021">
        <f>MINUTE(Table257[[#This Row],[Corrected time]])</f>
        <v>45</v>
      </c>
      <c r="N1021" s="1">
        <v>0.53161578703703705</v>
      </c>
      <c r="O1021" s="1">
        <f>Table257[[#This Row],[Time]]-TIME(0,0,3)</f>
        <v>0.53158106481481482</v>
      </c>
      <c r="P1021" t="s">
        <v>13</v>
      </c>
      <c r="Q1021">
        <f>Q1020</f>
        <v>-121</v>
      </c>
      <c r="R1021">
        <f>Table257[[#This Row],[RSSI]]</f>
        <v>-121</v>
      </c>
      <c r="S1021">
        <f>S1020</f>
        <v>-8.3000000000000007</v>
      </c>
    </row>
    <row r="1022" spans="2:19" x14ac:dyDescent="0.25">
      <c r="B1022">
        <f>390+2*(Table146[[#This Row],[min value (corrected)]]-37)</f>
        <v>426</v>
      </c>
      <c r="C1022">
        <f>MINUTE(Table146[[#This Row],[Corrected time]])</f>
        <v>55</v>
      </c>
      <c r="D1022" s="1">
        <v>0.496996875</v>
      </c>
      <c r="E1022" s="1">
        <f>Table146[[#This Row],[Time]]-TIME(0,0,1)</f>
        <v>0.49698530092592591</v>
      </c>
      <c r="F1022" t="s">
        <v>9</v>
      </c>
      <c r="G1022">
        <v>-123</v>
      </c>
      <c r="H1022">
        <f>Table146[[#This Row],[RSSI]]</f>
        <v>-123</v>
      </c>
      <c r="I1022">
        <v>-9.3000000000000007</v>
      </c>
      <c r="L1022">
        <f>390+2*(Table257[[#This Row],[min value (corrected)]]-27)</f>
        <v>426</v>
      </c>
      <c r="M1022">
        <f>MINUTE(Table257[[#This Row],[Corrected time]])</f>
        <v>45</v>
      </c>
      <c r="N1022" s="1">
        <v>0.53162881944444451</v>
      </c>
      <c r="O1022" s="1">
        <f>Table257[[#This Row],[Time]]-TIME(0,0,3)</f>
        <v>0.53159409722222228</v>
      </c>
      <c r="P1022" t="s">
        <v>9</v>
      </c>
      <c r="Q1022">
        <v>-122</v>
      </c>
      <c r="R1022">
        <f>Table257[[#This Row],[RSSI]]</f>
        <v>-122</v>
      </c>
      <c r="S1022">
        <v>-8.5</v>
      </c>
    </row>
    <row r="1023" spans="2:19" x14ac:dyDescent="0.25">
      <c r="B1023">
        <f>390+2*(Table146[[#This Row],[min value (corrected)]]-37)</f>
        <v>426</v>
      </c>
      <c r="C1023">
        <f>MINUTE(Table146[[#This Row],[Corrected time]])</f>
        <v>55</v>
      </c>
      <c r="D1023" s="1">
        <v>0.49700990740740741</v>
      </c>
      <c r="E1023" s="1">
        <f>Table146[[#This Row],[Time]]-TIME(0,0,1)</f>
        <v>0.49699833333333332</v>
      </c>
      <c r="F1023" t="s">
        <v>9</v>
      </c>
      <c r="G1023">
        <v>-122</v>
      </c>
      <c r="H1023">
        <f>Table146[[#This Row],[RSSI]]</f>
        <v>-122</v>
      </c>
      <c r="I1023">
        <v>-8.8000000000000007</v>
      </c>
      <c r="L1023">
        <f>390+2*(Table257[[#This Row],[min value (corrected)]]-27)</f>
        <v>426</v>
      </c>
      <c r="M1023">
        <f>MINUTE(Table257[[#This Row],[Corrected time]])</f>
        <v>45</v>
      </c>
      <c r="N1023" s="1">
        <v>0.53164185185185187</v>
      </c>
      <c r="O1023" s="1">
        <f>Table257[[#This Row],[Time]]-TIME(0,0,3)</f>
        <v>0.53160712962962964</v>
      </c>
      <c r="P1023" t="s">
        <v>9</v>
      </c>
      <c r="Q1023">
        <v>-122</v>
      </c>
      <c r="R1023">
        <f>Table257[[#This Row],[RSSI]]</f>
        <v>-122</v>
      </c>
      <c r="S1023">
        <v>-8.8000000000000007</v>
      </c>
    </row>
    <row r="1024" spans="2:19" x14ac:dyDescent="0.25">
      <c r="B1024">
        <f>390+2*(Table146[[#This Row],[min value (corrected)]]-37)</f>
        <v>426</v>
      </c>
      <c r="C1024">
        <f>MINUTE(Table146[[#This Row],[Corrected time]])</f>
        <v>55</v>
      </c>
      <c r="D1024" s="1">
        <v>0.49702293981481482</v>
      </c>
      <c r="E1024" s="1">
        <f>Table146[[#This Row],[Time]]-TIME(0,0,1)</f>
        <v>0.49701136574074073</v>
      </c>
      <c r="F1024" t="s">
        <v>9</v>
      </c>
      <c r="G1024">
        <v>-123</v>
      </c>
      <c r="H1024">
        <f>Table146[[#This Row],[RSSI]]</f>
        <v>-123</v>
      </c>
      <c r="I1024">
        <v>-9</v>
      </c>
      <c r="L1024">
        <f>390+2*(Table257[[#This Row],[min value (corrected)]]-27)</f>
        <v>426</v>
      </c>
      <c r="M1024">
        <f>MINUTE(Table257[[#This Row],[Corrected time]])</f>
        <v>45</v>
      </c>
      <c r="N1024" s="1">
        <v>0.53165488425925933</v>
      </c>
      <c r="O1024" s="1">
        <f>Table257[[#This Row],[Time]]-TIME(0,0,3)</f>
        <v>0.5316201620370371</v>
      </c>
      <c r="P1024" t="s">
        <v>9</v>
      </c>
      <c r="Q1024">
        <v>-122</v>
      </c>
      <c r="R1024">
        <f>Table257[[#This Row],[RSSI]]</f>
        <v>-122</v>
      </c>
      <c r="S1024">
        <v>-8.3000000000000007</v>
      </c>
    </row>
    <row r="1025" spans="2:19" x14ac:dyDescent="0.25">
      <c r="B1025">
        <f>390+2*(Table146[[#This Row],[min value (corrected)]]-37)</f>
        <v>426</v>
      </c>
      <c r="C1025">
        <f>MINUTE(Table146[[#This Row],[Corrected time]])</f>
        <v>55</v>
      </c>
      <c r="D1025" s="1">
        <v>0.49703597222222223</v>
      </c>
      <c r="E1025" s="1">
        <f>Table146[[#This Row],[Time]]-TIME(0,0,1)</f>
        <v>0.49702439814814814</v>
      </c>
      <c r="F1025" t="s">
        <v>9</v>
      </c>
      <c r="G1025">
        <v>-123</v>
      </c>
      <c r="H1025">
        <f>Table146[[#This Row],[RSSI]]</f>
        <v>-123</v>
      </c>
      <c r="I1025">
        <v>-9.8000000000000007</v>
      </c>
      <c r="L1025">
        <f>390+2*(Table257[[#This Row],[min value (corrected)]]-27)</f>
        <v>426</v>
      </c>
      <c r="M1025">
        <f>MINUTE(Table257[[#This Row],[Corrected time]])</f>
        <v>45</v>
      </c>
      <c r="N1025" s="1">
        <v>0.53166790509259265</v>
      </c>
      <c r="O1025" s="1">
        <f>Table257[[#This Row],[Time]]-TIME(0,0,3)</f>
        <v>0.53163318287037042</v>
      </c>
      <c r="P1025" t="s">
        <v>9</v>
      </c>
      <c r="Q1025">
        <v>-122</v>
      </c>
      <c r="R1025">
        <f>Table257[[#This Row],[RSSI]]</f>
        <v>-122</v>
      </c>
      <c r="S1025">
        <v>-9</v>
      </c>
    </row>
    <row r="1026" spans="2:19" x14ac:dyDescent="0.25">
      <c r="B1026">
        <f>390+2*(Table146[[#This Row],[min value (corrected)]]-37)</f>
        <v>426</v>
      </c>
      <c r="C1026">
        <f>MINUTE(Table146[[#This Row],[Corrected time]])</f>
        <v>55</v>
      </c>
      <c r="D1026" s="1">
        <v>0.49704900462962964</v>
      </c>
      <c r="E1026" s="1">
        <f>Table146[[#This Row],[Time]]-TIME(0,0,1)</f>
        <v>0.49703743055555555</v>
      </c>
      <c r="F1026" t="s">
        <v>9</v>
      </c>
      <c r="G1026">
        <v>-122</v>
      </c>
      <c r="H1026">
        <f>Table146[[#This Row],[RSSI]]</f>
        <v>-122</v>
      </c>
      <c r="I1026">
        <v>-8.5</v>
      </c>
      <c r="L1026">
        <f>390+2*(Table257[[#This Row],[min value (corrected)]]-27)</f>
        <v>426</v>
      </c>
      <c r="M1026">
        <f>MINUTE(Table257[[#This Row],[Corrected time]])</f>
        <v>45</v>
      </c>
      <c r="N1026" s="1">
        <v>0.53168094907407404</v>
      </c>
      <c r="O1026" s="1">
        <f>Table257[[#This Row],[Time]]-TIME(0,0,3)</f>
        <v>0.53164622685185181</v>
      </c>
      <c r="P1026" t="s">
        <v>13</v>
      </c>
      <c r="Q1026">
        <f>Q1025</f>
        <v>-122</v>
      </c>
      <c r="R1026">
        <f>Table257[[#This Row],[RSSI]]</f>
        <v>-122</v>
      </c>
      <c r="S1026">
        <f>S1025</f>
        <v>-9</v>
      </c>
    </row>
    <row r="1027" spans="2:19" x14ac:dyDescent="0.25">
      <c r="B1027">
        <f>390+2*(Table146[[#This Row],[min value (corrected)]]-37)</f>
        <v>426</v>
      </c>
      <c r="C1027">
        <f>MINUTE(Table146[[#This Row],[Corrected time]])</f>
        <v>55</v>
      </c>
      <c r="D1027" s="1">
        <v>0.49706203703703705</v>
      </c>
      <c r="E1027" s="1">
        <f>Table146[[#This Row],[Time]]-TIME(0,0,1)</f>
        <v>0.49705046296296296</v>
      </c>
      <c r="F1027" t="s">
        <v>9</v>
      </c>
      <c r="G1027">
        <v>-123</v>
      </c>
      <c r="H1027">
        <f>Table146[[#This Row],[RSSI]]</f>
        <v>-123</v>
      </c>
      <c r="I1027">
        <v>-9.3000000000000007</v>
      </c>
      <c r="L1027">
        <f>390+2*(Table257[[#This Row],[min value (corrected)]]-27)</f>
        <v>426</v>
      </c>
      <c r="M1027">
        <f>MINUTE(Table257[[#This Row],[Corrected time]])</f>
        <v>45</v>
      </c>
      <c r="N1027" s="1">
        <v>0.5316939814814815</v>
      </c>
      <c r="O1027" s="1">
        <f>Table257[[#This Row],[Time]]-TIME(0,0,3)</f>
        <v>0.53165925925925928</v>
      </c>
      <c r="P1027" t="s">
        <v>9</v>
      </c>
      <c r="Q1027">
        <v>-122</v>
      </c>
      <c r="R1027">
        <f>Table257[[#This Row],[RSSI]]</f>
        <v>-122</v>
      </c>
      <c r="S1027">
        <v>-9.3000000000000007</v>
      </c>
    </row>
    <row r="1028" spans="2:19" x14ac:dyDescent="0.25">
      <c r="B1028">
        <f>390+2*(Table146[[#This Row],[min value (corrected)]]-37)</f>
        <v>426</v>
      </c>
      <c r="C1028">
        <f>MINUTE(Table146[[#This Row],[Corrected time]])</f>
        <v>55</v>
      </c>
      <c r="D1028" s="1">
        <v>0.49707505787037043</v>
      </c>
      <c r="E1028" s="1">
        <f>Table146[[#This Row],[Time]]-TIME(0,0,1)</f>
        <v>0.49706348379629633</v>
      </c>
      <c r="F1028" t="s">
        <v>9</v>
      </c>
      <c r="G1028">
        <v>-122</v>
      </c>
      <c r="H1028">
        <f>Table146[[#This Row],[RSSI]]</f>
        <v>-122</v>
      </c>
      <c r="I1028">
        <v>-8.5</v>
      </c>
      <c r="L1028">
        <f>390+2*(Table257[[#This Row],[min value (corrected)]]-27)</f>
        <v>426</v>
      </c>
      <c r="M1028">
        <f>MINUTE(Table257[[#This Row],[Corrected time]])</f>
        <v>45</v>
      </c>
      <c r="N1028" s="1">
        <v>0.53170701388888886</v>
      </c>
      <c r="O1028" s="1">
        <f>Table257[[#This Row],[Time]]-TIME(0,0,3)</f>
        <v>0.53167229166666663</v>
      </c>
      <c r="P1028" t="s">
        <v>13</v>
      </c>
      <c r="Q1028">
        <f>Q1027</f>
        <v>-122</v>
      </c>
      <c r="R1028">
        <f>Table257[[#This Row],[RSSI]]</f>
        <v>-122</v>
      </c>
      <c r="S1028">
        <f>S1027</f>
        <v>-9.3000000000000007</v>
      </c>
    </row>
    <row r="1029" spans="2:19" x14ac:dyDescent="0.25">
      <c r="B1029">
        <f>390+2*(Table146[[#This Row],[min value (corrected)]]-37)</f>
        <v>426</v>
      </c>
      <c r="C1029">
        <f>MINUTE(Table146[[#This Row],[Corrected time]])</f>
        <v>55</v>
      </c>
      <c r="D1029" s="1">
        <v>0.49708809027777778</v>
      </c>
      <c r="E1029" s="1">
        <f>Table146[[#This Row],[Time]]-TIME(0,0,1)</f>
        <v>0.49707651620370369</v>
      </c>
      <c r="F1029" t="s">
        <v>9</v>
      </c>
      <c r="G1029">
        <v>-123</v>
      </c>
      <c r="H1029">
        <f>Table146[[#This Row],[RSSI]]</f>
        <v>-123</v>
      </c>
      <c r="I1029">
        <v>-8.8000000000000007</v>
      </c>
      <c r="L1029">
        <f>390+2*(Table257[[#This Row],[min value (corrected)]]-27)</f>
        <v>426</v>
      </c>
      <c r="M1029">
        <f>MINUTE(Table257[[#This Row],[Corrected time]])</f>
        <v>45</v>
      </c>
      <c r="N1029" s="1">
        <v>0.53172003472222218</v>
      </c>
      <c r="O1029" s="1">
        <f>Table257[[#This Row],[Time]]-TIME(0,0,3)</f>
        <v>0.53168531249999995</v>
      </c>
      <c r="P1029" t="s">
        <v>9</v>
      </c>
      <c r="Q1029">
        <v>-122</v>
      </c>
      <c r="R1029">
        <f>Table257[[#This Row],[RSSI]]</f>
        <v>-122</v>
      </c>
      <c r="S1029">
        <v>-8.5</v>
      </c>
    </row>
    <row r="1030" spans="2:19" x14ac:dyDescent="0.25">
      <c r="B1030">
        <f>390+2*(Table146[[#This Row],[min value (corrected)]]-37)</f>
        <v>426</v>
      </c>
      <c r="C1030">
        <f>MINUTE(Table146[[#This Row],[Corrected time]])</f>
        <v>55</v>
      </c>
      <c r="D1030" s="1">
        <v>0.49710113425925928</v>
      </c>
      <c r="E1030" s="1">
        <f>Table146[[#This Row],[Time]]-TIME(0,0,1)</f>
        <v>0.49708956018518519</v>
      </c>
      <c r="F1030" t="s">
        <v>9</v>
      </c>
      <c r="G1030">
        <v>-122</v>
      </c>
      <c r="H1030">
        <f>Table146[[#This Row],[RSSI]]</f>
        <v>-122</v>
      </c>
      <c r="I1030">
        <v>-7.7</v>
      </c>
      <c r="L1030">
        <f>390+2*(Table257[[#This Row],[min value (corrected)]]-27)</f>
        <v>426</v>
      </c>
      <c r="M1030">
        <f>MINUTE(Table257[[#This Row],[Corrected time]])</f>
        <v>45</v>
      </c>
      <c r="N1030" s="1">
        <v>0.53173307870370368</v>
      </c>
      <c r="O1030" s="1">
        <f>Table257[[#This Row],[Time]]-TIME(0,0,3)</f>
        <v>0.53169835648148145</v>
      </c>
      <c r="P1030" t="s">
        <v>9</v>
      </c>
      <c r="Q1030">
        <v>-122</v>
      </c>
      <c r="R1030">
        <f>Table257[[#This Row],[RSSI]]</f>
        <v>-122</v>
      </c>
      <c r="S1030">
        <v>-8.3000000000000007</v>
      </c>
    </row>
    <row r="1031" spans="2:19" x14ac:dyDescent="0.25">
      <c r="B1031">
        <f>390+2*(Table146[[#This Row],[min value (corrected)]]-37)</f>
        <v>426</v>
      </c>
      <c r="C1031">
        <f>MINUTE(Table146[[#This Row],[Corrected time]])</f>
        <v>55</v>
      </c>
      <c r="D1031" s="1">
        <v>0.49711416666666663</v>
      </c>
      <c r="E1031" s="1">
        <f>Table146[[#This Row],[Time]]-TIME(0,0,1)</f>
        <v>0.49710259259259254</v>
      </c>
      <c r="F1031" t="s">
        <v>9</v>
      </c>
      <c r="G1031">
        <v>-122</v>
      </c>
      <c r="H1031">
        <f>Table146[[#This Row],[RSSI]]</f>
        <v>-122</v>
      </c>
      <c r="I1031">
        <v>-9</v>
      </c>
      <c r="L1031">
        <f>390+2*(Table257[[#This Row],[min value (corrected)]]-27)</f>
        <v>426</v>
      </c>
      <c r="M1031">
        <f>MINUTE(Table257[[#This Row],[Corrected time]])</f>
        <v>45</v>
      </c>
      <c r="N1031" s="1">
        <v>0.53174611111111114</v>
      </c>
      <c r="O1031" s="1">
        <f>Table257[[#This Row],[Time]]-TIME(0,0,3)</f>
        <v>0.53171138888888891</v>
      </c>
      <c r="P1031" t="s">
        <v>9</v>
      </c>
      <c r="Q1031">
        <v>-122</v>
      </c>
      <c r="R1031">
        <f>Table257[[#This Row],[RSSI]]</f>
        <v>-122</v>
      </c>
      <c r="S1031">
        <v>-9</v>
      </c>
    </row>
    <row r="1032" spans="2:19" x14ac:dyDescent="0.25">
      <c r="B1032">
        <f>390+2*(Table146[[#This Row],[min value (corrected)]]-37)</f>
        <v>426</v>
      </c>
      <c r="C1032">
        <f>MINUTE(Table146[[#This Row],[Corrected time]])</f>
        <v>55</v>
      </c>
      <c r="D1032" s="1">
        <v>0.4971271990740741</v>
      </c>
      <c r="E1032" s="1">
        <f>Table146[[#This Row],[Time]]-TIME(0,0,1)</f>
        <v>0.49711562500000001</v>
      </c>
      <c r="F1032" t="s">
        <v>9</v>
      </c>
      <c r="G1032">
        <v>-122</v>
      </c>
      <c r="H1032">
        <f>Table146[[#This Row],[RSSI]]</f>
        <v>-122</v>
      </c>
      <c r="I1032">
        <v>-8.5</v>
      </c>
      <c r="L1032">
        <f>390+2*(Table257[[#This Row],[min value (corrected)]]-27)</f>
        <v>426</v>
      </c>
      <c r="M1032">
        <f>MINUTE(Table257[[#This Row],[Corrected time]])</f>
        <v>45</v>
      </c>
      <c r="N1032" s="1">
        <v>0.5317591435185185</v>
      </c>
      <c r="O1032" s="1">
        <f>Table257[[#This Row],[Time]]-TIME(0,0,3)</f>
        <v>0.53172442129629627</v>
      </c>
      <c r="P1032" t="s">
        <v>13</v>
      </c>
      <c r="Q1032">
        <f>Q1031</f>
        <v>-122</v>
      </c>
      <c r="R1032">
        <f>Table257[[#This Row],[RSSI]]</f>
        <v>-122</v>
      </c>
      <c r="S1032">
        <f>S1031</f>
        <v>-9</v>
      </c>
    </row>
    <row r="1033" spans="2:19" x14ac:dyDescent="0.25">
      <c r="B1033">
        <f>390+2*(Table146[[#This Row],[min value (corrected)]]-37)</f>
        <v>426</v>
      </c>
      <c r="C1033">
        <f>MINUTE(Table146[[#This Row],[Corrected time]])</f>
        <v>55</v>
      </c>
      <c r="D1033" s="1">
        <v>0.49714023148148145</v>
      </c>
      <c r="E1033" s="1">
        <f>Table146[[#This Row],[Time]]-TIME(0,0,1)</f>
        <v>0.49712865740740736</v>
      </c>
      <c r="F1033" t="s">
        <v>9</v>
      </c>
      <c r="G1033">
        <v>-123</v>
      </c>
      <c r="H1033">
        <f>Table146[[#This Row],[RSSI]]</f>
        <v>-123</v>
      </c>
      <c r="I1033">
        <v>-9.5</v>
      </c>
      <c r="L1033">
        <f>390+2*(Table257[[#This Row],[min value (corrected)]]-27)</f>
        <v>426</v>
      </c>
      <c r="M1033">
        <f>MINUTE(Table257[[#This Row],[Corrected time]])</f>
        <v>45</v>
      </c>
      <c r="N1033" s="1">
        <v>0.53177216435185182</v>
      </c>
      <c r="O1033" s="1">
        <f>Table257[[#This Row],[Time]]-TIME(0,0,3)</f>
        <v>0.53173744212962959</v>
      </c>
      <c r="P1033" t="s">
        <v>9</v>
      </c>
      <c r="Q1033">
        <v>-122</v>
      </c>
      <c r="R1033">
        <f>Table257[[#This Row],[RSSI]]</f>
        <v>-122</v>
      </c>
      <c r="S1033">
        <v>-9</v>
      </c>
    </row>
    <row r="1034" spans="2:19" x14ac:dyDescent="0.25">
      <c r="B1034">
        <f>390+2*(Table146[[#This Row],[min value (corrected)]]-37)</f>
        <v>426</v>
      </c>
      <c r="C1034">
        <f>MINUTE(Table146[[#This Row],[Corrected time]])</f>
        <v>55</v>
      </c>
      <c r="D1034" s="1">
        <v>0.49715326388888892</v>
      </c>
      <c r="E1034" s="1">
        <f>Table146[[#This Row],[Time]]-TIME(0,0,1)</f>
        <v>0.49714168981481482</v>
      </c>
      <c r="F1034" t="s">
        <v>9</v>
      </c>
      <c r="G1034">
        <v>-123</v>
      </c>
      <c r="H1034">
        <f>Table146[[#This Row],[RSSI]]</f>
        <v>-123</v>
      </c>
      <c r="I1034">
        <v>-9</v>
      </c>
      <c r="L1034">
        <f>390+2*(Table257[[#This Row],[min value (corrected)]]-27)</f>
        <v>426</v>
      </c>
      <c r="M1034">
        <f>MINUTE(Table257[[#This Row],[Corrected time]])</f>
        <v>45</v>
      </c>
      <c r="N1034" s="1">
        <v>0.53178520833333331</v>
      </c>
      <c r="O1034" s="1">
        <f>Table257[[#This Row],[Time]]-TIME(0,0,3)</f>
        <v>0.53175048611111109</v>
      </c>
      <c r="P1034" t="s">
        <v>27</v>
      </c>
      <c r="Q1034">
        <f>Q1033</f>
        <v>-122</v>
      </c>
      <c r="R1034">
        <f>Table257[[#This Row],[RSSI]]</f>
        <v>-122</v>
      </c>
      <c r="S1034">
        <f>S1033</f>
        <v>-9</v>
      </c>
    </row>
    <row r="1035" spans="2:19" x14ac:dyDescent="0.25">
      <c r="B1035">
        <f>390+2*(Table146[[#This Row],[min value (corrected)]]-37)</f>
        <v>426</v>
      </c>
      <c r="C1035">
        <f>MINUTE(Table146[[#This Row],[Corrected time]])</f>
        <v>55</v>
      </c>
      <c r="D1035" s="1">
        <v>0.49716628472222224</v>
      </c>
      <c r="E1035" s="1">
        <f>Table146[[#This Row],[Time]]-TIME(0,0,1)</f>
        <v>0.49715471064814815</v>
      </c>
      <c r="F1035" t="s">
        <v>9</v>
      </c>
      <c r="G1035">
        <v>-123</v>
      </c>
      <c r="H1035">
        <f>Table146[[#This Row],[RSSI]]</f>
        <v>-123</v>
      </c>
      <c r="I1035">
        <v>-9</v>
      </c>
      <c r="L1035">
        <f>390+2*(Table257[[#This Row],[min value (corrected)]]-27)</f>
        <v>426</v>
      </c>
      <c r="M1035">
        <f>MINUTE(Table257[[#This Row],[Corrected time]])</f>
        <v>45</v>
      </c>
      <c r="N1035" s="1">
        <v>0.53179822916666664</v>
      </c>
      <c r="O1035" s="1">
        <f>Table257[[#This Row],[Time]]-TIME(0,0,3)</f>
        <v>0.53176350694444441</v>
      </c>
      <c r="P1035" t="s">
        <v>9</v>
      </c>
      <c r="Q1035">
        <v>-122</v>
      </c>
      <c r="R1035">
        <f>Table257[[#This Row],[RSSI]]</f>
        <v>-122</v>
      </c>
      <c r="S1035">
        <v>-8.8000000000000007</v>
      </c>
    </row>
    <row r="1036" spans="2:19" x14ac:dyDescent="0.25">
      <c r="B1036">
        <f>390+2*(Table146[[#This Row],[min value (corrected)]]-37)</f>
        <v>426</v>
      </c>
      <c r="C1036">
        <f>MINUTE(Table146[[#This Row],[Corrected time]])</f>
        <v>55</v>
      </c>
      <c r="D1036" s="1">
        <v>0.49717932870370374</v>
      </c>
      <c r="E1036" s="1">
        <f>Table146[[#This Row],[Time]]-TIME(0,0,1)</f>
        <v>0.49716775462962964</v>
      </c>
      <c r="F1036" t="s">
        <v>9</v>
      </c>
      <c r="G1036">
        <v>-122</v>
      </c>
      <c r="H1036">
        <f>Table146[[#This Row],[RSSI]]</f>
        <v>-122</v>
      </c>
      <c r="I1036">
        <v>-8.8000000000000007</v>
      </c>
      <c r="L1036">
        <f>390+2*(Table257[[#This Row],[min value (corrected)]]-27)</f>
        <v>426</v>
      </c>
      <c r="M1036">
        <f>MINUTE(Table257[[#This Row],[Corrected time]])</f>
        <v>45</v>
      </c>
      <c r="N1036" s="1">
        <v>0.53181124999999996</v>
      </c>
      <c r="O1036" s="1">
        <f>Table257[[#This Row],[Time]]-TIME(0,0,3)</f>
        <v>0.53177652777777773</v>
      </c>
      <c r="P1036" t="s">
        <v>9</v>
      </c>
      <c r="Q1036">
        <v>-122</v>
      </c>
      <c r="R1036">
        <f>Table257[[#This Row],[RSSI]]</f>
        <v>-122</v>
      </c>
      <c r="S1036">
        <v>-9</v>
      </c>
    </row>
    <row r="1037" spans="2:19" x14ac:dyDescent="0.25">
      <c r="B1037">
        <f>390+2*(Table146[[#This Row],[min value (corrected)]]-37)</f>
        <v>426</v>
      </c>
      <c r="C1037">
        <f>MINUTE(Table146[[#This Row],[Corrected time]])</f>
        <v>55</v>
      </c>
      <c r="D1037" s="1">
        <v>0.49719234953703706</v>
      </c>
      <c r="E1037" s="1">
        <f>Table146[[#This Row],[Time]]-TIME(0,0,1)</f>
        <v>0.49718077546296296</v>
      </c>
      <c r="F1037" t="s">
        <v>9</v>
      </c>
      <c r="G1037">
        <v>-122</v>
      </c>
      <c r="H1037">
        <f>Table146[[#This Row],[RSSI]]</f>
        <v>-122</v>
      </c>
      <c r="I1037">
        <v>-7.7</v>
      </c>
      <c r="L1037">
        <f>390+2*(Table257[[#This Row],[min value (corrected)]]-27)</f>
        <v>426</v>
      </c>
      <c r="M1037">
        <f>MINUTE(Table257[[#This Row],[Corrected time]])</f>
        <v>45</v>
      </c>
      <c r="N1037" s="1">
        <v>0.5318243055555556</v>
      </c>
      <c r="O1037" s="1">
        <f>Table257[[#This Row],[Time]]-TIME(0,0,3)</f>
        <v>0.53178958333333337</v>
      </c>
      <c r="P1037" t="s">
        <v>13</v>
      </c>
      <c r="Q1037">
        <f>Q1036</f>
        <v>-122</v>
      </c>
      <c r="R1037">
        <f>Table257[[#This Row],[RSSI]]</f>
        <v>-122</v>
      </c>
      <c r="S1037">
        <f>S1036</f>
        <v>-9</v>
      </c>
    </row>
    <row r="1038" spans="2:19" x14ac:dyDescent="0.25">
      <c r="B1038">
        <f>390+2*(Table146[[#This Row],[min value (corrected)]]-37)</f>
        <v>426</v>
      </c>
      <c r="C1038">
        <f>MINUTE(Table146[[#This Row],[Corrected time]])</f>
        <v>55</v>
      </c>
      <c r="D1038" s="1">
        <v>0.49720539351851856</v>
      </c>
      <c r="E1038" s="1">
        <f>Table146[[#This Row],[Time]]-TIME(0,0,1)</f>
        <v>0.49719381944444446</v>
      </c>
      <c r="F1038" t="s">
        <v>9</v>
      </c>
      <c r="G1038">
        <v>-123</v>
      </c>
      <c r="H1038">
        <f>Table146[[#This Row],[RSSI]]</f>
        <v>-123</v>
      </c>
      <c r="I1038">
        <v>-9.3000000000000007</v>
      </c>
      <c r="L1038">
        <f>390+2*(Table257[[#This Row],[min value (corrected)]]-27)</f>
        <v>426</v>
      </c>
      <c r="M1038">
        <f>MINUTE(Table257[[#This Row],[Corrected time]])</f>
        <v>45</v>
      </c>
      <c r="N1038" s="1">
        <v>0.53183733796296295</v>
      </c>
      <c r="O1038" s="1">
        <f>Table257[[#This Row],[Time]]-TIME(0,0,3)</f>
        <v>0.53180261574074073</v>
      </c>
      <c r="P1038" t="s">
        <v>9</v>
      </c>
      <c r="Q1038">
        <v>-123</v>
      </c>
      <c r="R1038">
        <f>Table257[[#This Row],[RSSI]]</f>
        <v>-123</v>
      </c>
      <c r="S1038">
        <v>-9</v>
      </c>
    </row>
    <row r="1039" spans="2:19" x14ac:dyDescent="0.25">
      <c r="B1039">
        <f>390+2*(Table146[[#This Row],[min value (corrected)]]-37)</f>
        <v>426</v>
      </c>
      <c r="C1039">
        <f>MINUTE(Table146[[#This Row],[Corrected time]])</f>
        <v>55</v>
      </c>
      <c r="D1039" s="1">
        <v>0.49721841435185188</v>
      </c>
      <c r="E1039" s="1">
        <f>Table146[[#This Row],[Time]]-TIME(0,0,1)</f>
        <v>0.49720684027777778</v>
      </c>
      <c r="F1039" t="s">
        <v>9</v>
      </c>
      <c r="G1039">
        <v>-123</v>
      </c>
      <c r="H1039">
        <f>Table146[[#This Row],[RSSI]]</f>
        <v>-123</v>
      </c>
      <c r="I1039">
        <v>-9</v>
      </c>
      <c r="L1039">
        <f>390+2*(Table257[[#This Row],[min value (corrected)]]-27)</f>
        <v>426</v>
      </c>
      <c r="M1039">
        <f>MINUTE(Table257[[#This Row],[Corrected time]])</f>
        <v>45</v>
      </c>
      <c r="N1039" s="1">
        <v>0.53185037037037042</v>
      </c>
      <c r="O1039" s="1">
        <f>Table257[[#This Row],[Time]]-TIME(0,0,3)</f>
        <v>0.53181564814814819</v>
      </c>
      <c r="P1039" t="s">
        <v>9</v>
      </c>
      <c r="Q1039">
        <v>-122</v>
      </c>
      <c r="R1039">
        <f>Table257[[#This Row],[RSSI]]</f>
        <v>-122</v>
      </c>
      <c r="S1039">
        <v>-8.3000000000000007</v>
      </c>
    </row>
    <row r="1040" spans="2:19" x14ac:dyDescent="0.25">
      <c r="B1040">
        <f>390+2*(Table146[[#This Row],[min value (corrected)]]-37)</f>
        <v>428</v>
      </c>
      <c r="C1040">
        <f>MINUTE(Table146[[#This Row],[Corrected time]])</f>
        <v>56</v>
      </c>
      <c r="D1040" s="1">
        <v>0.49723145833333338</v>
      </c>
      <c r="E1040" s="1">
        <f>Table146[[#This Row],[Time]]-TIME(0,0,1)</f>
        <v>0.49721988425925928</v>
      </c>
      <c r="F1040" t="s">
        <v>9</v>
      </c>
      <c r="G1040">
        <v>-123</v>
      </c>
      <c r="H1040">
        <f>Table146[[#This Row],[RSSI]]</f>
        <v>-123</v>
      </c>
      <c r="I1040">
        <v>-9</v>
      </c>
      <c r="L1040">
        <f>390+2*(Table257[[#This Row],[min value (corrected)]]-27)</f>
        <v>426</v>
      </c>
      <c r="M1040">
        <f>MINUTE(Table257[[#This Row],[Corrected time]])</f>
        <v>45</v>
      </c>
      <c r="N1040" s="1">
        <v>0.53186340277777777</v>
      </c>
      <c r="O1040" s="1">
        <f>Table257[[#This Row],[Time]]-TIME(0,0,3)</f>
        <v>0.53182868055555554</v>
      </c>
      <c r="P1040" t="s">
        <v>9</v>
      </c>
      <c r="Q1040">
        <v>-122</v>
      </c>
      <c r="R1040">
        <f>Table257[[#This Row],[RSSI]]</f>
        <v>-122</v>
      </c>
      <c r="S1040">
        <v>-8.8000000000000007</v>
      </c>
    </row>
    <row r="1041" spans="2:19" x14ac:dyDescent="0.25">
      <c r="B1041">
        <f>390+2*(Table146[[#This Row],[min value (corrected)]]-37)</f>
        <v>428</v>
      </c>
      <c r="C1041">
        <f>MINUTE(Table146[[#This Row],[Corrected time]])</f>
        <v>56</v>
      </c>
      <c r="D1041" s="1">
        <v>0.4972444791666667</v>
      </c>
      <c r="E1041" s="1">
        <f>Table146[[#This Row],[Time]]-TIME(0,0,1)</f>
        <v>0.4972329050925926</v>
      </c>
      <c r="F1041" t="s">
        <v>13</v>
      </c>
      <c r="G1041">
        <f t="shared" ref="G1041:G1048" si="117">G1040</f>
        <v>-123</v>
      </c>
      <c r="H1041">
        <f>Table146[[#This Row],[RSSI]]</f>
        <v>-123</v>
      </c>
      <c r="I1041">
        <f t="shared" ref="I1041:I1048" si="118">I1040</f>
        <v>-9</v>
      </c>
      <c r="L1041">
        <f>390+2*(Table257[[#This Row],[min value (corrected)]]-27)</f>
        <v>426</v>
      </c>
      <c r="M1041">
        <f>MINUTE(Table257[[#This Row],[Corrected time]])</f>
        <v>45</v>
      </c>
      <c r="N1041" s="1">
        <v>0.53187643518518524</v>
      </c>
      <c r="O1041" s="1">
        <f>Table257[[#This Row],[Time]]-TIME(0,0,3)</f>
        <v>0.53184171296296301</v>
      </c>
      <c r="P1041" t="s">
        <v>13</v>
      </c>
      <c r="Q1041">
        <f>Q1040</f>
        <v>-122</v>
      </c>
      <c r="R1041">
        <f>Table257[[#This Row],[RSSI]]</f>
        <v>-122</v>
      </c>
      <c r="S1041">
        <f>S1040</f>
        <v>-8.8000000000000007</v>
      </c>
    </row>
    <row r="1042" spans="2:19" x14ac:dyDescent="0.25">
      <c r="B1042">
        <f>390+2*(Table146[[#This Row],[min value (corrected)]]-37)</f>
        <v>428</v>
      </c>
      <c r="C1042">
        <f>MINUTE(Table146[[#This Row],[Corrected time]])</f>
        <v>56</v>
      </c>
      <c r="D1042" s="1">
        <v>0.49725752314814819</v>
      </c>
      <c r="E1042" s="1">
        <f>Table146[[#This Row],[Time]]-TIME(0,0,1)</f>
        <v>0.4972459490740741</v>
      </c>
      <c r="F1042" t="s">
        <v>13</v>
      </c>
      <c r="G1042">
        <f t="shared" si="117"/>
        <v>-123</v>
      </c>
      <c r="H1042">
        <f>Table146[[#This Row],[RSSI]]</f>
        <v>-123</v>
      </c>
      <c r="I1042">
        <f t="shared" si="118"/>
        <v>-9</v>
      </c>
      <c r="L1042">
        <f>390+2*(Table257[[#This Row],[min value (corrected)]]-27)</f>
        <v>426</v>
      </c>
      <c r="M1042">
        <f>MINUTE(Table257[[#This Row],[Corrected time]])</f>
        <v>45</v>
      </c>
      <c r="N1042" s="1">
        <v>0.53188945601851856</v>
      </c>
      <c r="O1042" s="1">
        <f>Table257[[#This Row],[Time]]-TIME(0,0,3)</f>
        <v>0.53185473379629633</v>
      </c>
      <c r="P1042" t="s">
        <v>9</v>
      </c>
      <c r="Q1042">
        <v>-123</v>
      </c>
      <c r="R1042">
        <f>Table257[[#This Row],[RSSI]]</f>
        <v>-123</v>
      </c>
      <c r="S1042">
        <v>-9.3000000000000007</v>
      </c>
    </row>
    <row r="1043" spans="2:19" x14ac:dyDescent="0.25">
      <c r="B1043">
        <f>390+2*(Table146[[#This Row],[min value (corrected)]]-37)</f>
        <v>428</v>
      </c>
      <c r="C1043">
        <f>MINUTE(Table146[[#This Row],[Corrected time]])</f>
        <v>56</v>
      </c>
      <c r="D1043" s="1">
        <v>0.49727055555555555</v>
      </c>
      <c r="E1043" s="1">
        <f>Table146[[#This Row],[Time]]-TIME(0,0,1)</f>
        <v>0.49725898148148145</v>
      </c>
      <c r="F1043" t="s">
        <v>13</v>
      </c>
      <c r="G1043">
        <f t="shared" si="117"/>
        <v>-123</v>
      </c>
      <c r="H1043">
        <f>Table146[[#This Row],[RSSI]]</f>
        <v>-123</v>
      </c>
      <c r="I1043">
        <f t="shared" si="118"/>
        <v>-9</v>
      </c>
      <c r="L1043">
        <f>390+2*(Table257[[#This Row],[min value (corrected)]]-27)</f>
        <v>426</v>
      </c>
      <c r="M1043">
        <f>MINUTE(Table257[[#This Row],[Corrected time]])</f>
        <v>45</v>
      </c>
      <c r="N1043" s="1">
        <v>0.53190249999999994</v>
      </c>
      <c r="O1043" s="1">
        <f>Table257[[#This Row],[Time]]-TIME(0,0,3)</f>
        <v>0.53186777777777772</v>
      </c>
      <c r="P1043" t="s">
        <v>9</v>
      </c>
      <c r="Q1043">
        <v>-122</v>
      </c>
      <c r="R1043">
        <f>Table257[[#This Row],[RSSI]]</f>
        <v>-122</v>
      </c>
      <c r="S1043">
        <v>-9</v>
      </c>
    </row>
    <row r="1044" spans="2:19" x14ac:dyDescent="0.25">
      <c r="B1044">
        <f>390+2*(Table146[[#This Row],[min value (corrected)]]-37)</f>
        <v>428</v>
      </c>
      <c r="C1044">
        <f>MINUTE(Table146[[#This Row],[Corrected time]])</f>
        <v>56</v>
      </c>
      <c r="D1044" s="1">
        <v>0.49728358796296301</v>
      </c>
      <c r="E1044" s="1">
        <f>Table146[[#This Row],[Time]]-TIME(0,0,1)</f>
        <v>0.49727201388888892</v>
      </c>
      <c r="F1044" t="s">
        <v>13</v>
      </c>
      <c r="G1044">
        <f t="shared" si="117"/>
        <v>-123</v>
      </c>
      <c r="H1044">
        <f>Table146[[#This Row],[RSSI]]</f>
        <v>-123</v>
      </c>
      <c r="I1044">
        <f t="shared" si="118"/>
        <v>-9</v>
      </c>
      <c r="L1044">
        <f>390+2*(Table257[[#This Row],[min value (corrected)]]-27)</f>
        <v>426</v>
      </c>
      <c r="M1044">
        <f>MINUTE(Table257[[#This Row],[Corrected time]])</f>
        <v>45</v>
      </c>
      <c r="N1044" s="1">
        <v>0.53191553240740741</v>
      </c>
      <c r="O1044" s="1">
        <f>Table257[[#This Row],[Time]]-TIME(0,0,3)</f>
        <v>0.53188081018518518</v>
      </c>
      <c r="P1044" t="s">
        <v>9</v>
      </c>
      <c r="Q1044">
        <v>-122</v>
      </c>
      <c r="R1044">
        <f>Table257[[#This Row],[RSSI]]</f>
        <v>-122</v>
      </c>
      <c r="S1044">
        <v>-8.3000000000000007</v>
      </c>
    </row>
    <row r="1045" spans="2:19" x14ac:dyDescent="0.25">
      <c r="B1045">
        <f>390+2*(Table146[[#This Row],[min value (corrected)]]-37)</f>
        <v>428</v>
      </c>
      <c r="C1045">
        <f>MINUTE(Table146[[#This Row],[Corrected time]])</f>
        <v>56</v>
      </c>
      <c r="D1045" s="1">
        <v>0.49729662037037037</v>
      </c>
      <c r="E1045" s="1">
        <f>Table146[[#This Row],[Time]]-TIME(0,0,1)</f>
        <v>0.49728504629629627</v>
      </c>
      <c r="F1045" t="s">
        <v>27</v>
      </c>
      <c r="G1045">
        <f t="shared" si="117"/>
        <v>-123</v>
      </c>
      <c r="H1045">
        <f>Table146[[#This Row],[RSSI]]</f>
        <v>-123</v>
      </c>
      <c r="I1045">
        <f t="shared" si="118"/>
        <v>-9</v>
      </c>
      <c r="L1045">
        <f>390+2*(Table257[[#This Row],[min value (corrected)]]-27)</f>
        <v>426</v>
      </c>
      <c r="M1045">
        <f>MINUTE(Table257[[#This Row],[Corrected time]])</f>
        <v>45</v>
      </c>
      <c r="N1045" s="1">
        <v>0.53192856481481476</v>
      </c>
      <c r="O1045" s="1">
        <f>Table257[[#This Row],[Time]]-TIME(0,0,3)</f>
        <v>0.53189384259259254</v>
      </c>
      <c r="P1045" t="s">
        <v>9</v>
      </c>
      <c r="Q1045">
        <v>-122</v>
      </c>
      <c r="R1045">
        <f>Table257[[#This Row],[RSSI]]</f>
        <v>-122</v>
      </c>
      <c r="S1045">
        <v>-8</v>
      </c>
    </row>
    <row r="1046" spans="2:19" x14ac:dyDescent="0.25">
      <c r="B1046">
        <f>390+2*(Table146[[#This Row],[min value (corrected)]]-37)</f>
        <v>428</v>
      </c>
      <c r="C1046">
        <f>MINUTE(Table146[[#This Row],[Corrected time]])</f>
        <v>56</v>
      </c>
      <c r="D1046" s="1">
        <v>0.49730965277777772</v>
      </c>
      <c r="E1046" s="1">
        <f>Table146[[#This Row],[Time]]-TIME(0,0,1)</f>
        <v>0.49729807870370363</v>
      </c>
      <c r="F1046" t="s">
        <v>13</v>
      </c>
      <c r="G1046">
        <f t="shared" si="117"/>
        <v>-123</v>
      </c>
      <c r="H1046">
        <f>Table146[[#This Row],[RSSI]]</f>
        <v>-123</v>
      </c>
      <c r="I1046">
        <f t="shared" si="118"/>
        <v>-9</v>
      </c>
      <c r="L1046">
        <f>390+2*(Table257[[#This Row],[min value (corrected)]]-27)</f>
        <v>426</v>
      </c>
      <c r="M1046">
        <f>MINUTE(Table257[[#This Row],[Corrected time]])</f>
        <v>45</v>
      </c>
      <c r="N1046" s="1">
        <v>0.53194159722222223</v>
      </c>
      <c r="O1046" s="1">
        <f>Table257[[#This Row],[Time]]-TIME(0,0,3)</f>
        <v>0.531906875</v>
      </c>
      <c r="P1046" t="s">
        <v>13</v>
      </c>
      <c r="Q1046">
        <f>Q1045</f>
        <v>-122</v>
      </c>
      <c r="R1046">
        <f>Table257[[#This Row],[RSSI]]</f>
        <v>-122</v>
      </c>
      <c r="S1046">
        <f>S1045</f>
        <v>-8</v>
      </c>
    </row>
    <row r="1047" spans="2:19" x14ac:dyDescent="0.25">
      <c r="B1047">
        <f>390+2*(Table146[[#This Row],[min value (corrected)]]-37)</f>
        <v>428</v>
      </c>
      <c r="C1047">
        <f>MINUTE(Table146[[#This Row],[Corrected time]])</f>
        <v>56</v>
      </c>
      <c r="D1047" s="1">
        <v>0.49732267361111104</v>
      </c>
      <c r="E1047" s="1">
        <f>Table146[[#This Row],[Time]]-TIME(0,0,1)</f>
        <v>0.49731109953703695</v>
      </c>
      <c r="F1047" t="s">
        <v>13</v>
      </c>
      <c r="G1047">
        <f t="shared" si="117"/>
        <v>-123</v>
      </c>
      <c r="H1047">
        <f>Table146[[#This Row],[RSSI]]</f>
        <v>-123</v>
      </c>
      <c r="I1047">
        <f t="shared" si="118"/>
        <v>-9</v>
      </c>
      <c r="L1047">
        <f>390+2*(Table257[[#This Row],[min value (corrected)]]-27)</f>
        <v>426</v>
      </c>
      <c r="M1047">
        <f>MINUTE(Table257[[#This Row],[Corrected time]])</f>
        <v>45</v>
      </c>
      <c r="N1047" s="1">
        <v>0.53195462962962958</v>
      </c>
      <c r="O1047" s="1">
        <f>Table257[[#This Row],[Time]]-TIME(0,0,3)</f>
        <v>0.53191990740740736</v>
      </c>
      <c r="P1047" t="s">
        <v>9</v>
      </c>
      <c r="Q1047">
        <v>-119</v>
      </c>
      <c r="R1047">
        <f>Table257[[#This Row],[RSSI]]</f>
        <v>-119</v>
      </c>
      <c r="S1047">
        <v>-8.3000000000000007</v>
      </c>
    </row>
    <row r="1048" spans="2:19" x14ac:dyDescent="0.25">
      <c r="B1048">
        <f>390+2*(Table146[[#This Row],[min value (corrected)]]-37)</f>
        <v>428</v>
      </c>
      <c r="C1048">
        <f>MINUTE(Table146[[#This Row],[Corrected time]])</f>
        <v>56</v>
      </c>
      <c r="D1048" s="1">
        <v>0.49733571759259254</v>
      </c>
      <c r="E1048" s="1">
        <f>Table146[[#This Row],[Time]]-TIME(0,0,1)</f>
        <v>0.49732414351851845</v>
      </c>
      <c r="F1048" t="s">
        <v>13</v>
      </c>
      <c r="G1048">
        <f t="shared" si="117"/>
        <v>-123</v>
      </c>
      <c r="H1048">
        <f>Table146[[#This Row],[RSSI]]</f>
        <v>-123</v>
      </c>
      <c r="I1048">
        <f t="shared" si="118"/>
        <v>-9</v>
      </c>
      <c r="L1048">
        <f>390+2*(Table257[[#This Row],[min value (corrected)]]-27)</f>
        <v>426</v>
      </c>
      <c r="M1048">
        <f>MINUTE(Table257[[#This Row],[Corrected time]])</f>
        <v>45</v>
      </c>
      <c r="N1048" s="1">
        <v>0.5319676504629629</v>
      </c>
      <c r="O1048" s="1">
        <f>Table257[[#This Row],[Time]]-TIME(0,0,3)</f>
        <v>0.53193292824074068</v>
      </c>
      <c r="P1048" t="s">
        <v>9</v>
      </c>
      <c r="Q1048">
        <v>-123</v>
      </c>
      <c r="R1048">
        <f>Table257[[#This Row],[RSSI]]</f>
        <v>-123</v>
      </c>
      <c r="S1048">
        <v>-9</v>
      </c>
    </row>
    <row r="1049" spans="2:19" x14ac:dyDescent="0.25">
      <c r="B1049">
        <f>390+2*(Table146[[#This Row],[min value (corrected)]]-37)</f>
        <v>428</v>
      </c>
      <c r="C1049">
        <f>MINUTE(Table146[[#This Row],[Corrected time]])</f>
        <v>56</v>
      </c>
      <c r="D1049" s="1">
        <v>0.49734875000000001</v>
      </c>
      <c r="E1049" s="1">
        <f>Table146[[#This Row],[Time]]-TIME(0,0,1)</f>
        <v>0.49733717592592591</v>
      </c>
      <c r="F1049" t="s">
        <v>9</v>
      </c>
      <c r="G1049">
        <v>-122</v>
      </c>
      <c r="H1049">
        <f>Table146[[#This Row],[RSSI]]</f>
        <v>-122</v>
      </c>
      <c r="I1049">
        <v>-8.8000000000000007</v>
      </c>
      <c r="L1049">
        <f>390+2*(Table257[[#This Row],[min value (corrected)]]-27)</f>
        <v>428</v>
      </c>
      <c r="M1049">
        <f>MINUTE(Table257[[#This Row],[Corrected time]])</f>
        <v>46</v>
      </c>
      <c r="N1049" s="1">
        <v>0.5319806944444444</v>
      </c>
      <c r="O1049" s="1">
        <f>Table257[[#This Row],[Time]]-TIME(0,0,3)</f>
        <v>0.53194597222222217</v>
      </c>
      <c r="P1049" t="s">
        <v>13</v>
      </c>
      <c r="Q1049">
        <f>Q1048</f>
        <v>-123</v>
      </c>
      <c r="R1049">
        <f>Table257[[#This Row],[RSSI]]</f>
        <v>-123</v>
      </c>
      <c r="S1049">
        <f>S1048</f>
        <v>-9</v>
      </c>
    </row>
    <row r="1050" spans="2:19" x14ac:dyDescent="0.25">
      <c r="B1050">
        <f>390+2*(Table146[[#This Row],[min value (corrected)]]-37)</f>
        <v>428</v>
      </c>
      <c r="C1050">
        <f>MINUTE(Table146[[#This Row],[Corrected time]])</f>
        <v>56</v>
      </c>
      <c r="D1050" s="1">
        <v>0.49736178240740736</v>
      </c>
      <c r="E1050" s="1">
        <f>Table146[[#This Row],[Time]]-TIME(0,0,1)</f>
        <v>0.49735020833333327</v>
      </c>
      <c r="F1050" t="s">
        <v>9</v>
      </c>
      <c r="G1050">
        <v>-124</v>
      </c>
      <c r="H1050">
        <f>Table146[[#This Row],[RSSI]]</f>
        <v>-124</v>
      </c>
      <c r="I1050">
        <v>-9.8000000000000007</v>
      </c>
      <c r="L1050">
        <f>390+2*(Table257[[#This Row],[min value (corrected)]]-27)</f>
        <v>428</v>
      </c>
      <c r="M1050">
        <f>MINUTE(Table257[[#This Row],[Corrected time]])</f>
        <v>46</v>
      </c>
      <c r="N1050" s="1">
        <v>0.53199372685185187</v>
      </c>
      <c r="O1050" s="1">
        <f>Table257[[#This Row],[Time]]-TIME(0,0,3)</f>
        <v>0.53195900462962964</v>
      </c>
      <c r="P1050" t="s">
        <v>9</v>
      </c>
      <c r="Q1050">
        <v>-121</v>
      </c>
      <c r="R1050">
        <f>Table257[[#This Row],[RSSI]]</f>
        <v>-121</v>
      </c>
      <c r="S1050">
        <v>-8.3000000000000007</v>
      </c>
    </row>
    <row r="1051" spans="2:19" x14ac:dyDescent="0.25">
      <c r="B1051">
        <f>390+2*(Table146[[#This Row],[min value (corrected)]]-37)</f>
        <v>428</v>
      </c>
      <c r="C1051">
        <f>MINUTE(Table146[[#This Row],[Corrected time]])</f>
        <v>56</v>
      </c>
      <c r="D1051" s="1">
        <v>0.49737481481481483</v>
      </c>
      <c r="E1051" s="1">
        <f>Table146[[#This Row],[Time]]-TIME(0,0,1)</f>
        <v>0.49736324074074073</v>
      </c>
      <c r="F1051" t="s">
        <v>13</v>
      </c>
      <c r="G1051">
        <f>G1050</f>
        <v>-124</v>
      </c>
      <c r="H1051">
        <f>Table146[[#This Row],[RSSI]]</f>
        <v>-124</v>
      </c>
      <c r="I1051">
        <f>I1050</f>
        <v>-9.8000000000000007</v>
      </c>
      <c r="L1051">
        <f>390+2*(Table257[[#This Row],[min value (corrected)]]-27)</f>
        <v>428</v>
      </c>
      <c r="M1051">
        <f>MINUTE(Table257[[#This Row],[Corrected time]])</f>
        <v>46</v>
      </c>
      <c r="N1051" s="1">
        <v>0.53200675925925922</v>
      </c>
      <c r="O1051" s="1">
        <f>Table257[[#This Row],[Time]]-TIME(0,0,3)</f>
        <v>0.53197203703703699</v>
      </c>
      <c r="P1051" t="s">
        <v>9</v>
      </c>
      <c r="Q1051">
        <v>-122</v>
      </c>
      <c r="R1051">
        <f>Table257[[#This Row],[RSSI]]</f>
        <v>-122</v>
      </c>
      <c r="S1051">
        <v>-8.8000000000000007</v>
      </c>
    </row>
    <row r="1052" spans="2:19" x14ac:dyDescent="0.25">
      <c r="B1052">
        <f>390+2*(Table146[[#This Row],[min value (corrected)]]-37)</f>
        <v>428</v>
      </c>
      <c r="C1052">
        <f>MINUTE(Table146[[#This Row],[Corrected time]])</f>
        <v>56</v>
      </c>
      <c r="D1052" s="1">
        <v>0.49738784722222218</v>
      </c>
      <c r="E1052" s="1">
        <f>Table146[[#This Row],[Time]]-TIME(0,0,1)</f>
        <v>0.49737627314814808</v>
      </c>
      <c r="F1052" t="s">
        <v>9</v>
      </c>
      <c r="G1052">
        <v>-122</v>
      </c>
      <c r="H1052">
        <f>Table146[[#This Row],[RSSI]]</f>
        <v>-122</v>
      </c>
      <c r="I1052">
        <v>-8.5</v>
      </c>
      <c r="L1052">
        <f>390+2*(Table257[[#This Row],[min value (corrected)]]-27)</f>
        <v>428</v>
      </c>
      <c r="M1052">
        <f>MINUTE(Table257[[#This Row],[Corrected time]])</f>
        <v>46</v>
      </c>
      <c r="N1052" s="1">
        <v>0.53201979166666669</v>
      </c>
      <c r="O1052" s="1">
        <f>Table257[[#This Row],[Time]]-TIME(0,0,3)</f>
        <v>0.53198506944444446</v>
      </c>
      <c r="P1052" t="s">
        <v>9</v>
      </c>
      <c r="Q1052">
        <v>-123</v>
      </c>
      <c r="R1052">
        <f>Table257[[#This Row],[RSSI]]</f>
        <v>-123</v>
      </c>
      <c r="S1052">
        <v>-9.5</v>
      </c>
    </row>
    <row r="1053" spans="2:19" x14ac:dyDescent="0.25">
      <c r="B1053">
        <f>390+2*(Table146[[#This Row],[min value (corrected)]]-37)</f>
        <v>428</v>
      </c>
      <c r="C1053">
        <f>MINUTE(Table146[[#This Row],[Corrected time]])</f>
        <v>56</v>
      </c>
      <c r="D1053" s="1">
        <v>0.49740087962962964</v>
      </c>
      <c r="E1053" s="1">
        <f>Table146[[#This Row],[Time]]-TIME(0,0,1)</f>
        <v>0.49738930555555555</v>
      </c>
      <c r="F1053" t="s">
        <v>9</v>
      </c>
      <c r="G1053">
        <v>-122</v>
      </c>
      <c r="H1053">
        <f>Table146[[#This Row],[RSSI]]</f>
        <v>-122</v>
      </c>
      <c r="I1053">
        <v>-8.3000000000000007</v>
      </c>
      <c r="L1053">
        <f>390+2*(Table257[[#This Row],[min value (corrected)]]-27)</f>
        <v>428</v>
      </c>
      <c r="M1053">
        <f>MINUTE(Table257[[#This Row],[Corrected time]])</f>
        <v>46</v>
      </c>
      <c r="N1053" s="1">
        <v>0.53203282407407404</v>
      </c>
      <c r="O1053" s="1">
        <f>Table257[[#This Row],[Time]]-TIME(0,0,3)</f>
        <v>0.53199810185185181</v>
      </c>
      <c r="P1053" t="s">
        <v>13</v>
      </c>
      <c r="Q1053">
        <f t="shared" ref="Q1053:Q1055" si="119">Q1052</f>
        <v>-123</v>
      </c>
      <c r="R1053">
        <f>Table257[[#This Row],[RSSI]]</f>
        <v>-123</v>
      </c>
      <c r="S1053">
        <f t="shared" ref="S1053:S1055" si="120">S1052</f>
        <v>-9.5</v>
      </c>
    </row>
    <row r="1054" spans="2:19" x14ac:dyDescent="0.25">
      <c r="B1054">
        <f>390+2*(Table146[[#This Row],[min value (corrected)]]-37)</f>
        <v>428</v>
      </c>
      <c r="C1054">
        <f>MINUTE(Table146[[#This Row],[Corrected time]])</f>
        <v>56</v>
      </c>
      <c r="D1054" s="1">
        <v>0.49741390046296297</v>
      </c>
      <c r="E1054" s="1">
        <f>Table146[[#This Row],[Time]]-TIME(0,0,1)</f>
        <v>0.49740232638888887</v>
      </c>
      <c r="F1054" t="s">
        <v>9</v>
      </c>
      <c r="G1054">
        <v>-123</v>
      </c>
      <c r="H1054">
        <f>Table146[[#This Row],[RSSI]]</f>
        <v>-123</v>
      </c>
      <c r="I1054">
        <v>-9</v>
      </c>
      <c r="L1054">
        <f>390+2*(Table257[[#This Row],[min value (corrected)]]-27)</f>
        <v>428</v>
      </c>
      <c r="M1054">
        <f>MINUTE(Table257[[#This Row],[Corrected time]])</f>
        <v>46</v>
      </c>
      <c r="N1054" s="1">
        <v>0.53204584490740736</v>
      </c>
      <c r="O1054" s="1">
        <f>Table257[[#This Row],[Time]]-TIME(0,0,3)</f>
        <v>0.53201112268518513</v>
      </c>
      <c r="P1054" t="s">
        <v>13</v>
      </c>
      <c r="Q1054">
        <f t="shared" si="119"/>
        <v>-123</v>
      </c>
      <c r="R1054">
        <f>Table257[[#This Row],[RSSI]]</f>
        <v>-123</v>
      </c>
      <c r="S1054">
        <f t="shared" si="120"/>
        <v>-9.5</v>
      </c>
    </row>
    <row r="1055" spans="2:19" x14ac:dyDescent="0.25">
      <c r="B1055">
        <f>390+2*(Table146[[#This Row],[min value (corrected)]]-37)</f>
        <v>428</v>
      </c>
      <c r="C1055">
        <f>MINUTE(Table146[[#This Row],[Corrected time]])</f>
        <v>56</v>
      </c>
      <c r="D1055" s="1">
        <v>0.49742694444444446</v>
      </c>
      <c r="E1055" s="1">
        <f>Table146[[#This Row],[Time]]-TIME(0,0,1)</f>
        <v>0.49741537037037037</v>
      </c>
      <c r="F1055" t="s">
        <v>9</v>
      </c>
      <c r="G1055">
        <v>-122</v>
      </c>
      <c r="H1055">
        <f>Table146[[#This Row],[RSSI]]</f>
        <v>-122</v>
      </c>
      <c r="I1055">
        <v>-8.5</v>
      </c>
      <c r="L1055">
        <f>390+2*(Table257[[#This Row],[min value (corrected)]]-27)</f>
        <v>428</v>
      </c>
      <c r="M1055">
        <f>MINUTE(Table257[[#This Row],[Corrected time]])</f>
        <v>46</v>
      </c>
      <c r="N1055" s="1">
        <v>0.53205888888888886</v>
      </c>
      <c r="O1055" s="1">
        <f>Table257[[#This Row],[Time]]-TIME(0,0,3)</f>
        <v>0.53202416666666663</v>
      </c>
      <c r="P1055" t="s">
        <v>13</v>
      </c>
      <c r="Q1055">
        <f t="shared" si="119"/>
        <v>-123</v>
      </c>
      <c r="R1055">
        <f>Table257[[#This Row],[RSSI]]</f>
        <v>-123</v>
      </c>
      <c r="S1055">
        <f t="shared" si="120"/>
        <v>-9.5</v>
      </c>
    </row>
    <row r="1056" spans="2:19" x14ac:dyDescent="0.25">
      <c r="B1056">
        <f>390+2*(Table146[[#This Row],[min value (corrected)]]-37)</f>
        <v>428</v>
      </c>
      <c r="C1056">
        <f>MINUTE(Table146[[#This Row],[Corrected time]])</f>
        <v>56</v>
      </c>
      <c r="D1056" s="1">
        <v>0.49743997685185182</v>
      </c>
      <c r="E1056" s="1">
        <f>Table146[[#This Row],[Time]]-TIME(0,0,1)</f>
        <v>0.49742840277777772</v>
      </c>
      <c r="F1056" t="s">
        <v>9</v>
      </c>
      <c r="G1056">
        <v>-122</v>
      </c>
      <c r="H1056">
        <f>Table146[[#This Row],[RSSI]]</f>
        <v>-122</v>
      </c>
      <c r="I1056">
        <v>-8.5</v>
      </c>
      <c r="L1056">
        <f>390+2*(Table257[[#This Row],[min value (corrected)]]-27)</f>
        <v>428</v>
      </c>
      <c r="M1056">
        <f>MINUTE(Table257[[#This Row],[Corrected time]])</f>
        <v>46</v>
      </c>
      <c r="N1056" s="1">
        <v>0.53207192129629632</v>
      </c>
      <c r="O1056" s="1">
        <f>Table257[[#This Row],[Time]]-TIME(0,0,3)</f>
        <v>0.5320371990740741</v>
      </c>
      <c r="P1056" t="s">
        <v>9</v>
      </c>
      <c r="Q1056">
        <v>-122</v>
      </c>
      <c r="R1056">
        <f>Table257[[#This Row],[RSSI]]</f>
        <v>-122</v>
      </c>
      <c r="S1056">
        <v>-8.8000000000000007</v>
      </c>
    </row>
    <row r="1057" spans="2:19" x14ac:dyDescent="0.25">
      <c r="B1057">
        <f>390+2*(Table146[[#This Row],[min value (corrected)]]-37)</f>
        <v>428</v>
      </c>
      <c r="C1057">
        <f>MINUTE(Table146[[#This Row],[Corrected time]])</f>
        <v>56</v>
      </c>
      <c r="D1057" s="1">
        <v>0.49745300925925928</v>
      </c>
      <c r="E1057" s="1">
        <f>Table146[[#This Row],[Time]]-TIME(0,0,1)</f>
        <v>0.49744143518518519</v>
      </c>
      <c r="F1057" t="s">
        <v>9</v>
      </c>
      <c r="G1057">
        <v>-122</v>
      </c>
      <c r="H1057">
        <f>Table146[[#This Row],[RSSI]]</f>
        <v>-122</v>
      </c>
      <c r="I1057">
        <v>-8.5</v>
      </c>
      <c r="L1057">
        <f>390+2*(Table257[[#This Row],[min value (corrected)]]-27)</f>
        <v>428</v>
      </c>
      <c r="M1057">
        <f>MINUTE(Table257[[#This Row],[Corrected time]])</f>
        <v>46</v>
      </c>
      <c r="N1057" s="1">
        <v>0.53208495370370368</v>
      </c>
      <c r="O1057" s="1">
        <f>Table257[[#This Row],[Time]]-TIME(0,0,3)</f>
        <v>0.53205023148148145</v>
      </c>
      <c r="P1057" t="s">
        <v>13</v>
      </c>
      <c r="Q1057">
        <f>Q1056</f>
        <v>-122</v>
      </c>
      <c r="R1057">
        <f>Table257[[#This Row],[RSSI]]</f>
        <v>-122</v>
      </c>
      <c r="S1057">
        <f>S1056</f>
        <v>-8.8000000000000007</v>
      </c>
    </row>
    <row r="1058" spans="2:19" x14ac:dyDescent="0.25">
      <c r="B1058">
        <f>390+2*(Table146[[#This Row],[min value (corrected)]]-37)</f>
        <v>428</v>
      </c>
      <c r="C1058">
        <f>MINUTE(Table146[[#This Row],[Corrected time]])</f>
        <v>56</v>
      </c>
      <c r="D1058" s="1">
        <v>0.49746604166666664</v>
      </c>
      <c r="E1058" s="1">
        <f>Table146[[#This Row],[Time]]-TIME(0,0,1)</f>
        <v>0.49745446759259254</v>
      </c>
      <c r="F1058" t="s">
        <v>13</v>
      </c>
      <c r="G1058">
        <f>G1057</f>
        <v>-122</v>
      </c>
      <c r="H1058">
        <f>Table146[[#This Row],[RSSI]]</f>
        <v>-122</v>
      </c>
      <c r="I1058">
        <f>I1057</f>
        <v>-8.5</v>
      </c>
      <c r="L1058">
        <f>390+2*(Table257[[#This Row],[min value (corrected)]]-27)</f>
        <v>428</v>
      </c>
      <c r="M1058">
        <f>MINUTE(Table257[[#This Row],[Corrected time]])</f>
        <v>46</v>
      </c>
      <c r="N1058" s="1">
        <v>0.53209798611111114</v>
      </c>
      <c r="O1058" s="1">
        <f>Table257[[#This Row],[Time]]-TIME(0,0,3)</f>
        <v>0.53206326388888892</v>
      </c>
      <c r="P1058" t="s">
        <v>9</v>
      </c>
      <c r="Q1058">
        <v>-122</v>
      </c>
      <c r="R1058">
        <f>Table257[[#This Row],[RSSI]]</f>
        <v>-122</v>
      </c>
      <c r="S1058">
        <v>-8.5</v>
      </c>
    </row>
    <row r="1059" spans="2:19" x14ac:dyDescent="0.25">
      <c r="B1059">
        <f>390+2*(Table146[[#This Row],[min value (corrected)]]-37)</f>
        <v>428</v>
      </c>
      <c r="C1059">
        <f>MINUTE(Table146[[#This Row],[Corrected time]])</f>
        <v>56</v>
      </c>
      <c r="D1059" s="1">
        <v>0.4974790740740741</v>
      </c>
      <c r="E1059" s="1">
        <f>Table146[[#This Row],[Time]]-TIME(0,0,1)</f>
        <v>0.49746750000000001</v>
      </c>
      <c r="F1059" t="s">
        <v>9</v>
      </c>
      <c r="G1059">
        <v>-122</v>
      </c>
      <c r="H1059">
        <f>Table146[[#This Row],[RSSI]]</f>
        <v>-122</v>
      </c>
      <c r="I1059">
        <v>-8.8000000000000007</v>
      </c>
      <c r="L1059">
        <f>390+2*(Table257[[#This Row],[min value (corrected)]]-27)</f>
        <v>428</v>
      </c>
      <c r="M1059">
        <f>MINUTE(Table257[[#This Row],[Corrected time]])</f>
        <v>46</v>
      </c>
      <c r="N1059" s="1">
        <v>0.53211100694444446</v>
      </c>
      <c r="O1059" s="1">
        <f>Table257[[#This Row],[Time]]-TIME(0,0,3)</f>
        <v>0.53207628472222224</v>
      </c>
      <c r="P1059" t="s">
        <v>13</v>
      </c>
      <c r="Q1059">
        <f>Q1058</f>
        <v>-122</v>
      </c>
      <c r="R1059">
        <f>Table257[[#This Row],[RSSI]]</f>
        <v>-122</v>
      </c>
      <c r="S1059">
        <f>S1058</f>
        <v>-8.5</v>
      </c>
    </row>
    <row r="1060" spans="2:19" x14ac:dyDescent="0.25">
      <c r="B1060">
        <f>390+2*(Table146[[#This Row],[min value (corrected)]]-37)</f>
        <v>428</v>
      </c>
      <c r="C1060">
        <f>MINUTE(Table146[[#This Row],[Corrected time]])</f>
        <v>56</v>
      </c>
      <c r="D1060" s="1">
        <v>0.49749210648148146</v>
      </c>
      <c r="E1060" s="1">
        <f>Table146[[#This Row],[Time]]-TIME(0,0,1)</f>
        <v>0.49748053240740736</v>
      </c>
      <c r="F1060" t="s">
        <v>9</v>
      </c>
      <c r="G1060">
        <v>-123</v>
      </c>
      <c r="H1060">
        <f>Table146[[#This Row],[RSSI]]</f>
        <v>-123</v>
      </c>
      <c r="I1060">
        <v>-9.3000000000000007</v>
      </c>
      <c r="L1060">
        <f>390+2*(Table257[[#This Row],[min value (corrected)]]-27)</f>
        <v>428</v>
      </c>
      <c r="M1060">
        <f>MINUTE(Table257[[#This Row],[Corrected time]])</f>
        <v>46</v>
      </c>
      <c r="N1060" s="1">
        <v>0.53212405092592585</v>
      </c>
      <c r="O1060" s="1">
        <f>Table257[[#This Row],[Time]]-TIME(0,0,3)</f>
        <v>0.53208932870370362</v>
      </c>
      <c r="P1060" t="s">
        <v>9</v>
      </c>
      <c r="Q1060">
        <v>-123</v>
      </c>
      <c r="R1060">
        <f>Table257[[#This Row],[RSSI]]</f>
        <v>-123</v>
      </c>
      <c r="S1060">
        <v>-9.5</v>
      </c>
    </row>
    <row r="1061" spans="2:19" x14ac:dyDescent="0.25">
      <c r="B1061">
        <f>390+2*(Table146[[#This Row],[min value (corrected)]]-37)</f>
        <v>428</v>
      </c>
      <c r="C1061">
        <f>MINUTE(Table146[[#This Row],[Corrected time]])</f>
        <v>56</v>
      </c>
      <c r="D1061" s="1">
        <v>0.49750513888888892</v>
      </c>
      <c r="E1061" s="1">
        <f>Table146[[#This Row],[Time]]-TIME(0,0,1)</f>
        <v>0.49749356481481483</v>
      </c>
      <c r="F1061" t="s">
        <v>9</v>
      </c>
      <c r="G1061">
        <v>-122</v>
      </c>
      <c r="H1061">
        <f>Table146[[#This Row],[RSSI]]</f>
        <v>-122</v>
      </c>
      <c r="I1061">
        <v>-8.5</v>
      </c>
      <c r="L1061">
        <f>390+2*(Table257[[#This Row],[min value (corrected)]]-27)</f>
        <v>428</v>
      </c>
      <c r="M1061">
        <f>MINUTE(Table257[[#This Row],[Corrected time]])</f>
        <v>46</v>
      </c>
      <c r="N1061" s="1">
        <v>0.53213708333333332</v>
      </c>
      <c r="O1061" s="1">
        <f>Table257[[#This Row],[Time]]-TIME(0,0,3)</f>
        <v>0.53210236111111109</v>
      </c>
      <c r="P1061" t="s">
        <v>9</v>
      </c>
      <c r="Q1061">
        <v>-122</v>
      </c>
      <c r="R1061">
        <f>Table257[[#This Row],[RSSI]]</f>
        <v>-122</v>
      </c>
      <c r="S1061">
        <v>-8.5</v>
      </c>
    </row>
    <row r="1062" spans="2:19" x14ac:dyDescent="0.25">
      <c r="B1062">
        <f>390+2*(Table146[[#This Row],[min value (corrected)]]-37)</f>
        <v>428</v>
      </c>
      <c r="C1062">
        <f>MINUTE(Table146[[#This Row],[Corrected time]])</f>
        <v>56</v>
      </c>
      <c r="D1062" s="1">
        <v>0.49751817129629627</v>
      </c>
      <c r="E1062" s="1">
        <f>Table146[[#This Row],[Time]]-TIME(0,0,1)</f>
        <v>0.49750659722222218</v>
      </c>
      <c r="F1062" t="s">
        <v>9</v>
      </c>
      <c r="G1062">
        <v>-123</v>
      </c>
      <c r="H1062">
        <f>Table146[[#This Row],[RSSI]]</f>
        <v>-123</v>
      </c>
      <c r="I1062">
        <v>-9.5</v>
      </c>
      <c r="L1062">
        <f>390+2*(Table257[[#This Row],[min value (corrected)]]-27)</f>
        <v>428</v>
      </c>
      <c r="M1062">
        <f>MINUTE(Table257[[#This Row],[Corrected time]])</f>
        <v>46</v>
      </c>
      <c r="N1062" s="1">
        <v>0.53215011574074067</v>
      </c>
      <c r="O1062" s="1">
        <f>Table257[[#This Row],[Time]]-TIME(0,0,3)</f>
        <v>0.53211539351851844</v>
      </c>
      <c r="P1062" t="s">
        <v>9</v>
      </c>
      <c r="Q1062">
        <v>-122</v>
      </c>
      <c r="R1062">
        <f>Table257[[#This Row],[RSSI]]</f>
        <v>-122</v>
      </c>
      <c r="S1062">
        <v>-8.5</v>
      </c>
    </row>
    <row r="1063" spans="2:19" x14ac:dyDescent="0.25">
      <c r="B1063">
        <f>390+2*(Table146[[#This Row],[min value (corrected)]]-37)</f>
        <v>428</v>
      </c>
      <c r="C1063">
        <f>MINUTE(Table146[[#This Row],[Corrected time]])</f>
        <v>56</v>
      </c>
      <c r="D1063" s="1">
        <v>0.49753120370370374</v>
      </c>
      <c r="E1063" s="1">
        <f>Table146[[#This Row],[Time]]-TIME(0,0,1)</f>
        <v>0.49751962962962964</v>
      </c>
      <c r="F1063" t="s">
        <v>9</v>
      </c>
      <c r="G1063">
        <v>-122</v>
      </c>
      <c r="H1063">
        <f>Table146[[#This Row],[RSSI]]</f>
        <v>-122</v>
      </c>
      <c r="I1063">
        <v>-9</v>
      </c>
      <c r="L1063">
        <f>390+2*(Table257[[#This Row],[min value (corrected)]]-27)</f>
        <v>428</v>
      </c>
      <c r="M1063">
        <f>MINUTE(Table257[[#This Row],[Corrected time]])</f>
        <v>46</v>
      </c>
      <c r="N1063" s="1">
        <v>0.53216314814814814</v>
      </c>
      <c r="O1063" s="1">
        <f>Table257[[#This Row],[Time]]-TIME(0,0,3)</f>
        <v>0.53212842592592591</v>
      </c>
      <c r="P1063" t="s">
        <v>9</v>
      </c>
      <c r="Q1063">
        <v>-122</v>
      </c>
      <c r="R1063">
        <f>Table257[[#This Row],[RSSI]]</f>
        <v>-122</v>
      </c>
      <c r="S1063">
        <v>-8.8000000000000007</v>
      </c>
    </row>
    <row r="1064" spans="2:19" x14ac:dyDescent="0.25">
      <c r="B1064">
        <f>390+2*(Table146[[#This Row],[min value (corrected)]]-37)</f>
        <v>428</v>
      </c>
      <c r="C1064">
        <f>MINUTE(Table146[[#This Row],[Corrected time]])</f>
        <v>56</v>
      </c>
      <c r="D1064" s="1">
        <v>0.49754423611111109</v>
      </c>
      <c r="E1064" s="1">
        <f>Table146[[#This Row],[Time]]-TIME(0,0,1)</f>
        <v>0.497532662037037</v>
      </c>
      <c r="F1064" t="s">
        <v>9</v>
      </c>
      <c r="G1064">
        <v>-123</v>
      </c>
      <c r="H1064">
        <f>Table146[[#This Row],[RSSI]]</f>
        <v>-123</v>
      </c>
      <c r="I1064">
        <v>-9</v>
      </c>
      <c r="L1064">
        <f>390+2*(Table257[[#This Row],[min value (corrected)]]-27)</f>
        <v>428</v>
      </c>
      <c r="M1064">
        <f>MINUTE(Table257[[#This Row],[Corrected time]])</f>
        <v>46</v>
      </c>
      <c r="N1064" s="1">
        <v>0.53217618055555549</v>
      </c>
      <c r="O1064" s="1">
        <f>Table257[[#This Row],[Time]]-TIME(0,0,3)</f>
        <v>0.53214145833333326</v>
      </c>
      <c r="P1064" t="s">
        <v>9</v>
      </c>
      <c r="Q1064">
        <v>-123</v>
      </c>
      <c r="R1064">
        <f>Table257[[#This Row],[RSSI]]</f>
        <v>-123</v>
      </c>
      <c r="S1064">
        <v>-9</v>
      </c>
    </row>
    <row r="1065" spans="2:19" x14ac:dyDescent="0.25">
      <c r="B1065">
        <f>390+2*(Table146[[#This Row],[min value (corrected)]]-37)</f>
        <v>428</v>
      </c>
      <c r="C1065">
        <f>MINUTE(Table146[[#This Row],[Corrected time]])</f>
        <v>56</v>
      </c>
      <c r="D1065" s="1">
        <v>0.4975572685185185</v>
      </c>
      <c r="E1065" s="1">
        <f>Table146[[#This Row],[Time]]-TIME(0,0,1)</f>
        <v>0.49754569444444441</v>
      </c>
      <c r="F1065" t="s">
        <v>9</v>
      </c>
      <c r="G1065">
        <v>-123</v>
      </c>
      <c r="H1065">
        <f>Table146[[#This Row],[RSSI]]</f>
        <v>-123</v>
      </c>
      <c r="I1065">
        <v>-9.3000000000000007</v>
      </c>
      <c r="L1065">
        <f>390+2*(Table257[[#This Row],[min value (corrected)]]-27)</f>
        <v>428</v>
      </c>
      <c r="M1065">
        <f>MINUTE(Table257[[#This Row],[Corrected time]])</f>
        <v>46</v>
      </c>
      <c r="N1065" s="1">
        <v>0.53218920138888881</v>
      </c>
      <c r="O1065" s="1">
        <f>Table257[[#This Row],[Time]]-TIME(0,0,3)</f>
        <v>0.53215447916666658</v>
      </c>
      <c r="P1065" t="s">
        <v>13</v>
      </c>
      <c r="Q1065">
        <f>Q1064</f>
        <v>-123</v>
      </c>
      <c r="R1065">
        <f>Table257[[#This Row],[RSSI]]</f>
        <v>-123</v>
      </c>
      <c r="S1065">
        <f>S1064</f>
        <v>-9</v>
      </c>
    </row>
    <row r="1066" spans="2:19" x14ac:dyDescent="0.25">
      <c r="B1066">
        <f>390+2*(Table146[[#This Row],[min value (corrected)]]-37)</f>
        <v>428</v>
      </c>
      <c r="C1066">
        <f>MINUTE(Table146[[#This Row],[Corrected time]])</f>
        <v>56</v>
      </c>
      <c r="D1066" s="1">
        <v>0.49757030092592591</v>
      </c>
      <c r="E1066" s="1">
        <f>Table146[[#This Row],[Time]]-TIME(0,0,1)</f>
        <v>0.49755872685185182</v>
      </c>
      <c r="F1066" t="s">
        <v>9</v>
      </c>
      <c r="G1066">
        <v>-122</v>
      </c>
      <c r="H1066">
        <f>Table146[[#This Row],[RSSI]]</f>
        <v>-122</v>
      </c>
      <c r="I1066">
        <v>-8.5</v>
      </c>
      <c r="L1066">
        <f>390+2*(Table257[[#This Row],[min value (corrected)]]-27)</f>
        <v>428</v>
      </c>
      <c r="M1066">
        <f>MINUTE(Table257[[#This Row],[Corrected time]])</f>
        <v>46</v>
      </c>
      <c r="N1066" s="1">
        <v>0.53220224537037031</v>
      </c>
      <c r="O1066" s="1">
        <f>Table257[[#This Row],[Time]]-TIME(0,0,3)</f>
        <v>0.53216752314814808</v>
      </c>
      <c r="P1066" t="s">
        <v>9</v>
      </c>
      <c r="Q1066">
        <v>-122</v>
      </c>
      <c r="R1066">
        <f>Table257[[#This Row],[RSSI]]</f>
        <v>-122</v>
      </c>
      <c r="S1066">
        <v>-8.5</v>
      </c>
    </row>
    <row r="1067" spans="2:19" x14ac:dyDescent="0.25">
      <c r="B1067">
        <f>390+2*(Table146[[#This Row],[min value (corrected)]]-37)</f>
        <v>428</v>
      </c>
      <c r="C1067">
        <f>MINUTE(Table146[[#This Row],[Corrected time]])</f>
        <v>56</v>
      </c>
      <c r="D1067" s="1">
        <v>0.49758333333333332</v>
      </c>
      <c r="E1067" s="1">
        <f>Table146[[#This Row],[Time]]-TIME(0,0,1)</f>
        <v>0.49757175925925923</v>
      </c>
      <c r="F1067" t="s">
        <v>13</v>
      </c>
      <c r="G1067">
        <f t="shared" ref="G1067:G1069" si="121">G1066</f>
        <v>-122</v>
      </c>
      <c r="H1067">
        <f>Table146[[#This Row],[RSSI]]</f>
        <v>-122</v>
      </c>
      <c r="I1067">
        <f t="shared" ref="I1067:I1069" si="122">I1066</f>
        <v>-8.5</v>
      </c>
      <c r="L1067">
        <f>390+2*(Table257[[#This Row],[min value (corrected)]]-27)</f>
        <v>428</v>
      </c>
      <c r="M1067">
        <f>MINUTE(Table257[[#This Row],[Corrected time]])</f>
        <v>46</v>
      </c>
      <c r="N1067" s="1">
        <v>0.53221527777777777</v>
      </c>
      <c r="O1067" s="1">
        <f>Table257[[#This Row],[Time]]-TIME(0,0,3)</f>
        <v>0.53218055555555555</v>
      </c>
      <c r="P1067" t="s">
        <v>13</v>
      </c>
      <c r="Q1067">
        <f>Q1066</f>
        <v>-122</v>
      </c>
      <c r="R1067">
        <f>Table257[[#This Row],[RSSI]]</f>
        <v>-122</v>
      </c>
      <c r="S1067">
        <f>S1066</f>
        <v>-8.5</v>
      </c>
    </row>
    <row r="1068" spans="2:19" x14ac:dyDescent="0.25">
      <c r="B1068">
        <f>390+2*(Table146[[#This Row],[min value (corrected)]]-37)</f>
        <v>428</v>
      </c>
      <c r="C1068">
        <f>MINUTE(Table146[[#This Row],[Corrected time]])</f>
        <v>56</v>
      </c>
      <c r="D1068" s="1">
        <v>0.49759636574074073</v>
      </c>
      <c r="E1068" s="1">
        <f>Table146[[#This Row],[Time]]-TIME(0,0,1)</f>
        <v>0.49758479166666664</v>
      </c>
      <c r="F1068" t="s">
        <v>13</v>
      </c>
      <c r="G1068">
        <f t="shared" si="121"/>
        <v>-122</v>
      </c>
      <c r="H1068">
        <f>Table146[[#This Row],[RSSI]]</f>
        <v>-122</v>
      </c>
      <c r="I1068">
        <f t="shared" si="122"/>
        <v>-8.5</v>
      </c>
      <c r="L1068">
        <f>390+2*(Table257[[#This Row],[min value (corrected)]]-27)</f>
        <v>428</v>
      </c>
      <c r="M1068">
        <f>MINUTE(Table257[[#This Row],[Corrected time]])</f>
        <v>46</v>
      </c>
      <c r="N1068" s="1">
        <v>0.53222831018518513</v>
      </c>
      <c r="O1068" s="1">
        <f>Table257[[#This Row],[Time]]-TIME(0,0,3)</f>
        <v>0.5321935879629629</v>
      </c>
      <c r="P1068" t="s">
        <v>9</v>
      </c>
      <c r="Q1068">
        <v>-122</v>
      </c>
      <c r="R1068">
        <f>Table257[[#This Row],[RSSI]]</f>
        <v>-122</v>
      </c>
      <c r="S1068">
        <v>-8.3000000000000007</v>
      </c>
    </row>
    <row r="1069" spans="2:19" x14ac:dyDescent="0.25">
      <c r="B1069">
        <f>390+2*(Table146[[#This Row],[min value (corrected)]]-37)</f>
        <v>428</v>
      </c>
      <c r="C1069">
        <f>MINUTE(Table146[[#This Row],[Corrected time]])</f>
        <v>56</v>
      </c>
      <c r="D1069" s="1">
        <v>0.49760939814814814</v>
      </c>
      <c r="E1069" s="1">
        <f>Table146[[#This Row],[Time]]-TIME(0,0,1)</f>
        <v>0.49759782407407405</v>
      </c>
      <c r="F1069" t="s">
        <v>13</v>
      </c>
      <c r="G1069">
        <f t="shared" si="121"/>
        <v>-122</v>
      </c>
      <c r="H1069">
        <f>Table146[[#This Row],[RSSI]]</f>
        <v>-122</v>
      </c>
      <c r="I1069">
        <f t="shared" si="122"/>
        <v>-8.5</v>
      </c>
      <c r="L1069">
        <f>390+2*(Table257[[#This Row],[min value (corrected)]]-27)</f>
        <v>428</v>
      </c>
      <c r="M1069">
        <f>MINUTE(Table257[[#This Row],[Corrected time]])</f>
        <v>46</v>
      </c>
      <c r="N1069" s="1">
        <v>0.53224134259259259</v>
      </c>
      <c r="O1069" s="1">
        <f>Table257[[#This Row],[Time]]-TIME(0,0,3)</f>
        <v>0.53220662037037036</v>
      </c>
      <c r="P1069" t="s">
        <v>9</v>
      </c>
      <c r="Q1069">
        <v>-122</v>
      </c>
      <c r="R1069">
        <f>Table257[[#This Row],[RSSI]]</f>
        <v>-122</v>
      </c>
      <c r="S1069">
        <v>-8.5</v>
      </c>
    </row>
    <row r="1070" spans="2:19" x14ac:dyDescent="0.25">
      <c r="B1070">
        <f>390+2*(Table146[[#This Row],[min value (corrected)]]-37)</f>
        <v>428</v>
      </c>
      <c r="C1070">
        <f>MINUTE(Table146[[#This Row],[Corrected time]])</f>
        <v>56</v>
      </c>
      <c r="D1070" s="1">
        <v>0.49762243055555555</v>
      </c>
      <c r="E1070" s="1">
        <f>Table146[[#This Row],[Time]]-TIME(0,0,1)</f>
        <v>0.49761085648148146</v>
      </c>
      <c r="F1070" t="s">
        <v>9</v>
      </c>
      <c r="G1070">
        <v>-122</v>
      </c>
      <c r="H1070">
        <f>Table146[[#This Row],[RSSI]]</f>
        <v>-122</v>
      </c>
      <c r="I1070">
        <v>-8.5</v>
      </c>
      <c r="L1070">
        <f>390+2*(Table257[[#This Row],[min value (corrected)]]-27)</f>
        <v>428</v>
      </c>
      <c r="M1070">
        <f>MINUTE(Table257[[#This Row],[Corrected time]])</f>
        <v>46</v>
      </c>
      <c r="N1070" s="1">
        <v>0.53225436342592591</v>
      </c>
      <c r="O1070" s="1">
        <f>Table257[[#This Row],[Time]]-TIME(0,0,3)</f>
        <v>0.53221964120370369</v>
      </c>
      <c r="P1070" t="s">
        <v>9</v>
      </c>
      <c r="Q1070">
        <v>-123</v>
      </c>
      <c r="R1070">
        <f>Table257[[#This Row],[RSSI]]</f>
        <v>-123</v>
      </c>
      <c r="S1070">
        <v>-9.5</v>
      </c>
    </row>
    <row r="1071" spans="2:19" x14ac:dyDescent="0.25">
      <c r="B1071">
        <f>390+2*(Table146[[#This Row],[min value (corrected)]]-37)</f>
        <v>428</v>
      </c>
      <c r="C1071">
        <f>MINUTE(Table146[[#This Row],[Corrected time]])</f>
        <v>56</v>
      </c>
      <c r="D1071" s="1">
        <v>0.49763546296296296</v>
      </c>
      <c r="E1071" s="1">
        <f>Table146[[#This Row],[Time]]-TIME(0,0,1)</f>
        <v>0.49762388888888887</v>
      </c>
      <c r="F1071" t="s">
        <v>13</v>
      </c>
      <c r="G1071">
        <f>G1070</f>
        <v>-122</v>
      </c>
      <c r="H1071">
        <f>Table146[[#This Row],[RSSI]]</f>
        <v>-122</v>
      </c>
      <c r="I1071">
        <f>I1070</f>
        <v>-8.5</v>
      </c>
      <c r="L1071">
        <f>390+2*(Table257[[#This Row],[min value (corrected)]]-27)</f>
        <v>428</v>
      </c>
      <c r="M1071">
        <f>MINUTE(Table257[[#This Row],[Corrected time]])</f>
        <v>46</v>
      </c>
      <c r="N1071" s="1">
        <v>0.53226739583333327</v>
      </c>
      <c r="O1071" s="1">
        <f>Table257[[#This Row],[Time]]-TIME(0,0,3)</f>
        <v>0.53223267361111104</v>
      </c>
      <c r="P1071" t="s">
        <v>9</v>
      </c>
      <c r="Q1071">
        <v>-122</v>
      </c>
      <c r="R1071">
        <f>Table257[[#This Row],[RSSI]]</f>
        <v>-122</v>
      </c>
      <c r="S1071">
        <v>-8.8000000000000007</v>
      </c>
    </row>
    <row r="1072" spans="2:19" x14ac:dyDescent="0.25">
      <c r="B1072">
        <f>390+2*(Table146[[#This Row],[min value (corrected)]]-37)</f>
        <v>428</v>
      </c>
      <c r="C1072">
        <f>MINUTE(Table146[[#This Row],[Corrected time]])</f>
        <v>56</v>
      </c>
      <c r="D1072" s="1">
        <v>0.49764849537037037</v>
      </c>
      <c r="E1072" s="1">
        <f>Table146[[#This Row],[Time]]-TIME(0,0,1)</f>
        <v>0.49763692129629628</v>
      </c>
      <c r="F1072" t="s">
        <v>9</v>
      </c>
      <c r="G1072">
        <v>-122</v>
      </c>
      <c r="H1072">
        <f>Table146[[#This Row],[RSSI]]</f>
        <v>-122</v>
      </c>
      <c r="I1072">
        <v>-8.3000000000000007</v>
      </c>
      <c r="L1072">
        <f>390+2*(Table257[[#This Row],[min value (corrected)]]-27)</f>
        <v>428</v>
      </c>
      <c r="M1072">
        <f>MINUTE(Table257[[#This Row],[Corrected time]])</f>
        <v>46</v>
      </c>
      <c r="N1072" s="1">
        <v>0.53228042824074073</v>
      </c>
      <c r="O1072" s="1">
        <f>Table257[[#This Row],[Time]]-TIME(0,0,3)</f>
        <v>0.53224570601851851</v>
      </c>
      <c r="P1072" t="s">
        <v>9</v>
      </c>
      <c r="Q1072">
        <v>-122</v>
      </c>
      <c r="R1072">
        <f>Table257[[#This Row],[RSSI]]</f>
        <v>-122</v>
      </c>
      <c r="S1072">
        <v>-9</v>
      </c>
    </row>
    <row r="1073" spans="2:19" x14ac:dyDescent="0.25">
      <c r="B1073">
        <f>390+2*(Table146[[#This Row],[min value (corrected)]]-37)</f>
        <v>428</v>
      </c>
      <c r="C1073">
        <f>MINUTE(Table146[[#This Row],[Corrected time]])</f>
        <v>56</v>
      </c>
      <c r="D1073" s="1">
        <v>0.49766152777777778</v>
      </c>
      <c r="E1073" s="1">
        <f>Table146[[#This Row],[Time]]-TIME(0,0,1)</f>
        <v>0.49764995370370368</v>
      </c>
      <c r="F1073" t="s">
        <v>9</v>
      </c>
      <c r="G1073">
        <v>-122</v>
      </c>
      <c r="H1073">
        <f>Table146[[#This Row],[RSSI]]</f>
        <v>-122</v>
      </c>
      <c r="I1073">
        <v>-8.5</v>
      </c>
      <c r="L1073">
        <f>390+2*(Table257[[#This Row],[min value (corrected)]]-27)</f>
        <v>428</v>
      </c>
      <c r="M1073">
        <f>MINUTE(Table257[[#This Row],[Corrected time]])</f>
        <v>46</v>
      </c>
      <c r="N1073" s="1">
        <v>0.53229347222222223</v>
      </c>
      <c r="O1073" s="1">
        <f>Table257[[#This Row],[Time]]-TIME(0,0,3)</f>
        <v>0.53225875</v>
      </c>
      <c r="P1073" t="s">
        <v>9</v>
      </c>
      <c r="Q1073">
        <v>-122</v>
      </c>
      <c r="R1073">
        <f>Table257[[#This Row],[RSSI]]</f>
        <v>-122</v>
      </c>
      <c r="S1073">
        <v>-8</v>
      </c>
    </row>
    <row r="1074" spans="2:19" x14ac:dyDescent="0.25">
      <c r="B1074">
        <f>390+2*(Table146[[#This Row],[min value (corrected)]]-37)</f>
        <v>428</v>
      </c>
      <c r="C1074">
        <f>MINUTE(Table146[[#This Row],[Corrected time]])</f>
        <v>56</v>
      </c>
      <c r="D1074" s="1">
        <v>0.49767456018518519</v>
      </c>
      <c r="E1074" s="1">
        <f>Table146[[#This Row],[Time]]-TIME(0,0,1)</f>
        <v>0.49766298611111109</v>
      </c>
      <c r="F1074" t="s">
        <v>13</v>
      </c>
      <c r="G1074">
        <f t="shared" ref="G1074:G1075" si="123">G1073</f>
        <v>-122</v>
      </c>
      <c r="H1074">
        <f>Table146[[#This Row],[RSSI]]</f>
        <v>-122</v>
      </c>
      <c r="I1074">
        <f t="shared" ref="I1074:I1075" si="124">I1073</f>
        <v>-8.5</v>
      </c>
      <c r="L1074">
        <f>390+2*(Table257[[#This Row],[min value (corrected)]]-27)</f>
        <v>428</v>
      </c>
      <c r="M1074">
        <f>MINUTE(Table257[[#This Row],[Corrected time]])</f>
        <v>46</v>
      </c>
      <c r="N1074" s="1">
        <v>0.53230648148148152</v>
      </c>
      <c r="O1074" s="1">
        <f>Table257[[#This Row],[Time]]-TIME(0,0,3)</f>
        <v>0.53227175925925929</v>
      </c>
      <c r="P1074" t="s">
        <v>9</v>
      </c>
      <c r="Q1074">
        <v>-121</v>
      </c>
      <c r="R1074">
        <f>Table257[[#This Row],[RSSI]]</f>
        <v>-121</v>
      </c>
      <c r="S1074">
        <v>-7.7</v>
      </c>
    </row>
    <row r="1075" spans="2:19" x14ac:dyDescent="0.25">
      <c r="B1075">
        <f>390+2*(Table146[[#This Row],[min value (corrected)]]-37)</f>
        <v>428</v>
      </c>
      <c r="C1075">
        <f>MINUTE(Table146[[#This Row],[Corrected time]])</f>
        <v>56</v>
      </c>
      <c r="D1075" s="1">
        <v>0.4976875925925926</v>
      </c>
      <c r="E1075" s="1">
        <f>Table146[[#This Row],[Time]]-TIME(0,0,1)</f>
        <v>0.4976760185185185</v>
      </c>
      <c r="F1075" t="s">
        <v>13</v>
      </c>
      <c r="G1075">
        <f t="shared" si="123"/>
        <v>-122</v>
      </c>
      <c r="H1075">
        <f>Table146[[#This Row],[RSSI]]</f>
        <v>-122</v>
      </c>
      <c r="I1075">
        <f t="shared" si="124"/>
        <v>-8.5</v>
      </c>
      <c r="L1075">
        <f>390+2*(Table257[[#This Row],[min value (corrected)]]-27)</f>
        <v>428</v>
      </c>
      <c r="M1075">
        <f>MINUTE(Table257[[#This Row],[Corrected time]])</f>
        <v>46</v>
      </c>
      <c r="N1075" s="1">
        <v>0.53231953703703705</v>
      </c>
      <c r="O1075" s="1">
        <f>Table257[[#This Row],[Time]]-TIME(0,0,3)</f>
        <v>0.53228481481481482</v>
      </c>
      <c r="P1075" t="s">
        <v>9</v>
      </c>
      <c r="Q1075">
        <v>-122</v>
      </c>
      <c r="R1075">
        <f>Table257[[#This Row],[RSSI]]</f>
        <v>-122</v>
      </c>
      <c r="S1075">
        <v>-8.5</v>
      </c>
    </row>
    <row r="1076" spans="2:19" x14ac:dyDescent="0.25">
      <c r="B1076">
        <f>390+2*(Table146[[#This Row],[min value (corrected)]]-37)</f>
        <v>428</v>
      </c>
      <c r="C1076">
        <f>MINUTE(Table146[[#This Row],[Corrected time]])</f>
        <v>56</v>
      </c>
      <c r="D1076" s="1">
        <v>0.49770062500000001</v>
      </c>
      <c r="E1076" s="1">
        <f>Table146[[#This Row],[Time]]-TIME(0,0,1)</f>
        <v>0.49768905092592591</v>
      </c>
      <c r="F1076" t="s">
        <v>9</v>
      </c>
      <c r="G1076">
        <v>-123</v>
      </c>
      <c r="H1076">
        <f>Table146[[#This Row],[RSSI]]</f>
        <v>-123</v>
      </c>
      <c r="I1076">
        <v>-9.3000000000000007</v>
      </c>
      <c r="L1076">
        <f>390+2*(Table257[[#This Row],[min value (corrected)]]-27)</f>
        <v>428</v>
      </c>
      <c r="M1076">
        <f>MINUTE(Table257[[#This Row],[Corrected time]])</f>
        <v>46</v>
      </c>
      <c r="N1076" s="1">
        <v>0.5323325694444444</v>
      </c>
      <c r="O1076" s="1">
        <f>Table257[[#This Row],[Time]]-TIME(0,0,3)</f>
        <v>0.53229784722222218</v>
      </c>
      <c r="P1076" t="s">
        <v>9</v>
      </c>
      <c r="Q1076">
        <v>-122</v>
      </c>
      <c r="R1076">
        <f>Table257[[#This Row],[RSSI]]</f>
        <v>-122</v>
      </c>
      <c r="S1076">
        <v>-8.5</v>
      </c>
    </row>
    <row r="1077" spans="2:19" x14ac:dyDescent="0.25">
      <c r="B1077">
        <f>390+2*(Table146[[#This Row],[min value (corrected)]]-37)</f>
        <v>428</v>
      </c>
      <c r="C1077">
        <f>MINUTE(Table146[[#This Row],[Corrected time]])</f>
        <v>56</v>
      </c>
      <c r="D1077" s="1">
        <v>0.49771365740740742</v>
      </c>
      <c r="E1077" s="1">
        <f>Table146[[#This Row],[Time]]-TIME(0,0,1)</f>
        <v>0.49770208333333332</v>
      </c>
      <c r="F1077" t="s">
        <v>9</v>
      </c>
      <c r="G1077">
        <v>-122</v>
      </c>
      <c r="H1077">
        <f>Table146[[#This Row],[RSSI]]</f>
        <v>-122</v>
      </c>
      <c r="I1077">
        <v>-8.5</v>
      </c>
      <c r="L1077">
        <f>390+2*(Table257[[#This Row],[min value (corrected)]]-27)</f>
        <v>428</v>
      </c>
      <c r="M1077">
        <f>MINUTE(Table257[[#This Row],[Corrected time]])</f>
        <v>46</v>
      </c>
      <c r="N1077" s="1">
        <v>0.53234557870370369</v>
      </c>
      <c r="O1077" s="1">
        <f>Table257[[#This Row],[Time]]-TIME(0,0,3)</f>
        <v>0.53231085648148146</v>
      </c>
      <c r="P1077" t="s">
        <v>9</v>
      </c>
      <c r="Q1077">
        <v>-123</v>
      </c>
      <c r="R1077">
        <f>Table257[[#This Row],[RSSI]]</f>
        <v>-123</v>
      </c>
      <c r="S1077">
        <v>-9</v>
      </c>
    </row>
    <row r="1078" spans="2:19" x14ac:dyDescent="0.25">
      <c r="B1078">
        <f>390+2*(Table146[[#This Row],[min value (corrected)]]-37)</f>
        <v>428</v>
      </c>
      <c r="C1078">
        <f>MINUTE(Table146[[#This Row],[Corrected time]])</f>
        <v>56</v>
      </c>
      <c r="D1078" s="1">
        <v>0.49772668981481483</v>
      </c>
      <c r="E1078" s="1">
        <f>Table146[[#This Row],[Time]]-TIME(0,0,1)</f>
        <v>0.49771511574074073</v>
      </c>
      <c r="F1078" t="s">
        <v>9</v>
      </c>
      <c r="G1078">
        <v>-123</v>
      </c>
      <c r="H1078">
        <f>Table146[[#This Row],[RSSI]]</f>
        <v>-123</v>
      </c>
      <c r="I1078">
        <v>-9</v>
      </c>
      <c r="L1078">
        <f>390+2*(Table257[[#This Row],[min value (corrected)]]-27)</f>
        <v>428</v>
      </c>
      <c r="M1078">
        <f>MINUTE(Table257[[#This Row],[Corrected time]])</f>
        <v>46</v>
      </c>
      <c r="N1078" s="1">
        <v>0.53235863425925922</v>
      </c>
      <c r="O1078" s="1">
        <f>Table257[[#This Row],[Time]]-TIME(0,0,3)</f>
        <v>0.53232391203703699</v>
      </c>
      <c r="P1078" t="s">
        <v>9</v>
      </c>
      <c r="Q1078">
        <v>-122</v>
      </c>
      <c r="R1078">
        <f>Table257[[#This Row],[RSSI]]</f>
        <v>-122</v>
      </c>
      <c r="S1078">
        <v>-9.3000000000000007</v>
      </c>
    </row>
    <row r="1079" spans="2:19" x14ac:dyDescent="0.25">
      <c r="B1079">
        <f>390+2*(Table146[[#This Row],[min value (corrected)]]-37)</f>
        <v>428</v>
      </c>
      <c r="C1079">
        <f>MINUTE(Table146[[#This Row],[Corrected time]])</f>
        <v>56</v>
      </c>
      <c r="D1079" s="1">
        <v>0.49773972222222224</v>
      </c>
      <c r="E1079" s="1">
        <f>Table146[[#This Row],[Time]]-TIME(0,0,1)</f>
        <v>0.49772814814814814</v>
      </c>
      <c r="F1079" t="s">
        <v>9</v>
      </c>
      <c r="G1079">
        <v>-122</v>
      </c>
      <c r="H1079">
        <f>Table146[[#This Row],[RSSI]]</f>
        <v>-122</v>
      </c>
      <c r="I1079">
        <v>-8.5</v>
      </c>
      <c r="L1079">
        <f>390+2*(Table257[[#This Row],[min value (corrected)]]-27)</f>
        <v>428</v>
      </c>
      <c r="M1079">
        <f>MINUTE(Table257[[#This Row],[Corrected time]])</f>
        <v>46</v>
      </c>
      <c r="N1079" s="1">
        <v>0.53237166666666658</v>
      </c>
      <c r="O1079" s="1">
        <f>Table257[[#This Row],[Time]]-TIME(0,0,3)</f>
        <v>0.53233694444444435</v>
      </c>
      <c r="P1079" t="s">
        <v>9</v>
      </c>
      <c r="Q1079">
        <v>-123</v>
      </c>
      <c r="R1079">
        <f>Table257[[#This Row],[RSSI]]</f>
        <v>-123</v>
      </c>
      <c r="S1079">
        <v>-9</v>
      </c>
    </row>
    <row r="1080" spans="2:19" x14ac:dyDescent="0.25">
      <c r="B1080">
        <f>390+2*(Table146[[#This Row],[min value (corrected)]]-37)</f>
        <v>428</v>
      </c>
      <c r="C1080">
        <f>MINUTE(Table146[[#This Row],[Corrected time]])</f>
        <v>56</v>
      </c>
      <c r="D1080" s="1">
        <v>0.49775275462962965</v>
      </c>
      <c r="E1080" s="1">
        <f>Table146[[#This Row],[Time]]-TIME(0,0,1)</f>
        <v>0.49774118055555555</v>
      </c>
      <c r="F1080" t="s">
        <v>13</v>
      </c>
      <c r="G1080">
        <f>G1079</f>
        <v>-122</v>
      </c>
      <c r="H1080">
        <f>Table146[[#This Row],[RSSI]]</f>
        <v>-122</v>
      </c>
      <c r="I1080">
        <f>I1079</f>
        <v>-8.5</v>
      </c>
      <c r="L1080">
        <f>390+2*(Table257[[#This Row],[min value (corrected)]]-27)</f>
        <v>428</v>
      </c>
      <c r="M1080">
        <f>MINUTE(Table257[[#This Row],[Corrected time]])</f>
        <v>46</v>
      </c>
      <c r="N1080" s="1">
        <v>0.53238469907407404</v>
      </c>
      <c r="O1080" s="1">
        <f>Table257[[#This Row],[Time]]-TIME(0,0,3)</f>
        <v>0.53234997685185181</v>
      </c>
      <c r="P1080" t="s">
        <v>9</v>
      </c>
      <c r="Q1080">
        <v>-122</v>
      </c>
      <c r="R1080">
        <f>Table257[[#This Row],[RSSI]]</f>
        <v>-122</v>
      </c>
      <c r="S1080">
        <v>-8.8000000000000007</v>
      </c>
    </row>
    <row r="1081" spans="2:19" x14ac:dyDescent="0.25">
      <c r="B1081">
        <f>390+2*(Table146[[#This Row],[min value (corrected)]]-37)</f>
        <v>428</v>
      </c>
      <c r="C1081">
        <f>MINUTE(Table146[[#This Row],[Corrected time]])</f>
        <v>56</v>
      </c>
      <c r="D1081" s="1">
        <v>0.49776578703703706</v>
      </c>
      <c r="E1081" s="1">
        <f>Table146[[#This Row],[Time]]-TIME(0,0,1)</f>
        <v>0.49775421296296296</v>
      </c>
      <c r="F1081" t="s">
        <v>9</v>
      </c>
      <c r="G1081">
        <v>-122</v>
      </c>
      <c r="H1081">
        <f>Table146[[#This Row],[RSSI]]</f>
        <v>-122</v>
      </c>
      <c r="I1081">
        <v>-8.8000000000000007</v>
      </c>
      <c r="L1081">
        <f>390+2*(Table257[[#This Row],[min value (corrected)]]-27)</f>
        <v>428</v>
      </c>
      <c r="M1081">
        <f>MINUTE(Table257[[#This Row],[Corrected time]])</f>
        <v>46</v>
      </c>
      <c r="N1081" s="1">
        <v>0.5323977314814814</v>
      </c>
      <c r="O1081" s="1">
        <f>Table257[[#This Row],[Time]]-TIME(0,0,3)</f>
        <v>0.53236300925925917</v>
      </c>
      <c r="P1081" t="s">
        <v>9</v>
      </c>
      <c r="Q1081">
        <v>-122</v>
      </c>
      <c r="R1081">
        <f>Table257[[#This Row],[RSSI]]</f>
        <v>-122</v>
      </c>
      <c r="S1081">
        <v>-8.5</v>
      </c>
    </row>
    <row r="1082" spans="2:19" x14ac:dyDescent="0.25">
      <c r="B1082">
        <f>390+2*(Table146[[#This Row],[min value (corrected)]]-37)</f>
        <v>428</v>
      </c>
      <c r="C1082">
        <f>MINUTE(Table146[[#This Row],[Corrected time]])</f>
        <v>56</v>
      </c>
      <c r="D1082" s="1">
        <v>0.49777881944444441</v>
      </c>
      <c r="E1082" s="1">
        <f>Table146[[#This Row],[Time]]-TIME(0,0,1)</f>
        <v>0.49776724537037031</v>
      </c>
      <c r="F1082" t="s">
        <v>9</v>
      </c>
      <c r="G1082">
        <v>-122</v>
      </c>
      <c r="H1082">
        <f>Table146[[#This Row],[RSSI]]</f>
        <v>-122</v>
      </c>
      <c r="I1082">
        <v>-8</v>
      </c>
      <c r="L1082">
        <f>390+2*(Table257[[#This Row],[min value (corrected)]]-27)</f>
        <v>428</v>
      </c>
      <c r="M1082">
        <f>MINUTE(Table257[[#This Row],[Corrected time]])</f>
        <v>46</v>
      </c>
      <c r="N1082" s="1">
        <v>0.53241075231481483</v>
      </c>
      <c r="O1082" s="1">
        <f>Table257[[#This Row],[Time]]-TIME(0,0,3)</f>
        <v>0.5323760300925926</v>
      </c>
      <c r="P1082" t="s">
        <v>13</v>
      </c>
      <c r="Q1082">
        <f>Q1081</f>
        <v>-122</v>
      </c>
      <c r="R1082">
        <f>Table257[[#This Row],[RSSI]]</f>
        <v>-122</v>
      </c>
      <c r="S1082">
        <f>S1081</f>
        <v>-8.5</v>
      </c>
    </row>
    <row r="1083" spans="2:19" x14ac:dyDescent="0.25">
      <c r="B1083">
        <f>390+2*(Table146[[#This Row],[min value (corrected)]]-37)</f>
        <v>428</v>
      </c>
      <c r="C1083">
        <f>MINUTE(Table146[[#This Row],[Corrected time]])</f>
        <v>56</v>
      </c>
      <c r="D1083" s="1">
        <v>0.49779185185185187</v>
      </c>
      <c r="E1083" s="1">
        <f>Table146[[#This Row],[Time]]-TIME(0,0,1)</f>
        <v>0.49778027777777778</v>
      </c>
      <c r="F1083" t="s">
        <v>9</v>
      </c>
      <c r="G1083">
        <v>-122</v>
      </c>
      <c r="H1083">
        <f>Table146[[#This Row],[RSSI]]</f>
        <v>-122</v>
      </c>
      <c r="I1083">
        <v>-8.8000000000000007</v>
      </c>
      <c r="L1083">
        <f>390+2*(Table257[[#This Row],[min value (corrected)]]-27)</f>
        <v>428</v>
      </c>
      <c r="M1083">
        <f>MINUTE(Table257[[#This Row],[Corrected time]])</f>
        <v>46</v>
      </c>
      <c r="N1083" s="1">
        <v>0.53242378472222218</v>
      </c>
      <c r="O1083" s="1">
        <f>Table257[[#This Row],[Time]]-TIME(0,0,3)</f>
        <v>0.53238906249999995</v>
      </c>
      <c r="P1083" t="s">
        <v>9</v>
      </c>
      <c r="Q1083">
        <v>-122</v>
      </c>
      <c r="R1083">
        <f>Table257[[#This Row],[RSSI]]</f>
        <v>-122</v>
      </c>
      <c r="S1083">
        <v>-8.5</v>
      </c>
    </row>
    <row r="1084" spans="2:19" x14ac:dyDescent="0.25">
      <c r="B1084">
        <f>390+2*(Table146[[#This Row],[min value (corrected)]]-37)</f>
        <v>428</v>
      </c>
      <c r="C1084">
        <f>MINUTE(Table146[[#This Row],[Corrected time]])</f>
        <v>56</v>
      </c>
      <c r="D1084" s="1">
        <v>0.49780488425925923</v>
      </c>
      <c r="E1084" s="1">
        <f>Table146[[#This Row],[Time]]-TIME(0,0,1)</f>
        <v>0.49779331018518513</v>
      </c>
      <c r="F1084" t="s">
        <v>9</v>
      </c>
      <c r="G1084">
        <v>-122</v>
      </c>
      <c r="H1084">
        <f>Table146[[#This Row],[RSSI]]</f>
        <v>-122</v>
      </c>
      <c r="I1084">
        <v>-8.5</v>
      </c>
      <c r="L1084">
        <f>390+2*(Table257[[#This Row],[min value (corrected)]]-27)</f>
        <v>428</v>
      </c>
      <c r="M1084">
        <f>MINUTE(Table257[[#This Row],[Corrected time]])</f>
        <v>46</v>
      </c>
      <c r="N1084" s="1">
        <v>0.53243682870370368</v>
      </c>
      <c r="O1084" s="1">
        <f>Table257[[#This Row],[Time]]-TIME(0,0,3)</f>
        <v>0.53240210648148145</v>
      </c>
      <c r="P1084" t="s">
        <v>9</v>
      </c>
      <c r="Q1084">
        <v>-123</v>
      </c>
      <c r="R1084">
        <f>Table257[[#This Row],[RSSI]]</f>
        <v>-123</v>
      </c>
      <c r="S1084">
        <v>-9.3000000000000007</v>
      </c>
    </row>
    <row r="1085" spans="2:19" x14ac:dyDescent="0.25">
      <c r="B1085">
        <f>390+2*(Table146[[#This Row],[min value (corrected)]]-37)</f>
        <v>428</v>
      </c>
      <c r="C1085">
        <f>MINUTE(Table146[[#This Row],[Corrected time]])</f>
        <v>56</v>
      </c>
      <c r="D1085" s="1">
        <v>0.49781791666666669</v>
      </c>
      <c r="E1085" s="1">
        <f>Table146[[#This Row],[Time]]-TIME(0,0,1)</f>
        <v>0.4978063425925926</v>
      </c>
      <c r="F1085" t="s">
        <v>9</v>
      </c>
      <c r="G1085">
        <v>-123</v>
      </c>
      <c r="H1085">
        <f>Table146[[#This Row],[RSSI]]</f>
        <v>-123</v>
      </c>
      <c r="I1085">
        <v>-9.3000000000000007</v>
      </c>
      <c r="L1085">
        <f>390+2*(Table257[[#This Row],[min value (corrected)]]-27)</f>
        <v>428</v>
      </c>
      <c r="M1085">
        <f>MINUTE(Table257[[#This Row],[Corrected time]])</f>
        <v>46</v>
      </c>
      <c r="N1085" s="1">
        <v>0.532449849537037</v>
      </c>
      <c r="O1085" s="1">
        <f>Table257[[#This Row],[Time]]-TIME(0,0,3)</f>
        <v>0.53241512731481477</v>
      </c>
      <c r="P1085" t="s">
        <v>9</v>
      </c>
      <c r="Q1085">
        <v>-122</v>
      </c>
      <c r="R1085">
        <f>Table257[[#This Row],[RSSI]]</f>
        <v>-122</v>
      </c>
      <c r="S1085">
        <v>-9</v>
      </c>
    </row>
    <row r="1086" spans="2:19" x14ac:dyDescent="0.25">
      <c r="B1086">
        <f>390+2*(Table146[[#This Row],[min value (corrected)]]-37)</f>
        <v>428</v>
      </c>
      <c r="C1086">
        <f>MINUTE(Table146[[#This Row],[Corrected time]])</f>
        <v>56</v>
      </c>
      <c r="D1086" s="1">
        <v>0.49783094907407405</v>
      </c>
      <c r="E1086" s="1">
        <f>Table146[[#This Row],[Time]]-TIME(0,0,1)</f>
        <v>0.49781937499999995</v>
      </c>
      <c r="F1086" t="s">
        <v>9</v>
      </c>
      <c r="G1086">
        <v>-123</v>
      </c>
      <c r="H1086">
        <f>Table146[[#This Row],[RSSI]]</f>
        <v>-123</v>
      </c>
      <c r="I1086">
        <v>-8.8000000000000007</v>
      </c>
      <c r="L1086">
        <f>390+2*(Table257[[#This Row],[min value (corrected)]]-27)</f>
        <v>428</v>
      </c>
      <c r="M1086">
        <f>MINUTE(Table257[[#This Row],[Corrected time]])</f>
        <v>46</v>
      </c>
      <c r="N1086" s="1">
        <v>0.53246288194444447</v>
      </c>
      <c r="O1086" s="1">
        <f>Table257[[#This Row],[Time]]-TIME(0,0,3)</f>
        <v>0.53242815972222224</v>
      </c>
      <c r="P1086" t="s">
        <v>9</v>
      </c>
      <c r="Q1086">
        <v>-122</v>
      </c>
      <c r="R1086">
        <f>Table257[[#This Row],[RSSI]]</f>
        <v>-122</v>
      </c>
      <c r="S1086">
        <v>-8.3000000000000007</v>
      </c>
    </row>
    <row r="1087" spans="2:19" x14ac:dyDescent="0.25">
      <c r="B1087">
        <f>390+2*(Table146[[#This Row],[min value (corrected)]]-37)</f>
        <v>428</v>
      </c>
      <c r="C1087">
        <f>MINUTE(Table146[[#This Row],[Corrected time]])</f>
        <v>56</v>
      </c>
      <c r="D1087" s="1">
        <v>0.49784398148148151</v>
      </c>
      <c r="E1087" s="1">
        <f>Table146[[#This Row],[Time]]-TIME(0,0,1)</f>
        <v>0.49783240740740742</v>
      </c>
      <c r="F1087" t="s">
        <v>9</v>
      </c>
      <c r="G1087">
        <v>-122</v>
      </c>
      <c r="H1087">
        <f>Table146[[#This Row],[RSSI]]</f>
        <v>-122</v>
      </c>
      <c r="I1087">
        <v>-9.3000000000000007</v>
      </c>
      <c r="L1087">
        <f>390+2*(Table257[[#This Row],[min value (corrected)]]-27)</f>
        <v>428</v>
      </c>
      <c r="M1087">
        <f>MINUTE(Table257[[#This Row],[Corrected time]])</f>
        <v>46</v>
      </c>
      <c r="N1087" s="1">
        <v>0.53247592592592585</v>
      </c>
      <c r="O1087" s="1">
        <f>Table257[[#This Row],[Time]]-TIME(0,0,3)</f>
        <v>0.53244120370370362</v>
      </c>
      <c r="P1087" t="s">
        <v>9</v>
      </c>
      <c r="Q1087">
        <v>-123</v>
      </c>
      <c r="R1087">
        <f>Table257[[#This Row],[RSSI]]</f>
        <v>-123</v>
      </c>
      <c r="S1087">
        <v>-8.8000000000000007</v>
      </c>
    </row>
    <row r="1088" spans="2:19" x14ac:dyDescent="0.25">
      <c r="B1088">
        <f>390+2*(Table146[[#This Row],[min value (corrected)]]-37)</f>
        <v>428</v>
      </c>
      <c r="C1088">
        <f>MINUTE(Table146[[#This Row],[Corrected time]])</f>
        <v>56</v>
      </c>
      <c r="D1088" s="1">
        <v>0.49785701388888887</v>
      </c>
      <c r="E1088" s="1">
        <f>Table146[[#This Row],[Time]]-TIME(0,0,1)</f>
        <v>0.49784543981481477</v>
      </c>
      <c r="F1088" t="s">
        <v>9</v>
      </c>
      <c r="G1088">
        <v>-122</v>
      </c>
      <c r="H1088">
        <f>Table146[[#This Row],[RSSI]]</f>
        <v>-122</v>
      </c>
      <c r="I1088">
        <v>-8.8000000000000007</v>
      </c>
      <c r="L1088">
        <f>390+2*(Table257[[#This Row],[min value (corrected)]]-27)</f>
        <v>428</v>
      </c>
      <c r="M1088">
        <f>MINUTE(Table257[[#This Row],[Corrected time]])</f>
        <v>46</v>
      </c>
      <c r="N1088" s="1">
        <v>0.53248894675925929</v>
      </c>
      <c r="O1088" s="1">
        <f>Table257[[#This Row],[Time]]-TIME(0,0,3)</f>
        <v>0.53245422453703706</v>
      </c>
      <c r="P1088" t="s">
        <v>9</v>
      </c>
      <c r="Q1088">
        <v>-121</v>
      </c>
      <c r="R1088">
        <f>Table257[[#This Row],[RSSI]]</f>
        <v>-121</v>
      </c>
      <c r="S1088">
        <v>-7.7</v>
      </c>
    </row>
    <row r="1089" spans="2:19" x14ac:dyDescent="0.25">
      <c r="B1089">
        <f>390+2*(Table146[[#This Row],[min value (corrected)]]-37)</f>
        <v>428</v>
      </c>
      <c r="C1089">
        <f>MINUTE(Table146[[#This Row],[Corrected time]])</f>
        <v>56</v>
      </c>
      <c r="D1089" s="1">
        <v>0.49787004629629633</v>
      </c>
      <c r="E1089" s="1">
        <f>Table146[[#This Row],[Time]]-TIME(0,0,1)</f>
        <v>0.49785847222222224</v>
      </c>
      <c r="F1089" t="s">
        <v>9</v>
      </c>
      <c r="G1089">
        <v>-122</v>
      </c>
      <c r="H1089">
        <f>Table146[[#This Row],[RSSI]]</f>
        <v>-122</v>
      </c>
      <c r="I1089">
        <v>-8.3000000000000007</v>
      </c>
      <c r="L1089">
        <f>390+2*(Table257[[#This Row],[min value (corrected)]]-27)</f>
        <v>428</v>
      </c>
      <c r="M1089">
        <f>MINUTE(Table257[[#This Row],[Corrected time]])</f>
        <v>46</v>
      </c>
      <c r="N1089" s="1">
        <v>0.53250199074074067</v>
      </c>
      <c r="O1089" s="1">
        <f>Table257[[#This Row],[Time]]-TIME(0,0,3)</f>
        <v>0.53246726851851844</v>
      </c>
      <c r="P1089" t="s">
        <v>9</v>
      </c>
      <c r="Q1089">
        <v>-122</v>
      </c>
      <c r="R1089">
        <f>Table257[[#This Row],[RSSI]]</f>
        <v>-122</v>
      </c>
      <c r="S1089">
        <v>-8</v>
      </c>
    </row>
    <row r="1090" spans="2:19" x14ac:dyDescent="0.25">
      <c r="B1090">
        <f>390+2*(Table146[[#This Row],[min value (corrected)]]-37)</f>
        <v>428</v>
      </c>
      <c r="C1090">
        <f>MINUTE(Table146[[#This Row],[Corrected time]])</f>
        <v>56</v>
      </c>
      <c r="D1090" s="1">
        <v>0.49788307870370369</v>
      </c>
      <c r="E1090" s="1">
        <f>Table146[[#This Row],[Time]]-TIME(0,0,1)</f>
        <v>0.49787150462962959</v>
      </c>
      <c r="F1090" t="s">
        <v>9</v>
      </c>
      <c r="G1090">
        <v>-122</v>
      </c>
      <c r="H1090">
        <f>Table146[[#This Row],[RSSI]]</f>
        <v>-122</v>
      </c>
      <c r="I1090">
        <v>-9</v>
      </c>
      <c r="L1090">
        <f>390+2*(Table257[[#This Row],[min value (corrected)]]-27)</f>
        <v>428</v>
      </c>
      <c r="M1090">
        <f>MINUTE(Table257[[#This Row],[Corrected time]])</f>
        <v>46</v>
      </c>
      <c r="N1090" s="1">
        <v>0.53251502314814814</v>
      </c>
      <c r="O1090" s="1">
        <f>Table257[[#This Row],[Time]]-TIME(0,0,3)</f>
        <v>0.53248030092592591</v>
      </c>
      <c r="P1090" t="s">
        <v>9</v>
      </c>
      <c r="Q1090">
        <v>-123</v>
      </c>
      <c r="R1090">
        <f>Table257[[#This Row],[RSSI]]</f>
        <v>-123</v>
      </c>
      <c r="S1090">
        <v>-9</v>
      </c>
    </row>
    <row r="1091" spans="2:19" x14ac:dyDescent="0.25">
      <c r="B1091">
        <f>390+2*(Table146[[#This Row],[min value (corrected)]]-37)</f>
        <v>428</v>
      </c>
      <c r="C1091">
        <f>MINUTE(Table146[[#This Row],[Corrected time]])</f>
        <v>56</v>
      </c>
      <c r="D1091" s="1">
        <v>0.49789611111111115</v>
      </c>
      <c r="E1091" s="1">
        <f>Table146[[#This Row],[Time]]-TIME(0,0,1)</f>
        <v>0.49788453703703706</v>
      </c>
      <c r="F1091" t="s">
        <v>13</v>
      </c>
      <c r="G1091">
        <f>G1090</f>
        <v>-122</v>
      </c>
      <c r="H1091">
        <f>Table146[[#This Row],[RSSI]]</f>
        <v>-122</v>
      </c>
      <c r="I1091">
        <f>I1090</f>
        <v>-9</v>
      </c>
      <c r="L1091">
        <f>390+2*(Table257[[#This Row],[min value (corrected)]]-27)</f>
        <v>428</v>
      </c>
      <c r="M1091">
        <f>MINUTE(Table257[[#This Row],[Corrected time]])</f>
        <v>46</v>
      </c>
      <c r="N1091" s="1">
        <v>0.53252805555555549</v>
      </c>
      <c r="O1091" s="1">
        <f>Table257[[#This Row],[Time]]-TIME(0,0,3)</f>
        <v>0.53249333333333326</v>
      </c>
      <c r="P1091" t="s">
        <v>9</v>
      </c>
      <c r="Q1091">
        <v>-123</v>
      </c>
      <c r="R1091">
        <f>Table257[[#This Row],[RSSI]]</f>
        <v>-123</v>
      </c>
      <c r="S1091">
        <v>-8.8000000000000007</v>
      </c>
    </row>
    <row r="1092" spans="2:19" x14ac:dyDescent="0.25">
      <c r="B1092">
        <f>390+2*(Table146[[#This Row],[min value (corrected)]]-37)</f>
        <v>428</v>
      </c>
      <c r="C1092">
        <f>MINUTE(Table146[[#This Row],[Corrected time]])</f>
        <v>56</v>
      </c>
      <c r="D1092" s="1">
        <v>0.49790913194444447</v>
      </c>
      <c r="E1092" s="1">
        <f>Table146[[#This Row],[Time]]-TIME(0,0,1)</f>
        <v>0.49789755787037038</v>
      </c>
      <c r="F1092" t="s">
        <v>9</v>
      </c>
      <c r="G1092">
        <v>-122</v>
      </c>
      <c r="H1092">
        <f>Table146[[#This Row],[RSSI]]</f>
        <v>-122</v>
      </c>
      <c r="I1092">
        <v>-9</v>
      </c>
      <c r="L1092">
        <f>390+2*(Table257[[#This Row],[min value (corrected)]]-27)</f>
        <v>428</v>
      </c>
      <c r="M1092">
        <f>MINUTE(Table257[[#This Row],[Corrected time]])</f>
        <v>46</v>
      </c>
      <c r="N1092" s="1">
        <v>0.53254108796296296</v>
      </c>
      <c r="O1092" s="1">
        <f>Table257[[#This Row],[Time]]-TIME(0,0,3)</f>
        <v>0.53250636574074073</v>
      </c>
      <c r="P1092" t="s">
        <v>9</v>
      </c>
      <c r="Q1092">
        <v>-123</v>
      </c>
      <c r="R1092">
        <f>Table257[[#This Row],[RSSI]]</f>
        <v>-123</v>
      </c>
      <c r="S1092">
        <v>-9</v>
      </c>
    </row>
    <row r="1093" spans="2:19" x14ac:dyDescent="0.25">
      <c r="B1093">
        <f>390+2*(Table146[[#This Row],[min value (corrected)]]-37)</f>
        <v>428</v>
      </c>
      <c r="C1093">
        <f>MINUTE(Table146[[#This Row],[Corrected time]])</f>
        <v>56</v>
      </c>
      <c r="D1093" s="1">
        <v>0.49792217592592597</v>
      </c>
      <c r="E1093" s="1">
        <f>Table146[[#This Row],[Time]]-TIME(0,0,1)</f>
        <v>0.49791060185185188</v>
      </c>
      <c r="F1093" t="s">
        <v>13</v>
      </c>
      <c r="G1093">
        <f t="shared" ref="G1093:G1095" si="125">G1092</f>
        <v>-122</v>
      </c>
      <c r="H1093">
        <f>Table146[[#This Row],[RSSI]]</f>
        <v>-122</v>
      </c>
      <c r="I1093">
        <f t="shared" ref="I1093:I1095" si="126">I1092</f>
        <v>-9</v>
      </c>
      <c r="L1093">
        <f>390+2*(Table257[[#This Row],[min value (corrected)]]-27)</f>
        <v>428</v>
      </c>
      <c r="M1093">
        <f>MINUTE(Table257[[#This Row],[Corrected time]])</f>
        <v>46</v>
      </c>
      <c r="N1093" s="1">
        <v>0.53255412037037031</v>
      </c>
      <c r="O1093" s="1">
        <f>Table257[[#This Row],[Time]]-TIME(0,0,3)</f>
        <v>0.53251939814814808</v>
      </c>
      <c r="P1093" t="s">
        <v>9</v>
      </c>
      <c r="Q1093">
        <v>-122</v>
      </c>
      <c r="R1093">
        <f>Table257[[#This Row],[RSSI]]</f>
        <v>-122</v>
      </c>
      <c r="S1093">
        <v>-8.5</v>
      </c>
    </row>
    <row r="1094" spans="2:19" x14ac:dyDescent="0.25">
      <c r="B1094">
        <f>390+2*(Table146[[#This Row],[min value (corrected)]]-37)</f>
        <v>430</v>
      </c>
      <c r="C1094">
        <f>MINUTE(Table146[[#This Row],[Corrected time]])</f>
        <v>57</v>
      </c>
      <c r="D1094" s="1">
        <v>0.49793520833333332</v>
      </c>
      <c r="E1094" s="1">
        <f>Table146[[#This Row],[Time]]-TIME(0,0,1)</f>
        <v>0.49792363425925923</v>
      </c>
      <c r="F1094" t="s">
        <v>13</v>
      </c>
      <c r="G1094">
        <f t="shared" si="125"/>
        <v>-122</v>
      </c>
      <c r="H1094">
        <f>Table146[[#This Row],[RSSI]]</f>
        <v>-122</v>
      </c>
      <c r="I1094">
        <f t="shared" si="126"/>
        <v>-9</v>
      </c>
      <c r="L1094">
        <f>390+2*(Table257[[#This Row],[min value (corrected)]]-27)</f>
        <v>428</v>
      </c>
      <c r="M1094">
        <f>MINUTE(Table257[[#This Row],[Corrected time]])</f>
        <v>46</v>
      </c>
      <c r="N1094" s="1">
        <v>0.53256715277777777</v>
      </c>
      <c r="O1094" s="1">
        <f>Table257[[#This Row],[Time]]-TIME(0,0,3)</f>
        <v>0.53253243055555555</v>
      </c>
      <c r="P1094" t="s">
        <v>13</v>
      </c>
      <c r="Q1094">
        <f>Q1093</f>
        <v>-122</v>
      </c>
      <c r="R1094">
        <f>Table257[[#This Row],[RSSI]]</f>
        <v>-122</v>
      </c>
      <c r="S1094">
        <f>S1093</f>
        <v>-8.5</v>
      </c>
    </row>
    <row r="1095" spans="2:19" x14ac:dyDescent="0.25">
      <c r="B1095">
        <f>390+2*(Table146[[#This Row],[min value (corrected)]]-37)</f>
        <v>430</v>
      </c>
      <c r="C1095">
        <f>MINUTE(Table146[[#This Row],[Corrected time]])</f>
        <v>57</v>
      </c>
      <c r="D1095" s="1">
        <v>0.49794822916666664</v>
      </c>
      <c r="E1095" s="1">
        <f>Table146[[#This Row],[Time]]-TIME(0,0,1)</f>
        <v>0.49793665509259255</v>
      </c>
      <c r="F1095" t="s">
        <v>13</v>
      </c>
      <c r="G1095">
        <f t="shared" si="125"/>
        <v>-122</v>
      </c>
      <c r="H1095">
        <f>Table146[[#This Row],[RSSI]]</f>
        <v>-122</v>
      </c>
      <c r="I1095">
        <f t="shared" si="126"/>
        <v>-9</v>
      </c>
      <c r="L1095">
        <f>390+2*(Table257[[#This Row],[min value (corrected)]]-27)</f>
        <v>428</v>
      </c>
      <c r="M1095">
        <f>MINUTE(Table257[[#This Row],[Corrected time]])</f>
        <v>46</v>
      </c>
      <c r="N1095" s="1">
        <v>0.5325801736111111</v>
      </c>
      <c r="O1095" s="1">
        <f>Table257[[#This Row],[Time]]-TIME(0,0,3)</f>
        <v>0.53254545138888887</v>
      </c>
      <c r="P1095" t="s">
        <v>9</v>
      </c>
      <c r="Q1095">
        <v>-122</v>
      </c>
      <c r="R1095">
        <f>Table257[[#This Row],[RSSI]]</f>
        <v>-122</v>
      </c>
      <c r="S1095">
        <v>-9</v>
      </c>
    </row>
    <row r="1096" spans="2:19" x14ac:dyDescent="0.25">
      <c r="B1096">
        <f>390+2*(Table146[[#This Row],[min value (corrected)]]-37)</f>
        <v>430</v>
      </c>
      <c r="C1096">
        <f>MINUTE(Table146[[#This Row],[Corrected time]])</f>
        <v>57</v>
      </c>
      <c r="D1096" s="1">
        <v>0.49796127314814814</v>
      </c>
      <c r="E1096" s="1">
        <f>Table146[[#This Row],[Time]]-TIME(0,0,1)</f>
        <v>0.49794969907407405</v>
      </c>
      <c r="F1096" t="s">
        <v>9</v>
      </c>
      <c r="G1096">
        <v>-122</v>
      </c>
      <c r="H1096">
        <f>Table146[[#This Row],[RSSI]]</f>
        <v>-122</v>
      </c>
      <c r="I1096">
        <v>-8.5</v>
      </c>
      <c r="L1096">
        <f>390+2*(Table257[[#This Row],[min value (corrected)]]-27)</f>
        <v>428</v>
      </c>
      <c r="M1096">
        <f>MINUTE(Table257[[#This Row],[Corrected time]])</f>
        <v>46</v>
      </c>
      <c r="N1096" s="1">
        <v>0.53259321759259259</v>
      </c>
      <c r="O1096" s="1">
        <f>Table257[[#This Row],[Time]]-TIME(0,0,3)</f>
        <v>0.53255849537037037</v>
      </c>
      <c r="P1096" t="s">
        <v>9</v>
      </c>
      <c r="Q1096">
        <v>-122</v>
      </c>
      <c r="R1096">
        <f>Table257[[#This Row],[RSSI]]</f>
        <v>-122</v>
      </c>
      <c r="S1096">
        <v>-9.3000000000000007</v>
      </c>
    </row>
    <row r="1097" spans="2:19" x14ac:dyDescent="0.25">
      <c r="B1097">
        <f>390+2*(Table146[[#This Row],[min value (corrected)]]-37)</f>
        <v>430</v>
      </c>
      <c r="C1097">
        <f>MINUTE(Table146[[#This Row],[Corrected time]])</f>
        <v>57</v>
      </c>
      <c r="D1097" s="1">
        <v>0.49797430555555561</v>
      </c>
      <c r="E1097" s="1">
        <f>Table146[[#This Row],[Time]]-TIME(0,0,1)</f>
        <v>0.49796273148148151</v>
      </c>
      <c r="F1097" t="s">
        <v>9</v>
      </c>
      <c r="G1097">
        <v>-123</v>
      </c>
      <c r="H1097">
        <f>Table146[[#This Row],[RSSI]]</f>
        <v>-123</v>
      </c>
      <c r="I1097">
        <v>-9.3000000000000007</v>
      </c>
      <c r="L1097">
        <f>390+2*(Table257[[#This Row],[min value (corrected)]]-27)</f>
        <v>428</v>
      </c>
      <c r="M1097">
        <f>MINUTE(Table257[[#This Row],[Corrected time]])</f>
        <v>46</v>
      </c>
      <c r="N1097" s="1">
        <v>0.53260625000000006</v>
      </c>
      <c r="O1097" s="1">
        <f>Table257[[#This Row],[Time]]-TIME(0,0,3)</f>
        <v>0.53257152777777783</v>
      </c>
      <c r="P1097" t="s">
        <v>9</v>
      </c>
      <c r="Q1097">
        <v>-122</v>
      </c>
      <c r="R1097">
        <f>Table257[[#This Row],[RSSI]]</f>
        <v>-122</v>
      </c>
      <c r="S1097">
        <v>-9</v>
      </c>
    </row>
    <row r="1098" spans="2:19" x14ac:dyDescent="0.25">
      <c r="B1098">
        <f>390+2*(Table146[[#This Row],[min value (corrected)]]-37)</f>
        <v>430</v>
      </c>
      <c r="C1098">
        <f>MINUTE(Table146[[#This Row],[Corrected time]])</f>
        <v>57</v>
      </c>
      <c r="D1098" s="1">
        <v>0.49798733796296296</v>
      </c>
      <c r="E1098" s="1">
        <f>Table146[[#This Row],[Time]]-TIME(0,0,1)</f>
        <v>0.49797576388888887</v>
      </c>
      <c r="F1098" t="s">
        <v>13</v>
      </c>
      <c r="G1098">
        <f t="shared" ref="G1098:G1103" si="127">G1097</f>
        <v>-123</v>
      </c>
      <c r="H1098">
        <f>Table146[[#This Row],[RSSI]]</f>
        <v>-123</v>
      </c>
      <c r="I1098">
        <f t="shared" ref="I1098:I1103" si="128">I1097</f>
        <v>-9.3000000000000007</v>
      </c>
      <c r="L1098">
        <f>390+2*(Table257[[#This Row],[min value (corrected)]]-27)</f>
        <v>428</v>
      </c>
      <c r="M1098">
        <f>MINUTE(Table257[[#This Row],[Corrected time]])</f>
        <v>46</v>
      </c>
      <c r="N1098" s="1">
        <v>0.53261927083333338</v>
      </c>
      <c r="O1098" s="1">
        <f>Table257[[#This Row],[Time]]-TIME(0,0,3)</f>
        <v>0.53258454861111115</v>
      </c>
      <c r="P1098" t="s">
        <v>9</v>
      </c>
      <c r="Q1098">
        <v>-122</v>
      </c>
      <c r="R1098">
        <f>Table257[[#This Row],[RSSI]]</f>
        <v>-122</v>
      </c>
      <c r="S1098">
        <v>-8.3000000000000007</v>
      </c>
    </row>
    <row r="1099" spans="2:19" x14ac:dyDescent="0.25">
      <c r="B1099">
        <f>390+2*(Table146[[#This Row],[min value (corrected)]]-37)</f>
        <v>430</v>
      </c>
      <c r="C1099">
        <f>MINUTE(Table146[[#This Row],[Corrected time]])</f>
        <v>57</v>
      </c>
      <c r="D1099" s="1">
        <v>0.49800037037037043</v>
      </c>
      <c r="E1099" s="1">
        <f>Table146[[#This Row],[Time]]-TIME(0,0,1)</f>
        <v>0.49798879629629633</v>
      </c>
      <c r="F1099" t="s">
        <v>13</v>
      </c>
      <c r="G1099">
        <f t="shared" si="127"/>
        <v>-123</v>
      </c>
      <c r="H1099">
        <f>Table146[[#This Row],[RSSI]]</f>
        <v>-123</v>
      </c>
      <c r="I1099">
        <f t="shared" si="128"/>
        <v>-9.3000000000000007</v>
      </c>
      <c r="L1099">
        <f>390+2*(Table257[[#This Row],[min value (corrected)]]-27)</f>
        <v>428</v>
      </c>
      <c r="M1099">
        <f>MINUTE(Table257[[#This Row],[Corrected time]])</f>
        <v>46</v>
      </c>
      <c r="N1099" s="1">
        <v>0.53263231481481488</v>
      </c>
      <c r="O1099" s="1">
        <f>Table257[[#This Row],[Time]]-TIME(0,0,3)</f>
        <v>0.53259759259259265</v>
      </c>
      <c r="P1099" t="s">
        <v>9</v>
      </c>
      <c r="Q1099">
        <v>-123</v>
      </c>
      <c r="R1099">
        <f>Table257[[#This Row],[RSSI]]</f>
        <v>-123</v>
      </c>
      <c r="S1099">
        <v>-9</v>
      </c>
    </row>
    <row r="1100" spans="2:19" x14ac:dyDescent="0.25">
      <c r="B1100">
        <f>390+2*(Table146[[#This Row],[min value (corrected)]]-37)</f>
        <v>430</v>
      </c>
      <c r="C1100">
        <f>MINUTE(Table146[[#This Row],[Corrected time]])</f>
        <v>57</v>
      </c>
      <c r="D1100" s="1">
        <v>0.49801340277777778</v>
      </c>
      <c r="E1100" s="1">
        <f>Table146[[#This Row],[Time]]-TIME(0,0,1)</f>
        <v>0.49800182870370369</v>
      </c>
      <c r="F1100" t="s">
        <v>13</v>
      </c>
      <c r="G1100">
        <f t="shared" si="127"/>
        <v>-123</v>
      </c>
      <c r="H1100">
        <f>Table146[[#This Row],[RSSI]]</f>
        <v>-123</v>
      </c>
      <c r="I1100">
        <f t="shared" si="128"/>
        <v>-9.3000000000000007</v>
      </c>
      <c r="L1100">
        <f>390+2*(Table257[[#This Row],[min value (corrected)]]-27)</f>
        <v>428</v>
      </c>
      <c r="M1100">
        <f>MINUTE(Table257[[#This Row],[Corrected time]])</f>
        <v>46</v>
      </c>
      <c r="N1100" s="1">
        <v>0.53264534722222223</v>
      </c>
      <c r="O1100" s="1">
        <f>Table257[[#This Row],[Time]]-TIME(0,0,3)</f>
        <v>0.532610625</v>
      </c>
      <c r="P1100" t="s">
        <v>9</v>
      </c>
      <c r="Q1100">
        <v>-122</v>
      </c>
      <c r="R1100">
        <f>Table257[[#This Row],[RSSI]]</f>
        <v>-122</v>
      </c>
      <c r="S1100">
        <v>-8.8000000000000007</v>
      </c>
    </row>
    <row r="1101" spans="2:19" x14ac:dyDescent="0.25">
      <c r="B1101">
        <f>390+2*(Table146[[#This Row],[min value (corrected)]]-37)</f>
        <v>430</v>
      </c>
      <c r="C1101">
        <f>MINUTE(Table146[[#This Row],[Corrected time]])</f>
        <v>57</v>
      </c>
      <c r="D1101" s="1">
        <v>0.49802643518518513</v>
      </c>
      <c r="E1101" s="1">
        <f>Table146[[#This Row],[Time]]-TIME(0,0,1)</f>
        <v>0.49801486111111104</v>
      </c>
      <c r="F1101" t="s">
        <v>13</v>
      </c>
      <c r="G1101">
        <f t="shared" si="127"/>
        <v>-123</v>
      </c>
      <c r="H1101">
        <f>Table146[[#This Row],[RSSI]]</f>
        <v>-123</v>
      </c>
      <c r="I1101">
        <f t="shared" si="128"/>
        <v>-9.3000000000000007</v>
      </c>
      <c r="L1101">
        <f>390+2*(Table257[[#This Row],[min value (corrected)]]-27)</f>
        <v>428</v>
      </c>
      <c r="M1101">
        <f>MINUTE(Table257[[#This Row],[Corrected time]])</f>
        <v>46</v>
      </c>
      <c r="N1101" s="1">
        <v>0.5326583796296297</v>
      </c>
      <c r="O1101" s="1">
        <f>Table257[[#This Row],[Time]]-TIME(0,0,3)</f>
        <v>0.53262365740740747</v>
      </c>
      <c r="P1101" t="s">
        <v>9</v>
      </c>
      <c r="Q1101">
        <v>-122</v>
      </c>
      <c r="R1101">
        <f>Table257[[#This Row],[RSSI]]</f>
        <v>-122</v>
      </c>
      <c r="S1101">
        <v>-8.5</v>
      </c>
    </row>
    <row r="1102" spans="2:19" x14ac:dyDescent="0.25">
      <c r="B1102">
        <f>390+2*(Table146[[#This Row],[min value (corrected)]]-37)</f>
        <v>430</v>
      </c>
      <c r="C1102">
        <f>MINUTE(Table146[[#This Row],[Corrected time]])</f>
        <v>57</v>
      </c>
      <c r="D1102" s="1">
        <v>0.4980394675925926</v>
      </c>
      <c r="E1102" s="1">
        <f>Table146[[#This Row],[Time]]-TIME(0,0,1)</f>
        <v>0.49802789351851851</v>
      </c>
      <c r="F1102" t="s">
        <v>13</v>
      </c>
      <c r="G1102">
        <f t="shared" si="127"/>
        <v>-123</v>
      </c>
      <c r="H1102">
        <f>Table146[[#This Row],[RSSI]]</f>
        <v>-123</v>
      </c>
      <c r="I1102">
        <f t="shared" si="128"/>
        <v>-9.3000000000000007</v>
      </c>
      <c r="L1102">
        <f>390+2*(Table257[[#This Row],[min value (corrected)]]-27)</f>
        <v>430</v>
      </c>
      <c r="M1102">
        <f>MINUTE(Table257[[#This Row],[Corrected time]])</f>
        <v>47</v>
      </c>
      <c r="N1102" s="1">
        <v>0.53267141203703705</v>
      </c>
      <c r="O1102" s="1">
        <f>Table257[[#This Row],[Time]]-TIME(0,0,3)</f>
        <v>0.53263668981481482</v>
      </c>
      <c r="P1102" t="s">
        <v>9</v>
      </c>
      <c r="Q1102">
        <v>-122</v>
      </c>
      <c r="R1102">
        <f>Table257[[#This Row],[RSSI]]</f>
        <v>-122</v>
      </c>
      <c r="S1102">
        <v>-8.8000000000000007</v>
      </c>
    </row>
    <row r="1103" spans="2:19" x14ac:dyDescent="0.25">
      <c r="B1103">
        <f>390+2*(Table146[[#This Row],[min value (corrected)]]-37)</f>
        <v>430</v>
      </c>
      <c r="C1103">
        <f>MINUTE(Table146[[#This Row],[Corrected time]])</f>
        <v>57</v>
      </c>
      <c r="D1103" s="1">
        <v>0.49805249999999995</v>
      </c>
      <c r="E1103" s="1">
        <f>Table146[[#This Row],[Time]]-TIME(0,0,1)</f>
        <v>0.49804092592592586</v>
      </c>
      <c r="F1103" t="s">
        <v>13</v>
      </c>
      <c r="G1103">
        <f t="shared" si="127"/>
        <v>-123</v>
      </c>
      <c r="H1103">
        <f>Table146[[#This Row],[RSSI]]</f>
        <v>-123</v>
      </c>
      <c r="I1103">
        <f t="shared" si="128"/>
        <v>-9.3000000000000007</v>
      </c>
      <c r="L1103">
        <f>390+2*(Table257[[#This Row],[min value (corrected)]]-27)</f>
        <v>430</v>
      </c>
      <c r="M1103">
        <f>MINUTE(Table257[[#This Row],[Corrected time]])</f>
        <v>47</v>
      </c>
      <c r="N1103" s="1">
        <v>0.53268443287037037</v>
      </c>
      <c r="O1103" s="1">
        <f>Table257[[#This Row],[Time]]-TIME(0,0,3)</f>
        <v>0.53264971064814814</v>
      </c>
      <c r="P1103" t="s">
        <v>9</v>
      </c>
      <c r="Q1103">
        <v>-122</v>
      </c>
      <c r="R1103">
        <f>Table257[[#This Row],[RSSI]]</f>
        <v>-122</v>
      </c>
      <c r="S1103">
        <v>-8.3000000000000007</v>
      </c>
    </row>
    <row r="1104" spans="2:19" x14ac:dyDescent="0.25">
      <c r="B1104">
        <f>390+2*(Table146[[#This Row],[min value (corrected)]]-37)</f>
        <v>430</v>
      </c>
      <c r="C1104">
        <f>MINUTE(Table146[[#This Row],[Corrected time]])</f>
        <v>57</v>
      </c>
      <c r="D1104" s="1">
        <v>0.49806550925925924</v>
      </c>
      <c r="E1104" s="1">
        <f>Table146[[#This Row],[Time]]-TIME(0,0,1)</f>
        <v>0.49805393518518515</v>
      </c>
      <c r="F1104" t="s">
        <v>9</v>
      </c>
      <c r="G1104">
        <v>-122</v>
      </c>
      <c r="H1104">
        <f>Table146[[#This Row],[RSSI]]</f>
        <v>-122</v>
      </c>
      <c r="I1104">
        <v>-9.3000000000000007</v>
      </c>
      <c r="L1104">
        <f>390+2*(Table257[[#This Row],[min value (corrected)]]-27)</f>
        <v>430</v>
      </c>
      <c r="M1104">
        <f>MINUTE(Table257[[#This Row],[Corrected time]])</f>
        <v>47</v>
      </c>
      <c r="N1104" s="1">
        <v>0.53269747685185187</v>
      </c>
      <c r="O1104" s="1">
        <f>Table257[[#This Row],[Time]]-TIME(0,0,3)</f>
        <v>0.53266275462962964</v>
      </c>
      <c r="P1104" t="s">
        <v>9</v>
      </c>
      <c r="Q1104">
        <v>-122</v>
      </c>
      <c r="R1104">
        <f>Table257[[#This Row],[RSSI]]</f>
        <v>-122</v>
      </c>
      <c r="S1104">
        <v>-8.3000000000000007</v>
      </c>
    </row>
    <row r="1105" spans="2:19" x14ac:dyDescent="0.25">
      <c r="B1105">
        <f>390+2*(Table146[[#This Row],[min value (corrected)]]-37)</f>
        <v>430</v>
      </c>
      <c r="C1105">
        <f>MINUTE(Table146[[#This Row],[Corrected time]])</f>
        <v>57</v>
      </c>
      <c r="D1105" s="1">
        <v>0.49807856481481477</v>
      </c>
      <c r="E1105" s="1">
        <f>Table146[[#This Row],[Time]]-TIME(0,0,1)</f>
        <v>0.49806699074074068</v>
      </c>
      <c r="F1105" t="s">
        <v>9</v>
      </c>
      <c r="G1105">
        <v>-122</v>
      </c>
      <c r="H1105">
        <f>Table146[[#This Row],[RSSI]]</f>
        <v>-122</v>
      </c>
      <c r="I1105">
        <v>-8.3000000000000007</v>
      </c>
      <c r="L1105">
        <f>390+2*(Table257[[#This Row],[min value (corrected)]]-27)</f>
        <v>430</v>
      </c>
      <c r="M1105">
        <f>MINUTE(Table257[[#This Row],[Corrected time]])</f>
        <v>47</v>
      </c>
      <c r="N1105" s="1">
        <v>0.53271049768518519</v>
      </c>
      <c r="O1105" s="1">
        <f>Table257[[#This Row],[Time]]-TIME(0,0,3)</f>
        <v>0.53267577546296296</v>
      </c>
      <c r="P1105" t="s">
        <v>9</v>
      </c>
      <c r="Q1105">
        <v>-122</v>
      </c>
      <c r="R1105">
        <f>Table257[[#This Row],[RSSI]]</f>
        <v>-122</v>
      </c>
      <c r="S1105">
        <v>-8.8000000000000007</v>
      </c>
    </row>
    <row r="1106" spans="2:19" x14ac:dyDescent="0.25">
      <c r="B1106">
        <f>390+2*(Table146[[#This Row],[min value (corrected)]]-37)</f>
        <v>430</v>
      </c>
      <c r="C1106">
        <f>MINUTE(Table146[[#This Row],[Corrected time]])</f>
        <v>57</v>
      </c>
      <c r="D1106" s="1">
        <v>0.49809158564814809</v>
      </c>
      <c r="E1106" s="1">
        <f>Table146[[#This Row],[Time]]-TIME(0,0,1)</f>
        <v>0.498080011574074</v>
      </c>
      <c r="F1106" t="s">
        <v>9</v>
      </c>
      <c r="G1106">
        <v>-122</v>
      </c>
      <c r="H1106">
        <f>Table146[[#This Row],[RSSI]]</f>
        <v>-122</v>
      </c>
      <c r="I1106">
        <v>-8.5</v>
      </c>
      <c r="L1106">
        <f>390+2*(Table257[[#This Row],[min value (corrected)]]-27)</f>
        <v>430</v>
      </c>
      <c r="M1106">
        <f>MINUTE(Table257[[#This Row],[Corrected time]])</f>
        <v>47</v>
      </c>
      <c r="N1106" s="1">
        <v>0.53272353009259266</v>
      </c>
      <c r="O1106" s="1">
        <f>Table257[[#This Row],[Time]]-TIME(0,0,3)</f>
        <v>0.53268880787037043</v>
      </c>
      <c r="P1106" t="s">
        <v>13</v>
      </c>
      <c r="Q1106">
        <f>Q1105</f>
        <v>-122</v>
      </c>
      <c r="R1106">
        <f>Table257[[#This Row],[RSSI]]</f>
        <v>-122</v>
      </c>
      <c r="S1106">
        <f>S1105</f>
        <v>-8.8000000000000007</v>
      </c>
    </row>
    <row r="1107" spans="2:19" x14ac:dyDescent="0.25">
      <c r="B1107">
        <f>390+2*(Table146[[#This Row],[min value (corrected)]]-37)</f>
        <v>430</v>
      </c>
      <c r="C1107">
        <f>MINUTE(Table146[[#This Row],[Corrected time]])</f>
        <v>57</v>
      </c>
      <c r="D1107" s="1">
        <v>0.49810462962962959</v>
      </c>
      <c r="E1107" s="1">
        <f>Table146[[#This Row],[Time]]-TIME(0,0,1)</f>
        <v>0.4980930555555555</v>
      </c>
      <c r="F1107" t="s">
        <v>9</v>
      </c>
      <c r="G1107">
        <v>-122</v>
      </c>
      <c r="H1107">
        <f>Table146[[#This Row],[RSSI]]</f>
        <v>-122</v>
      </c>
      <c r="I1107">
        <v>-8.8000000000000007</v>
      </c>
      <c r="L1107">
        <f>390+2*(Table257[[#This Row],[min value (corrected)]]-27)</f>
        <v>430</v>
      </c>
      <c r="M1107">
        <f>MINUTE(Table257[[#This Row],[Corrected time]])</f>
        <v>47</v>
      </c>
      <c r="N1107" s="1">
        <v>0.53273656250000001</v>
      </c>
      <c r="O1107" s="1">
        <f>Table257[[#This Row],[Time]]-TIME(0,0,3)</f>
        <v>0.53270184027777778</v>
      </c>
      <c r="P1107" t="s">
        <v>9</v>
      </c>
      <c r="Q1107">
        <v>-123</v>
      </c>
      <c r="R1107">
        <f>Table257[[#This Row],[RSSI]]</f>
        <v>-123</v>
      </c>
      <c r="S1107">
        <v>-10</v>
      </c>
    </row>
    <row r="1108" spans="2:19" x14ac:dyDescent="0.25">
      <c r="B1108">
        <f>390+2*(Table146[[#This Row],[min value (corrected)]]-37)</f>
        <v>430</v>
      </c>
      <c r="C1108">
        <f>MINUTE(Table146[[#This Row],[Corrected time]])</f>
        <v>57</v>
      </c>
      <c r="D1108" s="1">
        <v>0.49811766203703706</v>
      </c>
      <c r="E1108" s="1">
        <f>Table146[[#This Row],[Time]]-TIME(0,0,1)</f>
        <v>0.49810608796296296</v>
      </c>
      <c r="F1108" t="s">
        <v>9</v>
      </c>
      <c r="G1108">
        <v>-122</v>
      </c>
      <c r="H1108">
        <f>Table146[[#This Row],[RSSI]]</f>
        <v>-122</v>
      </c>
      <c r="I1108">
        <v>-8.8000000000000007</v>
      </c>
      <c r="L1108">
        <f>390+2*(Table257[[#This Row],[min value (corrected)]]-27)</f>
        <v>430</v>
      </c>
      <c r="M1108">
        <f>MINUTE(Table257[[#This Row],[Corrected time]])</f>
        <v>47</v>
      </c>
      <c r="N1108" s="1">
        <v>0.53274959490740748</v>
      </c>
      <c r="O1108" s="1">
        <f>Table257[[#This Row],[Time]]-TIME(0,0,3)</f>
        <v>0.53271487268518525</v>
      </c>
      <c r="P1108" t="s">
        <v>9</v>
      </c>
      <c r="Q1108">
        <v>-123</v>
      </c>
      <c r="R1108">
        <f>Table257[[#This Row],[RSSI]]</f>
        <v>-123</v>
      </c>
      <c r="S1108">
        <v>-9.5</v>
      </c>
    </row>
    <row r="1109" spans="2:19" x14ac:dyDescent="0.25">
      <c r="B1109">
        <f>390+2*(Table146[[#This Row],[min value (corrected)]]-37)</f>
        <v>430</v>
      </c>
      <c r="C1109">
        <f>MINUTE(Table146[[#This Row],[Corrected time]])</f>
        <v>57</v>
      </c>
      <c r="D1109" s="1">
        <v>0.49813069444444441</v>
      </c>
      <c r="E1109" s="1">
        <f>Table146[[#This Row],[Time]]-TIME(0,0,1)</f>
        <v>0.49811912037037032</v>
      </c>
      <c r="F1109" t="s">
        <v>9</v>
      </c>
      <c r="G1109">
        <v>-122</v>
      </c>
      <c r="H1109">
        <f>Table146[[#This Row],[RSSI]]</f>
        <v>-122</v>
      </c>
      <c r="I1109">
        <v>-8.8000000000000007</v>
      </c>
      <c r="L1109">
        <f>390+2*(Table257[[#This Row],[min value (corrected)]]-27)</f>
        <v>430</v>
      </c>
      <c r="M1109">
        <f>MINUTE(Table257[[#This Row],[Corrected time]])</f>
        <v>47</v>
      </c>
      <c r="N1109" s="1">
        <v>0.53276262731481483</v>
      </c>
      <c r="O1109" s="1">
        <f>Table257[[#This Row],[Time]]-TIME(0,0,3)</f>
        <v>0.5327279050925926</v>
      </c>
      <c r="P1109" t="s">
        <v>13</v>
      </c>
      <c r="Q1109">
        <f t="shared" ref="Q1109:Q1111" si="129">Q1108</f>
        <v>-123</v>
      </c>
      <c r="R1109">
        <f>Table257[[#This Row],[RSSI]]</f>
        <v>-123</v>
      </c>
      <c r="S1109">
        <f t="shared" ref="S1109:S1111" si="130">S1108</f>
        <v>-9.5</v>
      </c>
    </row>
    <row r="1110" spans="2:19" x14ac:dyDescent="0.25">
      <c r="B1110">
        <f>390+2*(Table146[[#This Row],[min value (corrected)]]-37)</f>
        <v>430</v>
      </c>
      <c r="C1110">
        <f>MINUTE(Table146[[#This Row],[Corrected time]])</f>
        <v>57</v>
      </c>
      <c r="D1110" s="1">
        <v>0.49814372685185188</v>
      </c>
      <c r="E1110" s="1">
        <f>Table146[[#This Row],[Time]]-TIME(0,0,1)</f>
        <v>0.49813215277777778</v>
      </c>
      <c r="F1110" t="s">
        <v>9</v>
      </c>
      <c r="G1110">
        <v>-122</v>
      </c>
      <c r="H1110">
        <f>Table146[[#This Row],[RSSI]]</f>
        <v>-122</v>
      </c>
      <c r="I1110">
        <v>-8</v>
      </c>
      <c r="L1110">
        <f>390+2*(Table257[[#This Row],[min value (corrected)]]-27)</f>
        <v>430</v>
      </c>
      <c r="M1110">
        <f>MINUTE(Table257[[#This Row],[Corrected time]])</f>
        <v>47</v>
      </c>
      <c r="N1110" s="1">
        <v>0.53277567129629633</v>
      </c>
      <c r="O1110" s="1">
        <f>Table257[[#This Row],[Time]]-TIME(0,0,3)</f>
        <v>0.5327409490740741</v>
      </c>
      <c r="P1110" t="s">
        <v>13</v>
      </c>
      <c r="Q1110">
        <f t="shared" si="129"/>
        <v>-123</v>
      </c>
      <c r="R1110">
        <f>Table257[[#This Row],[RSSI]]</f>
        <v>-123</v>
      </c>
      <c r="S1110">
        <f t="shared" si="130"/>
        <v>-9.5</v>
      </c>
    </row>
    <row r="1111" spans="2:19" x14ac:dyDescent="0.25">
      <c r="B1111">
        <f>390+2*(Table146[[#This Row],[min value (corrected)]]-37)</f>
        <v>430</v>
      </c>
      <c r="C1111">
        <f>MINUTE(Table146[[#This Row],[Corrected time]])</f>
        <v>57</v>
      </c>
      <c r="D1111" s="1">
        <v>0.49815675925925923</v>
      </c>
      <c r="E1111" s="1">
        <f>Table146[[#This Row],[Time]]-TIME(0,0,1)</f>
        <v>0.49814518518518514</v>
      </c>
      <c r="F1111" t="s">
        <v>9</v>
      </c>
      <c r="G1111">
        <v>-123</v>
      </c>
      <c r="H1111">
        <f>Table146[[#This Row],[RSSI]]</f>
        <v>-123</v>
      </c>
      <c r="I1111">
        <v>-8.8000000000000007</v>
      </c>
      <c r="L1111">
        <f>390+2*(Table257[[#This Row],[min value (corrected)]]-27)</f>
        <v>430</v>
      </c>
      <c r="M1111">
        <f>MINUTE(Table257[[#This Row],[Corrected time]])</f>
        <v>47</v>
      </c>
      <c r="N1111" s="1">
        <v>0.53278870370370379</v>
      </c>
      <c r="O1111" s="1">
        <f>Table257[[#This Row],[Time]]-TIME(0,0,3)</f>
        <v>0.53275398148148156</v>
      </c>
      <c r="P1111" t="s">
        <v>13</v>
      </c>
      <c r="Q1111">
        <f t="shared" si="129"/>
        <v>-123</v>
      </c>
      <c r="R1111">
        <f>Table257[[#This Row],[RSSI]]</f>
        <v>-123</v>
      </c>
      <c r="S1111">
        <f t="shared" si="130"/>
        <v>-9.5</v>
      </c>
    </row>
    <row r="1112" spans="2:19" x14ac:dyDescent="0.25">
      <c r="B1112">
        <f>390+2*(Table146[[#This Row],[min value (corrected)]]-37)</f>
        <v>430</v>
      </c>
      <c r="C1112">
        <f>MINUTE(Table146[[#This Row],[Corrected time]])</f>
        <v>57</v>
      </c>
      <c r="D1112" s="1">
        <v>0.49816979166666669</v>
      </c>
      <c r="E1112" s="1">
        <f>Table146[[#This Row],[Time]]-TIME(0,0,1)</f>
        <v>0.4981582175925926</v>
      </c>
      <c r="F1112" t="s">
        <v>9</v>
      </c>
      <c r="G1112">
        <v>-122</v>
      </c>
      <c r="H1112">
        <f>Table146[[#This Row],[RSSI]]</f>
        <v>-122</v>
      </c>
      <c r="I1112">
        <v>-8.8000000000000007</v>
      </c>
      <c r="L1112">
        <f>390+2*(Table257[[#This Row],[min value (corrected)]]-27)</f>
        <v>430</v>
      </c>
      <c r="M1112">
        <f>MINUTE(Table257[[#This Row],[Corrected time]])</f>
        <v>47</v>
      </c>
      <c r="N1112" s="1">
        <v>0.53280173611111115</v>
      </c>
      <c r="O1112" s="1">
        <f>Table257[[#This Row],[Time]]-TIME(0,0,3)</f>
        <v>0.53276701388888892</v>
      </c>
      <c r="P1112" t="s">
        <v>9</v>
      </c>
      <c r="Q1112">
        <v>-122</v>
      </c>
      <c r="R1112">
        <f>Table257[[#This Row],[RSSI]]</f>
        <v>-122</v>
      </c>
      <c r="S1112">
        <v>-8.5</v>
      </c>
    </row>
    <row r="1113" spans="2:19" x14ac:dyDescent="0.25">
      <c r="B1113">
        <f>390+2*(Table146[[#This Row],[min value (corrected)]]-37)</f>
        <v>430</v>
      </c>
      <c r="C1113">
        <f>MINUTE(Table146[[#This Row],[Corrected time]])</f>
        <v>57</v>
      </c>
      <c r="D1113" s="1">
        <v>0.49818282407407405</v>
      </c>
      <c r="E1113" s="1">
        <f>Table146[[#This Row],[Time]]-TIME(0,0,1)</f>
        <v>0.49817124999999995</v>
      </c>
      <c r="F1113" t="s">
        <v>13</v>
      </c>
      <c r="G1113">
        <f>G1112</f>
        <v>-122</v>
      </c>
      <c r="H1113">
        <f>Table146[[#This Row],[RSSI]]</f>
        <v>-122</v>
      </c>
      <c r="I1113">
        <f>I1112</f>
        <v>-8.8000000000000007</v>
      </c>
      <c r="L1113">
        <f>390+2*(Table257[[#This Row],[min value (corrected)]]-27)</f>
        <v>430</v>
      </c>
      <c r="M1113">
        <f>MINUTE(Table257[[#This Row],[Corrected time]])</f>
        <v>47</v>
      </c>
      <c r="N1113" s="1">
        <v>0.53281476851851861</v>
      </c>
      <c r="O1113" s="1">
        <f>Table257[[#This Row],[Time]]-TIME(0,0,3)</f>
        <v>0.53278004629629638</v>
      </c>
      <c r="P1113" t="s">
        <v>9</v>
      </c>
      <c r="Q1113">
        <v>-123</v>
      </c>
      <c r="R1113">
        <f>Table257[[#This Row],[RSSI]]</f>
        <v>-123</v>
      </c>
      <c r="S1113">
        <v>-9.3000000000000007</v>
      </c>
    </row>
    <row r="1114" spans="2:19" x14ac:dyDescent="0.25">
      <c r="B1114">
        <f>390+2*(Table146[[#This Row],[min value (corrected)]]-37)</f>
        <v>430</v>
      </c>
      <c r="C1114">
        <f>MINUTE(Table146[[#This Row],[Corrected time]])</f>
        <v>57</v>
      </c>
      <c r="D1114" s="1">
        <v>0.49819585648148151</v>
      </c>
      <c r="E1114" s="1">
        <f>Table146[[#This Row],[Time]]-TIME(0,0,1)</f>
        <v>0.49818428240740742</v>
      </c>
      <c r="F1114" t="s">
        <v>9</v>
      </c>
      <c r="G1114">
        <v>-122</v>
      </c>
      <c r="H1114">
        <f>Table146[[#This Row],[RSSI]]</f>
        <v>-122</v>
      </c>
      <c r="I1114">
        <v>-9</v>
      </c>
      <c r="L1114">
        <f>390+2*(Table257[[#This Row],[min value (corrected)]]-27)</f>
        <v>430</v>
      </c>
      <c r="M1114">
        <f>MINUTE(Table257[[#This Row],[Corrected time]])</f>
        <v>47</v>
      </c>
      <c r="N1114" s="1">
        <v>0.53282778935185193</v>
      </c>
      <c r="O1114" s="1">
        <f>Table257[[#This Row],[Time]]-TIME(0,0,3)</f>
        <v>0.5327930671296297</v>
      </c>
      <c r="P1114" t="s">
        <v>13</v>
      </c>
      <c r="Q1114">
        <f>Q1113</f>
        <v>-123</v>
      </c>
      <c r="R1114">
        <f>Table257[[#This Row],[RSSI]]</f>
        <v>-123</v>
      </c>
      <c r="S1114">
        <f>S1113</f>
        <v>-9.3000000000000007</v>
      </c>
    </row>
    <row r="1115" spans="2:19" x14ac:dyDescent="0.25">
      <c r="B1115">
        <f>390+2*(Table146[[#This Row],[min value (corrected)]]-37)</f>
        <v>430</v>
      </c>
      <c r="C1115">
        <f>MINUTE(Table146[[#This Row],[Corrected time]])</f>
        <v>57</v>
      </c>
      <c r="D1115" s="1">
        <v>0.49820888888888887</v>
      </c>
      <c r="E1115" s="1">
        <f>Table146[[#This Row],[Time]]-TIME(0,0,1)</f>
        <v>0.49819731481481477</v>
      </c>
      <c r="F1115" t="s">
        <v>13</v>
      </c>
      <c r="G1115">
        <f>G1114</f>
        <v>-122</v>
      </c>
      <c r="H1115">
        <f>Table146[[#This Row],[RSSI]]</f>
        <v>-122</v>
      </c>
      <c r="I1115">
        <f>I1114</f>
        <v>-9</v>
      </c>
      <c r="L1115">
        <f>390+2*(Table257[[#This Row],[min value (corrected)]]-27)</f>
        <v>430</v>
      </c>
      <c r="M1115">
        <f>MINUTE(Table257[[#This Row],[Corrected time]])</f>
        <v>47</v>
      </c>
      <c r="N1115" s="1">
        <v>0.53284082175925929</v>
      </c>
      <c r="O1115" s="1">
        <f>Table257[[#This Row],[Time]]-TIME(0,0,3)</f>
        <v>0.53280609953703706</v>
      </c>
      <c r="P1115" t="s">
        <v>9</v>
      </c>
      <c r="Q1115">
        <v>-122</v>
      </c>
      <c r="R1115">
        <f>Table257[[#This Row],[RSSI]]</f>
        <v>-122</v>
      </c>
      <c r="S1115">
        <v>-8.8000000000000007</v>
      </c>
    </row>
    <row r="1116" spans="2:19" x14ac:dyDescent="0.25">
      <c r="B1116">
        <f>390+2*(Table146[[#This Row],[min value (corrected)]]-37)</f>
        <v>430</v>
      </c>
      <c r="C1116">
        <f>MINUTE(Table146[[#This Row],[Corrected time]])</f>
        <v>57</v>
      </c>
      <c r="D1116" s="1">
        <v>0.49822192129629633</v>
      </c>
      <c r="E1116" s="1">
        <f>Table146[[#This Row],[Time]]-TIME(0,0,1)</f>
        <v>0.49821034722222224</v>
      </c>
      <c r="F1116" t="s">
        <v>9</v>
      </c>
      <c r="G1116">
        <v>-122</v>
      </c>
      <c r="H1116">
        <f>Table146[[#This Row],[RSSI]]</f>
        <v>-122</v>
      </c>
      <c r="I1116">
        <v>-8.5</v>
      </c>
      <c r="L1116">
        <f>390+2*(Table257[[#This Row],[min value (corrected)]]-27)</f>
        <v>430</v>
      </c>
      <c r="M1116">
        <f>MINUTE(Table257[[#This Row],[Corrected time]])</f>
        <v>47</v>
      </c>
      <c r="N1116" s="1">
        <v>0.53285386574074078</v>
      </c>
      <c r="O1116" s="1">
        <f>Table257[[#This Row],[Time]]-TIME(0,0,3)</f>
        <v>0.53281914351851856</v>
      </c>
      <c r="P1116" t="s">
        <v>13</v>
      </c>
      <c r="Q1116">
        <f>Q1115</f>
        <v>-122</v>
      </c>
      <c r="R1116">
        <f>Table257[[#This Row],[RSSI]]</f>
        <v>-122</v>
      </c>
      <c r="S1116">
        <f>S1115</f>
        <v>-8.8000000000000007</v>
      </c>
    </row>
    <row r="1117" spans="2:19" x14ac:dyDescent="0.25">
      <c r="B1117">
        <f>390+2*(Table146[[#This Row],[min value (corrected)]]-37)</f>
        <v>430</v>
      </c>
      <c r="C1117">
        <f>MINUTE(Table146[[#This Row],[Corrected time]])</f>
        <v>57</v>
      </c>
      <c r="D1117" s="1">
        <v>0.49823495370370369</v>
      </c>
      <c r="E1117" s="1">
        <f>Table146[[#This Row],[Time]]-TIME(0,0,1)</f>
        <v>0.49822337962962959</v>
      </c>
      <c r="F1117" t="s">
        <v>9</v>
      </c>
      <c r="G1117">
        <v>-122</v>
      </c>
      <c r="H1117">
        <f>Table146[[#This Row],[RSSI]]</f>
        <v>-122</v>
      </c>
      <c r="I1117">
        <v>-8.5</v>
      </c>
      <c r="L1117">
        <f>390+2*(Table257[[#This Row],[min value (corrected)]]-27)</f>
        <v>430</v>
      </c>
      <c r="M1117">
        <f>MINUTE(Table257[[#This Row],[Corrected time]])</f>
        <v>47</v>
      </c>
      <c r="N1117" s="1">
        <v>0.53286688657407411</v>
      </c>
      <c r="O1117" s="1">
        <f>Table257[[#This Row],[Time]]-TIME(0,0,3)</f>
        <v>0.53283216435185188</v>
      </c>
      <c r="P1117" t="s">
        <v>9</v>
      </c>
      <c r="Q1117">
        <v>-122</v>
      </c>
      <c r="R1117">
        <f>Table257[[#This Row],[RSSI]]</f>
        <v>-122</v>
      </c>
      <c r="S1117">
        <v>-8.8000000000000007</v>
      </c>
    </row>
    <row r="1118" spans="2:19" x14ac:dyDescent="0.25">
      <c r="B1118">
        <f>390+2*(Table146[[#This Row],[min value (corrected)]]-37)</f>
        <v>430</v>
      </c>
      <c r="C1118">
        <f>MINUTE(Table146[[#This Row],[Corrected time]])</f>
        <v>57</v>
      </c>
      <c r="D1118" s="1">
        <v>0.4982479861111111</v>
      </c>
      <c r="E1118" s="1">
        <f>Table146[[#This Row],[Time]]-TIME(0,0,1)</f>
        <v>0.498236412037037</v>
      </c>
      <c r="F1118" t="s">
        <v>13</v>
      </c>
      <c r="G1118">
        <f>G1117</f>
        <v>-122</v>
      </c>
      <c r="H1118">
        <f>Table146[[#This Row],[RSSI]]</f>
        <v>-122</v>
      </c>
      <c r="I1118">
        <f>I1117</f>
        <v>-8.5</v>
      </c>
      <c r="L1118">
        <f>390+2*(Table257[[#This Row],[min value (corrected)]]-27)</f>
        <v>430</v>
      </c>
      <c r="M1118">
        <f>MINUTE(Table257[[#This Row],[Corrected time]])</f>
        <v>47</v>
      </c>
      <c r="N1118" s="1">
        <v>0.5328799305555556</v>
      </c>
      <c r="O1118" s="1">
        <f>Table257[[#This Row],[Time]]-TIME(0,0,3)</f>
        <v>0.53284520833333338</v>
      </c>
      <c r="P1118" t="s">
        <v>9</v>
      </c>
      <c r="Q1118">
        <v>-122</v>
      </c>
      <c r="R1118">
        <f>Table257[[#This Row],[RSSI]]</f>
        <v>-122</v>
      </c>
      <c r="S1118">
        <v>-8.5</v>
      </c>
    </row>
    <row r="1119" spans="2:19" x14ac:dyDescent="0.25">
      <c r="B1119">
        <f>390+2*(Table146[[#This Row],[min value (corrected)]]-37)</f>
        <v>430</v>
      </c>
      <c r="C1119">
        <f>MINUTE(Table146[[#This Row],[Corrected time]])</f>
        <v>57</v>
      </c>
      <c r="D1119" s="1">
        <v>0.49826101851851851</v>
      </c>
      <c r="E1119" s="1">
        <f>Table146[[#This Row],[Time]]-TIME(0,0,1)</f>
        <v>0.49824944444444441</v>
      </c>
      <c r="F1119" t="s">
        <v>9</v>
      </c>
      <c r="G1119">
        <v>-122</v>
      </c>
      <c r="H1119">
        <f>Table146[[#This Row],[RSSI]]</f>
        <v>-122</v>
      </c>
      <c r="I1119">
        <v>-8.5</v>
      </c>
      <c r="L1119">
        <f>390+2*(Table257[[#This Row],[min value (corrected)]]-27)</f>
        <v>430</v>
      </c>
      <c r="M1119">
        <f>MINUTE(Table257[[#This Row],[Corrected time]])</f>
        <v>47</v>
      </c>
      <c r="N1119" s="1">
        <v>0.53289296296296296</v>
      </c>
      <c r="O1119" s="1">
        <f>Table257[[#This Row],[Time]]-TIME(0,0,3)</f>
        <v>0.53285824074074073</v>
      </c>
      <c r="P1119" t="s">
        <v>9</v>
      </c>
      <c r="Q1119">
        <v>-122</v>
      </c>
      <c r="R1119">
        <f>Table257[[#This Row],[RSSI]]</f>
        <v>-122</v>
      </c>
      <c r="S1119">
        <v>-9</v>
      </c>
    </row>
    <row r="1120" spans="2:19" x14ac:dyDescent="0.25">
      <c r="B1120">
        <f>390+2*(Table146[[#This Row],[min value (corrected)]]-37)</f>
        <v>430</v>
      </c>
      <c r="C1120">
        <f>MINUTE(Table146[[#This Row],[Corrected time]])</f>
        <v>57</v>
      </c>
      <c r="D1120" s="1">
        <v>0.49827405092592592</v>
      </c>
      <c r="E1120" s="1">
        <f>Table146[[#This Row],[Time]]-TIME(0,0,1)</f>
        <v>0.49826247685185182</v>
      </c>
      <c r="F1120" t="s">
        <v>9</v>
      </c>
      <c r="G1120">
        <v>-122</v>
      </c>
      <c r="H1120">
        <f>Table146[[#This Row],[RSSI]]</f>
        <v>-122</v>
      </c>
      <c r="I1120">
        <v>-9.3000000000000007</v>
      </c>
      <c r="L1120">
        <f>390+2*(Table257[[#This Row],[min value (corrected)]]-27)</f>
        <v>430</v>
      </c>
      <c r="M1120">
        <f>MINUTE(Table257[[#This Row],[Corrected time]])</f>
        <v>47</v>
      </c>
      <c r="N1120" s="1">
        <v>0.53290598379629628</v>
      </c>
      <c r="O1120" s="1">
        <f>Table257[[#This Row],[Time]]-TIME(0,0,3)</f>
        <v>0.53287126157407405</v>
      </c>
      <c r="P1120" t="s">
        <v>13</v>
      </c>
      <c r="Q1120">
        <f t="shared" ref="Q1120:Q1121" si="131">Q1119</f>
        <v>-122</v>
      </c>
      <c r="R1120">
        <f>Table257[[#This Row],[RSSI]]</f>
        <v>-122</v>
      </c>
      <c r="S1120">
        <f t="shared" ref="S1120:S1121" si="132">S1119</f>
        <v>-9</v>
      </c>
    </row>
    <row r="1121" spans="2:19" x14ac:dyDescent="0.25">
      <c r="B1121">
        <f>390+2*(Table146[[#This Row],[min value (corrected)]]-37)</f>
        <v>430</v>
      </c>
      <c r="C1121">
        <f>MINUTE(Table146[[#This Row],[Corrected time]])</f>
        <v>57</v>
      </c>
      <c r="D1121" s="1">
        <v>0.49828708333333332</v>
      </c>
      <c r="E1121" s="1">
        <f>Table146[[#This Row],[Time]]-TIME(0,0,1)</f>
        <v>0.49827550925925923</v>
      </c>
      <c r="F1121" t="s">
        <v>9</v>
      </c>
      <c r="G1121">
        <v>-123</v>
      </c>
      <c r="H1121">
        <f>Table146[[#This Row],[RSSI]]</f>
        <v>-123</v>
      </c>
      <c r="I1121">
        <v>-9.3000000000000007</v>
      </c>
      <c r="L1121">
        <f>390+2*(Table257[[#This Row],[min value (corrected)]]-27)</f>
        <v>430</v>
      </c>
      <c r="M1121">
        <f>MINUTE(Table257[[#This Row],[Corrected time]])</f>
        <v>47</v>
      </c>
      <c r="N1121" s="1">
        <v>0.53291902777777778</v>
      </c>
      <c r="O1121" s="1">
        <f>Table257[[#This Row],[Time]]-TIME(0,0,3)</f>
        <v>0.53288430555555555</v>
      </c>
      <c r="P1121" t="s">
        <v>13</v>
      </c>
      <c r="Q1121">
        <f t="shared" si="131"/>
        <v>-122</v>
      </c>
      <c r="R1121">
        <f>Table257[[#This Row],[RSSI]]</f>
        <v>-122</v>
      </c>
      <c r="S1121">
        <f t="shared" si="132"/>
        <v>-9</v>
      </c>
    </row>
    <row r="1122" spans="2:19" x14ac:dyDescent="0.25">
      <c r="B1122">
        <f>390+2*(Table146[[#This Row],[min value (corrected)]]-37)</f>
        <v>430</v>
      </c>
      <c r="C1122">
        <f>MINUTE(Table146[[#This Row],[Corrected time]])</f>
        <v>57</v>
      </c>
      <c r="D1122" s="1">
        <v>0.49830011574074073</v>
      </c>
      <c r="E1122" s="1">
        <f>Table146[[#This Row],[Time]]-TIME(0,0,1)</f>
        <v>0.49828854166666664</v>
      </c>
      <c r="F1122" t="s">
        <v>9</v>
      </c>
      <c r="G1122">
        <v>-122</v>
      </c>
      <c r="H1122">
        <f>Table146[[#This Row],[RSSI]]</f>
        <v>-122</v>
      </c>
      <c r="I1122">
        <v>-8.3000000000000007</v>
      </c>
      <c r="L1122">
        <f>390+2*(Table257[[#This Row],[min value (corrected)]]-27)</f>
        <v>430</v>
      </c>
      <c r="M1122">
        <f>MINUTE(Table257[[#This Row],[Corrected time]])</f>
        <v>47</v>
      </c>
      <c r="N1122" s="1">
        <v>0.53293206018518524</v>
      </c>
      <c r="O1122" s="1">
        <f>Table257[[#This Row],[Time]]-TIME(0,0,3)</f>
        <v>0.53289733796296301</v>
      </c>
      <c r="P1122" t="s">
        <v>9</v>
      </c>
      <c r="Q1122">
        <v>-122</v>
      </c>
      <c r="R1122">
        <f>Table257[[#This Row],[RSSI]]</f>
        <v>-122</v>
      </c>
      <c r="S1122">
        <v>-8.3000000000000007</v>
      </c>
    </row>
    <row r="1123" spans="2:19" x14ac:dyDescent="0.25">
      <c r="B1123">
        <f>390+2*(Table146[[#This Row],[min value (corrected)]]-37)</f>
        <v>430</v>
      </c>
      <c r="C1123">
        <f>MINUTE(Table146[[#This Row],[Corrected time]])</f>
        <v>57</v>
      </c>
      <c r="D1123" s="1">
        <v>0.49831313657407406</v>
      </c>
      <c r="E1123" s="1">
        <f>Table146[[#This Row],[Time]]-TIME(0,0,1)</f>
        <v>0.49830156249999996</v>
      </c>
      <c r="F1123" t="s">
        <v>9</v>
      </c>
      <c r="G1123">
        <v>-122</v>
      </c>
      <c r="H1123">
        <f>Table146[[#This Row],[RSSI]]</f>
        <v>-122</v>
      </c>
      <c r="I1123">
        <v>-8.8000000000000007</v>
      </c>
      <c r="L1123">
        <f>390+2*(Table257[[#This Row],[min value (corrected)]]-27)</f>
        <v>430</v>
      </c>
      <c r="M1123">
        <f>MINUTE(Table257[[#This Row],[Corrected time]])</f>
        <v>47</v>
      </c>
      <c r="N1123" s="1">
        <v>0.5329450925925926</v>
      </c>
      <c r="O1123" s="1">
        <f>Table257[[#This Row],[Time]]-TIME(0,0,3)</f>
        <v>0.53291037037037037</v>
      </c>
      <c r="P1123" t="s">
        <v>9</v>
      </c>
      <c r="Q1123">
        <v>-123</v>
      </c>
      <c r="R1123">
        <f>Table257[[#This Row],[RSSI]]</f>
        <v>-123</v>
      </c>
      <c r="S1123">
        <v>-9</v>
      </c>
    </row>
    <row r="1124" spans="2:19" x14ac:dyDescent="0.25">
      <c r="B1124">
        <f>390+2*(Table146[[#This Row],[min value (corrected)]]-37)</f>
        <v>430</v>
      </c>
      <c r="C1124">
        <f>MINUTE(Table146[[#This Row],[Corrected time]])</f>
        <v>57</v>
      </c>
      <c r="D1124" s="1">
        <v>0.49832618055555555</v>
      </c>
      <c r="E1124" s="1">
        <f>Table146[[#This Row],[Time]]-TIME(0,0,1)</f>
        <v>0.49831460648148146</v>
      </c>
      <c r="F1124" t="s">
        <v>9</v>
      </c>
      <c r="G1124">
        <v>-123</v>
      </c>
      <c r="H1124">
        <f>Table146[[#This Row],[RSSI]]</f>
        <v>-123</v>
      </c>
      <c r="I1124">
        <v>-9.3000000000000007</v>
      </c>
      <c r="L1124">
        <f>390+2*(Table257[[#This Row],[min value (corrected)]]-27)</f>
        <v>430</v>
      </c>
      <c r="M1124">
        <f>MINUTE(Table257[[#This Row],[Corrected time]])</f>
        <v>47</v>
      </c>
      <c r="N1124" s="1">
        <v>0.53295812500000006</v>
      </c>
      <c r="O1124" s="1">
        <f>Table257[[#This Row],[Time]]-TIME(0,0,3)</f>
        <v>0.53292340277777783</v>
      </c>
      <c r="P1124" t="s">
        <v>9</v>
      </c>
      <c r="Q1124">
        <v>-122</v>
      </c>
      <c r="R1124">
        <f>Table257[[#This Row],[RSSI]]</f>
        <v>-122</v>
      </c>
      <c r="S1124">
        <v>-8.8000000000000007</v>
      </c>
    </row>
    <row r="1125" spans="2:19" x14ac:dyDescent="0.25">
      <c r="B1125">
        <f>390+2*(Table146[[#This Row],[min value (corrected)]]-37)</f>
        <v>430</v>
      </c>
      <c r="C1125">
        <f>MINUTE(Table146[[#This Row],[Corrected time]])</f>
        <v>57</v>
      </c>
      <c r="D1125" s="1">
        <v>0.49833921296296296</v>
      </c>
      <c r="E1125" s="1">
        <f>Table146[[#This Row],[Time]]-TIME(0,0,1)</f>
        <v>0.49832763888888887</v>
      </c>
      <c r="F1125" t="s">
        <v>9</v>
      </c>
      <c r="G1125">
        <v>-122</v>
      </c>
      <c r="H1125">
        <f>Table146[[#This Row],[RSSI]]</f>
        <v>-122</v>
      </c>
      <c r="I1125">
        <v>-8.8000000000000007</v>
      </c>
      <c r="L1125">
        <f>390+2*(Table257[[#This Row],[min value (corrected)]]-27)</f>
        <v>430</v>
      </c>
      <c r="M1125">
        <f>MINUTE(Table257[[#This Row],[Corrected time]])</f>
        <v>47</v>
      </c>
      <c r="N1125" s="1">
        <v>0.53297114583333338</v>
      </c>
      <c r="O1125" s="1">
        <f>Table257[[#This Row],[Time]]-TIME(0,0,3)</f>
        <v>0.53293642361111115</v>
      </c>
      <c r="P1125" t="s">
        <v>9</v>
      </c>
      <c r="Q1125">
        <v>-123</v>
      </c>
      <c r="R1125">
        <f>Table257[[#This Row],[RSSI]]</f>
        <v>-123</v>
      </c>
      <c r="S1125">
        <v>-9</v>
      </c>
    </row>
    <row r="1126" spans="2:19" x14ac:dyDescent="0.25">
      <c r="B1126">
        <f>390+2*(Table146[[#This Row],[min value (corrected)]]-37)</f>
        <v>430</v>
      </c>
      <c r="C1126">
        <f>MINUTE(Table146[[#This Row],[Corrected time]])</f>
        <v>57</v>
      </c>
      <c r="D1126" s="1">
        <v>0.49835224537037037</v>
      </c>
      <c r="E1126" s="1">
        <f>Table146[[#This Row],[Time]]-TIME(0,0,1)</f>
        <v>0.49834067129629628</v>
      </c>
      <c r="F1126" t="s">
        <v>9</v>
      </c>
      <c r="G1126">
        <v>-122</v>
      </c>
      <c r="H1126">
        <f>Table146[[#This Row],[RSSI]]</f>
        <v>-122</v>
      </c>
      <c r="I1126">
        <v>-8.5</v>
      </c>
      <c r="L1126">
        <f>390+2*(Table257[[#This Row],[min value (corrected)]]-27)</f>
        <v>430</v>
      </c>
      <c r="M1126">
        <f>MINUTE(Table257[[#This Row],[Corrected time]])</f>
        <v>47</v>
      </c>
      <c r="N1126" s="1">
        <v>0.53298417824074074</v>
      </c>
      <c r="O1126" s="1">
        <f>Table257[[#This Row],[Time]]-TIME(0,0,3)</f>
        <v>0.53294945601851851</v>
      </c>
      <c r="P1126" t="s">
        <v>9</v>
      </c>
      <c r="Q1126">
        <v>-122</v>
      </c>
      <c r="R1126">
        <f>Table257[[#This Row],[RSSI]]</f>
        <v>-122</v>
      </c>
      <c r="S1126">
        <v>-8.3000000000000007</v>
      </c>
    </row>
    <row r="1127" spans="2:19" x14ac:dyDescent="0.25">
      <c r="B1127">
        <f>390+2*(Table146[[#This Row],[min value (corrected)]]-37)</f>
        <v>430</v>
      </c>
      <c r="C1127">
        <f>MINUTE(Table146[[#This Row],[Corrected time]])</f>
        <v>57</v>
      </c>
      <c r="D1127" s="1">
        <v>0.49836527777777778</v>
      </c>
      <c r="E1127" s="1">
        <f>Table146[[#This Row],[Time]]-TIME(0,0,1)</f>
        <v>0.49835370370370369</v>
      </c>
      <c r="F1127" t="s">
        <v>9</v>
      </c>
      <c r="G1127">
        <v>-122</v>
      </c>
      <c r="H1127">
        <f>Table146[[#This Row],[RSSI]]</f>
        <v>-122</v>
      </c>
      <c r="I1127">
        <v>-8.8000000000000007</v>
      </c>
      <c r="L1127">
        <f>390+2*(Table257[[#This Row],[min value (corrected)]]-27)</f>
        <v>430</v>
      </c>
      <c r="M1127">
        <f>MINUTE(Table257[[#This Row],[Corrected time]])</f>
        <v>47</v>
      </c>
      <c r="N1127" s="1">
        <v>0.53299722222222223</v>
      </c>
      <c r="O1127" s="1">
        <f>Table257[[#This Row],[Time]]-TIME(0,0,3)</f>
        <v>0.53296250000000001</v>
      </c>
      <c r="P1127" t="s">
        <v>9</v>
      </c>
      <c r="Q1127">
        <v>-122</v>
      </c>
      <c r="R1127">
        <f>Table257[[#This Row],[RSSI]]</f>
        <v>-122</v>
      </c>
      <c r="S1127">
        <v>-9</v>
      </c>
    </row>
    <row r="1128" spans="2:19" x14ac:dyDescent="0.25">
      <c r="B1128">
        <f>390+2*(Table146[[#This Row],[min value (corrected)]]-37)</f>
        <v>430</v>
      </c>
      <c r="C1128">
        <f>MINUTE(Table146[[#This Row],[Corrected time]])</f>
        <v>57</v>
      </c>
      <c r="D1128" s="1">
        <v>0.49837831018518519</v>
      </c>
      <c r="E1128" s="1">
        <f>Table146[[#This Row],[Time]]-TIME(0,0,1)</f>
        <v>0.4983667361111111</v>
      </c>
      <c r="F1128" t="s">
        <v>13</v>
      </c>
      <c r="G1128">
        <f>G1127</f>
        <v>-122</v>
      </c>
      <c r="H1128">
        <f>Table146[[#This Row],[RSSI]]</f>
        <v>-122</v>
      </c>
      <c r="I1128">
        <f>I1127</f>
        <v>-8.8000000000000007</v>
      </c>
      <c r="L1128">
        <f>390+2*(Table257[[#This Row],[min value (corrected)]]-27)</f>
        <v>430</v>
      </c>
      <c r="M1128">
        <f>MINUTE(Table257[[#This Row],[Corrected time]])</f>
        <v>47</v>
      </c>
      <c r="N1128" s="1">
        <v>0.53301024305555555</v>
      </c>
      <c r="O1128" s="1">
        <f>Table257[[#This Row],[Time]]-TIME(0,0,3)</f>
        <v>0.53297552083333333</v>
      </c>
      <c r="P1128" t="s">
        <v>9</v>
      </c>
      <c r="Q1128">
        <v>-122</v>
      </c>
      <c r="R1128">
        <f>Table257[[#This Row],[RSSI]]</f>
        <v>-122</v>
      </c>
      <c r="S1128">
        <v>-8.5</v>
      </c>
    </row>
    <row r="1129" spans="2:19" x14ac:dyDescent="0.25">
      <c r="B1129">
        <f>390+2*(Table146[[#This Row],[min value (corrected)]]-37)</f>
        <v>430</v>
      </c>
      <c r="C1129">
        <f>MINUTE(Table146[[#This Row],[Corrected time]])</f>
        <v>57</v>
      </c>
      <c r="D1129" s="1">
        <v>0.4983913425925926</v>
      </c>
      <c r="E1129" s="1">
        <f>Table146[[#This Row],[Time]]-TIME(0,0,1)</f>
        <v>0.49837976851851851</v>
      </c>
      <c r="F1129" t="s">
        <v>9</v>
      </c>
      <c r="G1129">
        <v>-123</v>
      </c>
      <c r="H1129">
        <f>Table146[[#This Row],[RSSI]]</f>
        <v>-123</v>
      </c>
      <c r="I1129">
        <v>-9.3000000000000007</v>
      </c>
      <c r="L1129">
        <f>390+2*(Table257[[#This Row],[min value (corrected)]]-27)</f>
        <v>430</v>
      </c>
      <c r="M1129">
        <f>MINUTE(Table257[[#This Row],[Corrected time]])</f>
        <v>47</v>
      </c>
      <c r="N1129" s="1">
        <v>0.53302328703703705</v>
      </c>
      <c r="O1129" s="1">
        <f>Table257[[#This Row],[Time]]-TIME(0,0,3)</f>
        <v>0.53298856481481482</v>
      </c>
      <c r="P1129" t="s">
        <v>9</v>
      </c>
      <c r="Q1129">
        <v>-122</v>
      </c>
      <c r="R1129">
        <f>Table257[[#This Row],[RSSI]]</f>
        <v>-122</v>
      </c>
      <c r="S1129">
        <v>-8.5</v>
      </c>
    </row>
    <row r="1130" spans="2:19" x14ac:dyDescent="0.25">
      <c r="B1130">
        <f>390+2*(Table146[[#This Row],[min value (corrected)]]-37)</f>
        <v>430</v>
      </c>
      <c r="C1130">
        <f>MINUTE(Table146[[#This Row],[Corrected time]])</f>
        <v>57</v>
      </c>
      <c r="D1130" s="1">
        <v>0.49840437500000001</v>
      </c>
      <c r="E1130" s="1">
        <f>Table146[[#This Row],[Time]]-TIME(0,0,1)</f>
        <v>0.49839280092592592</v>
      </c>
      <c r="F1130" t="s">
        <v>13</v>
      </c>
      <c r="G1130">
        <f>G1129</f>
        <v>-123</v>
      </c>
      <c r="H1130">
        <f>Table146[[#This Row],[RSSI]]</f>
        <v>-123</v>
      </c>
      <c r="I1130">
        <f>I1129</f>
        <v>-9.3000000000000007</v>
      </c>
      <c r="L1130">
        <f>390+2*(Table257[[#This Row],[min value (corrected)]]-27)</f>
        <v>430</v>
      </c>
      <c r="M1130">
        <f>MINUTE(Table257[[#This Row],[Corrected time]])</f>
        <v>47</v>
      </c>
      <c r="N1130" s="1">
        <v>0.53303631944444452</v>
      </c>
      <c r="O1130" s="1">
        <f>Table257[[#This Row],[Time]]-TIME(0,0,3)</f>
        <v>0.53300159722222229</v>
      </c>
      <c r="P1130" t="s">
        <v>9</v>
      </c>
      <c r="Q1130">
        <v>-123</v>
      </c>
      <c r="R1130">
        <f>Table257[[#This Row],[RSSI]]</f>
        <v>-123</v>
      </c>
      <c r="S1130">
        <v>-9.3000000000000007</v>
      </c>
    </row>
    <row r="1131" spans="2:19" x14ac:dyDescent="0.25">
      <c r="B1131">
        <f>390+2*(Table146[[#This Row],[min value (corrected)]]-37)</f>
        <v>430</v>
      </c>
      <c r="C1131">
        <f>MINUTE(Table146[[#This Row],[Corrected time]])</f>
        <v>57</v>
      </c>
      <c r="D1131" s="1">
        <v>0.49841739583333333</v>
      </c>
      <c r="E1131" s="1">
        <f>Table146[[#This Row],[Time]]-TIME(0,0,1)</f>
        <v>0.49840582175925924</v>
      </c>
      <c r="F1131" t="s">
        <v>9</v>
      </c>
      <c r="G1131">
        <v>-122</v>
      </c>
      <c r="H1131">
        <f>Table146[[#This Row],[RSSI]]</f>
        <v>-122</v>
      </c>
      <c r="I1131">
        <v>-9</v>
      </c>
      <c r="L1131">
        <f>390+2*(Table257[[#This Row],[min value (corrected)]]-27)</f>
        <v>430</v>
      </c>
      <c r="M1131">
        <f>MINUTE(Table257[[#This Row],[Corrected time]])</f>
        <v>47</v>
      </c>
      <c r="N1131" s="1">
        <v>0.53304934027777784</v>
      </c>
      <c r="O1131" s="1">
        <f>Table257[[#This Row],[Time]]-TIME(0,0,3)</f>
        <v>0.53301461805555561</v>
      </c>
      <c r="P1131" t="s">
        <v>9</v>
      </c>
      <c r="Q1131">
        <v>-122</v>
      </c>
      <c r="R1131">
        <f>Table257[[#This Row],[RSSI]]</f>
        <v>-122</v>
      </c>
      <c r="S1131">
        <v>-8.5</v>
      </c>
    </row>
    <row r="1132" spans="2:19" x14ac:dyDescent="0.25">
      <c r="B1132">
        <f>390+2*(Table146[[#This Row],[min value (corrected)]]-37)</f>
        <v>430</v>
      </c>
      <c r="C1132">
        <f>MINUTE(Table146[[#This Row],[Corrected time]])</f>
        <v>57</v>
      </c>
      <c r="D1132" s="1">
        <v>0.49843043981481483</v>
      </c>
      <c r="E1132" s="1">
        <f>Table146[[#This Row],[Time]]-TIME(0,0,1)</f>
        <v>0.49841886574074074</v>
      </c>
      <c r="F1132" t="s">
        <v>9</v>
      </c>
      <c r="G1132">
        <v>-122</v>
      </c>
      <c r="H1132">
        <f>Table146[[#This Row],[RSSI]]</f>
        <v>-122</v>
      </c>
      <c r="I1132">
        <v>-8.8000000000000007</v>
      </c>
      <c r="L1132">
        <f>390+2*(Table257[[#This Row],[min value (corrected)]]-27)</f>
        <v>430</v>
      </c>
      <c r="M1132">
        <f>MINUTE(Table257[[#This Row],[Corrected time]])</f>
        <v>47</v>
      </c>
      <c r="N1132" s="1">
        <v>0.53306238425925923</v>
      </c>
      <c r="O1132" s="1">
        <f>Table257[[#This Row],[Time]]-TIME(0,0,3)</f>
        <v>0.533027662037037</v>
      </c>
      <c r="P1132" t="s">
        <v>9</v>
      </c>
      <c r="Q1132">
        <v>-122</v>
      </c>
      <c r="R1132">
        <f>Table257[[#This Row],[RSSI]]</f>
        <v>-122</v>
      </c>
      <c r="S1132">
        <v>-8.5</v>
      </c>
    </row>
    <row r="1133" spans="2:19" x14ac:dyDescent="0.25">
      <c r="B1133">
        <f>390+2*(Table146[[#This Row],[min value (corrected)]]-37)</f>
        <v>430</v>
      </c>
      <c r="C1133">
        <f>MINUTE(Table146[[#This Row],[Corrected time]])</f>
        <v>57</v>
      </c>
      <c r="D1133" s="1">
        <v>0.49844347222222224</v>
      </c>
      <c r="E1133" s="1">
        <f>Table146[[#This Row],[Time]]-TIME(0,0,1)</f>
        <v>0.49843189814814814</v>
      </c>
      <c r="F1133" t="s">
        <v>13</v>
      </c>
      <c r="G1133">
        <f>G1132</f>
        <v>-122</v>
      </c>
      <c r="H1133">
        <f>Table146[[#This Row],[RSSI]]</f>
        <v>-122</v>
      </c>
      <c r="I1133">
        <f>I1132</f>
        <v>-8.8000000000000007</v>
      </c>
      <c r="L1133">
        <f>390+2*(Table257[[#This Row],[min value (corrected)]]-27)</f>
        <v>430</v>
      </c>
      <c r="M1133">
        <f>MINUTE(Table257[[#This Row],[Corrected time]])</f>
        <v>47</v>
      </c>
      <c r="N1133" s="1">
        <v>0.53307541666666669</v>
      </c>
      <c r="O1133" s="1">
        <f>Table257[[#This Row],[Time]]-TIME(0,0,3)</f>
        <v>0.53304069444444446</v>
      </c>
      <c r="P1133" t="s">
        <v>9</v>
      </c>
      <c r="Q1133">
        <v>-122</v>
      </c>
      <c r="R1133">
        <f>Table257[[#This Row],[RSSI]]</f>
        <v>-122</v>
      </c>
      <c r="S1133">
        <v>-8.8000000000000007</v>
      </c>
    </row>
    <row r="1134" spans="2:19" x14ac:dyDescent="0.25">
      <c r="B1134">
        <f>390+2*(Table146[[#This Row],[min value (corrected)]]-37)</f>
        <v>430</v>
      </c>
      <c r="C1134">
        <f>MINUTE(Table146[[#This Row],[Corrected time]])</f>
        <v>57</v>
      </c>
      <c r="D1134" s="1">
        <v>0.49845650462962965</v>
      </c>
      <c r="E1134" s="1">
        <f>Table146[[#This Row],[Time]]-TIME(0,0,1)</f>
        <v>0.49844493055555555</v>
      </c>
      <c r="F1134" t="s">
        <v>9</v>
      </c>
      <c r="G1134">
        <v>-122</v>
      </c>
      <c r="H1134">
        <f>Table146[[#This Row],[RSSI]]</f>
        <v>-122</v>
      </c>
      <c r="I1134">
        <v>-8.8000000000000007</v>
      </c>
      <c r="L1134">
        <f>390+2*(Table257[[#This Row],[min value (corrected)]]-27)</f>
        <v>430</v>
      </c>
      <c r="M1134">
        <f>MINUTE(Table257[[#This Row],[Corrected time]])</f>
        <v>47</v>
      </c>
      <c r="N1134" s="1">
        <v>0.53308843750000001</v>
      </c>
      <c r="O1134" s="1">
        <f>Table257[[#This Row],[Time]]-TIME(0,0,3)</f>
        <v>0.53305371527777778</v>
      </c>
      <c r="P1134" t="s">
        <v>9</v>
      </c>
      <c r="Q1134">
        <v>-122</v>
      </c>
      <c r="R1134">
        <f>Table257[[#This Row],[RSSI]]</f>
        <v>-122</v>
      </c>
      <c r="S1134">
        <v>-8.5</v>
      </c>
    </row>
    <row r="1135" spans="2:19" x14ac:dyDescent="0.25">
      <c r="B1135">
        <f>390+2*(Table146[[#This Row],[min value (corrected)]]-37)</f>
        <v>430</v>
      </c>
      <c r="C1135">
        <f>MINUTE(Table146[[#This Row],[Corrected time]])</f>
        <v>57</v>
      </c>
      <c r="D1135" s="1">
        <v>0.498469537037037</v>
      </c>
      <c r="E1135" s="1">
        <f>Table146[[#This Row],[Time]]-TIME(0,0,1)</f>
        <v>0.49845796296296291</v>
      </c>
      <c r="F1135" t="s">
        <v>9</v>
      </c>
      <c r="G1135">
        <v>-122</v>
      </c>
      <c r="H1135">
        <f>Table146[[#This Row],[RSSI]]</f>
        <v>-122</v>
      </c>
      <c r="I1135">
        <v>-8.3000000000000007</v>
      </c>
      <c r="L1135">
        <f>390+2*(Table257[[#This Row],[min value (corrected)]]-27)</f>
        <v>430</v>
      </c>
      <c r="M1135">
        <f>MINUTE(Table257[[#This Row],[Corrected time]])</f>
        <v>47</v>
      </c>
      <c r="N1135" s="1">
        <v>0.53310146990740737</v>
      </c>
      <c r="O1135" s="1">
        <f>Table257[[#This Row],[Time]]-TIME(0,0,3)</f>
        <v>0.53306674768518514</v>
      </c>
      <c r="P1135" t="s">
        <v>9</v>
      </c>
      <c r="Q1135">
        <v>-123</v>
      </c>
      <c r="R1135">
        <f>Table257[[#This Row],[RSSI]]</f>
        <v>-123</v>
      </c>
      <c r="S1135">
        <v>-9</v>
      </c>
    </row>
    <row r="1136" spans="2:19" x14ac:dyDescent="0.25">
      <c r="B1136">
        <f>390+2*(Table146[[#This Row],[min value (corrected)]]-37)</f>
        <v>430</v>
      </c>
      <c r="C1136">
        <f>MINUTE(Table146[[#This Row],[Corrected time]])</f>
        <v>57</v>
      </c>
      <c r="D1136" s="1">
        <v>0.49848256944444447</v>
      </c>
      <c r="E1136" s="1">
        <f>Table146[[#This Row],[Time]]-TIME(0,0,1)</f>
        <v>0.49847099537037037</v>
      </c>
      <c r="F1136" t="s">
        <v>9</v>
      </c>
      <c r="G1136">
        <v>-123</v>
      </c>
      <c r="H1136">
        <f>Table146[[#This Row],[RSSI]]</f>
        <v>-123</v>
      </c>
      <c r="I1136">
        <v>-9.3000000000000007</v>
      </c>
      <c r="L1136">
        <f>390+2*(Table257[[#This Row],[min value (corrected)]]-27)</f>
        <v>430</v>
      </c>
      <c r="M1136">
        <f>MINUTE(Table257[[#This Row],[Corrected time]])</f>
        <v>47</v>
      </c>
      <c r="N1136" s="1">
        <v>0.53311451388888886</v>
      </c>
      <c r="O1136" s="1">
        <f>Table257[[#This Row],[Time]]-TIME(0,0,3)</f>
        <v>0.53307979166666664</v>
      </c>
      <c r="P1136" t="s">
        <v>9</v>
      </c>
      <c r="Q1136">
        <v>-122</v>
      </c>
      <c r="R1136">
        <f>Table257[[#This Row],[RSSI]]</f>
        <v>-122</v>
      </c>
      <c r="S1136">
        <v>-8.5</v>
      </c>
    </row>
    <row r="1137" spans="2:19" x14ac:dyDescent="0.25">
      <c r="B1137">
        <f>390+2*(Table146[[#This Row],[min value (corrected)]]-37)</f>
        <v>430</v>
      </c>
      <c r="C1137">
        <f>MINUTE(Table146[[#This Row],[Corrected time]])</f>
        <v>57</v>
      </c>
      <c r="D1137" s="1">
        <v>0.49849560185185182</v>
      </c>
      <c r="E1137" s="1">
        <f>Table146[[#This Row],[Time]]-TIME(0,0,1)</f>
        <v>0.49848402777777773</v>
      </c>
      <c r="F1137" t="s">
        <v>9</v>
      </c>
      <c r="G1137">
        <v>-122</v>
      </c>
      <c r="H1137">
        <f>Table146[[#This Row],[RSSI]]</f>
        <v>-122</v>
      </c>
      <c r="I1137">
        <v>-8.5</v>
      </c>
      <c r="L1137">
        <f>390+2*(Table257[[#This Row],[min value (corrected)]]-27)</f>
        <v>430</v>
      </c>
      <c r="M1137">
        <f>MINUTE(Table257[[#This Row],[Corrected time]])</f>
        <v>47</v>
      </c>
      <c r="N1137" s="1">
        <v>0.53312753472222218</v>
      </c>
      <c r="O1137" s="1">
        <f>Table257[[#This Row],[Time]]-TIME(0,0,3)</f>
        <v>0.53309281249999996</v>
      </c>
      <c r="P1137" t="s">
        <v>9</v>
      </c>
      <c r="Q1137">
        <v>-121</v>
      </c>
      <c r="R1137">
        <f>Table257[[#This Row],[RSSI]]</f>
        <v>-121</v>
      </c>
      <c r="S1137">
        <v>-8</v>
      </c>
    </row>
    <row r="1138" spans="2:19" x14ac:dyDescent="0.25">
      <c r="B1138">
        <f>390+2*(Table146[[#This Row],[min value (corrected)]]-37)</f>
        <v>430</v>
      </c>
      <c r="C1138">
        <f>MINUTE(Table146[[#This Row],[Corrected time]])</f>
        <v>57</v>
      </c>
      <c r="D1138" s="1">
        <v>0.49850862268518514</v>
      </c>
      <c r="E1138" s="1">
        <f>Table146[[#This Row],[Time]]-TIME(0,0,1)</f>
        <v>0.49849704861111105</v>
      </c>
      <c r="F1138" t="s">
        <v>13</v>
      </c>
      <c r="G1138">
        <f>G1137</f>
        <v>-122</v>
      </c>
      <c r="H1138">
        <f>Table146[[#This Row],[RSSI]]</f>
        <v>-122</v>
      </c>
      <c r="I1138">
        <f>I1137</f>
        <v>-8.5</v>
      </c>
      <c r="L1138">
        <f>390+2*(Table257[[#This Row],[min value (corrected)]]-27)</f>
        <v>430</v>
      </c>
      <c r="M1138">
        <f>MINUTE(Table257[[#This Row],[Corrected time]])</f>
        <v>47</v>
      </c>
      <c r="N1138" s="1">
        <v>0.53314057870370368</v>
      </c>
      <c r="O1138" s="1">
        <f>Table257[[#This Row],[Time]]-TIME(0,0,3)</f>
        <v>0.53310585648148145</v>
      </c>
      <c r="P1138" t="s">
        <v>9</v>
      </c>
      <c r="Q1138">
        <v>-122</v>
      </c>
      <c r="R1138">
        <f>Table257[[#This Row],[RSSI]]</f>
        <v>-122</v>
      </c>
      <c r="S1138">
        <v>-8.5</v>
      </c>
    </row>
    <row r="1139" spans="2:19" x14ac:dyDescent="0.25">
      <c r="B1139">
        <f>390+2*(Table146[[#This Row],[min value (corrected)]]-37)</f>
        <v>430</v>
      </c>
      <c r="C1139">
        <f>MINUTE(Table146[[#This Row],[Corrected time]])</f>
        <v>57</v>
      </c>
      <c r="D1139" s="1">
        <v>0.49852166666666664</v>
      </c>
      <c r="E1139" s="1">
        <f>Table146[[#This Row],[Time]]-TIME(0,0,1)</f>
        <v>0.49851009259259255</v>
      </c>
      <c r="F1139" t="s">
        <v>9</v>
      </c>
      <c r="G1139">
        <v>-122</v>
      </c>
      <c r="H1139">
        <f>Table146[[#This Row],[RSSI]]</f>
        <v>-122</v>
      </c>
      <c r="I1139">
        <v>-8.8000000000000007</v>
      </c>
      <c r="L1139">
        <f>390+2*(Table257[[#This Row],[min value (corrected)]]-27)</f>
        <v>430</v>
      </c>
      <c r="M1139">
        <f>MINUTE(Table257[[#This Row],[Corrected time]])</f>
        <v>47</v>
      </c>
      <c r="N1139" s="1">
        <v>0.53315361111111115</v>
      </c>
      <c r="O1139" s="1">
        <f>Table257[[#This Row],[Time]]-TIME(0,0,3)</f>
        <v>0.53311888888888892</v>
      </c>
      <c r="P1139" t="s">
        <v>9</v>
      </c>
      <c r="Q1139">
        <v>-122</v>
      </c>
      <c r="R1139">
        <f>Table257[[#This Row],[RSSI]]</f>
        <v>-122</v>
      </c>
      <c r="S1139">
        <v>-8.8000000000000007</v>
      </c>
    </row>
    <row r="1140" spans="2:19" x14ac:dyDescent="0.25">
      <c r="B1140">
        <f>390+2*(Table146[[#This Row],[min value (corrected)]]-37)</f>
        <v>430</v>
      </c>
      <c r="C1140">
        <f>MINUTE(Table146[[#This Row],[Corrected time]])</f>
        <v>57</v>
      </c>
      <c r="D1140" s="1">
        <v>0.49853469907407411</v>
      </c>
      <c r="E1140" s="1">
        <f>Table146[[#This Row],[Time]]-TIME(0,0,1)</f>
        <v>0.49852312500000001</v>
      </c>
      <c r="F1140" t="s">
        <v>9</v>
      </c>
      <c r="G1140">
        <v>-123</v>
      </c>
      <c r="H1140">
        <f>Table146[[#This Row],[RSSI]]</f>
        <v>-123</v>
      </c>
      <c r="I1140">
        <v>-8.8000000000000007</v>
      </c>
      <c r="L1140">
        <f>390+2*(Table257[[#This Row],[min value (corrected)]]-27)</f>
        <v>430</v>
      </c>
      <c r="M1140">
        <f>MINUTE(Table257[[#This Row],[Corrected time]])</f>
        <v>47</v>
      </c>
      <c r="N1140" s="1">
        <v>0.53316663194444447</v>
      </c>
      <c r="O1140" s="1">
        <f>Table257[[#This Row],[Time]]-TIME(0,0,3)</f>
        <v>0.53313190972222224</v>
      </c>
      <c r="P1140" t="s">
        <v>9</v>
      </c>
      <c r="Q1140">
        <v>-123</v>
      </c>
      <c r="R1140">
        <f>Table257[[#This Row],[RSSI]]</f>
        <v>-123</v>
      </c>
      <c r="S1140">
        <v>-9.3000000000000007</v>
      </c>
    </row>
    <row r="1141" spans="2:19" x14ac:dyDescent="0.25">
      <c r="B1141">
        <f>390+2*(Table146[[#This Row],[min value (corrected)]]-37)</f>
        <v>430</v>
      </c>
      <c r="C1141">
        <f>MINUTE(Table146[[#This Row],[Corrected time]])</f>
        <v>57</v>
      </c>
      <c r="D1141" s="1">
        <v>0.49854773148148146</v>
      </c>
      <c r="E1141" s="1">
        <f>Table146[[#This Row],[Time]]-TIME(0,0,1)</f>
        <v>0.49853615740740737</v>
      </c>
      <c r="F1141" t="s">
        <v>9</v>
      </c>
      <c r="G1141">
        <v>-123</v>
      </c>
      <c r="H1141">
        <f>Table146[[#This Row],[RSSI]]</f>
        <v>-123</v>
      </c>
      <c r="I1141">
        <v>-8.8000000000000007</v>
      </c>
      <c r="L1141">
        <f>390+2*(Table257[[#This Row],[min value (corrected)]]-27)</f>
        <v>430</v>
      </c>
      <c r="M1141">
        <f>MINUTE(Table257[[#This Row],[Corrected time]])</f>
        <v>47</v>
      </c>
      <c r="N1141" s="1">
        <v>0.53317966435185182</v>
      </c>
      <c r="O1141" s="1">
        <f>Table257[[#This Row],[Time]]-TIME(0,0,3)</f>
        <v>0.5331449421296296</v>
      </c>
      <c r="P1141" t="s">
        <v>9</v>
      </c>
      <c r="Q1141">
        <v>-123</v>
      </c>
      <c r="R1141">
        <f>Table257[[#This Row],[RSSI]]</f>
        <v>-123</v>
      </c>
      <c r="S1141">
        <v>-9</v>
      </c>
    </row>
    <row r="1142" spans="2:19" x14ac:dyDescent="0.25">
      <c r="B1142">
        <f>390+2*(Table146[[#This Row],[min value (corrected)]]-37)</f>
        <v>430</v>
      </c>
      <c r="C1142">
        <f>MINUTE(Table146[[#This Row],[Corrected time]])</f>
        <v>57</v>
      </c>
      <c r="D1142" s="1">
        <v>0.49856076388888892</v>
      </c>
      <c r="E1142" s="1">
        <f>Table146[[#This Row],[Time]]-TIME(0,0,1)</f>
        <v>0.49854918981481483</v>
      </c>
      <c r="F1142" t="s">
        <v>13</v>
      </c>
      <c r="G1142">
        <f>G1141</f>
        <v>-123</v>
      </c>
      <c r="H1142">
        <f>Table146[[#This Row],[RSSI]]</f>
        <v>-123</v>
      </c>
      <c r="I1142">
        <f>I1141</f>
        <v>-8.8000000000000007</v>
      </c>
      <c r="L1142">
        <f>390+2*(Table257[[#This Row],[min value (corrected)]]-27)</f>
        <v>430</v>
      </c>
      <c r="M1142">
        <f>MINUTE(Table257[[#This Row],[Corrected time]])</f>
        <v>47</v>
      </c>
      <c r="N1142" s="1">
        <v>0.53319270833333332</v>
      </c>
      <c r="O1142" s="1">
        <f>Table257[[#This Row],[Time]]-TIME(0,0,3)</f>
        <v>0.53315798611111109</v>
      </c>
      <c r="P1142" t="s">
        <v>9</v>
      </c>
      <c r="Q1142">
        <v>-122</v>
      </c>
      <c r="R1142">
        <f>Table257[[#This Row],[RSSI]]</f>
        <v>-122</v>
      </c>
      <c r="S1142">
        <v>-9</v>
      </c>
    </row>
    <row r="1143" spans="2:19" x14ac:dyDescent="0.25">
      <c r="B1143">
        <f>390+2*(Table146[[#This Row],[min value (corrected)]]-37)</f>
        <v>430</v>
      </c>
      <c r="C1143">
        <f>MINUTE(Table146[[#This Row],[Corrected time]])</f>
        <v>57</v>
      </c>
      <c r="D1143" s="1">
        <v>0.49857379629629628</v>
      </c>
      <c r="E1143" s="1">
        <f>Table146[[#This Row],[Time]]-TIME(0,0,1)</f>
        <v>0.49856222222222218</v>
      </c>
      <c r="F1143" t="s">
        <v>9</v>
      </c>
      <c r="G1143">
        <v>-122</v>
      </c>
      <c r="H1143">
        <f>Table146[[#This Row],[RSSI]]</f>
        <v>-122</v>
      </c>
      <c r="I1143">
        <v>-9.3000000000000007</v>
      </c>
      <c r="L1143">
        <f>390+2*(Table257[[#This Row],[min value (corrected)]]-27)</f>
        <v>430</v>
      </c>
      <c r="M1143">
        <f>MINUTE(Table257[[#This Row],[Corrected time]])</f>
        <v>47</v>
      </c>
      <c r="N1143" s="1">
        <v>0.53320572916666664</v>
      </c>
      <c r="O1143" s="1">
        <f>Table257[[#This Row],[Time]]-TIME(0,0,3)</f>
        <v>0.53317100694444441</v>
      </c>
      <c r="P1143" t="s">
        <v>9</v>
      </c>
      <c r="Q1143">
        <v>-122</v>
      </c>
      <c r="R1143">
        <f>Table257[[#This Row],[RSSI]]</f>
        <v>-122</v>
      </c>
      <c r="S1143">
        <v>-8.8000000000000007</v>
      </c>
    </row>
    <row r="1144" spans="2:19" x14ac:dyDescent="0.25">
      <c r="B1144">
        <f>390+2*(Table146[[#This Row],[min value (corrected)]]-37)</f>
        <v>430</v>
      </c>
      <c r="C1144">
        <f>MINUTE(Table146[[#This Row],[Corrected time]])</f>
        <v>57</v>
      </c>
      <c r="D1144" s="1">
        <v>0.49858682870370374</v>
      </c>
      <c r="E1144" s="1">
        <f>Table146[[#This Row],[Time]]-TIME(0,0,1)</f>
        <v>0.49857525462962965</v>
      </c>
      <c r="F1144" t="s">
        <v>13</v>
      </c>
      <c r="G1144">
        <f t="shared" ref="G1144:G1145" si="133">G1143</f>
        <v>-122</v>
      </c>
      <c r="H1144">
        <f>Table146[[#This Row],[RSSI]]</f>
        <v>-122</v>
      </c>
      <c r="I1144">
        <f t="shared" ref="I1144:I1145" si="134">I1143</f>
        <v>-9.3000000000000007</v>
      </c>
      <c r="L1144">
        <f>390+2*(Table257[[#This Row],[min value (corrected)]]-27)</f>
        <v>430</v>
      </c>
      <c r="M1144">
        <f>MINUTE(Table257[[#This Row],[Corrected time]])</f>
        <v>47</v>
      </c>
      <c r="N1144" s="1">
        <v>0.53321876157407411</v>
      </c>
      <c r="O1144" s="1">
        <f>Table257[[#This Row],[Time]]-TIME(0,0,3)</f>
        <v>0.53318403935185188</v>
      </c>
      <c r="P1144" t="s">
        <v>13</v>
      </c>
      <c r="Q1144">
        <f t="shared" ref="Q1144:Q1145" si="135">Q1143</f>
        <v>-122</v>
      </c>
      <c r="R1144">
        <f>Table257[[#This Row],[RSSI]]</f>
        <v>-122</v>
      </c>
      <c r="S1144">
        <f t="shared" ref="S1144:S1145" si="136">S1143</f>
        <v>-8.8000000000000007</v>
      </c>
    </row>
    <row r="1145" spans="2:19" x14ac:dyDescent="0.25">
      <c r="B1145">
        <f>390+2*(Table146[[#This Row],[min value (corrected)]]-37)</f>
        <v>430</v>
      </c>
      <c r="C1145">
        <f>MINUTE(Table146[[#This Row],[Corrected time]])</f>
        <v>57</v>
      </c>
      <c r="D1145" s="1">
        <v>0.4985998611111111</v>
      </c>
      <c r="E1145" s="1">
        <f>Table146[[#This Row],[Time]]-TIME(0,0,1)</f>
        <v>0.498588287037037</v>
      </c>
      <c r="F1145" t="s">
        <v>13</v>
      </c>
      <c r="G1145">
        <f t="shared" si="133"/>
        <v>-122</v>
      </c>
      <c r="H1145">
        <f>Table146[[#This Row],[RSSI]]</f>
        <v>-122</v>
      </c>
      <c r="I1145">
        <f t="shared" si="134"/>
        <v>-9.3000000000000007</v>
      </c>
      <c r="L1145">
        <f>390+2*(Table257[[#This Row],[min value (corrected)]]-27)</f>
        <v>430</v>
      </c>
      <c r="M1145">
        <f>MINUTE(Table257[[#This Row],[Corrected time]])</f>
        <v>47</v>
      </c>
      <c r="N1145" s="1">
        <v>0.5332318055555556</v>
      </c>
      <c r="O1145" s="1">
        <f>Table257[[#This Row],[Time]]-TIME(0,0,3)</f>
        <v>0.53319708333333338</v>
      </c>
      <c r="P1145" t="s">
        <v>13</v>
      </c>
      <c r="Q1145">
        <f t="shared" si="135"/>
        <v>-122</v>
      </c>
      <c r="R1145">
        <f>Table257[[#This Row],[RSSI]]</f>
        <v>-122</v>
      </c>
      <c r="S1145">
        <f t="shared" si="136"/>
        <v>-8.8000000000000007</v>
      </c>
    </row>
    <row r="1146" spans="2:19" x14ac:dyDescent="0.25">
      <c r="B1146">
        <f>390+2*(Table146[[#This Row],[min value (corrected)]]-37)</f>
        <v>430</v>
      </c>
      <c r="C1146">
        <f>MINUTE(Table146[[#This Row],[Corrected time]])</f>
        <v>57</v>
      </c>
      <c r="D1146" s="1">
        <v>0.49861288194444442</v>
      </c>
      <c r="E1146" s="1">
        <f>Table146[[#This Row],[Time]]-TIME(0,0,1)</f>
        <v>0.49860130787037032</v>
      </c>
      <c r="F1146" t="s">
        <v>9</v>
      </c>
      <c r="G1146">
        <v>-122</v>
      </c>
      <c r="H1146">
        <f>Table146[[#This Row],[RSSI]]</f>
        <v>-122</v>
      </c>
      <c r="I1146">
        <v>-9</v>
      </c>
      <c r="L1146">
        <f>390+2*(Table257[[#This Row],[min value (corrected)]]-27)</f>
        <v>430</v>
      </c>
      <c r="M1146">
        <f>MINUTE(Table257[[#This Row],[Corrected time]])</f>
        <v>47</v>
      </c>
      <c r="N1146" s="1">
        <v>0.53324483796296296</v>
      </c>
      <c r="O1146" s="1">
        <f>Table257[[#This Row],[Time]]-TIME(0,0,3)</f>
        <v>0.53321011574074073</v>
      </c>
      <c r="P1146" t="s">
        <v>9</v>
      </c>
      <c r="Q1146">
        <v>-121</v>
      </c>
      <c r="R1146">
        <f>Table257[[#This Row],[RSSI]]</f>
        <v>-121</v>
      </c>
      <c r="S1146">
        <v>-7.7</v>
      </c>
    </row>
    <row r="1147" spans="2:19" x14ac:dyDescent="0.25">
      <c r="B1147">
        <f>390+2*(Table146[[#This Row],[min value (corrected)]]-37)</f>
        <v>432</v>
      </c>
      <c r="C1147">
        <f>MINUTE(Table146[[#This Row],[Corrected time]])</f>
        <v>58</v>
      </c>
      <c r="D1147" s="1">
        <v>0.49862592592592592</v>
      </c>
      <c r="E1147" s="1">
        <f>Table146[[#This Row],[Time]]-TIME(0,0,1)</f>
        <v>0.49861435185185182</v>
      </c>
      <c r="F1147" t="s">
        <v>9</v>
      </c>
      <c r="G1147">
        <v>-122</v>
      </c>
      <c r="H1147">
        <f>Table146[[#This Row],[RSSI]]</f>
        <v>-122</v>
      </c>
      <c r="I1147">
        <v>-9</v>
      </c>
      <c r="L1147">
        <f>390+2*(Table257[[#This Row],[min value (corrected)]]-27)</f>
        <v>430</v>
      </c>
      <c r="M1147">
        <f>MINUTE(Table257[[#This Row],[Corrected time]])</f>
        <v>47</v>
      </c>
      <c r="N1147" s="1">
        <v>0.53325785879629628</v>
      </c>
      <c r="O1147" s="1">
        <f>Table257[[#This Row],[Time]]-TIME(0,0,3)</f>
        <v>0.53322313657407405</v>
      </c>
      <c r="P1147" t="s">
        <v>9</v>
      </c>
      <c r="Q1147">
        <v>-122</v>
      </c>
      <c r="R1147">
        <f>Table257[[#This Row],[RSSI]]</f>
        <v>-122</v>
      </c>
      <c r="S1147">
        <v>-8.8000000000000007</v>
      </c>
    </row>
    <row r="1148" spans="2:19" x14ac:dyDescent="0.25">
      <c r="B1148">
        <f>390+2*(Table146[[#This Row],[min value (corrected)]]-37)</f>
        <v>432</v>
      </c>
      <c r="C1148">
        <f>MINUTE(Table146[[#This Row],[Corrected time]])</f>
        <v>58</v>
      </c>
      <c r="D1148" s="1">
        <v>0.49863895833333338</v>
      </c>
      <c r="E1148" s="1">
        <f>Table146[[#This Row],[Time]]-TIME(0,0,1)</f>
        <v>0.49862738425925929</v>
      </c>
      <c r="F1148" t="s">
        <v>9</v>
      </c>
      <c r="G1148">
        <v>-122</v>
      </c>
      <c r="H1148">
        <f>Table146[[#This Row],[RSSI]]</f>
        <v>-122</v>
      </c>
      <c r="I1148">
        <v>-8.3000000000000007</v>
      </c>
      <c r="L1148">
        <f>390+2*(Table257[[#This Row],[min value (corrected)]]-27)</f>
        <v>430</v>
      </c>
      <c r="M1148">
        <f>MINUTE(Table257[[#This Row],[Corrected time]])</f>
        <v>47</v>
      </c>
      <c r="N1148" s="1">
        <v>0.53327089120370375</v>
      </c>
      <c r="O1148" s="1">
        <f>Table257[[#This Row],[Time]]-TIME(0,0,3)</f>
        <v>0.53323616898148152</v>
      </c>
      <c r="P1148" t="s">
        <v>9</v>
      </c>
      <c r="Q1148">
        <v>-122</v>
      </c>
      <c r="R1148">
        <f>Table257[[#This Row],[RSSI]]</f>
        <v>-122</v>
      </c>
      <c r="S1148">
        <v>-8.5</v>
      </c>
    </row>
    <row r="1149" spans="2:19" x14ac:dyDescent="0.25">
      <c r="B1149">
        <f>390+2*(Table146[[#This Row],[min value (corrected)]]-37)</f>
        <v>432</v>
      </c>
      <c r="C1149">
        <f>MINUTE(Table146[[#This Row],[Corrected time]])</f>
        <v>58</v>
      </c>
      <c r="D1149" s="1">
        <v>0.49865199074074074</v>
      </c>
      <c r="E1149" s="1">
        <f>Table146[[#This Row],[Time]]-TIME(0,0,1)</f>
        <v>0.49864041666666664</v>
      </c>
      <c r="F1149" t="s">
        <v>13</v>
      </c>
      <c r="G1149">
        <f t="shared" ref="G1149:G1151" si="137">G1148</f>
        <v>-122</v>
      </c>
      <c r="H1149">
        <f>Table146[[#This Row],[RSSI]]</f>
        <v>-122</v>
      </c>
      <c r="I1149">
        <f t="shared" ref="I1149:I1151" si="138">I1148</f>
        <v>-8.3000000000000007</v>
      </c>
      <c r="L1149">
        <f>390+2*(Table257[[#This Row],[min value (corrected)]]-27)</f>
        <v>430</v>
      </c>
      <c r="M1149">
        <f>MINUTE(Table257[[#This Row],[Corrected time]])</f>
        <v>47</v>
      </c>
      <c r="N1149" s="1">
        <v>0.53328393518518524</v>
      </c>
      <c r="O1149" s="1">
        <f>Table257[[#This Row],[Time]]-TIME(0,0,3)</f>
        <v>0.53324921296296302</v>
      </c>
      <c r="P1149" t="s">
        <v>9</v>
      </c>
      <c r="Q1149">
        <v>-122</v>
      </c>
      <c r="R1149">
        <f>Table257[[#This Row],[RSSI]]</f>
        <v>-122</v>
      </c>
      <c r="S1149">
        <v>-8.8000000000000007</v>
      </c>
    </row>
    <row r="1150" spans="2:19" x14ac:dyDescent="0.25">
      <c r="B1150">
        <f>390+2*(Table146[[#This Row],[min value (corrected)]]-37)</f>
        <v>432</v>
      </c>
      <c r="C1150">
        <f>MINUTE(Table146[[#This Row],[Corrected time]])</f>
        <v>58</v>
      </c>
      <c r="D1150" s="1">
        <v>0.4986650231481482</v>
      </c>
      <c r="E1150" s="1">
        <f>Table146[[#This Row],[Time]]-TIME(0,0,1)</f>
        <v>0.49865344907407411</v>
      </c>
      <c r="F1150" t="s">
        <v>13</v>
      </c>
      <c r="G1150">
        <f t="shared" si="137"/>
        <v>-122</v>
      </c>
      <c r="H1150">
        <f>Table146[[#This Row],[RSSI]]</f>
        <v>-122</v>
      </c>
      <c r="I1150">
        <f t="shared" si="138"/>
        <v>-8.3000000000000007</v>
      </c>
      <c r="L1150">
        <f>390+2*(Table257[[#This Row],[min value (corrected)]]-27)</f>
        <v>430</v>
      </c>
      <c r="M1150">
        <f>MINUTE(Table257[[#This Row],[Corrected time]])</f>
        <v>47</v>
      </c>
      <c r="N1150" s="1">
        <v>0.53329695601851856</v>
      </c>
      <c r="O1150" s="1">
        <f>Table257[[#This Row],[Time]]-TIME(0,0,3)</f>
        <v>0.53326223379629634</v>
      </c>
      <c r="P1150" t="s">
        <v>9</v>
      </c>
      <c r="Q1150">
        <v>-122</v>
      </c>
      <c r="R1150">
        <f>Table257[[#This Row],[RSSI]]</f>
        <v>-122</v>
      </c>
      <c r="S1150">
        <v>-9</v>
      </c>
    </row>
    <row r="1151" spans="2:19" x14ac:dyDescent="0.25">
      <c r="B1151">
        <f>390+2*(Table146[[#This Row],[min value (corrected)]]-37)</f>
        <v>432</v>
      </c>
      <c r="C1151">
        <f>MINUTE(Table146[[#This Row],[Corrected time]])</f>
        <v>58</v>
      </c>
      <c r="D1151" s="1">
        <v>0.49867805555555555</v>
      </c>
      <c r="E1151" s="1">
        <f>Table146[[#This Row],[Time]]-TIME(0,0,1)</f>
        <v>0.49866648148148146</v>
      </c>
      <c r="F1151" t="s">
        <v>13</v>
      </c>
      <c r="G1151">
        <f t="shared" si="137"/>
        <v>-122</v>
      </c>
      <c r="H1151">
        <f>Table146[[#This Row],[RSSI]]</f>
        <v>-122</v>
      </c>
      <c r="I1151">
        <f t="shared" si="138"/>
        <v>-8.3000000000000007</v>
      </c>
      <c r="L1151">
        <f>390+2*(Table257[[#This Row],[min value (corrected)]]-27)</f>
        <v>430</v>
      </c>
      <c r="M1151">
        <f>MINUTE(Table257[[#This Row],[Corrected time]])</f>
        <v>47</v>
      </c>
      <c r="N1151" s="1">
        <v>0.53330998842592592</v>
      </c>
      <c r="O1151" s="1">
        <f>Table257[[#This Row],[Time]]-TIME(0,0,3)</f>
        <v>0.53327526620370369</v>
      </c>
      <c r="P1151" t="s">
        <v>9</v>
      </c>
      <c r="Q1151">
        <v>-122</v>
      </c>
      <c r="R1151">
        <f>Table257[[#This Row],[RSSI]]</f>
        <v>-122</v>
      </c>
      <c r="S1151">
        <v>-8.5</v>
      </c>
    </row>
    <row r="1152" spans="2:19" x14ac:dyDescent="0.25">
      <c r="B1152">
        <f>390+2*(Table146[[#This Row],[min value (corrected)]]-37)</f>
        <v>432</v>
      </c>
      <c r="C1152">
        <f>MINUTE(Table146[[#This Row],[Corrected time]])</f>
        <v>58</v>
      </c>
      <c r="D1152" s="1">
        <v>0.49869108796296302</v>
      </c>
      <c r="E1152" s="1">
        <f>Table146[[#This Row],[Time]]-TIME(0,0,1)</f>
        <v>0.49867951388888893</v>
      </c>
      <c r="F1152" t="s">
        <v>9</v>
      </c>
      <c r="G1152">
        <v>-122</v>
      </c>
      <c r="H1152">
        <f>Table146[[#This Row],[RSSI]]</f>
        <v>-122</v>
      </c>
      <c r="I1152">
        <v>-8.5</v>
      </c>
      <c r="L1152">
        <f>390+2*(Table257[[#This Row],[min value (corrected)]]-27)</f>
        <v>430</v>
      </c>
      <c r="M1152">
        <f>MINUTE(Table257[[#This Row],[Corrected time]])</f>
        <v>47</v>
      </c>
      <c r="N1152" s="1">
        <v>0.53332302083333327</v>
      </c>
      <c r="O1152" s="1">
        <f>Table257[[#This Row],[Time]]-TIME(0,0,3)</f>
        <v>0.53328829861111104</v>
      </c>
      <c r="P1152" t="s">
        <v>13</v>
      </c>
      <c r="Q1152">
        <f>Q1151</f>
        <v>-122</v>
      </c>
      <c r="R1152">
        <f>Table257[[#This Row],[RSSI]]</f>
        <v>-122</v>
      </c>
      <c r="S1152">
        <f>S1151</f>
        <v>-8.5</v>
      </c>
    </row>
    <row r="1153" spans="2:19" x14ac:dyDescent="0.25">
      <c r="B1153">
        <f>390+2*(Table146[[#This Row],[min value (corrected)]]-37)</f>
        <v>432</v>
      </c>
      <c r="C1153">
        <f>MINUTE(Table146[[#This Row],[Corrected time]])</f>
        <v>58</v>
      </c>
      <c r="D1153" s="1">
        <v>0.49870412037037037</v>
      </c>
      <c r="E1153" s="1">
        <f>Table146[[#This Row],[Time]]-TIME(0,0,1)</f>
        <v>0.49869254629629628</v>
      </c>
      <c r="F1153" t="s">
        <v>13</v>
      </c>
      <c r="G1153">
        <f t="shared" ref="G1153:G1154" si="139">G1152</f>
        <v>-122</v>
      </c>
      <c r="H1153">
        <f>Table146[[#This Row],[RSSI]]</f>
        <v>-122</v>
      </c>
      <c r="I1153">
        <f t="shared" ref="I1153:I1154" si="140">I1152</f>
        <v>-8.5</v>
      </c>
      <c r="L1153">
        <f>390+2*(Table257[[#This Row],[min value (corrected)]]-27)</f>
        <v>430</v>
      </c>
      <c r="M1153">
        <f>MINUTE(Table257[[#This Row],[Corrected time]])</f>
        <v>47</v>
      </c>
      <c r="N1153" s="1">
        <v>0.53333606481481477</v>
      </c>
      <c r="O1153" s="1">
        <f>Table257[[#This Row],[Time]]-TIME(0,0,3)</f>
        <v>0.53330134259259254</v>
      </c>
      <c r="P1153" t="s">
        <v>9</v>
      </c>
      <c r="Q1153">
        <v>-122</v>
      </c>
      <c r="R1153">
        <f>Table257[[#This Row],[RSSI]]</f>
        <v>-122</v>
      </c>
      <c r="S1153">
        <v>-8.3000000000000007</v>
      </c>
    </row>
    <row r="1154" spans="2:19" x14ac:dyDescent="0.25">
      <c r="B1154">
        <f>390+2*(Table146[[#This Row],[min value (corrected)]]-37)</f>
        <v>432</v>
      </c>
      <c r="C1154">
        <f>MINUTE(Table146[[#This Row],[Corrected time]])</f>
        <v>58</v>
      </c>
      <c r="D1154" s="1">
        <v>0.49871715277777773</v>
      </c>
      <c r="E1154" s="1">
        <f>Table146[[#This Row],[Time]]-TIME(0,0,1)</f>
        <v>0.49870557870370363</v>
      </c>
      <c r="F1154" t="s">
        <v>13</v>
      </c>
      <c r="G1154">
        <f t="shared" si="139"/>
        <v>-122</v>
      </c>
      <c r="H1154">
        <f>Table146[[#This Row],[RSSI]]</f>
        <v>-122</v>
      </c>
      <c r="I1154">
        <f t="shared" si="140"/>
        <v>-8.5</v>
      </c>
      <c r="L1154">
        <f>390+2*(Table257[[#This Row],[min value (corrected)]]-27)</f>
        <v>430</v>
      </c>
      <c r="M1154">
        <f>MINUTE(Table257[[#This Row],[Corrected time]])</f>
        <v>47</v>
      </c>
      <c r="N1154" s="1">
        <v>0.53334908564814809</v>
      </c>
      <c r="O1154" s="1">
        <f>Table257[[#This Row],[Time]]-TIME(0,0,3)</f>
        <v>0.53331436342592586</v>
      </c>
      <c r="P1154" t="s">
        <v>9</v>
      </c>
      <c r="Q1154">
        <v>-122</v>
      </c>
      <c r="R1154">
        <f>Table257[[#This Row],[RSSI]]</f>
        <v>-122</v>
      </c>
      <c r="S1154">
        <v>-9.3000000000000007</v>
      </c>
    </row>
    <row r="1155" spans="2:19" x14ac:dyDescent="0.25">
      <c r="B1155">
        <f>390+2*(Table146[[#This Row],[min value (corrected)]]-37)</f>
        <v>432</v>
      </c>
      <c r="C1155">
        <f>MINUTE(Table146[[#This Row],[Corrected time]])</f>
        <v>58</v>
      </c>
      <c r="D1155" s="1">
        <v>0.49873018518518519</v>
      </c>
      <c r="E1155" s="1">
        <f>Table146[[#This Row],[Time]]-TIME(0,0,1)</f>
        <v>0.4987186111111111</v>
      </c>
      <c r="F1155" t="s">
        <v>9</v>
      </c>
      <c r="G1155">
        <v>-122</v>
      </c>
      <c r="H1155">
        <f>Table146[[#This Row],[RSSI]]</f>
        <v>-122</v>
      </c>
      <c r="I1155">
        <v>-8.8000000000000007</v>
      </c>
      <c r="L1155">
        <f>390+2*(Table257[[#This Row],[min value (corrected)]]-27)</f>
        <v>430</v>
      </c>
      <c r="M1155">
        <f>MINUTE(Table257[[#This Row],[Corrected time]])</f>
        <v>47</v>
      </c>
      <c r="N1155" s="1">
        <v>0.53336211805555556</v>
      </c>
      <c r="O1155" s="1">
        <f>Table257[[#This Row],[Time]]-TIME(0,0,3)</f>
        <v>0.53332739583333333</v>
      </c>
      <c r="P1155" t="s">
        <v>9</v>
      </c>
      <c r="Q1155">
        <v>-122</v>
      </c>
      <c r="R1155">
        <f>Table257[[#This Row],[RSSI]]</f>
        <v>-122</v>
      </c>
      <c r="S1155">
        <v>-8.5</v>
      </c>
    </row>
    <row r="1156" spans="2:19" x14ac:dyDescent="0.25">
      <c r="B1156">
        <f>390+2*(Table146[[#This Row],[min value (corrected)]]-37)</f>
        <v>432</v>
      </c>
      <c r="C1156">
        <f>MINUTE(Table146[[#This Row],[Corrected time]])</f>
        <v>58</v>
      </c>
      <c r="D1156" s="1">
        <v>0.49874320601851851</v>
      </c>
      <c r="E1156" s="1">
        <f>Table146[[#This Row],[Time]]-TIME(0,0,1)</f>
        <v>0.49873163194444442</v>
      </c>
      <c r="F1156" t="s">
        <v>13</v>
      </c>
      <c r="G1156">
        <f t="shared" ref="G1156:G1157" si="141">G1155</f>
        <v>-122</v>
      </c>
      <c r="H1156">
        <f>Table146[[#This Row],[RSSI]]</f>
        <v>-122</v>
      </c>
      <c r="I1156">
        <f t="shared" ref="I1156:I1157" si="142">I1155</f>
        <v>-8.8000000000000007</v>
      </c>
      <c r="L1156">
        <f>390+2*(Table257[[#This Row],[min value (corrected)]]-27)</f>
        <v>432</v>
      </c>
      <c r="M1156">
        <f>MINUTE(Table257[[#This Row],[Corrected time]])</f>
        <v>48</v>
      </c>
      <c r="N1156" s="1">
        <v>0.53337515046296291</v>
      </c>
      <c r="O1156" s="1">
        <f>Table257[[#This Row],[Time]]-TIME(0,0,3)</f>
        <v>0.53334042824074068</v>
      </c>
      <c r="P1156" t="s">
        <v>13</v>
      </c>
      <c r="Q1156">
        <f t="shared" ref="Q1156:Q1158" si="143">Q1155</f>
        <v>-122</v>
      </c>
      <c r="R1156">
        <f>Table257[[#This Row],[RSSI]]</f>
        <v>-122</v>
      </c>
      <c r="S1156">
        <f t="shared" ref="S1156:S1158" si="144">S1155</f>
        <v>-8.5</v>
      </c>
    </row>
    <row r="1157" spans="2:19" x14ac:dyDescent="0.25">
      <c r="B1157">
        <f>390+2*(Table146[[#This Row],[min value (corrected)]]-37)</f>
        <v>432</v>
      </c>
      <c r="C1157">
        <f>MINUTE(Table146[[#This Row],[Corrected time]])</f>
        <v>58</v>
      </c>
      <c r="D1157" s="1">
        <v>0.49875625000000001</v>
      </c>
      <c r="E1157" s="1">
        <f>Table146[[#This Row],[Time]]-TIME(0,0,1)</f>
        <v>0.49874467592592592</v>
      </c>
      <c r="F1157" t="s">
        <v>13</v>
      </c>
      <c r="G1157">
        <f t="shared" si="141"/>
        <v>-122</v>
      </c>
      <c r="H1157">
        <f>Table146[[#This Row],[RSSI]]</f>
        <v>-122</v>
      </c>
      <c r="I1157">
        <f t="shared" si="142"/>
        <v>-8.8000000000000007</v>
      </c>
      <c r="L1157">
        <f>390+2*(Table257[[#This Row],[min value (corrected)]]-27)</f>
        <v>432</v>
      </c>
      <c r="M1157">
        <f>MINUTE(Table257[[#This Row],[Corrected time]])</f>
        <v>48</v>
      </c>
      <c r="N1157" s="1">
        <v>0.53338818287037038</v>
      </c>
      <c r="O1157" s="1">
        <f>Table257[[#This Row],[Time]]-TIME(0,0,3)</f>
        <v>0.53335346064814815</v>
      </c>
      <c r="P1157" t="s">
        <v>13</v>
      </c>
      <c r="Q1157">
        <f t="shared" si="143"/>
        <v>-122</v>
      </c>
      <c r="R1157">
        <f>Table257[[#This Row],[RSSI]]</f>
        <v>-122</v>
      </c>
      <c r="S1157">
        <f t="shared" si="144"/>
        <v>-8.5</v>
      </c>
    </row>
    <row r="1158" spans="2:19" x14ac:dyDescent="0.25">
      <c r="B1158">
        <f>390+2*(Table146[[#This Row],[min value (corrected)]]-37)</f>
        <v>432</v>
      </c>
      <c r="C1158">
        <f>MINUTE(Table146[[#This Row],[Corrected time]])</f>
        <v>58</v>
      </c>
      <c r="D1158" s="1">
        <v>0.49876927083333333</v>
      </c>
      <c r="E1158" s="1">
        <f>Table146[[#This Row],[Time]]-TIME(0,0,1)</f>
        <v>0.49875769675925924</v>
      </c>
      <c r="F1158" t="s">
        <v>9</v>
      </c>
      <c r="G1158">
        <v>-121</v>
      </c>
      <c r="H1158">
        <f>Table146[[#This Row],[RSSI]]</f>
        <v>-121</v>
      </c>
      <c r="I1158">
        <v>-8</v>
      </c>
      <c r="L1158">
        <f>390+2*(Table257[[#This Row],[min value (corrected)]]-27)</f>
        <v>432</v>
      </c>
      <c r="M1158">
        <f>MINUTE(Table257[[#This Row],[Corrected time]])</f>
        <v>48</v>
      </c>
      <c r="N1158" s="1">
        <v>0.53340121527777773</v>
      </c>
      <c r="O1158" s="1">
        <f>Table257[[#This Row],[Time]]-TIME(0,0,3)</f>
        <v>0.5333664930555555</v>
      </c>
      <c r="P1158" t="s">
        <v>13</v>
      </c>
      <c r="Q1158">
        <f t="shared" si="143"/>
        <v>-122</v>
      </c>
      <c r="R1158">
        <f>Table257[[#This Row],[RSSI]]</f>
        <v>-122</v>
      </c>
      <c r="S1158">
        <f t="shared" si="144"/>
        <v>-8.5</v>
      </c>
    </row>
    <row r="1159" spans="2:19" x14ac:dyDescent="0.25">
      <c r="B1159">
        <f>390+2*(Table146[[#This Row],[min value (corrected)]]-37)</f>
        <v>432</v>
      </c>
      <c r="C1159">
        <f>MINUTE(Table146[[#This Row],[Corrected time]])</f>
        <v>58</v>
      </c>
      <c r="D1159" s="1">
        <v>0.49878230324074069</v>
      </c>
      <c r="E1159" s="1">
        <f>Table146[[#This Row],[Time]]-TIME(0,0,1)</f>
        <v>0.49877072916666659</v>
      </c>
      <c r="F1159" t="s">
        <v>9</v>
      </c>
      <c r="G1159">
        <v>-122</v>
      </c>
      <c r="H1159">
        <f>Table146[[#This Row],[RSSI]]</f>
        <v>-122</v>
      </c>
      <c r="I1159">
        <v>-8.8000000000000007</v>
      </c>
      <c r="L1159">
        <f>390+2*(Table257[[#This Row],[min value (corrected)]]-27)</f>
        <v>432</v>
      </c>
      <c r="M1159">
        <f>MINUTE(Table257[[#This Row],[Corrected time]])</f>
        <v>48</v>
      </c>
      <c r="N1159" s="1">
        <v>0.53341424768518519</v>
      </c>
      <c r="O1159" s="1">
        <f>Table257[[#This Row],[Time]]-TIME(0,0,3)</f>
        <v>0.53337952546296297</v>
      </c>
      <c r="P1159" t="s">
        <v>9</v>
      </c>
      <c r="Q1159">
        <v>-122</v>
      </c>
      <c r="R1159">
        <f>Table257[[#This Row],[RSSI]]</f>
        <v>-122</v>
      </c>
      <c r="S1159">
        <v>-8.5</v>
      </c>
    </row>
    <row r="1160" spans="2:19" x14ac:dyDescent="0.25">
      <c r="B1160">
        <f>390+2*(Table146[[#This Row],[min value (corrected)]]-37)</f>
        <v>432</v>
      </c>
      <c r="C1160">
        <f>MINUTE(Table146[[#This Row],[Corrected time]])</f>
        <v>58</v>
      </c>
      <c r="D1160" s="1">
        <v>0.49879534722222219</v>
      </c>
      <c r="E1160" s="1">
        <f>Table146[[#This Row],[Time]]-TIME(0,0,1)</f>
        <v>0.49878377314814809</v>
      </c>
      <c r="F1160" t="s">
        <v>9</v>
      </c>
      <c r="G1160">
        <v>-122</v>
      </c>
      <c r="H1160">
        <f>Table146[[#This Row],[RSSI]]</f>
        <v>-122</v>
      </c>
      <c r="I1160">
        <v>-9</v>
      </c>
      <c r="L1160">
        <f>390+2*(Table257[[#This Row],[min value (corrected)]]-27)</f>
        <v>432</v>
      </c>
      <c r="M1160">
        <f>MINUTE(Table257[[#This Row],[Corrected time]])</f>
        <v>48</v>
      </c>
      <c r="N1160" s="1">
        <v>0.53342728009259255</v>
      </c>
      <c r="O1160" s="1">
        <f>Table257[[#This Row],[Time]]-TIME(0,0,3)</f>
        <v>0.53339255787037032</v>
      </c>
      <c r="P1160" t="s">
        <v>13</v>
      </c>
      <c r="Q1160">
        <f>Q1159</f>
        <v>-122</v>
      </c>
      <c r="R1160">
        <f>Table257[[#This Row],[RSSI]]</f>
        <v>-122</v>
      </c>
      <c r="S1160">
        <f>S1159</f>
        <v>-8.5</v>
      </c>
    </row>
    <row r="1161" spans="2:19" x14ac:dyDescent="0.25">
      <c r="B1161">
        <f>390+2*(Table146[[#This Row],[min value (corrected)]]-37)</f>
        <v>432</v>
      </c>
      <c r="C1161">
        <f>MINUTE(Table146[[#This Row],[Corrected time]])</f>
        <v>58</v>
      </c>
      <c r="D1161" s="1">
        <v>0.49880837962962965</v>
      </c>
      <c r="E1161" s="1">
        <f>Table146[[#This Row],[Time]]-TIME(0,0,1)</f>
        <v>0.49879680555555556</v>
      </c>
      <c r="F1161" t="s">
        <v>13</v>
      </c>
      <c r="G1161">
        <f>G1160</f>
        <v>-122</v>
      </c>
      <c r="H1161">
        <f>Table146[[#This Row],[RSSI]]</f>
        <v>-122</v>
      </c>
      <c r="I1161">
        <f>I1160</f>
        <v>-9</v>
      </c>
      <c r="L1161">
        <f>390+2*(Table257[[#This Row],[min value (corrected)]]-27)</f>
        <v>432</v>
      </c>
      <c r="M1161">
        <f>MINUTE(Table257[[#This Row],[Corrected time]])</f>
        <v>48</v>
      </c>
      <c r="N1161" s="1">
        <v>0.53344031250000001</v>
      </c>
      <c r="O1161" s="1">
        <f>Table257[[#This Row],[Time]]-TIME(0,0,3)</f>
        <v>0.53340559027777779</v>
      </c>
      <c r="P1161" t="s">
        <v>9</v>
      </c>
      <c r="Q1161">
        <v>-122</v>
      </c>
      <c r="R1161">
        <f>Table257[[#This Row],[RSSI]]</f>
        <v>-122</v>
      </c>
      <c r="S1161">
        <v>-8.8000000000000007</v>
      </c>
    </row>
    <row r="1162" spans="2:19" x14ac:dyDescent="0.25">
      <c r="B1162">
        <f>390+2*(Table146[[#This Row],[min value (corrected)]]-37)</f>
        <v>432</v>
      </c>
      <c r="C1162">
        <f>MINUTE(Table146[[#This Row],[Corrected time]])</f>
        <v>58</v>
      </c>
      <c r="D1162" s="1">
        <v>0.498821412037037</v>
      </c>
      <c r="E1162" s="1">
        <f>Table146[[#This Row],[Time]]-TIME(0,0,1)</f>
        <v>0.49880983796296291</v>
      </c>
      <c r="F1162" t="s">
        <v>9</v>
      </c>
      <c r="G1162">
        <v>-122</v>
      </c>
      <c r="H1162">
        <f>Table146[[#This Row],[RSSI]]</f>
        <v>-122</v>
      </c>
      <c r="I1162">
        <v>-8.3000000000000007</v>
      </c>
      <c r="L1162">
        <f>390+2*(Table257[[#This Row],[min value (corrected)]]-27)</f>
        <v>432</v>
      </c>
      <c r="M1162">
        <f>MINUTE(Table257[[#This Row],[Corrected time]])</f>
        <v>48</v>
      </c>
      <c r="N1162" s="1">
        <v>0.53345334490740737</v>
      </c>
      <c r="O1162" s="1">
        <f>Table257[[#This Row],[Time]]-TIME(0,0,3)</f>
        <v>0.53341862268518514</v>
      </c>
      <c r="P1162" t="s">
        <v>13</v>
      </c>
      <c r="Q1162">
        <f>Q1161</f>
        <v>-122</v>
      </c>
      <c r="R1162">
        <f>Table257[[#This Row],[RSSI]]</f>
        <v>-122</v>
      </c>
      <c r="S1162">
        <f>S1161</f>
        <v>-8.8000000000000007</v>
      </c>
    </row>
    <row r="1163" spans="2:19" x14ac:dyDescent="0.25">
      <c r="B1163">
        <f>390+2*(Table146[[#This Row],[min value (corrected)]]-37)</f>
        <v>432</v>
      </c>
      <c r="C1163">
        <f>MINUTE(Table146[[#This Row],[Corrected time]])</f>
        <v>58</v>
      </c>
      <c r="D1163" s="1">
        <v>0.49883443287037033</v>
      </c>
      <c r="E1163" s="1">
        <f>Table146[[#This Row],[Time]]-TIME(0,0,1)</f>
        <v>0.49882285879629623</v>
      </c>
      <c r="F1163" t="s">
        <v>9</v>
      </c>
      <c r="G1163">
        <v>-122</v>
      </c>
      <c r="H1163">
        <f>Table146[[#This Row],[RSSI]]</f>
        <v>-122</v>
      </c>
      <c r="I1163">
        <v>-8.5</v>
      </c>
      <c r="L1163">
        <f>390+2*(Table257[[#This Row],[min value (corrected)]]-27)</f>
        <v>432</v>
      </c>
      <c r="M1163">
        <f>MINUTE(Table257[[#This Row],[Corrected time]])</f>
        <v>48</v>
      </c>
      <c r="N1163" s="1">
        <v>0.53346638888888886</v>
      </c>
      <c r="O1163" s="1">
        <f>Table257[[#This Row],[Time]]-TIME(0,0,3)</f>
        <v>0.53343166666666664</v>
      </c>
      <c r="P1163" t="s">
        <v>9</v>
      </c>
      <c r="Q1163">
        <v>-123</v>
      </c>
      <c r="R1163">
        <f>Table257[[#This Row],[RSSI]]</f>
        <v>-123</v>
      </c>
      <c r="S1163">
        <v>-9.5</v>
      </c>
    </row>
    <row r="1164" spans="2:19" x14ac:dyDescent="0.25">
      <c r="B1164">
        <f>390+2*(Table146[[#This Row],[min value (corrected)]]-37)</f>
        <v>432</v>
      </c>
      <c r="C1164">
        <f>MINUTE(Table146[[#This Row],[Corrected time]])</f>
        <v>58</v>
      </c>
      <c r="D1164" s="1">
        <v>0.49884747685185182</v>
      </c>
      <c r="E1164" s="1">
        <f>Table146[[#This Row],[Time]]-TIME(0,0,1)</f>
        <v>0.49883590277777773</v>
      </c>
      <c r="F1164" t="s">
        <v>9</v>
      </c>
      <c r="G1164">
        <v>-122</v>
      </c>
      <c r="H1164">
        <f>Table146[[#This Row],[RSSI]]</f>
        <v>-122</v>
      </c>
      <c r="I1164">
        <v>-8.8000000000000007</v>
      </c>
      <c r="L1164">
        <f>390+2*(Table257[[#This Row],[min value (corrected)]]-27)</f>
        <v>432</v>
      </c>
      <c r="M1164">
        <f>MINUTE(Table257[[#This Row],[Corrected time]])</f>
        <v>48</v>
      </c>
      <c r="N1164" s="1">
        <v>0.53347940972222219</v>
      </c>
      <c r="O1164" s="1">
        <f>Table257[[#This Row],[Time]]-TIME(0,0,3)</f>
        <v>0.53344468749999996</v>
      </c>
      <c r="P1164" t="s">
        <v>9</v>
      </c>
      <c r="Q1164">
        <v>-123</v>
      </c>
      <c r="R1164">
        <f>Table257[[#This Row],[RSSI]]</f>
        <v>-123</v>
      </c>
      <c r="S1164">
        <v>-9</v>
      </c>
    </row>
    <row r="1165" spans="2:19" x14ac:dyDescent="0.25">
      <c r="B1165">
        <f>390+2*(Table146[[#This Row],[min value (corrected)]]-37)</f>
        <v>432</v>
      </c>
      <c r="C1165">
        <f>MINUTE(Table146[[#This Row],[Corrected time]])</f>
        <v>58</v>
      </c>
      <c r="D1165" s="1">
        <v>0.49886049768518514</v>
      </c>
      <c r="E1165" s="1">
        <f>Table146[[#This Row],[Time]]-TIME(0,0,1)</f>
        <v>0.49884892361111105</v>
      </c>
      <c r="F1165" t="s">
        <v>13</v>
      </c>
      <c r="G1165">
        <f>G1164</f>
        <v>-122</v>
      </c>
      <c r="H1165">
        <f>Table146[[#This Row],[RSSI]]</f>
        <v>-122</v>
      </c>
      <c r="I1165">
        <f>I1164</f>
        <v>-8.8000000000000007</v>
      </c>
      <c r="L1165">
        <f>390+2*(Table257[[#This Row],[min value (corrected)]]-27)</f>
        <v>432</v>
      </c>
      <c r="M1165">
        <f>MINUTE(Table257[[#This Row],[Corrected time]])</f>
        <v>48</v>
      </c>
      <c r="N1165" s="1">
        <v>0.53349244212962965</v>
      </c>
      <c r="O1165" s="1">
        <f>Table257[[#This Row],[Time]]-TIME(0,0,3)</f>
        <v>0.53345771990740742</v>
      </c>
      <c r="P1165" t="s">
        <v>9</v>
      </c>
      <c r="Q1165">
        <v>-122</v>
      </c>
      <c r="R1165">
        <f>Table257[[#This Row],[RSSI]]</f>
        <v>-122</v>
      </c>
      <c r="S1165">
        <v>-8.5</v>
      </c>
    </row>
    <row r="1166" spans="2:19" x14ac:dyDescent="0.25">
      <c r="B1166">
        <f>390+2*(Table146[[#This Row],[min value (corrected)]]-37)</f>
        <v>432</v>
      </c>
      <c r="C1166">
        <f>MINUTE(Table146[[#This Row],[Corrected time]])</f>
        <v>58</v>
      </c>
      <c r="D1166" s="1">
        <v>0.49887353009259261</v>
      </c>
      <c r="E1166" s="1">
        <f>Table146[[#This Row],[Time]]-TIME(0,0,1)</f>
        <v>0.49886195601851852</v>
      </c>
      <c r="F1166" t="s">
        <v>9</v>
      </c>
      <c r="G1166">
        <v>-122</v>
      </c>
      <c r="H1166">
        <f>Table146[[#This Row],[RSSI]]</f>
        <v>-122</v>
      </c>
      <c r="I1166">
        <v>-8.5</v>
      </c>
      <c r="L1166">
        <f>390+2*(Table257[[#This Row],[min value (corrected)]]-27)</f>
        <v>432</v>
      </c>
      <c r="M1166">
        <f>MINUTE(Table257[[#This Row],[Corrected time]])</f>
        <v>48</v>
      </c>
      <c r="N1166" s="1">
        <v>0.53350547453703701</v>
      </c>
      <c r="O1166" s="1">
        <f>Table257[[#This Row],[Time]]-TIME(0,0,3)</f>
        <v>0.53347075231481478</v>
      </c>
      <c r="P1166" t="s">
        <v>9</v>
      </c>
      <c r="Q1166">
        <v>-122</v>
      </c>
      <c r="R1166">
        <f>Table257[[#This Row],[RSSI]]</f>
        <v>-122</v>
      </c>
      <c r="S1166">
        <v>-8.8000000000000007</v>
      </c>
    </row>
    <row r="1167" spans="2:19" x14ac:dyDescent="0.25">
      <c r="B1167">
        <f>390+2*(Table146[[#This Row],[min value (corrected)]]-37)</f>
        <v>432</v>
      </c>
      <c r="C1167">
        <f>MINUTE(Table146[[#This Row],[Corrected time]])</f>
        <v>58</v>
      </c>
      <c r="D1167" s="1">
        <v>0.49888656249999996</v>
      </c>
      <c r="E1167" s="1">
        <f>Table146[[#This Row],[Time]]-TIME(0,0,1)</f>
        <v>0.49887498842592587</v>
      </c>
      <c r="F1167" t="s">
        <v>9</v>
      </c>
      <c r="G1167">
        <v>-122</v>
      </c>
      <c r="H1167">
        <f>Table146[[#This Row],[RSSI]]</f>
        <v>-122</v>
      </c>
      <c r="I1167">
        <v>-8.3000000000000007</v>
      </c>
      <c r="L1167">
        <f>390+2*(Table257[[#This Row],[min value (corrected)]]-27)</f>
        <v>432</v>
      </c>
      <c r="M1167">
        <f>MINUTE(Table257[[#This Row],[Corrected time]])</f>
        <v>48</v>
      </c>
      <c r="N1167" s="1">
        <v>0.53351850694444447</v>
      </c>
      <c r="O1167" s="1">
        <f>Table257[[#This Row],[Time]]-TIME(0,0,3)</f>
        <v>0.53348378472222224</v>
      </c>
      <c r="P1167" t="s">
        <v>9</v>
      </c>
      <c r="Q1167">
        <v>-122</v>
      </c>
      <c r="R1167">
        <f>Table257[[#This Row],[RSSI]]</f>
        <v>-122</v>
      </c>
      <c r="S1167">
        <v>-8.3000000000000007</v>
      </c>
    </row>
    <row r="1168" spans="2:19" x14ac:dyDescent="0.25">
      <c r="B1168">
        <f>390+2*(Table146[[#This Row],[min value (corrected)]]-37)</f>
        <v>432</v>
      </c>
      <c r="C1168">
        <f>MINUTE(Table146[[#This Row],[Corrected time]])</f>
        <v>58</v>
      </c>
      <c r="D1168" s="1">
        <v>0.49889960648148146</v>
      </c>
      <c r="E1168" s="1">
        <f>Table146[[#This Row],[Time]]-TIME(0,0,1)</f>
        <v>0.49888803240740737</v>
      </c>
      <c r="F1168" t="s">
        <v>9</v>
      </c>
      <c r="G1168">
        <v>-122</v>
      </c>
      <c r="H1168">
        <f>Table146[[#This Row],[RSSI]]</f>
        <v>-122</v>
      </c>
      <c r="I1168">
        <v>-8.3000000000000007</v>
      </c>
      <c r="L1168">
        <f>390+2*(Table257[[#This Row],[min value (corrected)]]-27)</f>
        <v>432</v>
      </c>
      <c r="M1168">
        <f>MINUTE(Table257[[#This Row],[Corrected time]])</f>
        <v>48</v>
      </c>
      <c r="N1168" s="1">
        <v>0.53353153935185182</v>
      </c>
      <c r="O1168" s="1">
        <f>Table257[[#This Row],[Time]]-TIME(0,0,3)</f>
        <v>0.5334968171296296</v>
      </c>
      <c r="P1168" t="s">
        <v>9</v>
      </c>
      <c r="Q1168">
        <v>-122</v>
      </c>
      <c r="R1168">
        <f>Table257[[#This Row],[RSSI]]</f>
        <v>-122</v>
      </c>
      <c r="S1168">
        <v>-8.8000000000000007</v>
      </c>
    </row>
    <row r="1169" spans="2:19" x14ac:dyDescent="0.25">
      <c r="B1169">
        <f>390+2*(Table146[[#This Row],[min value (corrected)]]-37)</f>
        <v>432</v>
      </c>
      <c r="C1169">
        <f>MINUTE(Table146[[#This Row],[Corrected time]])</f>
        <v>58</v>
      </c>
      <c r="D1169" s="1">
        <v>0.49891263888888893</v>
      </c>
      <c r="E1169" s="1">
        <f>Table146[[#This Row],[Time]]-TIME(0,0,1)</f>
        <v>0.49890106481481483</v>
      </c>
      <c r="F1169" t="s">
        <v>9</v>
      </c>
      <c r="G1169">
        <v>-123</v>
      </c>
      <c r="H1169">
        <f>Table146[[#This Row],[RSSI]]</f>
        <v>-123</v>
      </c>
      <c r="I1169">
        <v>-9.3000000000000007</v>
      </c>
      <c r="L1169">
        <f>390+2*(Table257[[#This Row],[min value (corrected)]]-27)</f>
        <v>432</v>
      </c>
      <c r="M1169">
        <f>MINUTE(Table257[[#This Row],[Corrected time]])</f>
        <v>48</v>
      </c>
      <c r="N1169" s="1">
        <v>0.53354457175925918</v>
      </c>
      <c r="O1169" s="1">
        <f>Table257[[#This Row],[Time]]-TIME(0,0,3)</f>
        <v>0.53350984953703695</v>
      </c>
      <c r="P1169" t="s">
        <v>9</v>
      </c>
      <c r="Q1169">
        <v>-122</v>
      </c>
      <c r="R1169">
        <f>Table257[[#This Row],[RSSI]]</f>
        <v>-122</v>
      </c>
      <c r="S1169">
        <v>-9</v>
      </c>
    </row>
    <row r="1170" spans="2:19" x14ac:dyDescent="0.25">
      <c r="B1170">
        <f>390+2*(Table146[[#This Row],[min value (corrected)]]-37)</f>
        <v>432</v>
      </c>
      <c r="C1170">
        <f>MINUTE(Table146[[#This Row],[Corrected time]])</f>
        <v>58</v>
      </c>
      <c r="D1170" s="1">
        <v>0.49892565972222225</v>
      </c>
      <c r="E1170" s="1">
        <f>Table146[[#This Row],[Time]]-TIME(0,0,1)</f>
        <v>0.49891408564814815</v>
      </c>
      <c r="F1170" t="s">
        <v>9</v>
      </c>
      <c r="G1170">
        <v>-123</v>
      </c>
      <c r="H1170">
        <f>Table146[[#This Row],[RSSI]]</f>
        <v>-123</v>
      </c>
      <c r="I1170">
        <v>-9.3000000000000007</v>
      </c>
      <c r="L1170">
        <f>390+2*(Table257[[#This Row],[min value (corrected)]]-27)</f>
        <v>432</v>
      </c>
      <c r="M1170">
        <f>MINUTE(Table257[[#This Row],[Corrected time]])</f>
        <v>48</v>
      </c>
      <c r="N1170" s="1">
        <v>0.53355760416666664</v>
      </c>
      <c r="O1170" s="1">
        <f>Table257[[#This Row],[Time]]-TIME(0,0,3)</f>
        <v>0.53352288194444442</v>
      </c>
      <c r="P1170" t="s">
        <v>9</v>
      </c>
      <c r="Q1170">
        <v>-122</v>
      </c>
      <c r="R1170">
        <f>Table257[[#This Row],[RSSI]]</f>
        <v>-122</v>
      </c>
      <c r="S1170">
        <v>-8.8000000000000007</v>
      </c>
    </row>
    <row r="1171" spans="2:19" x14ac:dyDescent="0.25">
      <c r="B1171">
        <f>390+2*(Table146[[#This Row],[min value (corrected)]]-37)</f>
        <v>432</v>
      </c>
      <c r="C1171">
        <f>MINUTE(Table146[[#This Row],[Corrected time]])</f>
        <v>58</v>
      </c>
      <c r="D1171" s="1">
        <v>0.49893870370370369</v>
      </c>
      <c r="E1171" s="1">
        <f>Table146[[#This Row],[Time]]-TIME(0,0,1)</f>
        <v>0.4989271296296296</v>
      </c>
      <c r="F1171" t="s">
        <v>13</v>
      </c>
      <c r="G1171">
        <f>G1170</f>
        <v>-123</v>
      </c>
      <c r="H1171">
        <f>Table146[[#This Row],[RSSI]]</f>
        <v>-123</v>
      </c>
      <c r="I1171">
        <f>I1170</f>
        <v>-9.3000000000000007</v>
      </c>
      <c r="L1171">
        <f>390+2*(Table257[[#This Row],[min value (corrected)]]-27)</f>
        <v>432</v>
      </c>
      <c r="M1171">
        <f>MINUTE(Table257[[#This Row],[Corrected time]])</f>
        <v>48</v>
      </c>
      <c r="N1171" s="1">
        <v>0.533570636574074</v>
      </c>
      <c r="O1171" s="1">
        <f>Table257[[#This Row],[Time]]-TIME(0,0,3)</f>
        <v>0.53353591435185177</v>
      </c>
      <c r="P1171" t="s">
        <v>9</v>
      </c>
      <c r="Q1171">
        <v>-123</v>
      </c>
      <c r="R1171">
        <f>Table257[[#This Row],[RSSI]]</f>
        <v>-123</v>
      </c>
      <c r="S1171">
        <v>-9</v>
      </c>
    </row>
    <row r="1172" spans="2:19" x14ac:dyDescent="0.25">
      <c r="B1172">
        <f>390+2*(Table146[[#This Row],[min value (corrected)]]-37)</f>
        <v>432</v>
      </c>
      <c r="C1172">
        <f>MINUTE(Table146[[#This Row],[Corrected time]])</f>
        <v>58</v>
      </c>
      <c r="D1172" s="1">
        <v>0.4989517361111111</v>
      </c>
      <c r="E1172" s="1">
        <f>Table146[[#This Row],[Time]]-TIME(0,0,1)</f>
        <v>0.498940162037037</v>
      </c>
      <c r="F1172" t="s">
        <v>9</v>
      </c>
      <c r="G1172">
        <v>-122</v>
      </c>
      <c r="H1172">
        <f>Table146[[#This Row],[RSSI]]</f>
        <v>-122</v>
      </c>
      <c r="I1172">
        <v>-8.3000000000000007</v>
      </c>
      <c r="L1172">
        <f>390+2*(Table257[[#This Row],[min value (corrected)]]-27)</f>
        <v>432</v>
      </c>
      <c r="M1172">
        <f>MINUTE(Table257[[#This Row],[Corrected time]])</f>
        <v>48</v>
      </c>
      <c r="N1172" s="1">
        <v>0.53358366898148146</v>
      </c>
      <c r="O1172" s="1">
        <f>Table257[[#This Row],[Time]]-TIME(0,0,3)</f>
        <v>0.53354894675925923</v>
      </c>
      <c r="P1172" t="s">
        <v>9</v>
      </c>
      <c r="Q1172">
        <v>-122</v>
      </c>
      <c r="R1172">
        <f>Table257[[#This Row],[RSSI]]</f>
        <v>-122</v>
      </c>
      <c r="S1172">
        <v>-9</v>
      </c>
    </row>
    <row r="1173" spans="2:19" x14ac:dyDescent="0.25">
      <c r="B1173">
        <f>390+2*(Table146[[#This Row],[min value (corrected)]]-37)</f>
        <v>432</v>
      </c>
      <c r="C1173">
        <f>MINUTE(Table146[[#This Row],[Corrected time]])</f>
        <v>58</v>
      </c>
      <c r="D1173" s="1">
        <v>0.49896476851851851</v>
      </c>
      <c r="E1173" s="1">
        <f>Table146[[#This Row],[Time]]-TIME(0,0,1)</f>
        <v>0.49895319444444441</v>
      </c>
      <c r="F1173" t="s">
        <v>13</v>
      </c>
      <c r="G1173">
        <f>G1172</f>
        <v>-122</v>
      </c>
      <c r="H1173">
        <f>Table146[[#This Row],[RSSI]]</f>
        <v>-122</v>
      </c>
      <c r="I1173">
        <f>I1172</f>
        <v>-8.3000000000000007</v>
      </c>
      <c r="L1173">
        <f>390+2*(Table257[[#This Row],[min value (corrected)]]-27)</f>
        <v>432</v>
      </c>
      <c r="M1173">
        <f>MINUTE(Table257[[#This Row],[Corrected time]])</f>
        <v>48</v>
      </c>
      <c r="N1173" s="1">
        <v>0.53359671296296296</v>
      </c>
      <c r="O1173" s="1">
        <f>Table257[[#This Row],[Time]]-TIME(0,0,3)</f>
        <v>0.53356199074074073</v>
      </c>
      <c r="P1173" t="s">
        <v>9</v>
      </c>
      <c r="Q1173">
        <v>-122</v>
      </c>
      <c r="R1173">
        <f>Table257[[#This Row],[RSSI]]</f>
        <v>-122</v>
      </c>
      <c r="S1173">
        <v>-8.8000000000000007</v>
      </c>
    </row>
    <row r="1174" spans="2:19" x14ac:dyDescent="0.25">
      <c r="B1174">
        <f>390+2*(Table146[[#This Row],[min value (corrected)]]-37)</f>
        <v>432</v>
      </c>
      <c r="C1174">
        <f>MINUTE(Table146[[#This Row],[Corrected time]])</f>
        <v>58</v>
      </c>
      <c r="D1174" s="1">
        <v>0.49897780092592592</v>
      </c>
      <c r="E1174" s="1">
        <f>Table146[[#This Row],[Time]]-TIME(0,0,1)</f>
        <v>0.49896622685185182</v>
      </c>
      <c r="F1174" t="s">
        <v>9</v>
      </c>
      <c r="G1174">
        <v>-118</v>
      </c>
      <c r="H1174">
        <f>Table146[[#This Row],[RSSI]]</f>
        <v>-118</v>
      </c>
      <c r="I1174">
        <v>-8</v>
      </c>
      <c r="L1174">
        <f>390+2*(Table257[[#This Row],[min value (corrected)]]-27)</f>
        <v>432</v>
      </c>
      <c r="M1174">
        <f>MINUTE(Table257[[#This Row],[Corrected time]])</f>
        <v>48</v>
      </c>
      <c r="N1174" s="1">
        <v>0.53360973379629628</v>
      </c>
      <c r="O1174" s="1">
        <f>Table257[[#This Row],[Time]]-TIME(0,0,3)</f>
        <v>0.53357501157407405</v>
      </c>
      <c r="P1174" t="s">
        <v>9</v>
      </c>
      <c r="Q1174">
        <v>-122</v>
      </c>
      <c r="R1174">
        <f>Table257[[#This Row],[RSSI]]</f>
        <v>-122</v>
      </c>
      <c r="S1174">
        <v>-8.8000000000000007</v>
      </c>
    </row>
    <row r="1175" spans="2:19" x14ac:dyDescent="0.25">
      <c r="B1175">
        <f>390+2*(Table146[[#This Row],[min value (corrected)]]-37)</f>
        <v>432</v>
      </c>
      <c r="C1175">
        <f>MINUTE(Table146[[#This Row],[Corrected time]])</f>
        <v>58</v>
      </c>
      <c r="D1175" s="1">
        <v>0.49899082175925924</v>
      </c>
      <c r="E1175" s="1">
        <f>Table146[[#This Row],[Time]]-TIME(0,0,1)</f>
        <v>0.49897924768518515</v>
      </c>
      <c r="F1175" t="s">
        <v>13</v>
      </c>
      <c r="G1175">
        <f>G1174</f>
        <v>-118</v>
      </c>
      <c r="H1175">
        <f>Table146[[#This Row],[RSSI]]</f>
        <v>-118</v>
      </c>
      <c r="I1175">
        <f>I1174</f>
        <v>-8</v>
      </c>
      <c r="L1175">
        <f>390+2*(Table257[[#This Row],[min value (corrected)]]-27)</f>
        <v>432</v>
      </c>
      <c r="M1175">
        <f>MINUTE(Table257[[#This Row],[Corrected time]])</f>
        <v>48</v>
      </c>
      <c r="N1175" s="1">
        <v>0.53362276620370364</v>
      </c>
      <c r="O1175" s="1">
        <f>Table257[[#This Row],[Time]]-TIME(0,0,3)</f>
        <v>0.53358804398148141</v>
      </c>
      <c r="P1175" t="s">
        <v>9</v>
      </c>
      <c r="Q1175">
        <v>-122</v>
      </c>
      <c r="R1175">
        <f>Table257[[#This Row],[RSSI]]</f>
        <v>-122</v>
      </c>
      <c r="S1175">
        <v>-8.3000000000000007</v>
      </c>
    </row>
    <row r="1176" spans="2:19" x14ac:dyDescent="0.25">
      <c r="B1176">
        <f>390+2*(Table146[[#This Row],[min value (corrected)]]-37)</f>
        <v>432</v>
      </c>
      <c r="C1176">
        <f>MINUTE(Table146[[#This Row],[Corrected time]])</f>
        <v>58</v>
      </c>
      <c r="D1176" s="1">
        <v>0.49900386574074074</v>
      </c>
      <c r="E1176" s="1">
        <f>Table146[[#This Row],[Time]]-TIME(0,0,1)</f>
        <v>0.49899229166666664</v>
      </c>
      <c r="F1176" t="s">
        <v>9</v>
      </c>
      <c r="G1176">
        <v>-122</v>
      </c>
      <c r="H1176">
        <f>Table146[[#This Row],[RSSI]]</f>
        <v>-122</v>
      </c>
      <c r="I1176">
        <v>-8.8000000000000007</v>
      </c>
      <c r="L1176">
        <f>390+2*(Table257[[#This Row],[min value (corrected)]]-27)</f>
        <v>432</v>
      </c>
      <c r="M1176">
        <f>MINUTE(Table257[[#This Row],[Corrected time]])</f>
        <v>48</v>
      </c>
      <c r="N1176" s="1">
        <v>0.5336357986111111</v>
      </c>
      <c r="O1176" s="1">
        <f>Table257[[#This Row],[Time]]-TIME(0,0,3)</f>
        <v>0.53360107638888887</v>
      </c>
      <c r="P1176" t="s">
        <v>9</v>
      </c>
      <c r="Q1176">
        <v>-122</v>
      </c>
      <c r="R1176">
        <f>Table257[[#This Row],[RSSI]]</f>
        <v>-122</v>
      </c>
      <c r="S1176">
        <v>-8.5</v>
      </c>
    </row>
    <row r="1177" spans="2:19" x14ac:dyDescent="0.25">
      <c r="B1177">
        <f>390+2*(Table146[[#This Row],[min value (corrected)]]-37)</f>
        <v>432</v>
      </c>
      <c r="C1177">
        <f>MINUTE(Table146[[#This Row],[Corrected time]])</f>
        <v>58</v>
      </c>
      <c r="D1177" s="1">
        <v>0.49901689814814815</v>
      </c>
      <c r="E1177" s="1">
        <f>Table146[[#This Row],[Time]]-TIME(0,0,1)</f>
        <v>0.49900532407407405</v>
      </c>
      <c r="F1177" t="s">
        <v>9</v>
      </c>
      <c r="G1177">
        <v>-123</v>
      </c>
      <c r="H1177">
        <f>Table146[[#This Row],[RSSI]]</f>
        <v>-123</v>
      </c>
      <c r="I1177">
        <v>-9.3000000000000007</v>
      </c>
      <c r="L1177">
        <f>390+2*(Table257[[#This Row],[min value (corrected)]]-27)</f>
        <v>432</v>
      </c>
      <c r="M1177">
        <f>MINUTE(Table257[[#This Row],[Corrected time]])</f>
        <v>48</v>
      </c>
      <c r="N1177" s="1">
        <v>0.53364883101851845</v>
      </c>
      <c r="O1177" s="1">
        <f>Table257[[#This Row],[Time]]-TIME(0,0,3)</f>
        <v>0.53361410879629623</v>
      </c>
      <c r="P1177" t="s">
        <v>9</v>
      </c>
      <c r="Q1177">
        <v>-122</v>
      </c>
      <c r="R1177">
        <f>Table257[[#This Row],[RSSI]]</f>
        <v>-122</v>
      </c>
      <c r="S1177">
        <v>-8.5</v>
      </c>
    </row>
    <row r="1178" spans="2:19" x14ac:dyDescent="0.25">
      <c r="B1178">
        <f>390+2*(Table146[[#This Row],[min value (corrected)]]-37)</f>
        <v>432</v>
      </c>
      <c r="C1178">
        <f>MINUTE(Table146[[#This Row],[Corrected time]])</f>
        <v>58</v>
      </c>
      <c r="D1178" s="1">
        <v>0.49902993055555556</v>
      </c>
      <c r="E1178" s="1">
        <f>Table146[[#This Row],[Time]]-TIME(0,0,1)</f>
        <v>0.49901835648148146</v>
      </c>
      <c r="F1178" t="s">
        <v>9</v>
      </c>
      <c r="G1178">
        <v>-122</v>
      </c>
      <c r="H1178">
        <f>Table146[[#This Row],[RSSI]]</f>
        <v>-122</v>
      </c>
      <c r="I1178">
        <v>-8.5</v>
      </c>
      <c r="L1178">
        <f>390+2*(Table257[[#This Row],[min value (corrected)]]-27)</f>
        <v>432</v>
      </c>
      <c r="M1178">
        <f>MINUTE(Table257[[#This Row],[Corrected time]])</f>
        <v>48</v>
      </c>
      <c r="N1178" s="1">
        <v>0.53366186342592592</v>
      </c>
      <c r="O1178" s="1">
        <f>Table257[[#This Row],[Time]]-TIME(0,0,3)</f>
        <v>0.53362714120370369</v>
      </c>
      <c r="P1178" t="s">
        <v>9</v>
      </c>
      <c r="Q1178">
        <v>-122</v>
      </c>
      <c r="R1178">
        <f>Table257[[#This Row],[RSSI]]</f>
        <v>-122</v>
      </c>
      <c r="S1178">
        <v>-8.5</v>
      </c>
    </row>
    <row r="1179" spans="2:19" x14ac:dyDescent="0.25">
      <c r="B1179">
        <f>390+2*(Table146[[#This Row],[min value (corrected)]]-37)</f>
        <v>432</v>
      </c>
      <c r="C1179">
        <f>MINUTE(Table146[[#This Row],[Corrected time]])</f>
        <v>58</v>
      </c>
      <c r="D1179" s="1">
        <v>0.49904296296296297</v>
      </c>
      <c r="E1179" s="1">
        <f>Table146[[#This Row],[Time]]-TIME(0,0,1)</f>
        <v>0.49903138888888887</v>
      </c>
      <c r="F1179" t="s">
        <v>9</v>
      </c>
      <c r="G1179">
        <v>-122</v>
      </c>
      <c r="H1179">
        <f>Table146[[#This Row],[RSSI]]</f>
        <v>-122</v>
      </c>
      <c r="I1179">
        <v>-8.5</v>
      </c>
      <c r="L1179">
        <f>390+2*(Table257[[#This Row],[min value (corrected)]]-27)</f>
        <v>432</v>
      </c>
      <c r="M1179">
        <f>MINUTE(Table257[[#This Row],[Corrected time]])</f>
        <v>48</v>
      </c>
      <c r="N1179" s="1">
        <v>0.53367489583333327</v>
      </c>
      <c r="O1179" s="1">
        <f>Table257[[#This Row],[Time]]-TIME(0,0,3)</f>
        <v>0.53364017361111105</v>
      </c>
      <c r="P1179" t="s">
        <v>9</v>
      </c>
      <c r="Q1179">
        <v>-122</v>
      </c>
      <c r="R1179">
        <f>Table257[[#This Row],[RSSI]]</f>
        <v>-122</v>
      </c>
      <c r="S1179">
        <v>-8.8000000000000007</v>
      </c>
    </row>
    <row r="1180" spans="2:19" x14ac:dyDescent="0.25">
      <c r="B1180">
        <f>390+2*(Table146[[#This Row],[min value (corrected)]]-37)</f>
        <v>432</v>
      </c>
      <c r="C1180">
        <f>MINUTE(Table146[[#This Row],[Corrected time]])</f>
        <v>58</v>
      </c>
      <c r="D1180" s="1">
        <v>0.49905599537037038</v>
      </c>
      <c r="E1180" s="1">
        <f>Table146[[#This Row],[Time]]-TIME(0,0,1)</f>
        <v>0.49904442129629628</v>
      </c>
      <c r="F1180" t="s">
        <v>9</v>
      </c>
      <c r="G1180">
        <v>-123</v>
      </c>
      <c r="H1180">
        <f>Table146[[#This Row],[RSSI]]</f>
        <v>-123</v>
      </c>
      <c r="I1180">
        <v>-9.3000000000000007</v>
      </c>
      <c r="L1180">
        <f>390+2*(Table257[[#This Row],[min value (corrected)]]-27)</f>
        <v>432</v>
      </c>
      <c r="M1180">
        <f>MINUTE(Table257[[#This Row],[Corrected time]])</f>
        <v>48</v>
      </c>
      <c r="N1180" s="1">
        <v>0.53368792824074074</v>
      </c>
      <c r="O1180" s="1">
        <f>Table257[[#This Row],[Time]]-TIME(0,0,3)</f>
        <v>0.53365320601851851</v>
      </c>
      <c r="P1180" t="s">
        <v>13</v>
      </c>
      <c r="Q1180">
        <f>Q1179</f>
        <v>-122</v>
      </c>
      <c r="R1180">
        <f>Table257[[#This Row],[RSSI]]</f>
        <v>-122</v>
      </c>
      <c r="S1180">
        <f>S1179</f>
        <v>-8.8000000000000007</v>
      </c>
    </row>
    <row r="1181" spans="2:19" x14ac:dyDescent="0.25">
      <c r="B1181">
        <f>390+2*(Table146[[#This Row],[min value (corrected)]]-37)</f>
        <v>432</v>
      </c>
      <c r="C1181">
        <f>MINUTE(Table146[[#This Row],[Corrected time]])</f>
        <v>58</v>
      </c>
      <c r="D1181" s="1">
        <v>0.49906901620370375</v>
      </c>
      <c r="E1181" s="1">
        <f>Table146[[#This Row],[Time]]-TIME(0,0,1)</f>
        <v>0.49905744212962966</v>
      </c>
      <c r="F1181" t="s">
        <v>9</v>
      </c>
      <c r="G1181">
        <v>-122</v>
      </c>
      <c r="H1181">
        <f>Table146[[#This Row],[RSSI]]</f>
        <v>-122</v>
      </c>
      <c r="I1181">
        <v>-9</v>
      </c>
      <c r="L1181">
        <f>390+2*(Table257[[#This Row],[min value (corrected)]]-27)</f>
        <v>432</v>
      </c>
      <c r="M1181">
        <f>MINUTE(Table257[[#This Row],[Corrected time]])</f>
        <v>48</v>
      </c>
      <c r="N1181" s="1">
        <v>0.53370096064814809</v>
      </c>
      <c r="O1181" s="1">
        <f>Table257[[#This Row],[Time]]-TIME(0,0,3)</f>
        <v>0.53366623842592587</v>
      </c>
      <c r="P1181" t="s">
        <v>9</v>
      </c>
      <c r="Q1181">
        <v>-122</v>
      </c>
      <c r="R1181">
        <f>Table257[[#This Row],[RSSI]]</f>
        <v>-122</v>
      </c>
      <c r="S1181">
        <v>-8.5</v>
      </c>
    </row>
    <row r="1182" spans="2:19" x14ac:dyDescent="0.25">
      <c r="B1182">
        <f>390+2*(Table146[[#This Row],[min value (corrected)]]-37)</f>
        <v>432</v>
      </c>
      <c r="C1182">
        <f>MINUTE(Table146[[#This Row],[Corrected time]])</f>
        <v>58</v>
      </c>
      <c r="D1182" s="1">
        <v>0.49908206018518519</v>
      </c>
      <c r="E1182" s="1">
        <f>Table146[[#This Row],[Time]]-TIME(0,0,1)</f>
        <v>0.4990704861111111</v>
      </c>
      <c r="F1182" t="s">
        <v>9</v>
      </c>
      <c r="G1182">
        <v>-122</v>
      </c>
      <c r="H1182">
        <f>Table146[[#This Row],[RSSI]]</f>
        <v>-122</v>
      </c>
      <c r="I1182">
        <v>-8</v>
      </c>
      <c r="L1182">
        <f>390+2*(Table257[[#This Row],[min value (corrected)]]-27)</f>
        <v>432</v>
      </c>
      <c r="M1182">
        <f>MINUTE(Table257[[#This Row],[Corrected time]])</f>
        <v>48</v>
      </c>
      <c r="N1182" s="1">
        <v>0.53371399305555556</v>
      </c>
      <c r="O1182" s="1">
        <f>Table257[[#This Row],[Time]]-TIME(0,0,3)</f>
        <v>0.53367927083333333</v>
      </c>
      <c r="P1182" t="s">
        <v>13</v>
      </c>
      <c r="Q1182">
        <f>Q1181</f>
        <v>-122</v>
      </c>
      <c r="R1182">
        <f>Table257[[#This Row],[RSSI]]</f>
        <v>-122</v>
      </c>
      <c r="S1182">
        <f>S1181</f>
        <v>-8.5</v>
      </c>
    </row>
    <row r="1183" spans="2:19" x14ac:dyDescent="0.25">
      <c r="B1183">
        <f>390+2*(Table146[[#This Row],[min value (corrected)]]-37)</f>
        <v>432</v>
      </c>
      <c r="C1183">
        <f>MINUTE(Table146[[#This Row],[Corrected time]])</f>
        <v>58</v>
      </c>
      <c r="D1183" s="1">
        <v>0.4990950925925926</v>
      </c>
      <c r="E1183" s="1">
        <f>Table146[[#This Row],[Time]]-TIME(0,0,1)</f>
        <v>0.49908351851851851</v>
      </c>
      <c r="F1183" t="s">
        <v>9</v>
      </c>
      <c r="G1183">
        <v>-122</v>
      </c>
      <c r="H1183">
        <f>Table146[[#This Row],[RSSI]]</f>
        <v>-122</v>
      </c>
      <c r="I1183">
        <v>-8.3000000000000007</v>
      </c>
      <c r="L1183">
        <f>390+2*(Table257[[#This Row],[min value (corrected)]]-27)</f>
        <v>432</v>
      </c>
      <c r="M1183">
        <f>MINUTE(Table257[[#This Row],[Corrected time]])</f>
        <v>48</v>
      </c>
      <c r="N1183" s="1">
        <v>0.53372702546296291</v>
      </c>
      <c r="O1183" s="1">
        <f>Table257[[#This Row],[Time]]-TIME(0,0,3)</f>
        <v>0.53369230324074068</v>
      </c>
      <c r="P1183" t="s">
        <v>9</v>
      </c>
      <c r="Q1183">
        <v>-123</v>
      </c>
      <c r="R1183">
        <f>Table257[[#This Row],[RSSI]]</f>
        <v>-123</v>
      </c>
      <c r="S1183">
        <v>-9</v>
      </c>
    </row>
    <row r="1184" spans="2:19" x14ac:dyDescent="0.25">
      <c r="B1184">
        <f>390+2*(Table146[[#This Row],[min value (corrected)]]-37)</f>
        <v>432</v>
      </c>
      <c r="C1184">
        <f>MINUTE(Table146[[#This Row],[Corrected time]])</f>
        <v>58</v>
      </c>
      <c r="D1184" s="1">
        <v>0.49910812500000001</v>
      </c>
      <c r="E1184" s="1">
        <f>Table146[[#This Row],[Time]]-TIME(0,0,1)</f>
        <v>0.49909655092592592</v>
      </c>
      <c r="F1184" t="s">
        <v>9</v>
      </c>
      <c r="G1184">
        <v>-123</v>
      </c>
      <c r="H1184">
        <f>Table146[[#This Row],[RSSI]]</f>
        <v>-123</v>
      </c>
      <c r="I1184">
        <v>-9</v>
      </c>
      <c r="L1184">
        <f>390+2*(Table257[[#This Row],[min value (corrected)]]-27)</f>
        <v>432</v>
      </c>
      <c r="M1184">
        <f>MINUTE(Table257[[#This Row],[Corrected time]])</f>
        <v>48</v>
      </c>
      <c r="N1184" s="1">
        <v>0.53374005787037038</v>
      </c>
      <c r="O1184" s="1">
        <f>Table257[[#This Row],[Time]]-TIME(0,0,3)</f>
        <v>0.53370533564814815</v>
      </c>
      <c r="P1184" t="s">
        <v>9</v>
      </c>
      <c r="Q1184">
        <v>-123</v>
      </c>
      <c r="R1184">
        <f>Table257[[#This Row],[RSSI]]</f>
        <v>-123</v>
      </c>
      <c r="S1184">
        <v>-9.3000000000000007</v>
      </c>
    </row>
    <row r="1185" spans="2:19" x14ac:dyDescent="0.25">
      <c r="B1185">
        <f>390+2*(Table146[[#This Row],[min value (corrected)]]-37)</f>
        <v>432</v>
      </c>
      <c r="C1185">
        <f>MINUTE(Table146[[#This Row],[Corrected time]])</f>
        <v>58</v>
      </c>
      <c r="D1185" s="1">
        <v>0.49912115740740742</v>
      </c>
      <c r="E1185" s="1">
        <f>Table146[[#This Row],[Time]]-TIME(0,0,1)</f>
        <v>0.49910958333333333</v>
      </c>
      <c r="F1185" t="s">
        <v>9</v>
      </c>
      <c r="G1185">
        <v>-122</v>
      </c>
      <c r="H1185">
        <f>Table146[[#This Row],[RSSI]]</f>
        <v>-122</v>
      </c>
      <c r="I1185">
        <v>-9</v>
      </c>
      <c r="L1185">
        <f>390+2*(Table257[[#This Row],[min value (corrected)]]-27)</f>
        <v>432</v>
      </c>
      <c r="M1185">
        <f>MINUTE(Table257[[#This Row],[Corrected time]])</f>
        <v>48</v>
      </c>
      <c r="N1185" s="1">
        <v>0.53375309027777773</v>
      </c>
      <c r="O1185" s="1">
        <f>Table257[[#This Row],[Time]]-TIME(0,0,3)</f>
        <v>0.5337183680555555</v>
      </c>
      <c r="P1185" t="s">
        <v>9</v>
      </c>
      <c r="Q1185">
        <v>-122</v>
      </c>
      <c r="R1185">
        <f>Table257[[#This Row],[RSSI]]</f>
        <v>-122</v>
      </c>
      <c r="S1185">
        <v>-8.3000000000000007</v>
      </c>
    </row>
    <row r="1186" spans="2:19" x14ac:dyDescent="0.25">
      <c r="B1186">
        <f>390+2*(Table146[[#This Row],[min value (corrected)]]-37)</f>
        <v>432</v>
      </c>
      <c r="C1186">
        <f>MINUTE(Table146[[#This Row],[Corrected time]])</f>
        <v>58</v>
      </c>
      <c r="D1186" s="1">
        <v>0.49913418981481483</v>
      </c>
      <c r="E1186" s="1">
        <f>Table146[[#This Row],[Time]]-TIME(0,0,1)</f>
        <v>0.49912261574074074</v>
      </c>
      <c r="F1186" t="s">
        <v>9</v>
      </c>
      <c r="G1186">
        <v>-123</v>
      </c>
      <c r="H1186">
        <f>Table146[[#This Row],[RSSI]]</f>
        <v>-123</v>
      </c>
      <c r="I1186">
        <v>-9</v>
      </c>
      <c r="L1186">
        <f>390+2*(Table257[[#This Row],[min value (corrected)]]-27)</f>
        <v>432</v>
      </c>
      <c r="M1186">
        <f>MINUTE(Table257[[#This Row],[Corrected time]])</f>
        <v>48</v>
      </c>
      <c r="N1186" s="1">
        <v>0.5337661226851852</v>
      </c>
      <c r="O1186" s="1">
        <f>Table257[[#This Row],[Time]]-TIME(0,0,3)</f>
        <v>0.53373140046296297</v>
      </c>
      <c r="P1186" t="s">
        <v>9</v>
      </c>
      <c r="Q1186">
        <v>-123</v>
      </c>
      <c r="R1186">
        <f>Table257[[#This Row],[RSSI]]</f>
        <v>-123</v>
      </c>
      <c r="S1186">
        <v>-9</v>
      </c>
    </row>
    <row r="1187" spans="2:19" x14ac:dyDescent="0.25">
      <c r="B1187">
        <f>390+2*(Table146[[#This Row],[min value (corrected)]]-37)</f>
        <v>432</v>
      </c>
      <c r="C1187">
        <f>MINUTE(Table146[[#This Row],[Corrected time]])</f>
        <v>58</v>
      </c>
      <c r="D1187" s="1">
        <v>0.49914722222222224</v>
      </c>
      <c r="E1187" s="1">
        <f>Table146[[#This Row],[Time]]-TIME(0,0,1)</f>
        <v>0.49913564814814815</v>
      </c>
      <c r="F1187" t="s">
        <v>9</v>
      </c>
      <c r="G1187">
        <v>-122</v>
      </c>
      <c r="H1187">
        <f>Table146[[#This Row],[RSSI]]</f>
        <v>-122</v>
      </c>
      <c r="I1187">
        <v>-8.3000000000000007</v>
      </c>
      <c r="L1187">
        <f>390+2*(Table257[[#This Row],[min value (corrected)]]-27)</f>
        <v>432</v>
      </c>
      <c r="M1187">
        <f>MINUTE(Table257[[#This Row],[Corrected time]])</f>
        <v>48</v>
      </c>
      <c r="N1187" s="1">
        <v>0.53377915509259255</v>
      </c>
      <c r="O1187" s="1">
        <f>Table257[[#This Row],[Time]]-TIME(0,0,3)</f>
        <v>0.53374443287037032</v>
      </c>
      <c r="P1187" t="s">
        <v>13</v>
      </c>
      <c r="Q1187">
        <f t="shared" ref="Q1187:Q1189" si="145">Q1186</f>
        <v>-123</v>
      </c>
      <c r="R1187">
        <f>Table257[[#This Row],[RSSI]]</f>
        <v>-123</v>
      </c>
      <c r="S1187">
        <f t="shared" ref="S1187:S1189" si="146">S1186</f>
        <v>-9</v>
      </c>
    </row>
    <row r="1188" spans="2:19" x14ac:dyDescent="0.25">
      <c r="B1188">
        <f>390+2*(Table146[[#This Row],[min value (corrected)]]-37)</f>
        <v>432</v>
      </c>
      <c r="C1188">
        <f>MINUTE(Table146[[#This Row],[Corrected time]])</f>
        <v>58</v>
      </c>
      <c r="D1188" s="1">
        <v>0.49916025462962965</v>
      </c>
      <c r="E1188" s="1">
        <f>Table146[[#This Row],[Time]]-TIME(0,0,1)</f>
        <v>0.49914868055555556</v>
      </c>
      <c r="F1188" t="s">
        <v>9</v>
      </c>
      <c r="G1188">
        <v>-122</v>
      </c>
      <c r="H1188">
        <f>Table146[[#This Row],[RSSI]]</f>
        <v>-122</v>
      </c>
      <c r="I1188">
        <v>-9</v>
      </c>
      <c r="L1188">
        <f>390+2*(Table257[[#This Row],[min value (corrected)]]-27)</f>
        <v>432</v>
      </c>
      <c r="M1188">
        <f>MINUTE(Table257[[#This Row],[Corrected time]])</f>
        <v>48</v>
      </c>
      <c r="N1188" s="1">
        <v>0.53379218750000001</v>
      </c>
      <c r="O1188" s="1">
        <f>Table257[[#This Row],[Time]]-TIME(0,0,3)</f>
        <v>0.53375746527777779</v>
      </c>
      <c r="P1188" t="s">
        <v>13</v>
      </c>
      <c r="Q1188">
        <f t="shared" si="145"/>
        <v>-123</v>
      </c>
      <c r="R1188">
        <f>Table257[[#This Row],[RSSI]]</f>
        <v>-123</v>
      </c>
      <c r="S1188">
        <f t="shared" si="146"/>
        <v>-9</v>
      </c>
    </row>
    <row r="1189" spans="2:19" x14ac:dyDescent="0.25">
      <c r="B1189">
        <f>390+2*(Table146[[#This Row],[min value (corrected)]]-37)</f>
        <v>432</v>
      </c>
      <c r="C1189">
        <f>MINUTE(Table146[[#This Row],[Corrected time]])</f>
        <v>58</v>
      </c>
      <c r="D1189" s="1">
        <v>0.49917328703703706</v>
      </c>
      <c r="E1189" s="1">
        <f>Table146[[#This Row],[Time]]-TIME(0,0,1)</f>
        <v>0.49916171296296297</v>
      </c>
      <c r="F1189" t="s">
        <v>9</v>
      </c>
      <c r="G1189">
        <v>-122</v>
      </c>
      <c r="H1189">
        <f>Table146[[#This Row],[RSSI]]</f>
        <v>-122</v>
      </c>
      <c r="I1189">
        <v>-8.5</v>
      </c>
      <c r="L1189">
        <f>390+2*(Table257[[#This Row],[min value (corrected)]]-27)</f>
        <v>432</v>
      </c>
      <c r="M1189">
        <f>MINUTE(Table257[[#This Row],[Corrected time]])</f>
        <v>48</v>
      </c>
      <c r="N1189" s="1">
        <v>0.53380521990740737</v>
      </c>
      <c r="O1189" s="1">
        <f>Table257[[#This Row],[Time]]-TIME(0,0,3)</f>
        <v>0.53377049768518514</v>
      </c>
      <c r="P1189" t="s">
        <v>27</v>
      </c>
      <c r="Q1189">
        <f t="shared" si="145"/>
        <v>-123</v>
      </c>
      <c r="R1189">
        <f>Table257[[#This Row],[RSSI]]</f>
        <v>-123</v>
      </c>
      <c r="S1189">
        <f t="shared" si="146"/>
        <v>-9</v>
      </c>
    </row>
    <row r="1190" spans="2:19" x14ac:dyDescent="0.25">
      <c r="B1190">
        <f>390+2*(Table146[[#This Row],[min value (corrected)]]-37)</f>
        <v>432</v>
      </c>
      <c r="C1190">
        <f>MINUTE(Table146[[#This Row],[Corrected time]])</f>
        <v>58</v>
      </c>
      <c r="D1190" s="1">
        <v>0.49918631944444442</v>
      </c>
      <c r="E1190" s="1">
        <f>Table146[[#This Row],[Time]]-TIME(0,0,1)</f>
        <v>0.49917474537037032</v>
      </c>
      <c r="F1190" t="s">
        <v>9</v>
      </c>
      <c r="G1190">
        <v>-122</v>
      </c>
      <c r="H1190">
        <f>Table146[[#This Row],[RSSI]]</f>
        <v>-122</v>
      </c>
      <c r="I1190">
        <v>-8.8000000000000007</v>
      </c>
      <c r="L1190">
        <f>390+2*(Table257[[#This Row],[min value (corrected)]]-27)</f>
        <v>432</v>
      </c>
      <c r="M1190">
        <f>MINUTE(Table257[[#This Row],[Corrected time]])</f>
        <v>48</v>
      </c>
      <c r="N1190" s="1">
        <v>0.53381825231481483</v>
      </c>
      <c r="O1190" s="1">
        <f>Table257[[#This Row],[Time]]-TIME(0,0,3)</f>
        <v>0.53378353009259261</v>
      </c>
      <c r="P1190" t="s">
        <v>9</v>
      </c>
      <c r="Q1190">
        <v>-122</v>
      </c>
      <c r="R1190">
        <f>Table257[[#This Row],[RSSI]]</f>
        <v>-122</v>
      </c>
      <c r="S1190">
        <v>-8.5</v>
      </c>
    </row>
    <row r="1191" spans="2:19" x14ac:dyDescent="0.25">
      <c r="B1191">
        <f>390+2*(Table146[[#This Row],[min value (corrected)]]-37)</f>
        <v>432</v>
      </c>
      <c r="C1191">
        <f>MINUTE(Table146[[#This Row],[Corrected time]])</f>
        <v>58</v>
      </c>
      <c r="D1191" s="1">
        <v>0.49919935185185188</v>
      </c>
      <c r="E1191" s="1">
        <f>Table146[[#This Row],[Time]]-TIME(0,0,1)</f>
        <v>0.49918777777777779</v>
      </c>
      <c r="F1191" t="s">
        <v>9</v>
      </c>
      <c r="G1191">
        <v>-122</v>
      </c>
      <c r="H1191">
        <f>Table146[[#This Row],[RSSI]]</f>
        <v>-122</v>
      </c>
      <c r="I1191">
        <v>-8.5</v>
      </c>
      <c r="L1191">
        <f>390+2*(Table257[[#This Row],[min value (corrected)]]-27)</f>
        <v>432</v>
      </c>
      <c r="M1191">
        <f>MINUTE(Table257[[#This Row],[Corrected time]])</f>
        <v>48</v>
      </c>
      <c r="N1191" s="1">
        <v>0.53383128472222219</v>
      </c>
      <c r="O1191" s="1">
        <f>Table257[[#This Row],[Time]]-TIME(0,0,3)</f>
        <v>0.53379656249999996</v>
      </c>
      <c r="P1191" t="s">
        <v>9</v>
      </c>
      <c r="Q1191">
        <v>-122</v>
      </c>
      <c r="R1191">
        <f>Table257[[#This Row],[RSSI]]</f>
        <v>-122</v>
      </c>
      <c r="S1191">
        <v>-8.3000000000000007</v>
      </c>
    </row>
    <row r="1192" spans="2:19" x14ac:dyDescent="0.25">
      <c r="B1192">
        <f>390+2*(Table146[[#This Row],[min value (corrected)]]-37)</f>
        <v>432</v>
      </c>
      <c r="C1192">
        <f>MINUTE(Table146[[#This Row],[Corrected time]])</f>
        <v>58</v>
      </c>
      <c r="D1192" s="1">
        <v>0.49921238425925923</v>
      </c>
      <c r="E1192" s="1">
        <f>Table146[[#This Row],[Time]]-TIME(0,0,1)</f>
        <v>0.49920081018518514</v>
      </c>
      <c r="F1192" t="s">
        <v>9</v>
      </c>
      <c r="G1192">
        <v>-122</v>
      </c>
      <c r="H1192">
        <f>Table146[[#This Row],[RSSI]]</f>
        <v>-122</v>
      </c>
      <c r="I1192">
        <v>-9</v>
      </c>
      <c r="L1192">
        <f>390+2*(Table257[[#This Row],[min value (corrected)]]-27)</f>
        <v>432</v>
      </c>
      <c r="M1192">
        <f>MINUTE(Table257[[#This Row],[Corrected time]])</f>
        <v>48</v>
      </c>
      <c r="N1192" s="1">
        <v>0.53384431712962965</v>
      </c>
      <c r="O1192" s="1">
        <f>Table257[[#This Row],[Time]]-TIME(0,0,3)</f>
        <v>0.53380959490740743</v>
      </c>
      <c r="P1192" t="s">
        <v>9</v>
      </c>
      <c r="Q1192">
        <v>-121</v>
      </c>
      <c r="R1192">
        <f>Table257[[#This Row],[RSSI]]</f>
        <v>-121</v>
      </c>
      <c r="S1192">
        <v>-8.3000000000000007</v>
      </c>
    </row>
    <row r="1193" spans="2:19" x14ac:dyDescent="0.25">
      <c r="B1193">
        <f>390+2*(Table146[[#This Row],[min value (corrected)]]-37)</f>
        <v>432</v>
      </c>
      <c r="C1193">
        <f>MINUTE(Table146[[#This Row],[Corrected time]])</f>
        <v>58</v>
      </c>
      <c r="D1193" s="1">
        <v>0.49922540509259256</v>
      </c>
      <c r="E1193" s="1">
        <f>Table146[[#This Row],[Time]]-TIME(0,0,1)</f>
        <v>0.49921383101851846</v>
      </c>
      <c r="F1193" t="s">
        <v>13</v>
      </c>
      <c r="G1193">
        <f t="shared" ref="G1193:G1194" si="147">G1192</f>
        <v>-122</v>
      </c>
      <c r="H1193">
        <f>Table146[[#This Row],[RSSI]]</f>
        <v>-122</v>
      </c>
      <c r="I1193">
        <f t="shared" ref="I1193:I1194" si="148">I1192</f>
        <v>-9</v>
      </c>
      <c r="L1193">
        <f>390+2*(Table257[[#This Row],[min value (corrected)]]-27)</f>
        <v>432</v>
      </c>
      <c r="M1193">
        <f>MINUTE(Table257[[#This Row],[Corrected time]])</f>
        <v>48</v>
      </c>
      <c r="N1193" s="1">
        <v>0.53385734953703701</v>
      </c>
      <c r="O1193" s="1">
        <f>Table257[[#This Row],[Time]]-TIME(0,0,3)</f>
        <v>0.53382262731481478</v>
      </c>
      <c r="P1193" t="s">
        <v>9</v>
      </c>
      <c r="Q1193">
        <v>-122</v>
      </c>
      <c r="R1193">
        <f>Table257[[#This Row],[RSSI]]</f>
        <v>-122</v>
      </c>
      <c r="S1193">
        <v>-8.3000000000000007</v>
      </c>
    </row>
    <row r="1194" spans="2:19" x14ac:dyDescent="0.25">
      <c r="B1194">
        <f>390+2*(Table146[[#This Row],[min value (corrected)]]-37)</f>
        <v>432</v>
      </c>
      <c r="C1194">
        <f>MINUTE(Table146[[#This Row],[Corrected time]])</f>
        <v>58</v>
      </c>
      <c r="D1194" s="1">
        <v>0.49923844907407405</v>
      </c>
      <c r="E1194" s="1">
        <f>Table146[[#This Row],[Time]]-TIME(0,0,1)</f>
        <v>0.49922687499999996</v>
      </c>
      <c r="F1194" t="s">
        <v>13</v>
      </c>
      <c r="G1194">
        <f t="shared" si="147"/>
        <v>-122</v>
      </c>
      <c r="H1194">
        <f>Table146[[#This Row],[RSSI]]</f>
        <v>-122</v>
      </c>
      <c r="I1194">
        <f t="shared" si="148"/>
        <v>-9</v>
      </c>
      <c r="L1194">
        <f>390+2*(Table257[[#This Row],[min value (corrected)]]-27)</f>
        <v>432</v>
      </c>
      <c r="M1194">
        <f>MINUTE(Table257[[#This Row],[Corrected time]])</f>
        <v>48</v>
      </c>
      <c r="N1194" s="1">
        <v>0.53387038194444447</v>
      </c>
      <c r="O1194" s="1">
        <f>Table257[[#This Row],[Time]]-TIME(0,0,3)</f>
        <v>0.53383565972222224</v>
      </c>
      <c r="P1194" t="s">
        <v>9</v>
      </c>
      <c r="Q1194">
        <v>-122</v>
      </c>
      <c r="R1194">
        <f>Table257[[#This Row],[RSSI]]</f>
        <v>-122</v>
      </c>
      <c r="S1194">
        <v>-8.5</v>
      </c>
    </row>
    <row r="1195" spans="2:19" x14ac:dyDescent="0.25">
      <c r="B1195">
        <f>390+2*(Table146[[#This Row],[min value (corrected)]]-37)</f>
        <v>432</v>
      </c>
      <c r="C1195">
        <f>MINUTE(Table146[[#This Row],[Corrected time]])</f>
        <v>58</v>
      </c>
      <c r="D1195" s="1">
        <v>0.49925146990740737</v>
      </c>
      <c r="E1195" s="1">
        <f>Table146[[#This Row],[Time]]-TIME(0,0,1)</f>
        <v>0.49923989583333328</v>
      </c>
      <c r="F1195" t="s">
        <v>9</v>
      </c>
      <c r="G1195">
        <v>-123</v>
      </c>
      <c r="H1195">
        <f>Table146[[#This Row],[RSSI]]</f>
        <v>-123</v>
      </c>
      <c r="I1195">
        <v>-8.8000000000000007</v>
      </c>
      <c r="L1195">
        <f>390+2*(Table257[[#This Row],[min value (corrected)]]-27)</f>
        <v>432</v>
      </c>
      <c r="M1195">
        <f>MINUTE(Table257[[#This Row],[Corrected time]])</f>
        <v>48</v>
      </c>
      <c r="N1195" s="1">
        <v>0.53388341435185183</v>
      </c>
      <c r="O1195" s="1">
        <f>Table257[[#This Row],[Time]]-TIME(0,0,3)</f>
        <v>0.5338486921296296</v>
      </c>
      <c r="P1195" t="s">
        <v>9</v>
      </c>
      <c r="Q1195">
        <v>-122</v>
      </c>
      <c r="R1195">
        <f>Table257[[#This Row],[RSSI]]</f>
        <v>-122</v>
      </c>
      <c r="S1195">
        <v>-8.8000000000000007</v>
      </c>
    </row>
    <row r="1196" spans="2:19" x14ac:dyDescent="0.25">
      <c r="B1196">
        <f>390+2*(Table146[[#This Row],[min value (corrected)]]-37)</f>
        <v>432</v>
      </c>
      <c r="C1196">
        <f>MINUTE(Table146[[#This Row],[Corrected time]])</f>
        <v>58</v>
      </c>
      <c r="D1196" s="1">
        <v>0.49926451388888887</v>
      </c>
      <c r="E1196" s="1">
        <f>Table146[[#This Row],[Time]]-TIME(0,0,1)</f>
        <v>0.49925293981481478</v>
      </c>
      <c r="F1196" t="s">
        <v>9</v>
      </c>
      <c r="G1196">
        <v>-123</v>
      </c>
      <c r="H1196">
        <f>Table146[[#This Row],[RSSI]]</f>
        <v>-123</v>
      </c>
      <c r="I1196">
        <v>-9.3000000000000007</v>
      </c>
      <c r="L1196">
        <f>390+2*(Table257[[#This Row],[min value (corrected)]]-27)</f>
        <v>432</v>
      </c>
      <c r="M1196">
        <f>MINUTE(Table257[[#This Row],[Corrected time]])</f>
        <v>48</v>
      </c>
      <c r="N1196" s="1">
        <v>0.53389644675925929</v>
      </c>
      <c r="O1196" s="1">
        <f>Table257[[#This Row],[Time]]-TIME(0,0,3)</f>
        <v>0.53386172453703706</v>
      </c>
      <c r="P1196" t="s">
        <v>13</v>
      </c>
      <c r="Q1196">
        <f>Q1195</f>
        <v>-122</v>
      </c>
      <c r="R1196">
        <f>Table257[[#This Row],[RSSI]]</f>
        <v>-122</v>
      </c>
      <c r="S1196">
        <f>S1195</f>
        <v>-8.8000000000000007</v>
      </c>
    </row>
    <row r="1197" spans="2:19" x14ac:dyDescent="0.25">
      <c r="B1197">
        <f>390+2*(Table146[[#This Row],[min value (corrected)]]-37)</f>
        <v>432</v>
      </c>
      <c r="C1197">
        <f>MINUTE(Table146[[#This Row],[Corrected time]])</f>
        <v>58</v>
      </c>
      <c r="D1197" s="1">
        <v>0.49927754629629634</v>
      </c>
      <c r="E1197" s="1">
        <f>Table146[[#This Row],[Time]]-TIME(0,0,1)</f>
        <v>0.49926597222222224</v>
      </c>
      <c r="F1197" t="s">
        <v>9</v>
      </c>
      <c r="G1197">
        <v>-122</v>
      </c>
      <c r="H1197">
        <f>Table146[[#This Row],[RSSI]]</f>
        <v>-122</v>
      </c>
      <c r="I1197">
        <v>-8.5</v>
      </c>
      <c r="L1197">
        <f>390+2*(Table257[[#This Row],[min value (corrected)]]-27)</f>
        <v>432</v>
      </c>
      <c r="M1197">
        <f>MINUTE(Table257[[#This Row],[Corrected time]])</f>
        <v>48</v>
      </c>
      <c r="N1197" s="1">
        <v>0.53390947916666665</v>
      </c>
      <c r="O1197" s="1">
        <f>Table257[[#This Row],[Time]]-TIME(0,0,3)</f>
        <v>0.53387475694444442</v>
      </c>
      <c r="P1197" t="s">
        <v>9</v>
      </c>
      <c r="Q1197">
        <v>-122</v>
      </c>
      <c r="R1197">
        <f>Table257[[#This Row],[RSSI]]</f>
        <v>-122</v>
      </c>
      <c r="S1197">
        <v>-8</v>
      </c>
    </row>
    <row r="1198" spans="2:19" x14ac:dyDescent="0.25">
      <c r="B1198">
        <f>390+2*(Table146[[#This Row],[min value (corrected)]]-37)</f>
        <v>432</v>
      </c>
      <c r="C1198">
        <f>MINUTE(Table146[[#This Row],[Corrected time]])</f>
        <v>58</v>
      </c>
      <c r="D1198" s="1">
        <v>0.49929056712962966</v>
      </c>
      <c r="E1198" s="1">
        <f>Table146[[#This Row],[Time]]-TIME(0,0,1)</f>
        <v>0.49927899305555556</v>
      </c>
      <c r="F1198" t="s">
        <v>9</v>
      </c>
      <c r="G1198">
        <v>-122</v>
      </c>
      <c r="H1198">
        <f>Table146[[#This Row],[RSSI]]</f>
        <v>-122</v>
      </c>
      <c r="I1198">
        <v>-8.3000000000000007</v>
      </c>
      <c r="L1198">
        <f>390+2*(Table257[[#This Row],[min value (corrected)]]-27)</f>
        <v>432</v>
      </c>
      <c r="M1198">
        <f>MINUTE(Table257[[#This Row],[Corrected time]])</f>
        <v>48</v>
      </c>
      <c r="N1198" s="1">
        <v>0.53392251157407411</v>
      </c>
      <c r="O1198" s="1">
        <f>Table257[[#This Row],[Time]]-TIME(0,0,3)</f>
        <v>0.53388778935185188</v>
      </c>
      <c r="P1198" t="s">
        <v>9</v>
      </c>
      <c r="Q1198">
        <v>-122</v>
      </c>
      <c r="R1198">
        <f>Table257[[#This Row],[RSSI]]</f>
        <v>-122</v>
      </c>
      <c r="S1198">
        <v>-8.8000000000000007</v>
      </c>
    </row>
    <row r="1199" spans="2:19" x14ac:dyDescent="0.25">
      <c r="B1199">
        <f>390+2*(Table146[[#This Row],[min value (corrected)]]-37)</f>
        <v>432</v>
      </c>
      <c r="C1199">
        <f>MINUTE(Table146[[#This Row],[Corrected time]])</f>
        <v>58</v>
      </c>
      <c r="D1199" s="1">
        <v>0.49930361111111116</v>
      </c>
      <c r="E1199" s="1">
        <f>Table146[[#This Row],[Time]]-TIME(0,0,1)</f>
        <v>0.49929203703703706</v>
      </c>
      <c r="F1199" t="s">
        <v>9</v>
      </c>
      <c r="G1199">
        <v>-122</v>
      </c>
      <c r="H1199">
        <f>Table146[[#This Row],[RSSI]]</f>
        <v>-122</v>
      </c>
      <c r="I1199">
        <v>-8.8000000000000007</v>
      </c>
      <c r="L1199">
        <f>390+2*(Table257[[#This Row],[min value (corrected)]]-27)</f>
        <v>432</v>
      </c>
      <c r="M1199">
        <f>MINUTE(Table257[[#This Row],[Corrected time]])</f>
        <v>48</v>
      </c>
      <c r="N1199" s="1">
        <v>0.53393554398148146</v>
      </c>
      <c r="O1199" s="1">
        <f>Table257[[#This Row],[Time]]-TIME(0,0,3)</f>
        <v>0.53390082175925924</v>
      </c>
      <c r="P1199" t="s">
        <v>9</v>
      </c>
      <c r="Q1199">
        <v>-122</v>
      </c>
      <c r="R1199">
        <f>Table257[[#This Row],[RSSI]]</f>
        <v>-122</v>
      </c>
      <c r="S1199">
        <v>-8.5</v>
      </c>
    </row>
    <row r="1200" spans="2:19" x14ac:dyDescent="0.25">
      <c r="B1200">
        <f>390+2*(Table146[[#This Row],[min value (corrected)]]-37)</f>
        <v>434</v>
      </c>
      <c r="C1200">
        <f>MINUTE(Table146[[#This Row],[Corrected time]])</f>
        <v>59</v>
      </c>
      <c r="D1200" s="1">
        <v>0.49931664351851851</v>
      </c>
      <c r="E1200" s="1">
        <f>Table146[[#This Row],[Time]]-TIME(0,0,1)</f>
        <v>0.49930506944444442</v>
      </c>
      <c r="F1200" t="s">
        <v>9</v>
      </c>
      <c r="G1200">
        <v>-123</v>
      </c>
      <c r="H1200">
        <f>Table146[[#This Row],[RSSI]]</f>
        <v>-123</v>
      </c>
      <c r="I1200">
        <v>-9.3000000000000007</v>
      </c>
      <c r="L1200">
        <f>390+2*(Table257[[#This Row],[min value (corrected)]]-27)</f>
        <v>432</v>
      </c>
      <c r="M1200">
        <f>MINUTE(Table257[[#This Row],[Corrected time]])</f>
        <v>48</v>
      </c>
      <c r="N1200" s="1">
        <v>0.53394857638888893</v>
      </c>
      <c r="O1200" s="1">
        <f>Table257[[#This Row],[Time]]-TIME(0,0,3)</f>
        <v>0.5339138541666667</v>
      </c>
      <c r="P1200" t="s">
        <v>9</v>
      </c>
      <c r="Q1200">
        <v>-122</v>
      </c>
      <c r="R1200">
        <f>Table257[[#This Row],[RSSI]]</f>
        <v>-122</v>
      </c>
      <c r="S1200">
        <v>-8.5</v>
      </c>
    </row>
    <row r="1201" spans="2:19" x14ac:dyDescent="0.25">
      <c r="B1201">
        <f>390+2*(Table146[[#This Row],[min value (corrected)]]-37)</f>
        <v>434</v>
      </c>
      <c r="C1201">
        <f>MINUTE(Table146[[#This Row],[Corrected time]])</f>
        <v>59</v>
      </c>
      <c r="D1201" s="1">
        <v>0.49932967592592598</v>
      </c>
      <c r="E1201" s="1">
        <f>Table146[[#This Row],[Time]]-TIME(0,0,1)</f>
        <v>0.49931810185185188</v>
      </c>
      <c r="F1201" t="s">
        <v>9</v>
      </c>
      <c r="G1201">
        <v>-122</v>
      </c>
      <c r="H1201">
        <f>Table146[[#This Row],[RSSI]]</f>
        <v>-122</v>
      </c>
      <c r="I1201">
        <v>-8.8000000000000007</v>
      </c>
      <c r="L1201">
        <f>390+2*(Table257[[#This Row],[min value (corrected)]]-27)</f>
        <v>432</v>
      </c>
      <c r="M1201">
        <f>MINUTE(Table257[[#This Row],[Corrected time]])</f>
        <v>48</v>
      </c>
      <c r="N1201" s="1">
        <v>0.53396160879629628</v>
      </c>
      <c r="O1201" s="1">
        <f>Table257[[#This Row],[Time]]-TIME(0,0,3)</f>
        <v>0.53392688657407406</v>
      </c>
      <c r="P1201" t="s">
        <v>9</v>
      </c>
      <c r="Q1201">
        <v>-122</v>
      </c>
      <c r="R1201">
        <f>Table257[[#This Row],[RSSI]]</f>
        <v>-122</v>
      </c>
      <c r="S1201">
        <v>-8</v>
      </c>
    </row>
    <row r="1202" spans="2:19" x14ac:dyDescent="0.25">
      <c r="B1202">
        <f>390+2*(Table146[[#This Row],[min value (corrected)]]-37)</f>
        <v>434</v>
      </c>
      <c r="C1202">
        <f>MINUTE(Table146[[#This Row],[Corrected time]])</f>
        <v>59</v>
      </c>
      <c r="D1202" s="1">
        <v>0.49934270833333333</v>
      </c>
      <c r="E1202" s="1">
        <f>Table146[[#This Row],[Time]]-TIME(0,0,1)</f>
        <v>0.49933113425925924</v>
      </c>
      <c r="F1202" t="s">
        <v>13</v>
      </c>
      <c r="G1202">
        <f>G1201</f>
        <v>-122</v>
      </c>
      <c r="H1202">
        <f>Table146[[#This Row],[RSSI]]</f>
        <v>-122</v>
      </c>
      <c r="I1202">
        <f>I1201</f>
        <v>-8.8000000000000007</v>
      </c>
      <c r="L1202">
        <f>390+2*(Table257[[#This Row],[min value (corrected)]]-27)</f>
        <v>432</v>
      </c>
      <c r="M1202">
        <f>MINUTE(Table257[[#This Row],[Corrected time]])</f>
        <v>48</v>
      </c>
      <c r="N1202" s="1">
        <v>0.53397464120370375</v>
      </c>
      <c r="O1202" s="1">
        <f>Table257[[#This Row],[Time]]-TIME(0,0,3)</f>
        <v>0.53393991898148152</v>
      </c>
      <c r="P1202" t="s">
        <v>9</v>
      </c>
      <c r="Q1202">
        <v>-122</v>
      </c>
      <c r="R1202">
        <f>Table257[[#This Row],[RSSI]]</f>
        <v>-122</v>
      </c>
      <c r="S1202">
        <v>-8.3000000000000007</v>
      </c>
    </row>
    <row r="1203" spans="2:19" x14ac:dyDescent="0.25">
      <c r="B1203">
        <f>390+2*(Table146[[#This Row],[min value (corrected)]]-37)</f>
        <v>434</v>
      </c>
      <c r="C1203">
        <f>MINUTE(Table146[[#This Row],[Corrected time]])</f>
        <v>59</v>
      </c>
      <c r="D1203" s="1">
        <v>0.49935574074074079</v>
      </c>
      <c r="E1203" s="1">
        <f>Table146[[#This Row],[Time]]-TIME(0,0,1)</f>
        <v>0.4993441666666667</v>
      </c>
      <c r="F1203" t="s">
        <v>9</v>
      </c>
      <c r="G1203">
        <v>-122</v>
      </c>
      <c r="H1203">
        <f>Table146[[#This Row],[RSSI]]</f>
        <v>-122</v>
      </c>
      <c r="I1203">
        <v>-8.8000000000000007</v>
      </c>
      <c r="L1203">
        <f>390+2*(Table257[[#This Row],[min value (corrected)]]-27)</f>
        <v>432</v>
      </c>
      <c r="M1203">
        <f>MINUTE(Table257[[#This Row],[Corrected time]])</f>
        <v>48</v>
      </c>
      <c r="N1203" s="1">
        <v>0.5339876736111111</v>
      </c>
      <c r="O1203" s="1">
        <f>Table257[[#This Row],[Time]]-TIME(0,0,3)</f>
        <v>0.53395295138888887</v>
      </c>
      <c r="P1203" t="s">
        <v>9</v>
      </c>
      <c r="Q1203">
        <v>-122</v>
      </c>
      <c r="R1203">
        <f>Table257[[#This Row],[RSSI]]</f>
        <v>-122</v>
      </c>
      <c r="S1203">
        <v>-8.5</v>
      </c>
    </row>
    <row r="1204" spans="2:19" x14ac:dyDescent="0.25">
      <c r="B1204">
        <f>390+2*(Table146[[#This Row],[min value (corrected)]]-37)</f>
        <v>434</v>
      </c>
      <c r="C1204">
        <f>MINUTE(Table146[[#This Row],[Corrected time]])</f>
        <v>59</v>
      </c>
      <c r="D1204" s="1">
        <v>0.49936876157407412</v>
      </c>
      <c r="E1204" s="1">
        <f>Table146[[#This Row],[Time]]-TIME(0,0,1)</f>
        <v>0.49935718750000002</v>
      </c>
      <c r="F1204" t="s">
        <v>9</v>
      </c>
      <c r="G1204">
        <v>-122</v>
      </c>
      <c r="H1204">
        <f>Table146[[#This Row],[RSSI]]</f>
        <v>-122</v>
      </c>
      <c r="I1204">
        <v>-8.3000000000000007</v>
      </c>
      <c r="L1204">
        <f>390+2*(Table257[[#This Row],[min value (corrected)]]-27)</f>
        <v>432</v>
      </c>
      <c r="M1204">
        <f>MINUTE(Table257[[#This Row],[Corrected time]])</f>
        <v>48</v>
      </c>
      <c r="N1204" s="1">
        <v>0.53400070601851857</v>
      </c>
      <c r="O1204" s="1">
        <f>Table257[[#This Row],[Time]]-TIME(0,0,3)</f>
        <v>0.53396598379629634</v>
      </c>
      <c r="P1204" t="s">
        <v>9</v>
      </c>
      <c r="Q1204">
        <v>-122</v>
      </c>
      <c r="R1204">
        <f>Table257[[#This Row],[RSSI]]</f>
        <v>-122</v>
      </c>
      <c r="S1204">
        <v>-8.3000000000000007</v>
      </c>
    </row>
    <row r="1205" spans="2:19" x14ac:dyDescent="0.25">
      <c r="B1205">
        <f>390+2*(Table146[[#This Row],[min value (corrected)]]-37)</f>
        <v>434</v>
      </c>
      <c r="C1205">
        <f>MINUTE(Table146[[#This Row],[Corrected time]])</f>
        <v>59</v>
      </c>
      <c r="D1205" s="1">
        <v>0.49938180555555561</v>
      </c>
      <c r="E1205" s="1">
        <f>Table146[[#This Row],[Time]]-TIME(0,0,1)</f>
        <v>0.49937023148148152</v>
      </c>
      <c r="F1205" t="s">
        <v>13</v>
      </c>
      <c r="G1205">
        <f>G1204</f>
        <v>-122</v>
      </c>
      <c r="H1205">
        <f>Table146[[#This Row],[RSSI]]</f>
        <v>-122</v>
      </c>
      <c r="I1205">
        <f>I1204</f>
        <v>-8.3000000000000007</v>
      </c>
      <c r="L1205">
        <f>390+2*(Table257[[#This Row],[min value (corrected)]]-27)</f>
        <v>432</v>
      </c>
      <c r="M1205">
        <f>MINUTE(Table257[[#This Row],[Corrected time]])</f>
        <v>48</v>
      </c>
      <c r="N1205" s="1">
        <v>0.53401373842592592</v>
      </c>
      <c r="O1205" s="1">
        <f>Table257[[#This Row],[Time]]-TIME(0,0,3)</f>
        <v>0.53397901620370369</v>
      </c>
      <c r="P1205" t="s">
        <v>9</v>
      </c>
      <c r="Q1205">
        <v>-123</v>
      </c>
      <c r="R1205">
        <f>Table257[[#This Row],[RSSI]]</f>
        <v>-123</v>
      </c>
      <c r="S1205">
        <v>-9</v>
      </c>
    </row>
    <row r="1206" spans="2:19" x14ac:dyDescent="0.25">
      <c r="B1206">
        <f>390+2*(Table146[[#This Row],[min value (corrected)]]-37)</f>
        <v>434</v>
      </c>
      <c r="C1206">
        <f>MINUTE(Table146[[#This Row],[Corrected time]])</f>
        <v>59</v>
      </c>
      <c r="D1206" s="1">
        <v>0.49939483796296297</v>
      </c>
      <c r="E1206" s="1">
        <f>Table146[[#This Row],[Time]]-TIME(0,0,1)</f>
        <v>0.49938326388888887</v>
      </c>
      <c r="F1206" t="s">
        <v>9</v>
      </c>
      <c r="G1206">
        <v>-120</v>
      </c>
      <c r="H1206">
        <f>Table146[[#This Row],[RSSI]]</f>
        <v>-120</v>
      </c>
      <c r="I1206">
        <v>-7.7</v>
      </c>
      <c r="L1206">
        <f>390+2*(Table257[[#This Row],[min value (corrected)]]-27)</f>
        <v>432</v>
      </c>
      <c r="M1206">
        <f>MINUTE(Table257[[#This Row],[Corrected time]])</f>
        <v>48</v>
      </c>
      <c r="N1206" s="1">
        <v>0.53402677083333339</v>
      </c>
      <c r="O1206" s="1">
        <f>Table257[[#This Row],[Time]]-TIME(0,0,3)</f>
        <v>0.53399204861111116</v>
      </c>
      <c r="P1206" t="s">
        <v>9</v>
      </c>
      <c r="Q1206">
        <v>-122</v>
      </c>
      <c r="R1206">
        <f>Table257[[#This Row],[RSSI]]</f>
        <v>-122</v>
      </c>
      <c r="S1206">
        <v>-8.5</v>
      </c>
    </row>
    <row r="1207" spans="2:19" x14ac:dyDescent="0.25">
      <c r="B1207">
        <f>390+2*(Table146[[#This Row],[min value (corrected)]]-37)</f>
        <v>434</v>
      </c>
      <c r="C1207">
        <f>MINUTE(Table146[[#This Row],[Corrected time]])</f>
        <v>59</v>
      </c>
      <c r="D1207" s="1">
        <v>0.49940787037037032</v>
      </c>
      <c r="E1207" s="1">
        <f>Table146[[#This Row],[Time]]-TIME(0,0,1)</f>
        <v>0.49939629629629623</v>
      </c>
      <c r="F1207" t="s">
        <v>13</v>
      </c>
      <c r="G1207">
        <f>G1206</f>
        <v>-120</v>
      </c>
      <c r="H1207">
        <f>Table146[[#This Row],[RSSI]]</f>
        <v>-120</v>
      </c>
      <c r="I1207">
        <f>I1206</f>
        <v>-7.7</v>
      </c>
      <c r="L1207">
        <f>390+2*(Table257[[#This Row],[min value (corrected)]]-27)</f>
        <v>432</v>
      </c>
      <c r="M1207">
        <f>MINUTE(Table257[[#This Row],[Corrected time]])</f>
        <v>48</v>
      </c>
      <c r="N1207" s="1">
        <v>0.53403980324074074</v>
      </c>
      <c r="O1207" s="1">
        <f>Table257[[#This Row],[Time]]-TIME(0,0,3)</f>
        <v>0.53400508101851851</v>
      </c>
      <c r="P1207" t="s">
        <v>9</v>
      </c>
      <c r="Q1207">
        <v>-123</v>
      </c>
      <c r="R1207">
        <f>Table257[[#This Row],[RSSI]]</f>
        <v>-123</v>
      </c>
      <c r="S1207">
        <v>-9.3000000000000007</v>
      </c>
    </row>
    <row r="1208" spans="2:19" x14ac:dyDescent="0.25">
      <c r="B1208">
        <f>390+2*(Table146[[#This Row],[min value (corrected)]]-37)</f>
        <v>434</v>
      </c>
      <c r="C1208">
        <f>MINUTE(Table146[[#This Row],[Corrected time]])</f>
        <v>59</v>
      </c>
      <c r="D1208" s="1">
        <v>0.49942089120370364</v>
      </c>
      <c r="E1208" s="1">
        <f>Table146[[#This Row],[Time]]-TIME(0,0,1)</f>
        <v>0.49940931712962955</v>
      </c>
      <c r="F1208" t="s">
        <v>9</v>
      </c>
      <c r="G1208">
        <v>-122</v>
      </c>
      <c r="H1208">
        <f>Table146[[#This Row],[RSSI]]</f>
        <v>-122</v>
      </c>
      <c r="I1208">
        <v>-8.8000000000000007</v>
      </c>
      <c r="L1208">
        <f>390+2*(Table257[[#This Row],[min value (corrected)]]-27)</f>
        <v>432</v>
      </c>
      <c r="M1208">
        <f>MINUTE(Table257[[#This Row],[Corrected time]])</f>
        <v>48</v>
      </c>
      <c r="N1208" s="1">
        <v>0.53405283564814821</v>
      </c>
      <c r="O1208" s="1">
        <f>Table257[[#This Row],[Time]]-TIME(0,0,3)</f>
        <v>0.53401811342592598</v>
      </c>
      <c r="P1208" t="s">
        <v>9</v>
      </c>
      <c r="Q1208">
        <v>-122</v>
      </c>
      <c r="R1208">
        <f>Table257[[#This Row],[RSSI]]</f>
        <v>-122</v>
      </c>
      <c r="S1208">
        <v>-8.5</v>
      </c>
    </row>
    <row r="1209" spans="2:19" x14ac:dyDescent="0.25">
      <c r="B1209">
        <f>390+2*(Table146[[#This Row],[min value (corrected)]]-37)</f>
        <v>434</v>
      </c>
      <c r="C1209">
        <f>MINUTE(Table146[[#This Row],[Corrected time]])</f>
        <v>59</v>
      </c>
      <c r="D1209" s="1">
        <v>0.49943393518518514</v>
      </c>
      <c r="E1209" s="1">
        <f>Table146[[#This Row],[Time]]-TIME(0,0,1)</f>
        <v>0.49942236111111105</v>
      </c>
      <c r="F1209" t="s">
        <v>9</v>
      </c>
      <c r="G1209">
        <v>-122</v>
      </c>
      <c r="H1209">
        <f>Table146[[#This Row],[RSSI]]</f>
        <v>-122</v>
      </c>
      <c r="I1209">
        <v>-8.3000000000000007</v>
      </c>
      <c r="L1209">
        <f>390+2*(Table257[[#This Row],[min value (corrected)]]-27)</f>
        <v>434</v>
      </c>
      <c r="M1209">
        <f>MINUTE(Table257[[#This Row],[Corrected time]])</f>
        <v>49</v>
      </c>
      <c r="N1209" s="1">
        <v>0.53406586805555556</v>
      </c>
      <c r="O1209" s="1">
        <f>Table257[[#This Row],[Time]]-TIME(0,0,3)</f>
        <v>0.53403114583333333</v>
      </c>
      <c r="P1209" t="s">
        <v>13</v>
      </c>
      <c r="Q1209">
        <f t="shared" ref="Q1209:Q1211" si="149">Q1208</f>
        <v>-122</v>
      </c>
      <c r="R1209">
        <f>Table257[[#This Row],[RSSI]]</f>
        <v>-122</v>
      </c>
      <c r="S1209">
        <f t="shared" ref="S1209:S1211" si="150">S1208</f>
        <v>-8.5</v>
      </c>
    </row>
    <row r="1210" spans="2:19" x14ac:dyDescent="0.25">
      <c r="B1210">
        <f>390+2*(Table146[[#This Row],[min value (corrected)]]-37)</f>
        <v>434</v>
      </c>
      <c r="C1210">
        <f>MINUTE(Table146[[#This Row],[Corrected time]])</f>
        <v>59</v>
      </c>
      <c r="D1210" s="1">
        <v>0.49944695601851846</v>
      </c>
      <c r="E1210" s="1">
        <f>Table146[[#This Row],[Time]]-TIME(0,0,1)</f>
        <v>0.49943538194444437</v>
      </c>
      <c r="F1210" t="s">
        <v>13</v>
      </c>
      <c r="G1210">
        <f t="shared" ref="G1210:G1211" si="151">G1209</f>
        <v>-122</v>
      </c>
      <c r="H1210">
        <f>Table146[[#This Row],[RSSI]]</f>
        <v>-122</v>
      </c>
      <c r="I1210">
        <f t="shared" ref="I1210:I1211" si="152">I1209</f>
        <v>-8.3000000000000007</v>
      </c>
      <c r="L1210">
        <f>390+2*(Table257[[#This Row],[min value (corrected)]]-27)</f>
        <v>434</v>
      </c>
      <c r="M1210">
        <f>MINUTE(Table257[[#This Row],[Corrected time]])</f>
        <v>49</v>
      </c>
      <c r="N1210" s="1">
        <v>0.53407890046296302</v>
      </c>
      <c r="O1210" s="1">
        <f>Table257[[#This Row],[Time]]-TIME(0,0,3)</f>
        <v>0.5340441782407408</v>
      </c>
      <c r="P1210" t="s">
        <v>13</v>
      </c>
      <c r="Q1210">
        <f t="shared" si="149"/>
        <v>-122</v>
      </c>
      <c r="R1210">
        <f>Table257[[#This Row],[RSSI]]</f>
        <v>-122</v>
      </c>
      <c r="S1210">
        <f t="shared" si="150"/>
        <v>-8.5</v>
      </c>
    </row>
    <row r="1211" spans="2:19" x14ac:dyDescent="0.25">
      <c r="B1211">
        <f>390+2*(Table146[[#This Row],[min value (corrected)]]-37)</f>
        <v>434</v>
      </c>
      <c r="C1211">
        <f>MINUTE(Table146[[#This Row],[Corrected time]])</f>
        <v>59</v>
      </c>
      <c r="D1211" s="1">
        <v>0.49945999999999996</v>
      </c>
      <c r="E1211" s="1">
        <f>Table146[[#This Row],[Time]]-TIME(0,0,1)</f>
        <v>0.49944842592592587</v>
      </c>
      <c r="F1211" t="s">
        <v>13</v>
      </c>
      <c r="G1211">
        <f t="shared" si="151"/>
        <v>-122</v>
      </c>
      <c r="H1211">
        <f>Table146[[#This Row],[RSSI]]</f>
        <v>-122</v>
      </c>
      <c r="I1211">
        <f t="shared" si="152"/>
        <v>-8.3000000000000007</v>
      </c>
      <c r="L1211">
        <f>390+2*(Table257[[#This Row],[min value (corrected)]]-27)</f>
        <v>434</v>
      </c>
      <c r="M1211">
        <f>MINUTE(Table257[[#This Row],[Corrected time]])</f>
        <v>49</v>
      </c>
      <c r="N1211" s="1">
        <v>0.53409193287037038</v>
      </c>
      <c r="O1211" s="1">
        <f>Table257[[#This Row],[Time]]-TIME(0,0,3)</f>
        <v>0.53405721064814815</v>
      </c>
      <c r="P1211" t="s">
        <v>13</v>
      </c>
      <c r="Q1211">
        <f t="shared" si="149"/>
        <v>-122</v>
      </c>
      <c r="R1211">
        <f>Table257[[#This Row],[RSSI]]</f>
        <v>-122</v>
      </c>
      <c r="S1211">
        <f t="shared" si="150"/>
        <v>-8.5</v>
      </c>
    </row>
    <row r="1212" spans="2:19" x14ac:dyDescent="0.25">
      <c r="B1212">
        <f>390+2*(Table146[[#This Row],[min value (corrected)]]-37)</f>
        <v>434</v>
      </c>
      <c r="C1212">
        <f>MINUTE(Table146[[#This Row],[Corrected time]])</f>
        <v>59</v>
      </c>
      <c r="D1212" s="1">
        <v>0.49947303240740742</v>
      </c>
      <c r="E1212" s="1">
        <f>Table146[[#This Row],[Time]]-TIME(0,0,1)</f>
        <v>0.49946145833333333</v>
      </c>
      <c r="F1212" t="s">
        <v>9</v>
      </c>
      <c r="G1212">
        <v>-123</v>
      </c>
      <c r="H1212">
        <f>Table146[[#This Row],[RSSI]]</f>
        <v>-123</v>
      </c>
      <c r="I1212">
        <v>-9</v>
      </c>
      <c r="L1212">
        <f>390+2*(Table257[[#This Row],[min value (corrected)]]-27)</f>
        <v>434</v>
      </c>
      <c r="M1212">
        <f>MINUTE(Table257[[#This Row],[Corrected time]])</f>
        <v>49</v>
      </c>
      <c r="N1212" s="1">
        <v>0.53410496527777784</v>
      </c>
      <c r="O1212" s="1">
        <f>Table257[[#This Row],[Time]]-TIME(0,0,3)</f>
        <v>0.53407024305555562</v>
      </c>
      <c r="P1212" t="s">
        <v>9</v>
      </c>
      <c r="Q1212">
        <v>-122</v>
      </c>
      <c r="R1212">
        <f>Table257[[#This Row],[RSSI]]</f>
        <v>-122</v>
      </c>
      <c r="S1212">
        <v>-8.8000000000000007</v>
      </c>
    </row>
    <row r="1213" spans="2:19" x14ac:dyDescent="0.25">
      <c r="B1213">
        <f>390+2*(Table146[[#This Row],[min value (corrected)]]-37)</f>
        <v>434</v>
      </c>
      <c r="C1213">
        <f>MINUTE(Table146[[#This Row],[Corrected time]])</f>
        <v>59</v>
      </c>
      <c r="D1213" s="1">
        <v>0.49948606481481478</v>
      </c>
      <c r="E1213" s="1">
        <f>Table146[[#This Row],[Time]]-TIME(0,0,1)</f>
        <v>0.49947449074074068</v>
      </c>
      <c r="F1213" t="s">
        <v>13</v>
      </c>
      <c r="G1213">
        <f t="shared" ref="G1213:G1214" si="153">G1212</f>
        <v>-123</v>
      </c>
      <c r="H1213">
        <f>Table146[[#This Row],[RSSI]]</f>
        <v>-123</v>
      </c>
      <c r="I1213">
        <f t="shared" ref="I1213:I1214" si="154">I1212</f>
        <v>-9</v>
      </c>
      <c r="L1213">
        <f>390+2*(Table257[[#This Row],[min value (corrected)]]-27)</f>
        <v>434</v>
      </c>
      <c r="M1213">
        <f>MINUTE(Table257[[#This Row],[Corrected time]])</f>
        <v>49</v>
      </c>
      <c r="N1213" s="1">
        <v>0.5341179976851852</v>
      </c>
      <c r="O1213" s="1">
        <f>Table257[[#This Row],[Time]]-TIME(0,0,3)</f>
        <v>0.53408327546296297</v>
      </c>
      <c r="P1213" t="s">
        <v>9</v>
      </c>
      <c r="Q1213">
        <v>-123</v>
      </c>
      <c r="R1213">
        <f>Table257[[#This Row],[RSSI]]</f>
        <v>-123</v>
      </c>
      <c r="S1213">
        <v>-9.3000000000000007</v>
      </c>
    </row>
    <row r="1214" spans="2:19" x14ac:dyDescent="0.25">
      <c r="B1214">
        <f>390+2*(Table146[[#This Row],[min value (corrected)]]-37)</f>
        <v>434</v>
      </c>
      <c r="C1214">
        <f>MINUTE(Table146[[#This Row],[Corrected time]])</f>
        <v>59</v>
      </c>
      <c r="D1214" s="1">
        <v>0.4994990856481481</v>
      </c>
      <c r="E1214" s="1">
        <f>Table146[[#This Row],[Time]]-TIME(0,0,1)</f>
        <v>0.49948751157407401</v>
      </c>
      <c r="F1214" t="s">
        <v>13</v>
      </c>
      <c r="G1214">
        <f t="shared" si="153"/>
        <v>-123</v>
      </c>
      <c r="H1214">
        <f>Table146[[#This Row],[RSSI]]</f>
        <v>-123</v>
      </c>
      <c r="I1214">
        <f t="shared" si="154"/>
        <v>-9</v>
      </c>
      <c r="L1214">
        <f>390+2*(Table257[[#This Row],[min value (corrected)]]-27)</f>
        <v>434</v>
      </c>
      <c r="M1214">
        <f>MINUTE(Table257[[#This Row],[Corrected time]])</f>
        <v>49</v>
      </c>
      <c r="N1214" s="1">
        <v>0.53413103009259266</v>
      </c>
      <c r="O1214" s="1">
        <f>Table257[[#This Row],[Time]]-TIME(0,0,3)</f>
        <v>0.53409630787037043</v>
      </c>
      <c r="P1214" t="s">
        <v>9</v>
      </c>
      <c r="Q1214">
        <v>-122</v>
      </c>
      <c r="R1214">
        <f>Table257[[#This Row],[RSSI]]</f>
        <v>-122</v>
      </c>
      <c r="S1214">
        <v>-8.5</v>
      </c>
    </row>
    <row r="1215" spans="2:19" x14ac:dyDescent="0.25">
      <c r="B1215">
        <f>390+2*(Table146[[#This Row],[min value (corrected)]]-37)</f>
        <v>434</v>
      </c>
      <c r="C1215">
        <f>MINUTE(Table146[[#This Row],[Corrected time]])</f>
        <v>59</v>
      </c>
      <c r="D1215" s="1">
        <v>0.4995121296296296</v>
      </c>
      <c r="E1215" s="1">
        <f>Table146[[#This Row],[Time]]-TIME(0,0,1)</f>
        <v>0.4995005555555555</v>
      </c>
      <c r="F1215" t="s">
        <v>9</v>
      </c>
      <c r="G1215">
        <v>-123</v>
      </c>
      <c r="H1215">
        <f>Table146[[#This Row],[RSSI]]</f>
        <v>-123</v>
      </c>
      <c r="I1215">
        <v>-9</v>
      </c>
      <c r="L1215">
        <f>390+2*(Table257[[#This Row],[min value (corrected)]]-27)</f>
        <v>434</v>
      </c>
      <c r="M1215">
        <f>MINUTE(Table257[[#This Row],[Corrected time]])</f>
        <v>49</v>
      </c>
      <c r="N1215" s="1">
        <v>0.53414406250000002</v>
      </c>
      <c r="O1215" s="1">
        <f>Table257[[#This Row],[Time]]-TIME(0,0,3)</f>
        <v>0.53410934027777779</v>
      </c>
      <c r="P1215" t="s">
        <v>13</v>
      </c>
      <c r="Q1215">
        <f t="shared" ref="Q1215:Q1219" si="155">Q1214</f>
        <v>-122</v>
      </c>
      <c r="R1215">
        <f>Table257[[#This Row],[RSSI]]</f>
        <v>-122</v>
      </c>
      <c r="S1215">
        <f t="shared" ref="S1215:S1219" si="156">S1214</f>
        <v>-8.5</v>
      </c>
    </row>
    <row r="1216" spans="2:19" x14ac:dyDescent="0.25">
      <c r="B1216">
        <f>390+2*(Table146[[#This Row],[min value (corrected)]]-37)</f>
        <v>434</v>
      </c>
      <c r="C1216">
        <f>MINUTE(Table146[[#This Row],[Corrected time]])</f>
        <v>59</v>
      </c>
      <c r="D1216" s="1">
        <v>0.49952515046296292</v>
      </c>
      <c r="E1216" s="1">
        <f>Table146[[#This Row],[Time]]-TIME(0,0,1)</f>
        <v>0.49951357638888882</v>
      </c>
      <c r="F1216" t="s">
        <v>9</v>
      </c>
      <c r="G1216">
        <v>-122</v>
      </c>
      <c r="H1216">
        <f>Table146[[#This Row],[RSSI]]</f>
        <v>-122</v>
      </c>
      <c r="I1216">
        <v>-8.5</v>
      </c>
      <c r="L1216">
        <f>390+2*(Table257[[#This Row],[min value (corrected)]]-27)</f>
        <v>434</v>
      </c>
      <c r="M1216">
        <f>MINUTE(Table257[[#This Row],[Corrected time]])</f>
        <v>49</v>
      </c>
      <c r="N1216" s="1">
        <v>0.53415709490740748</v>
      </c>
      <c r="O1216" s="1">
        <f>Table257[[#This Row],[Time]]-TIME(0,0,3)</f>
        <v>0.53412237268518525</v>
      </c>
      <c r="P1216" t="s">
        <v>13</v>
      </c>
      <c r="Q1216">
        <f t="shared" si="155"/>
        <v>-122</v>
      </c>
      <c r="R1216">
        <f>Table257[[#This Row],[RSSI]]</f>
        <v>-122</v>
      </c>
      <c r="S1216">
        <f t="shared" si="156"/>
        <v>-8.5</v>
      </c>
    </row>
    <row r="1217" spans="2:19" x14ac:dyDescent="0.25">
      <c r="B1217">
        <f>390+2*(Table146[[#This Row],[min value (corrected)]]-37)</f>
        <v>434</v>
      </c>
      <c r="C1217">
        <f>MINUTE(Table146[[#This Row],[Corrected time]])</f>
        <v>59</v>
      </c>
      <c r="D1217" s="1">
        <v>0.49953819444444442</v>
      </c>
      <c r="E1217" s="1">
        <f>Table146[[#This Row],[Time]]-TIME(0,0,1)</f>
        <v>0.49952662037037032</v>
      </c>
      <c r="F1217" t="s">
        <v>9</v>
      </c>
      <c r="G1217">
        <v>-122</v>
      </c>
      <c r="H1217">
        <f>Table146[[#This Row],[RSSI]]</f>
        <v>-122</v>
      </c>
      <c r="I1217">
        <v>-8.5</v>
      </c>
      <c r="L1217">
        <f>390+2*(Table257[[#This Row],[min value (corrected)]]-27)</f>
        <v>434</v>
      </c>
      <c r="M1217">
        <f>MINUTE(Table257[[#This Row],[Corrected time]])</f>
        <v>49</v>
      </c>
      <c r="N1217" s="1">
        <v>0.53417012731481484</v>
      </c>
      <c r="O1217" s="1">
        <f>Table257[[#This Row],[Time]]-TIME(0,0,3)</f>
        <v>0.53413540509259261</v>
      </c>
      <c r="P1217" t="s">
        <v>13</v>
      </c>
      <c r="Q1217">
        <f t="shared" si="155"/>
        <v>-122</v>
      </c>
      <c r="R1217">
        <f>Table257[[#This Row],[RSSI]]</f>
        <v>-122</v>
      </c>
      <c r="S1217">
        <f t="shared" si="156"/>
        <v>-8.5</v>
      </c>
    </row>
    <row r="1218" spans="2:19" x14ac:dyDescent="0.25">
      <c r="B1218">
        <f>390+2*(Table146[[#This Row],[min value (corrected)]]-37)</f>
        <v>434</v>
      </c>
      <c r="C1218">
        <f>MINUTE(Table146[[#This Row],[Corrected time]])</f>
        <v>59</v>
      </c>
      <c r="D1218" s="1">
        <v>0.49955122685185188</v>
      </c>
      <c r="E1218" s="1">
        <f>Table146[[#This Row],[Time]]-TIME(0,0,1)</f>
        <v>0.49953965277777779</v>
      </c>
      <c r="F1218" t="s">
        <v>9</v>
      </c>
      <c r="G1218">
        <v>-122</v>
      </c>
      <c r="H1218">
        <f>Table146[[#This Row],[RSSI]]</f>
        <v>-122</v>
      </c>
      <c r="I1218">
        <v>-7.7</v>
      </c>
      <c r="L1218">
        <f>390+2*(Table257[[#This Row],[min value (corrected)]]-27)</f>
        <v>434</v>
      </c>
      <c r="M1218">
        <f>MINUTE(Table257[[#This Row],[Corrected time]])</f>
        <v>49</v>
      </c>
      <c r="N1218" s="1">
        <v>0.5341831597222223</v>
      </c>
      <c r="O1218" s="1">
        <f>Table257[[#This Row],[Time]]-TIME(0,0,3)</f>
        <v>0.53414843750000007</v>
      </c>
      <c r="P1218" t="s">
        <v>13</v>
      </c>
      <c r="Q1218">
        <f t="shared" si="155"/>
        <v>-122</v>
      </c>
      <c r="R1218">
        <f>Table257[[#This Row],[RSSI]]</f>
        <v>-122</v>
      </c>
      <c r="S1218">
        <f t="shared" si="156"/>
        <v>-8.5</v>
      </c>
    </row>
    <row r="1219" spans="2:19" x14ac:dyDescent="0.25">
      <c r="B1219">
        <f>390+2*(Table146[[#This Row],[min value (corrected)]]-37)</f>
        <v>434</v>
      </c>
      <c r="C1219">
        <f>MINUTE(Table146[[#This Row],[Corrected time]])</f>
        <v>59</v>
      </c>
      <c r="D1219" s="1">
        <v>0.49956425925925924</v>
      </c>
      <c r="E1219" s="1">
        <f>Table146[[#This Row],[Time]]-TIME(0,0,1)</f>
        <v>0.49955268518518514</v>
      </c>
      <c r="F1219" t="s">
        <v>13</v>
      </c>
      <c r="G1219">
        <f>G1218</f>
        <v>-122</v>
      </c>
      <c r="H1219">
        <f>Table146[[#This Row],[RSSI]]</f>
        <v>-122</v>
      </c>
      <c r="I1219">
        <f>I1218</f>
        <v>-7.7</v>
      </c>
      <c r="L1219">
        <f>390+2*(Table257[[#This Row],[min value (corrected)]]-27)</f>
        <v>434</v>
      </c>
      <c r="M1219">
        <f>MINUTE(Table257[[#This Row],[Corrected time]])</f>
        <v>49</v>
      </c>
      <c r="N1219" s="1">
        <v>0.53419619212962965</v>
      </c>
      <c r="O1219" s="1">
        <f>Table257[[#This Row],[Time]]-TIME(0,0,3)</f>
        <v>0.53416146990740743</v>
      </c>
      <c r="P1219" t="s">
        <v>13</v>
      </c>
      <c r="Q1219">
        <f t="shared" si="155"/>
        <v>-122</v>
      </c>
      <c r="R1219">
        <f>Table257[[#This Row],[RSSI]]</f>
        <v>-122</v>
      </c>
      <c r="S1219">
        <f t="shared" si="156"/>
        <v>-8.5</v>
      </c>
    </row>
    <row r="1220" spans="2:19" x14ac:dyDescent="0.25">
      <c r="B1220">
        <f>390+2*(Table146[[#This Row],[min value (corrected)]]-37)</f>
        <v>434</v>
      </c>
      <c r="C1220">
        <f>MINUTE(Table146[[#This Row],[Corrected time]])</f>
        <v>59</v>
      </c>
      <c r="D1220" s="1">
        <v>0.4995772916666667</v>
      </c>
      <c r="E1220" s="1">
        <f>Table146[[#This Row],[Time]]-TIME(0,0,1)</f>
        <v>0.49956571759259261</v>
      </c>
      <c r="F1220" t="s">
        <v>9</v>
      </c>
      <c r="G1220">
        <v>-122</v>
      </c>
      <c r="H1220">
        <f>Table146[[#This Row],[RSSI]]</f>
        <v>-122</v>
      </c>
      <c r="I1220">
        <v>-8.5</v>
      </c>
      <c r="L1220">
        <f>390+2*(Table257[[#This Row],[min value (corrected)]]-27)</f>
        <v>434</v>
      </c>
      <c r="M1220">
        <f>MINUTE(Table257[[#This Row],[Corrected time]])</f>
        <v>49</v>
      </c>
      <c r="N1220" s="1">
        <v>0.53420922453703712</v>
      </c>
      <c r="O1220" s="1">
        <f>Table257[[#This Row],[Time]]-TIME(0,0,3)</f>
        <v>0.53417450231481489</v>
      </c>
      <c r="P1220" t="s">
        <v>9</v>
      </c>
      <c r="Q1220">
        <v>-123</v>
      </c>
      <c r="R1220">
        <f>Table257[[#This Row],[RSSI]]</f>
        <v>-123</v>
      </c>
      <c r="S1220">
        <v>-9.3000000000000007</v>
      </c>
    </row>
    <row r="1221" spans="2:19" x14ac:dyDescent="0.25">
      <c r="B1221">
        <f>390+2*(Table146[[#This Row],[min value (corrected)]]-37)</f>
        <v>434</v>
      </c>
      <c r="C1221">
        <f>MINUTE(Table146[[#This Row],[Corrected time]])</f>
        <v>59</v>
      </c>
      <c r="D1221" s="1">
        <v>0.49959031250000002</v>
      </c>
      <c r="E1221" s="1">
        <f>Table146[[#This Row],[Time]]-TIME(0,0,1)</f>
        <v>0.49957873842592593</v>
      </c>
      <c r="F1221" t="s">
        <v>9</v>
      </c>
      <c r="G1221">
        <v>-122</v>
      </c>
      <c r="H1221">
        <f>Table146[[#This Row],[RSSI]]</f>
        <v>-122</v>
      </c>
      <c r="I1221">
        <v>-8</v>
      </c>
      <c r="L1221">
        <f>390+2*(Table257[[#This Row],[min value (corrected)]]-27)</f>
        <v>434</v>
      </c>
      <c r="M1221">
        <f>MINUTE(Table257[[#This Row],[Corrected time]])</f>
        <v>49</v>
      </c>
      <c r="N1221" s="1">
        <v>0.53422225694444447</v>
      </c>
      <c r="O1221" s="1">
        <f>Table257[[#This Row],[Time]]-TIME(0,0,3)</f>
        <v>0.53418753472222225</v>
      </c>
      <c r="P1221" t="s">
        <v>9</v>
      </c>
      <c r="Q1221">
        <v>-122</v>
      </c>
      <c r="R1221">
        <f>Table257[[#This Row],[RSSI]]</f>
        <v>-122</v>
      </c>
      <c r="S1221">
        <v>-8.3000000000000007</v>
      </c>
    </row>
    <row r="1222" spans="2:19" x14ac:dyDescent="0.25">
      <c r="B1222">
        <f>390+2*(Table146[[#This Row],[min value (corrected)]]-37)</f>
        <v>434</v>
      </c>
      <c r="C1222">
        <f>MINUTE(Table146[[#This Row],[Corrected time]])</f>
        <v>59</v>
      </c>
      <c r="D1222" s="1">
        <v>0.49960335648148152</v>
      </c>
      <c r="E1222" s="1">
        <f>Table146[[#This Row],[Time]]-TIME(0,0,1)</f>
        <v>0.49959178240740743</v>
      </c>
      <c r="F1222" t="s">
        <v>13</v>
      </c>
      <c r="G1222">
        <f>G1221</f>
        <v>-122</v>
      </c>
      <c r="H1222">
        <f>Table146[[#This Row],[RSSI]]</f>
        <v>-122</v>
      </c>
      <c r="I1222">
        <f>I1221</f>
        <v>-8</v>
      </c>
      <c r="L1222">
        <f>390+2*(Table257[[#This Row],[min value (corrected)]]-27)</f>
        <v>434</v>
      </c>
      <c r="M1222">
        <f>MINUTE(Table257[[#This Row],[Corrected time]])</f>
        <v>49</v>
      </c>
      <c r="N1222" s="1">
        <v>0.53423528935185183</v>
      </c>
      <c r="O1222" s="1">
        <f>Table257[[#This Row],[Time]]-TIME(0,0,3)</f>
        <v>0.5342005671296296</v>
      </c>
      <c r="P1222" t="s">
        <v>9</v>
      </c>
      <c r="Q1222">
        <v>-122</v>
      </c>
      <c r="R1222">
        <f>Table257[[#This Row],[RSSI]]</f>
        <v>-122</v>
      </c>
      <c r="S1222">
        <v>-9</v>
      </c>
    </row>
    <row r="1223" spans="2:19" x14ac:dyDescent="0.25">
      <c r="B1223">
        <f>390+2*(Table146[[#This Row],[min value (corrected)]]-37)</f>
        <v>434</v>
      </c>
      <c r="C1223">
        <f>MINUTE(Table146[[#This Row],[Corrected time]])</f>
        <v>59</v>
      </c>
      <c r="D1223" s="1">
        <v>0.49961638888888887</v>
      </c>
      <c r="E1223" s="1">
        <f>Table146[[#This Row],[Time]]-TIME(0,0,1)</f>
        <v>0.49960481481481478</v>
      </c>
      <c r="F1223" t="s">
        <v>9</v>
      </c>
      <c r="G1223">
        <v>-123</v>
      </c>
      <c r="H1223">
        <f>Table146[[#This Row],[RSSI]]</f>
        <v>-123</v>
      </c>
      <c r="I1223">
        <v>-9</v>
      </c>
      <c r="L1223">
        <f>390+2*(Table257[[#This Row],[min value (corrected)]]-27)</f>
        <v>434</v>
      </c>
      <c r="M1223">
        <f>MINUTE(Table257[[#This Row],[Corrected time]])</f>
        <v>49</v>
      </c>
      <c r="N1223" s="1">
        <v>0.53424832175925929</v>
      </c>
      <c r="O1223" s="1">
        <f>Table257[[#This Row],[Time]]-TIME(0,0,3)</f>
        <v>0.53421359953703706</v>
      </c>
      <c r="P1223" t="s">
        <v>9</v>
      </c>
      <c r="Q1223">
        <v>-123</v>
      </c>
      <c r="R1223">
        <f>Table257[[#This Row],[RSSI]]</f>
        <v>-123</v>
      </c>
      <c r="S1223">
        <v>-9</v>
      </c>
    </row>
    <row r="1224" spans="2:19" x14ac:dyDescent="0.25">
      <c r="B1224">
        <f>390+2*(Table146[[#This Row],[min value (corrected)]]-37)</f>
        <v>434</v>
      </c>
      <c r="C1224">
        <f>MINUTE(Table146[[#This Row],[Corrected time]])</f>
        <v>59</v>
      </c>
      <c r="D1224" s="1">
        <v>0.49962942129629634</v>
      </c>
      <c r="E1224" s="1">
        <f>Table146[[#This Row],[Time]]-TIME(0,0,1)</f>
        <v>0.49961784722222224</v>
      </c>
      <c r="F1224" t="s">
        <v>9</v>
      </c>
      <c r="G1224">
        <v>-122</v>
      </c>
      <c r="H1224">
        <f>Table146[[#This Row],[RSSI]]</f>
        <v>-122</v>
      </c>
      <c r="I1224">
        <v>-9</v>
      </c>
      <c r="L1224">
        <f>390+2*(Table257[[#This Row],[min value (corrected)]]-27)</f>
        <v>434</v>
      </c>
      <c r="M1224">
        <f>MINUTE(Table257[[#This Row],[Corrected time]])</f>
        <v>49</v>
      </c>
      <c r="N1224" s="1">
        <v>0.53426135416666665</v>
      </c>
      <c r="O1224" s="1">
        <f>Table257[[#This Row],[Time]]-TIME(0,0,3)</f>
        <v>0.53422663194444442</v>
      </c>
      <c r="P1224" t="s">
        <v>9</v>
      </c>
      <c r="Q1224">
        <v>-122</v>
      </c>
      <c r="R1224">
        <f>Table257[[#This Row],[RSSI]]</f>
        <v>-122</v>
      </c>
      <c r="S1224">
        <v>-9</v>
      </c>
    </row>
    <row r="1225" spans="2:19" x14ac:dyDescent="0.25">
      <c r="B1225">
        <f>390+2*(Table146[[#This Row],[min value (corrected)]]-37)</f>
        <v>434</v>
      </c>
      <c r="C1225">
        <f>MINUTE(Table146[[#This Row],[Corrected time]])</f>
        <v>59</v>
      </c>
      <c r="D1225" s="1">
        <v>0.49964244212962966</v>
      </c>
      <c r="E1225" s="1">
        <f>Table146[[#This Row],[Time]]-TIME(0,0,1)</f>
        <v>0.49963086805555557</v>
      </c>
      <c r="F1225" t="s">
        <v>9</v>
      </c>
      <c r="G1225">
        <v>-122</v>
      </c>
      <c r="H1225">
        <f>Table146[[#This Row],[RSSI]]</f>
        <v>-122</v>
      </c>
      <c r="I1225">
        <v>-8.8000000000000007</v>
      </c>
      <c r="L1225">
        <f>390+2*(Table257[[#This Row],[min value (corrected)]]-27)</f>
        <v>434</v>
      </c>
      <c r="M1225">
        <f>MINUTE(Table257[[#This Row],[Corrected time]])</f>
        <v>49</v>
      </c>
      <c r="N1225" s="1">
        <v>0.53427438657407411</v>
      </c>
      <c r="O1225" s="1">
        <f>Table257[[#This Row],[Time]]-TIME(0,0,3)</f>
        <v>0.53423966435185188</v>
      </c>
      <c r="P1225" t="s">
        <v>9</v>
      </c>
      <c r="Q1225">
        <v>-122</v>
      </c>
      <c r="R1225">
        <f>Table257[[#This Row],[RSSI]]</f>
        <v>-122</v>
      </c>
      <c r="S1225">
        <v>-9</v>
      </c>
    </row>
    <row r="1226" spans="2:19" x14ac:dyDescent="0.25">
      <c r="B1226">
        <f>390+2*(Table146[[#This Row],[min value (corrected)]]-37)</f>
        <v>434</v>
      </c>
      <c r="C1226">
        <f>MINUTE(Table146[[#This Row],[Corrected time]])</f>
        <v>59</v>
      </c>
      <c r="D1226" s="1">
        <v>0.49965548611111105</v>
      </c>
      <c r="E1226" s="1">
        <f>Table146[[#This Row],[Time]]-TIME(0,0,1)</f>
        <v>0.49964391203703695</v>
      </c>
      <c r="F1226" t="s">
        <v>9</v>
      </c>
      <c r="G1226">
        <v>-122</v>
      </c>
      <c r="H1226">
        <f>Table146[[#This Row],[RSSI]]</f>
        <v>-122</v>
      </c>
      <c r="I1226">
        <v>-8.8000000000000007</v>
      </c>
      <c r="L1226">
        <f>390+2*(Table257[[#This Row],[min value (corrected)]]-27)</f>
        <v>434</v>
      </c>
      <c r="M1226">
        <f>MINUTE(Table257[[#This Row],[Corrected time]])</f>
        <v>49</v>
      </c>
      <c r="N1226" s="1">
        <v>0.53428741898148147</v>
      </c>
      <c r="O1226" s="1">
        <f>Table257[[#This Row],[Time]]-TIME(0,0,3)</f>
        <v>0.53425269675925924</v>
      </c>
      <c r="P1226" t="s">
        <v>9</v>
      </c>
      <c r="Q1226">
        <v>-123</v>
      </c>
      <c r="R1226">
        <f>Table257[[#This Row],[RSSI]]</f>
        <v>-123</v>
      </c>
      <c r="S1226">
        <v>-9</v>
      </c>
    </row>
    <row r="1227" spans="2:19" x14ac:dyDescent="0.25">
      <c r="B1227">
        <f>390+2*(Table146[[#This Row],[min value (corrected)]]-37)</f>
        <v>434</v>
      </c>
      <c r="C1227">
        <f>MINUTE(Table146[[#This Row],[Corrected time]])</f>
        <v>59</v>
      </c>
      <c r="D1227" s="1">
        <v>0.49966851851851851</v>
      </c>
      <c r="E1227" s="1">
        <f>Table146[[#This Row],[Time]]-TIME(0,0,1)</f>
        <v>0.49965694444444442</v>
      </c>
      <c r="F1227" t="s">
        <v>9</v>
      </c>
      <c r="G1227">
        <v>-122</v>
      </c>
      <c r="H1227">
        <f>Table146[[#This Row],[RSSI]]</f>
        <v>-122</v>
      </c>
      <c r="I1227">
        <v>-8</v>
      </c>
      <c r="L1227">
        <f>390+2*(Table257[[#This Row],[min value (corrected)]]-27)</f>
        <v>434</v>
      </c>
      <c r="M1227">
        <f>MINUTE(Table257[[#This Row],[Corrected time]])</f>
        <v>49</v>
      </c>
      <c r="N1227" s="1">
        <v>0.53430045138888893</v>
      </c>
      <c r="O1227" s="1">
        <f>Table257[[#This Row],[Time]]-TIME(0,0,3)</f>
        <v>0.5342657291666667</v>
      </c>
      <c r="P1227" t="s">
        <v>13</v>
      </c>
      <c r="Q1227">
        <f>Q1226</f>
        <v>-123</v>
      </c>
      <c r="R1227">
        <f>Table257[[#This Row],[RSSI]]</f>
        <v>-123</v>
      </c>
      <c r="S1227">
        <f>S1226</f>
        <v>-9</v>
      </c>
    </row>
    <row r="1228" spans="2:19" x14ac:dyDescent="0.25">
      <c r="B1228">
        <f>390+2*(Table146[[#This Row],[min value (corrected)]]-37)</f>
        <v>434</v>
      </c>
      <c r="C1228">
        <f>MINUTE(Table146[[#This Row],[Corrected time]])</f>
        <v>59</v>
      </c>
      <c r="D1228" s="1">
        <v>0.49968155092592587</v>
      </c>
      <c r="E1228" s="1">
        <f>Table146[[#This Row],[Time]]-TIME(0,0,1)</f>
        <v>0.49966997685185177</v>
      </c>
      <c r="F1228" t="s">
        <v>9</v>
      </c>
      <c r="G1228">
        <v>-122</v>
      </c>
      <c r="H1228">
        <f>Table146[[#This Row],[RSSI]]</f>
        <v>-122</v>
      </c>
      <c r="I1228">
        <v>-9</v>
      </c>
      <c r="L1228">
        <f>390+2*(Table257[[#This Row],[min value (corrected)]]-27)</f>
        <v>434</v>
      </c>
      <c r="M1228">
        <f>MINUTE(Table257[[#This Row],[Corrected time]])</f>
        <v>49</v>
      </c>
      <c r="N1228" s="1">
        <v>0.53431347222222225</v>
      </c>
      <c r="O1228" s="1">
        <f>Table257[[#This Row],[Time]]-TIME(0,0,3)</f>
        <v>0.53427875000000002</v>
      </c>
      <c r="P1228" t="s">
        <v>9</v>
      </c>
      <c r="Q1228">
        <v>-122</v>
      </c>
      <c r="R1228">
        <f>Table257[[#This Row],[RSSI]]</f>
        <v>-122</v>
      </c>
      <c r="S1228">
        <v>-8.5</v>
      </c>
    </row>
    <row r="1229" spans="2:19" x14ac:dyDescent="0.25">
      <c r="B1229">
        <f>390+2*(Table146[[#This Row],[min value (corrected)]]-37)</f>
        <v>434</v>
      </c>
      <c r="C1229">
        <f>MINUTE(Table146[[#This Row],[Corrected time]])</f>
        <v>59</v>
      </c>
      <c r="D1229" s="1">
        <v>0.49969458333333333</v>
      </c>
      <c r="E1229" s="1">
        <f>Table146[[#This Row],[Time]]-TIME(0,0,1)</f>
        <v>0.49968300925925924</v>
      </c>
      <c r="F1229" t="s">
        <v>9</v>
      </c>
      <c r="G1229">
        <v>-122</v>
      </c>
      <c r="H1229">
        <f>Table146[[#This Row],[RSSI]]</f>
        <v>-122</v>
      </c>
      <c r="I1229">
        <v>-8.5</v>
      </c>
      <c r="L1229">
        <f>390+2*(Table257[[#This Row],[min value (corrected)]]-27)</f>
        <v>434</v>
      </c>
      <c r="M1229">
        <f>MINUTE(Table257[[#This Row],[Corrected time]])</f>
        <v>49</v>
      </c>
      <c r="N1229" s="1">
        <v>0.53432651620370375</v>
      </c>
      <c r="O1229" s="1">
        <f>Table257[[#This Row],[Time]]-TIME(0,0,3)</f>
        <v>0.53429179398148152</v>
      </c>
      <c r="P1229" t="s">
        <v>9</v>
      </c>
      <c r="Q1229">
        <v>-122</v>
      </c>
      <c r="R1229">
        <f>Table257[[#This Row],[RSSI]]</f>
        <v>-122</v>
      </c>
      <c r="S1229">
        <v>-8.3000000000000007</v>
      </c>
    </row>
    <row r="1230" spans="2:19" x14ac:dyDescent="0.25">
      <c r="B1230">
        <f>390+2*(Table146[[#This Row],[min value (corrected)]]-37)</f>
        <v>434</v>
      </c>
      <c r="C1230">
        <f>MINUTE(Table146[[#This Row],[Corrected time]])</f>
        <v>59</v>
      </c>
      <c r="D1230" s="1">
        <v>0.49970761574074068</v>
      </c>
      <c r="E1230" s="1">
        <f>Table146[[#This Row],[Time]]-TIME(0,0,1)</f>
        <v>0.49969604166666659</v>
      </c>
      <c r="F1230" t="s">
        <v>9</v>
      </c>
      <c r="G1230">
        <v>-122</v>
      </c>
      <c r="H1230">
        <f>Table146[[#This Row],[RSSI]]</f>
        <v>-122</v>
      </c>
      <c r="I1230">
        <v>-8</v>
      </c>
      <c r="L1230">
        <f>390+2*(Table257[[#This Row],[min value (corrected)]]-27)</f>
        <v>434</v>
      </c>
      <c r="M1230">
        <f>MINUTE(Table257[[#This Row],[Corrected time]])</f>
        <v>49</v>
      </c>
      <c r="N1230" s="1">
        <v>0.5343395486111111</v>
      </c>
      <c r="O1230" s="1">
        <f>Table257[[#This Row],[Time]]-TIME(0,0,3)</f>
        <v>0.53430482638888888</v>
      </c>
      <c r="P1230" t="s">
        <v>9</v>
      </c>
      <c r="Q1230">
        <v>-122</v>
      </c>
      <c r="R1230">
        <f>Table257[[#This Row],[RSSI]]</f>
        <v>-122</v>
      </c>
      <c r="S1230">
        <v>-8.3000000000000007</v>
      </c>
    </row>
    <row r="1231" spans="2:19" x14ac:dyDescent="0.25">
      <c r="B1231">
        <f>390+2*(Table146[[#This Row],[min value (corrected)]]-37)</f>
        <v>434</v>
      </c>
      <c r="C1231">
        <f>MINUTE(Table146[[#This Row],[Corrected time]])</f>
        <v>59</v>
      </c>
      <c r="D1231" s="1">
        <v>0.49972064814814815</v>
      </c>
      <c r="E1231" s="1">
        <f>Table146[[#This Row],[Time]]-TIME(0,0,1)</f>
        <v>0.49970907407407406</v>
      </c>
      <c r="F1231" t="s">
        <v>9</v>
      </c>
      <c r="G1231">
        <v>-122</v>
      </c>
      <c r="H1231">
        <f>Table146[[#This Row],[RSSI]]</f>
        <v>-122</v>
      </c>
      <c r="I1231">
        <v>-8.5</v>
      </c>
      <c r="L1231">
        <f>390+2*(Table257[[#This Row],[min value (corrected)]]-27)</f>
        <v>434</v>
      </c>
      <c r="M1231">
        <f>MINUTE(Table257[[#This Row],[Corrected time]])</f>
        <v>49</v>
      </c>
      <c r="N1231" s="1">
        <v>0.53435258101851857</v>
      </c>
      <c r="O1231" s="1">
        <f>Table257[[#This Row],[Time]]-TIME(0,0,3)</f>
        <v>0.53431785879629634</v>
      </c>
      <c r="P1231" t="s">
        <v>9</v>
      </c>
      <c r="Q1231">
        <v>-123</v>
      </c>
      <c r="R1231">
        <f>Table257[[#This Row],[RSSI]]</f>
        <v>-123</v>
      </c>
      <c r="S1231">
        <v>-8.8000000000000007</v>
      </c>
    </row>
    <row r="1232" spans="2:19" x14ac:dyDescent="0.25">
      <c r="B1232">
        <f>390+2*(Table146[[#This Row],[min value (corrected)]]-37)</f>
        <v>434</v>
      </c>
      <c r="C1232">
        <f>MINUTE(Table146[[#This Row],[Corrected time]])</f>
        <v>59</v>
      </c>
      <c r="D1232" s="1">
        <v>0.49973366898148147</v>
      </c>
      <c r="E1232" s="1">
        <f>Table146[[#This Row],[Time]]-TIME(0,0,1)</f>
        <v>0.49972209490740738</v>
      </c>
      <c r="F1232" t="s">
        <v>9</v>
      </c>
      <c r="G1232">
        <v>-122</v>
      </c>
      <c r="H1232">
        <f>Table146[[#This Row],[RSSI]]</f>
        <v>-122</v>
      </c>
      <c r="I1232">
        <v>-8.8000000000000007</v>
      </c>
      <c r="L1232">
        <f>390+2*(Table257[[#This Row],[min value (corrected)]]-27)</f>
        <v>434</v>
      </c>
      <c r="M1232">
        <f>MINUTE(Table257[[#This Row],[Corrected time]])</f>
        <v>49</v>
      </c>
      <c r="N1232" s="1">
        <v>0.53436561342592592</v>
      </c>
      <c r="O1232" s="1">
        <f>Table257[[#This Row],[Time]]-TIME(0,0,3)</f>
        <v>0.5343308912037037</v>
      </c>
      <c r="P1232" t="s">
        <v>9</v>
      </c>
      <c r="Q1232">
        <v>-122</v>
      </c>
      <c r="R1232">
        <f>Table257[[#This Row],[RSSI]]</f>
        <v>-122</v>
      </c>
      <c r="S1232">
        <v>-8.3000000000000007</v>
      </c>
    </row>
    <row r="1233" spans="2:19" x14ac:dyDescent="0.25">
      <c r="B1233">
        <f>390+2*(Table146[[#This Row],[min value (corrected)]]-37)</f>
        <v>434</v>
      </c>
      <c r="C1233">
        <f>MINUTE(Table146[[#This Row],[Corrected time]])</f>
        <v>59</v>
      </c>
      <c r="D1233" s="1">
        <v>0.49974671296296297</v>
      </c>
      <c r="E1233" s="1">
        <f>Table146[[#This Row],[Time]]-TIME(0,0,1)</f>
        <v>0.49973513888888887</v>
      </c>
      <c r="F1233" t="s">
        <v>9</v>
      </c>
      <c r="G1233">
        <v>-122</v>
      </c>
      <c r="H1233">
        <f>Table146[[#This Row],[RSSI]]</f>
        <v>-122</v>
      </c>
      <c r="I1233">
        <v>-8.5</v>
      </c>
      <c r="L1233">
        <f>390+2*(Table257[[#This Row],[min value (corrected)]]-27)</f>
        <v>434</v>
      </c>
      <c r="M1233">
        <f>MINUTE(Table257[[#This Row],[Corrected time]])</f>
        <v>49</v>
      </c>
      <c r="N1233" s="1">
        <v>0.53437864583333339</v>
      </c>
      <c r="O1233" s="1">
        <f>Table257[[#This Row],[Time]]-TIME(0,0,3)</f>
        <v>0.53434392361111116</v>
      </c>
      <c r="P1233" t="s">
        <v>9</v>
      </c>
      <c r="Q1233">
        <v>-122</v>
      </c>
      <c r="R1233">
        <f>Table257[[#This Row],[RSSI]]</f>
        <v>-122</v>
      </c>
      <c r="S1233">
        <v>-8.8000000000000007</v>
      </c>
    </row>
    <row r="1234" spans="2:19" x14ac:dyDescent="0.25">
      <c r="B1234">
        <f>390+2*(Table146[[#This Row],[min value (corrected)]]-37)</f>
        <v>434</v>
      </c>
      <c r="C1234">
        <f>MINUTE(Table146[[#This Row],[Corrected time]])</f>
        <v>59</v>
      </c>
      <c r="D1234" s="1">
        <v>0.49975974537037038</v>
      </c>
      <c r="E1234" s="1">
        <f>Table146[[#This Row],[Time]]-TIME(0,0,1)</f>
        <v>0.49974817129629628</v>
      </c>
      <c r="F1234" t="s">
        <v>13</v>
      </c>
      <c r="G1234">
        <f>G1233</f>
        <v>-122</v>
      </c>
      <c r="H1234">
        <f>Table146[[#This Row],[RSSI]]</f>
        <v>-122</v>
      </c>
      <c r="I1234">
        <f>I1233</f>
        <v>-8.5</v>
      </c>
      <c r="L1234">
        <f>390+2*(Table257[[#This Row],[min value (corrected)]]-27)</f>
        <v>434</v>
      </c>
      <c r="M1234">
        <f>MINUTE(Table257[[#This Row],[Corrected time]])</f>
        <v>49</v>
      </c>
      <c r="N1234" s="1">
        <v>0.53439167824074074</v>
      </c>
      <c r="O1234" s="1">
        <f>Table257[[#This Row],[Time]]-TIME(0,0,3)</f>
        <v>0.53435695601851851</v>
      </c>
      <c r="P1234" t="s">
        <v>9</v>
      </c>
      <c r="Q1234">
        <v>-123</v>
      </c>
      <c r="R1234">
        <f>Table257[[#This Row],[RSSI]]</f>
        <v>-123</v>
      </c>
      <c r="S1234">
        <v>-9.3000000000000007</v>
      </c>
    </row>
    <row r="1235" spans="2:19" x14ac:dyDescent="0.25">
      <c r="B1235">
        <f>390+2*(Table146[[#This Row],[min value (corrected)]]-37)</f>
        <v>434</v>
      </c>
      <c r="C1235">
        <f>MINUTE(Table146[[#This Row],[Corrected time]])</f>
        <v>59</v>
      </c>
      <c r="D1235" s="1">
        <v>0.4997727662037037</v>
      </c>
      <c r="E1235" s="1">
        <f>Table146[[#This Row],[Time]]-TIME(0,0,1)</f>
        <v>0.49976119212962961</v>
      </c>
      <c r="F1235" t="s">
        <v>9</v>
      </c>
      <c r="G1235">
        <v>-122</v>
      </c>
      <c r="H1235">
        <f>Table146[[#This Row],[RSSI]]</f>
        <v>-122</v>
      </c>
      <c r="I1235">
        <v>-8.8000000000000007</v>
      </c>
      <c r="L1235">
        <f>390+2*(Table257[[#This Row],[min value (corrected)]]-27)</f>
        <v>434</v>
      </c>
      <c r="M1235">
        <f>MINUTE(Table257[[#This Row],[Corrected time]])</f>
        <v>49</v>
      </c>
      <c r="N1235" s="1">
        <v>0.53440471064814821</v>
      </c>
      <c r="O1235" s="1">
        <f>Table257[[#This Row],[Time]]-TIME(0,0,3)</f>
        <v>0.53436998842592598</v>
      </c>
      <c r="P1235" t="s">
        <v>9</v>
      </c>
      <c r="Q1235">
        <v>-123</v>
      </c>
      <c r="R1235">
        <f>Table257[[#This Row],[RSSI]]</f>
        <v>-123</v>
      </c>
      <c r="S1235">
        <v>-9.3000000000000007</v>
      </c>
    </row>
    <row r="1236" spans="2:19" x14ac:dyDescent="0.25">
      <c r="B1236">
        <f>390+2*(Table146[[#This Row],[min value (corrected)]]-37)</f>
        <v>434</v>
      </c>
      <c r="C1236">
        <f>MINUTE(Table146[[#This Row],[Corrected time]])</f>
        <v>59</v>
      </c>
      <c r="D1236" s="1">
        <v>0.4997858101851852</v>
      </c>
      <c r="E1236" s="1">
        <f>Table146[[#This Row],[Time]]-TIME(0,0,1)</f>
        <v>0.4997742361111111</v>
      </c>
      <c r="F1236" t="s">
        <v>9</v>
      </c>
      <c r="G1236">
        <v>-119</v>
      </c>
      <c r="H1236">
        <f>Table146[[#This Row],[RSSI]]</f>
        <v>-119</v>
      </c>
      <c r="I1236">
        <v>-8.8000000000000007</v>
      </c>
      <c r="L1236">
        <f>390+2*(Table257[[#This Row],[min value (corrected)]]-27)</f>
        <v>434</v>
      </c>
      <c r="M1236">
        <f>MINUTE(Table257[[#This Row],[Corrected time]])</f>
        <v>49</v>
      </c>
      <c r="N1236" s="1">
        <v>0.53441774305555556</v>
      </c>
      <c r="O1236" s="1">
        <f>Table257[[#This Row],[Time]]-TIME(0,0,3)</f>
        <v>0.53438302083333333</v>
      </c>
      <c r="P1236" t="s">
        <v>9</v>
      </c>
      <c r="Q1236">
        <v>-121</v>
      </c>
      <c r="R1236">
        <f>Table257[[#This Row],[RSSI]]</f>
        <v>-121</v>
      </c>
      <c r="S1236">
        <v>-7.7</v>
      </c>
    </row>
    <row r="1237" spans="2:19" x14ac:dyDescent="0.25">
      <c r="B1237">
        <f>390+2*(Table146[[#This Row],[min value (corrected)]]-37)</f>
        <v>434</v>
      </c>
      <c r="C1237">
        <f>MINUTE(Table146[[#This Row],[Corrected time]])</f>
        <v>59</v>
      </c>
      <c r="D1237" s="1">
        <v>0.49979883101851852</v>
      </c>
      <c r="E1237" s="1">
        <f>Table146[[#This Row],[Time]]-TIME(0,0,1)</f>
        <v>0.49978725694444442</v>
      </c>
      <c r="F1237" t="s">
        <v>9</v>
      </c>
      <c r="G1237">
        <v>-122</v>
      </c>
      <c r="H1237">
        <f>Table146[[#This Row],[RSSI]]</f>
        <v>-122</v>
      </c>
      <c r="I1237">
        <v>-8.5</v>
      </c>
      <c r="L1237">
        <f>390+2*(Table257[[#This Row],[min value (corrected)]]-27)</f>
        <v>434</v>
      </c>
      <c r="M1237">
        <f>MINUTE(Table257[[#This Row],[Corrected time]])</f>
        <v>49</v>
      </c>
      <c r="N1237" s="1">
        <v>0.53443077546296303</v>
      </c>
      <c r="O1237" s="1">
        <f>Table257[[#This Row],[Time]]-TIME(0,0,3)</f>
        <v>0.5343960532407408</v>
      </c>
      <c r="P1237" t="s">
        <v>9</v>
      </c>
      <c r="Q1237">
        <v>-122</v>
      </c>
      <c r="R1237">
        <f>Table257[[#This Row],[RSSI]]</f>
        <v>-122</v>
      </c>
      <c r="S1237">
        <v>-8.5</v>
      </c>
    </row>
    <row r="1238" spans="2:19" x14ac:dyDescent="0.25">
      <c r="B1238">
        <f>390+2*(Table146[[#This Row],[min value (corrected)]]-37)</f>
        <v>434</v>
      </c>
      <c r="C1238">
        <f>MINUTE(Table146[[#This Row],[Corrected time]])</f>
        <v>59</v>
      </c>
      <c r="D1238" s="1">
        <v>0.49981186342592593</v>
      </c>
      <c r="E1238" s="1">
        <f>Table146[[#This Row],[Time]]-TIME(0,0,1)</f>
        <v>0.49980028935185183</v>
      </c>
      <c r="F1238" t="s">
        <v>9</v>
      </c>
      <c r="G1238">
        <v>-122</v>
      </c>
      <c r="H1238">
        <f>Table146[[#This Row],[RSSI]]</f>
        <v>-122</v>
      </c>
      <c r="I1238">
        <v>-8.5</v>
      </c>
      <c r="L1238">
        <f>390+2*(Table257[[#This Row],[min value (corrected)]]-27)</f>
        <v>434</v>
      </c>
      <c r="M1238">
        <f>MINUTE(Table257[[#This Row],[Corrected time]])</f>
        <v>49</v>
      </c>
      <c r="N1238" s="1">
        <v>0.53444380787037038</v>
      </c>
      <c r="O1238" s="1">
        <f>Table257[[#This Row],[Time]]-TIME(0,0,3)</f>
        <v>0.53440908564814815</v>
      </c>
      <c r="P1238" t="s">
        <v>9</v>
      </c>
      <c r="Q1238">
        <v>-123</v>
      </c>
      <c r="R1238">
        <f>Table257[[#This Row],[RSSI]]</f>
        <v>-123</v>
      </c>
      <c r="S1238">
        <v>-9.3000000000000007</v>
      </c>
    </row>
    <row r="1239" spans="2:19" x14ac:dyDescent="0.25">
      <c r="B1239">
        <f>390+2*(Table146[[#This Row],[min value (corrected)]]-37)</f>
        <v>434</v>
      </c>
      <c r="C1239">
        <f>MINUTE(Table146[[#This Row],[Corrected time]])</f>
        <v>59</v>
      </c>
      <c r="D1239" s="1">
        <v>0.49982490740740743</v>
      </c>
      <c r="E1239" s="1">
        <f>Table146[[#This Row],[Time]]-TIME(0,0,1)</f>
        <v>0.49981333333333333</v>
      </c>
      <c r="F1239" t="s">
        <v>9</v>
      </c>
      <c r="G1239">
        <v>-122</v>
      </c>
      <c r="H1239">
        <f>Table146[[#This Row],[RSSI]]</f>
        <v>-122</v>
      </c>
      <c r="I1239">
        <v>-8.8000000000000007</v>
      </c>
      <c r="L1239">
        <f>390+2*(Table257[[#This Row],[min value (corrected)]]-27)</f>
        <v>434</v>
      </c>
      <c r="M1239">
        <f>MINUTE(Table257[[#This Row],[Corrected time]])</f>
        <v>49</v>
      </c>
      <c r="N1239" s="1">
        <v>0.53445684027777784</v>
      </c>
      <c r="O1239" s="1">
        <f>Table257[[#This Row],[Time]]-TIME(0,0,3)</f>
        <v>0.53442211805555562</v>
      </c>
      <c r="P1239" t="s">
        <v>13</v>
      </c>
      <c r="Q1239">
        <f>Q1238</f>
        <v>-123</v>
      </c>
      <c r="R1239">
        <f>Table257[[#This Row],[RSSI]]</f>
        <v>-123</v>
      </c>
      <c r="S1239">
        <f>S1238</f>
        <v>-9.3000000000000007</v>
      </c>
    </row>
    <row r="1240" spans="2:19" x14ac:dyDescent="0.25">
      <c r="B1240">
        <f>390+2*(Table146[[#This Row],[min value (corrected)]]-37)</f>
        <v>434</v>
      </c>
      <c r="C1240">
        <f>MINUTE(Table146[[#This Row],[Corrected time]])</f>
        <v>59</v>
      </c>
      <c r="D1240" s="1">
        <v>0.49983793981481484</v>
      </c>
      <c r="E1240" s="1">
        <f>Table146[[#This Row],[Time]]-TIME(0,0,1)</f>
        <v>0.49982636574074074</v>
      </c>
      <c r="F1240" t="s">
        <v>9</v>
      </c>
      <c r="G1240">
        <v>-122</v>
      </c>
      <c r="H1240">
        <f>Table146[[#This Row],[RSSI]]</f>
        <v>-122</v>
      </c>
      <c r="I1240">
        <v>-7.7</v>
      </c>
      <c r="L1240">
        <f>390+2*(Table257[[#This Row],[min value (corrected)]]-27)</f>
        <v>434</v>
      </c>
      <c r="M1240">
        <f>MINUTE(Table257[[#This Row],[Corrected time]])</f>
        <v>49</v>
      </c>
      <c r="N1240" s="1">
        <v>0.5344698726851852</v>
      </c>
      <c r="O1240" s="1">
        <f>Table257[[#This Row],[Time]]-TIME(0,0,3)</f>
        <v>0.53443515046296297</v>
      </c>
      <c r="P1240" t="s">
        <v>9</v>
      </c>
      <c r="Q1240">
        <v>-122</v>
      </c>
      <c r="R1240">
        <f>Table257[[#This Row],[RSSI]]</f>
        <v>-122</v>
      </c>
      <c r="S1240">
        <v>-8.5</v>
      </c>
    </row>
    <row r="1241" spans="2:19" x14ac:dyDescent="0.25">
      <c r="B1241">
        <f>390+2*(Table146[[#This Row],[min value (corrected)]]-37)</f>
        <v>434</v>
      </c>
      <c r="C1241">
        <f>MINUTE(Table146[[#This Row],[Corrected time]])</f>
        <v>59</v>
      </c>
      <c r="D1241" s="1">
        <v>0.49985097222222225</v>
      </c>
      <c r="E1241" s="1">
        <f>Table146[[#This Row],[Time]]-TIME(0,0,1)</f>
        <v>0.49983939814814815</v>
      </c>
      <c r="F1241" t="s">
        <v>9</v>
      </c>
      <c r="G1241">
        <v>-122</v>
      </c>
      <c r="H1241">
        <f>Table146[[#This Row],[RSSI]]</f>
        <v>-122</v>
      </c>
      <c r="I1241">
        <v>-8.8000000000000007</v>
      </c>
      <c r="L1241">
        <f>390+2*(Table257[[#This Row],[min value (corrected)]]-27)</f>
        <v>434</v>
      </c>
      <c r="M1241">
        <f>MINUTE(Table257[[#This Row],[Corrected time]])</f>
        <v>49</v>
      </c>
      <c r="N1241" s="1">
        <v>0.53448290509259255</v>
      </c>
      <c r="O1241" s="1">
        <f>Table257[[#This Row],[Time]]-TIME(0,0,3)</f>
        <v>0.53444818287037033</v>
      </c>
      <c r="P1241" t="s">
        <v>9</v>
      </c>
      <c r="Q1241">
        <v>-122</v>
      </c>
      <c r="R1241">
        <f>Table257[[#This Row],[RSSI]]</f>
        <v>-122</v>
      </c>
      <c r="S1241">
        <v>-8.3000000000000007</v>
      </c>
    </row>
    <row r="1242" spans="2:19" x14ac:dyDescent="0.25">
      <c r="B1242">
        <f>390+2*(Table146[[#This Row],[min value (corrected)]]-37)</f>
        <v>434</v>
      </c>
      <c r="C1242">
        <f>MINUTE(Table146[[#This Row],[Corrected time]])</f>
        <v>59</v>
      </c>
      <c r="D1242" s="1">
        <v>0.49986400462962965</v>
      </c>
      <c r="E1242" s="1">
        <f>Table146[[#This Row],[Time]]-TIME(0,0,1)</f>
        <v>0.49985243055555556</v>
      </c>
      <c r="F1242" t="s">
        <v>13</v>
      </c>
      <c r="G1242">
        <f t="shared" ref="G1242:G1243" si="157">G1241</f>
        <v>-122</v>
      </c>
      <c r="H1242">
        <f>Table146[[#This Row],[RSSI]]</f>
        <v>-122</v>
      </c>
      <c r="I1242">
        <f t="shared" ref="I1242:I1243" si="158">I1241</f>
        <v>-8.8000000000000007</v>
      </c>
      <c r="L1242">
        <f>390+2*(Table257[[#This Row],[min value (corrected)]]-27)</f>
        <v>434</v>
      </c>
      <c r="M1242">
        <f>MINUTE(Table257[[#This Row],[Corrected time]])</f>
        <v>49</v>
      </c>
      <c r="N1242" s="1">
        <v>0.53449593750000002</v>
      </c>
      <c r="O1242" s="1">
        <f>Table257[[#This Row],[Time]]-TIME(0,0,3)</f>
        <v>0.53446121527777779</v>
      </c>
      <c r="P1242" t="s">
        <v>9</v>
      </c>
      <c r="Q1242">
        <v>-122</v>
      </c>
      <c r="R1242">
        <f>Table257[[#This Row],[RSSI]]</f>
        <v>-122</v>
      </c>
      <c r="S1242">
        <v>-8.5</v>
      </c>
    </row>
    <row r="1243" spans="2:19" x14ac:dyDescent="0.25">
      <c r="B1243">
        <f>390+2*(Table146[[#This Row],[min value (corrected)]]-37)</f>
        <v>434</v>
      </c>
      <c r="C1243">
        <f>MINUTE(Table146[[#This Row],[Corrected time]])</f>
        <v>59</v>
      </c>
      <c r="D1243" s="1">
        <v>0.49987703703703701</v>
      </c>
      <c r="E1243" s="1">
        <f>Table146[[#This Row],[Time]]-TIME(0,0,1)</f>
        <v>0.49986546296296291</v>
      </c>
      <c r="F1243" t="s">
        <v>13</v>
      </c>
      <c r="G1243">
        <f t="shared" si="157"/>
        <v>-122</v>
      </c>
      <c r="H1243">
        <f>Table146[[#This Row],[RSSI]]</f>
        <v>-122</v>
      </c>
      <c r="I1243">
        <f t="shared" si="158"/>
        <v>-8.8000000000000007</v>
      </c>
      <c r="L1243">
        <f>390+2*(Table257[[#This Row],[min value (corrected)]]-27)</f>
        <v>434</v>
      </c>
      <c r="M1243">
        <f>MINUTE(Table257[[#This Row],[Corrected time]])</f>
        <v>49</v>
      </c>
      <c r="N1243" s="1">
        <v>0.53450896990740737</v>
      </c>
      <c r="O1243" s="1">
        <f>Table257[[#This Row],[Time]]-TIME(0,0,3)</f>
        <v>0.53447424768518514</v>
      </c>
      <c r="P1243" t="s">
        <v>9</v>
      </c>
      <c r="Q1243">
        <v>-122</v>
      </c>
      <c r="R1243">
        <f>Table257[[#This Row],[RSSI]]</f>
        <v>-122</v>
      </c>
      <c r="S1243">
        <v>-8</v>
      </c>
    </row>
    <row r="1244" spans="2:19" x14ac:dyDescent="0.25">
      <c r="B1244">
        <f>390+2*(Table146[[#This Row],[min value (corrected)]]-37)</f>
        <v>434</v>
      </c>
      <c r="C1244">
        <f>MINUTE(Table146[[#This Row],[Corrected time]])</f>
        <v>59</v>
      </c>
      <c r="D1244" s="1">
        <v>0.49989005787037033</v>
      </c>
      <c r="E1244" s="1">
        <f>Table146[[#This Row],[Time]]-TIME(0,0,1)</f>
        <v>0.49987848379629624</v>
      </c>
      <c r="F1244" t="s">
        <v>9</v>
      </c>
      <c r="G1244">
        <v>-122</v>
      </c>
      <c r="H1244">
        <f>Table146[[#This Row],[RSSI]]</f>
        <v>-122</v>
      </c>
      <c r="I1244">
        <v>-8.5</v>
      </c>
      <c r="L1244">
        <f>390+2*(Table257[[#This Row],[min value (corrected)]]-27)</f>
        <v>434</v>
      </c>
      <c r="M1244">
        <f>MINUTE(Table257[[#This Row],[Corrected time]])</f>
        <v>49</v>
      </c>
      <c r="N1244" s="1">
        <v>0.53452200231481484</v>
      </c>
      <c r="O1244" s="1">
        <f>Table257[[#This Row],[Time]]-TIME(0,0,3)</f>
        <v>0.53448728009259261</v>
      </c>
      <c r="P1244" t="s">
        <v>9</v>
      </c>
      <c r="Q1244">
        <v>-123</v>
      </c>
      <c r="R1244">
        <f>Table257[[#This Row],[RSSI]]</f>
        <v>-123</v>
      </c>
      <c r="S1244">
        <v>-9</v>
      </c>
    </row>
    <row r="1245" spans="2:19" x14ac:dyDescent="0.25">
      <c r="B1245">
        <f>390+2*(Table146[[#This Row],[min value (corrected)]]-37)</f>
        <v>434</v>
      </c>
      <c r="C1245">
        <f>MINUTE(Table146[[#This Row],[Corrected time]])</f>
        <v>59</v>
      </c>
      <c r="D1245" s="1">
        <v>0.49990310185185183</v>
      </c>
      <c r="E1245" s="1">
        <f>Table146[[#This Row],[Time]]-TIME(0,0,1)</f>
        <v>0.49989152777777773</v>
      </c>
      <c r="F1245" t="s">
        <v>9</v>
      </c>
      <c r="G1245">
        <v>-122</v>
      </c>
      <c r="H1245">
        <f>Table146[[#This Row],[RSSI]]</f>
        <v>-122</v>
      </c>
      <c r="I1245">
        <v>-8</v>
      </c>
      <c r="L1245">
        <f>390+2*(Table257[[#This Row],[min value (corrected)]]-27)</f>
        <v>434</v>
      </c>
      <c r="M1245">
        <f>MINUTE(Table257[[#This Row],[Corrected time]])</f>
        <v>49</v>
      </c>
      <c r="N1245" s="1">
        <v>0.53453503472222219</v>
      </c>
      <c r="O1245" s="1">
        <f>Table257[[#This Row],[Time]]-TIME(0,0,3)</f>
        <v>0.53450031249999996</v>
      </c>
      <c r="P1245" t="s">
        <v>13</v>
      </c>
      <c r="Q1245">
        <f>Q1244</f>
        <v>-123</v>
      </c>
      <c r="R1245">
        <f>Table257[[#This Row],[RSSI]]</f>
        <v>-123</v>
      </c>
      <c r="S1245">
        <f>S1244</f>
        <v>-9</v>
      </c>
    </row>
    <row r="1246" spans="2:19" x14ac:dyDescent="0.25">
      <c r="B1246">
        <f>390+2*(Table146[[#This Row],[min value (corrected)]]-37)</f>
        <v>434</v>
      </c>
      <c r="C1246">
        <f>MINUTE(Table146[[#This Row],[Corrected time]])</f>
        <v>59</v>
      </c>
      <c r="D1246" s="1">
        <v>0.49991612268518515</v>
      </c>
      <c r="E1246" s="1">
        <f>Table146[[#This Row],[Time]]-TIME(0,0,1)</f>
        <v>0.49990454861111105</v>
      </c>
      <c r="F1246" t="s">
        <v>9</v>
      </c>
      <c r="G1246">
        <v>-122</v>
      </c>
      <c r="H1246">
        <f>Table146[[#This Row],[RSSI]]</f>
        <v>-122</v>
      </c>
      <c r="I1246">
        <v>-8.3000000000000007</v>
      </c>
      <c r="L1246">
        <f>390+2*(Table257[[#This Row],[min value (corrected)]]-27)</f>
        <v>434</v>
      </c>
      <c r="M1246">
        <f>MINUTE(Table257[[#This Row],[Corrected time]])</f>
        <v>49</v>
      </c>
      <c r="N1246" s="1">
        <v>0.53454806712962966</v>
      </c>
      <c r="O1246" s="1">
        <f>Table257[[#This Row],[Time]]-TIME(0,0,3)</f>
        <v>0.53451334490740743</v>
      </c>
      <c r="P1246" t="s">
        <v>9</v>
      </c>
      <c r="Q1246">
        <v>-122</v>
      </c>
      <c r="R1246">
        <f>Table257[[#This Row],[RSSI]]</f>
        <v>-122</v>
      </c>
      <c r="S1246">
        <v>-8.5</v>
      </c>
    </row>
    <row r="1247" spans="2:19" x14ac:dyDescent="0.25">
      <c r="B1247">
        <f>390+2*(Table146[[#This Row],[min value (corrected)]]-37)</f>
        <v>434</v>
      </c>
      <c r="C1247">
        <f>MINUTE(Table146[[#This Row],[Corrected time]])</f>
        <v>59</v>
      </c>
      <c r="D1247" s="1">
        <v>0.49992916666666665</v>
      </c>
      <c r="E1247" s="1">
        <f>Table146[[#This Row],[Time]]-TIME(0,0,1)</f>
        <v>0.49991759259259255</v>
      </c>
      <c r="F1247" t="s">
        <v>13</v>
      </c>
      <c r="G1247">
        <f>G1246</f>
        <v>-122</v>
      </c>
      <c r="H1247">
        <f>Table146[[#This Row],[RSSI]]</f>
        <v>-122</v>
      </c>
      <c r="I1247">
        <f>I1246</f>
        <v>-8.3000000000000007</v>
      </c>
      <c r="L1247">
        <f>390+2*(Table257[[#This Row],[min value (corrected)]]-27)</f>
        <v>434</v>
      </c>
      <c r="M1247">
        <f>MINUTE(Table257[[#This Row],[Corrected time]])</f>
        <v>49</v>
      </c>
      <c r="N1247" s="1">
        <v>0.53456109953703701</v>
      </c>
      <c r="O1247" s="1">
        <f>Table257[[#This Row],[Time]]-TIME(0,0,3)</f>
        <v>0.53452637731481478</v>
      </c>
      <c r="P1247" t="s">
        <v>9</v>
      </c>
      <c r="Q1247">
        <v>-122</v>
      </c>
      <c r="R1247">
        <f>Table257[[#This Row],[RSSI]]</f>
        <v>-122</v>
      </c>
      <c r="S1247">
        <v>-9.3000000000000007</v>
      </c>
    </row>
    <row r="1248" spans="2:19" x14ac:dyDescent="0.25">
      <c r="B1248">
        <f>390+2*(Table146[[#This Row],[min value (corrected)]]-37)</f>
        <v>434</v>
      </c>
      <c r="C1248">
        <f>MINUTE(Table146[[#This Row],[Corrected time]])</f>
        <v>59</v>
      </c>
      <c r="D1248" s="1">
        <v>0.49994219907407411</v>
      </c>
      <c r="E1248" s="1">
        <f>Table146[[#This Row],[Time]]-TIME(0,0,1)</f>
        <v>0.49993062500000002</v>
      </c>
      <c r="F1248" t="s">
        <v>9</v>
      </c>
      <c r="G1248">
        <v>-122</v>
      </c>
      <c r="H1248">
        <f>Table146[[#This Row],[RSSI]]</f>
        <v>-122</v>
      </c>
      <c r="I1248">
        <v>-8.5</v>
      </c>
      <c r="L1248">
        <f>390+2*(Table257[[#This Row],[min value (corrected)]]-27)</f>
        <v>434</v>
      </c>
      <c r="M1248">
        <f>MINUTE(Table257[[#This Row],[Corrected time]])</f>
        <v>49</v>
      </c>
      <c r="N1248" s="1">
        <v>0.53457413194444448</v>
      </c>
      <c r="O1248" s="1">
        <f>Table257[[#This Row],[Time]]-TIME(0,0,3)</f>
        <v>0.53453940972222225</v>
      </c>
      <c r="P1248" t="s">
        <v>9</v>
      </c>
      <c r="Q1248">
        <v>-122</v>
      </c>
      <c r="R1248">
        <f>Table257[[#This Row],[RSSI]]</f>
        <v>-122</v>
      </c>
      <c r="S1248">
        <v>-8.8000000000000007</v>
      </c>
    </row>
    <row r="1249" spans="2:19" x14ac:dyDescent="0.25">
      <c r="B1249">
        <f>390+2*(Table146[[#This Row],[min value (corrected)]]-37)</f>
        <v>434</v>
      </c>
      <c r="C1249">
        <f>MINUTE(Table146[[#This Row],[Corrected time]])</f>
        <v>59</v>
      </c>
      <c r="D1249" s="1">
        <v>0.49995523148148147</v>
      </c>
      <c r="E1249" s="1">
        <f>Table146[[#This Row],[Time]]-TIME(0,0,1)</f>
        <v>0.49994365740740737</v>
      </c>
      <c r="F1249" t="s">
        <v>13</v>
      </c>
      <c r="G1249">
        <f>G1248</f>
        <v>-122</v>
      </c>
      <c r="H1249">
        <f>Table146[[#This Row],[RSSI]]</f>
        <v>-122</v>
      </c>
      <c r="I1249">
        <f>I1248</f>
        <v>-8.5</v>
      </c>
      <c r="L1249">
        <f>390+2*(Table257[[#This Row],[min value (corrected)]]-27)</f>
        <v>434</v>
      </c>
      <c r="M1249">
        <f>MINUTE(Table257[[#This Row],[Corrected time]])</f>
        <v>49</v>
      </c>
      <c r="N1249" s="1">
        <v>0.53458716435185183</v>
      </c>
      <c r="O1249" s="1">
        <f>Table257[[#This Row],[Time]]-TIME(0,0,3)</f>
        <v>0.5345524421296296</v>
      </c>
      <c r="P1249" t="s">
        <v>13</v>
      </c>
      <c r="Q1249">
        <f t="shared" ref="Q1249:Q1250" si="159">Q1248</f>
        <v>-122</v>
      </c>
      <c r="R1249">
        <f>Table257[[#This Row],[RSSI]]</f>
        <v>-122</v>
      </c>
      <c r="S1249">
        <f t="shared" ref="S1249:S1250" si="160">S1248</f>
        <v>-8.8000000000000007</v>
      </c>
    </row>
    <row r="1250" spans="2:19" x14ac:dyDescent="0.25">
      <c r="B1250">
        <f>390+2*(Table146[[#This Row],[min value (corrected)]]-37)</f>
        <v>434</v>
      </c>
      <c r="C1250">
        <f>MINUTE(Table146[[#This Row],[Corrected time]])</f>
        <v>59</v>
      </c>
      <c r="D1250" s="1">
        <v>0.49996826388888893</v>
      </c>
      <c r="E1250" s="1">
        <f>Table146[[#This Row],[Time]]-TIME(0,0,1)</f>
        <v>0.49995668981481484</v>
      </c>
      <c r="F1250" t="s">
        <v>9</v>
      </c>
      <c r="G1250">
        <v>-122</v>
      </c>
      <c r="H1250">
        <f>Table146[[#This Row],[RSSI]]</f>
        <v>-122</v>
      </c>
      <c r="I1250">
        <v>-8.8000000000000007</v>
      </c>
      <c r="L1250">
        <f>390+2*(Table257[[#This Row],[min value (corrected)]]-27)</f>
        <v>434</v>
      </c>
      <c r="M1250">
        <f>MINUTE(Table257[[#This Row],[Corrected time]])</f>
        <v>49</v>
      </c>
      <c r="N1250" s="1">
        <v>0.53460019675925929</v>
      </c>
      <c r="O1250" s="1">
        <f>Table257[[#This Row],[Time]]-TIME(0,0,3)</f>
        <v>0.53456547453703707</v>
      </c>
      <c r="P1250" t="s">
        <v>13</v>
      </c>
      <c r="Q1250">
        <f t="shared" si="159"/>
        <v>-122</v>
      </c>
      <c r="R1250">
        <f>Table257[[#This Row],[RSSI]]</f>
        <v>-122</v>
      </c>
      <c r="S1250">
        <f t="shared" si="160"/>
        <v>-8.8000000000000007</v>
      </c>
    </row>
    <row r="1251" spans="2:19" x14ac:dyDescent="0.25">
      <c r="B1251">
        <f>390+2*(Table146[[#This Row],[min value (corrected)]]-37)</f>
        <v>434</v>
      </c>
      <c r="C1251">
        <f>MINUTE(Table146[[#This Row],[Corrected time]])</f>
        <v>59</v>
      </c>
      <c r="D1251" s="1">
        <v>0.49998129629629628</v>
      </c>
      <c r="E1251" s="1">
        <f>Table146[[#This Row],[Time]]-TIME(0,0,1)</f>
        <v>0.49996972222222219</v>
      </c>
      <c r="F1251" t="s">
        <v>9</v>
      </c>
      <c r="G1251">
        <v>-122</v>
      </c>
      <c r="H1251">
        <f>Table146[[#This Row],[RSSI]]</f>
        <v>-122</v>
      </c>
      <c r="I1251">
        <v>-8.8000000000000007</v>
      </c>
      <c r="L1251">
        <f>390+2*(Table257[[#This Row],[min value (corrected)]]-27)</f>
        <v>434</v>
      </c>
      <c r="M1251">
        <f>MINUTE(Table257[[#This Row],[Corrected time]])</f>
        <v>49</v>
      </c>
      <c r="N1251" s="1">
        <v>0.53461322916666665</v>
      </c>
      <c r="O1251" s="1">
        <f>Table257[[#This Row],[Time]]-TIME(0,0,3)</f>
        <v>0.53457850694444442</v>
      </c>
      <c r="P1251" t="s">
        <v>9</v>
      </c>
      <c r="Q1251">
        <v>-123</v>
      </c>
      <c r="R1251">
        <f>Table257[[#This Row],[RSSI]]</f>
        <v>-123</v>
      </c>
      <c r="S1251">
        <v>-9.3000000000000007</v>
      </c>
    </row>
    <row r="1252" spans="2:19" x14ac:dyDescent="0.25">
      <c r="B1252">
        <f>390+2*(Table146[[#This Row],[min value (corrected)]]-37)</f>
        <v>434</v>
      </c>
      <c r="C1252">
        <f>MINUTE(Table146[[#This Row],[Corrected time]])</f>
        <v>59</v>
      </c>
      <c r="D1252" s="1">
        <v>0.49999432870370375</v>
      </c>
      <c r="E1252" s="1">
        <f>Table146[[#This Row],[Time]]-TIME(0,0,1)</f>
        <v>0.49998275462962966</v>
      </c>
      <c r="F1252" t="s">
        <v>13</v>
      </c>
      <c r="G1252">
        <f>G1251</f>
        <v>-122</v>
      </c>
      <c r="H1252">
        <f>Table146[[#This Row],[RSSI]]</f>
        <v>-122</v>
      </c>
      <c r="I1252">
        <f>I1251</f>
        <v>-8.8000000000000007</v>
      </c>
      <c r="L1252">
        <f>390+2*(Table257[[#This Row],[min value (corrected)]]-27)</f>
        <v>434</v>
      </c>
      <c r="M1252">
        <f>MINUTE(Table257[[#This Row],[Corrected time]])</f>
        <v>49</v>
      </c>
      <c r="N1252" s="1">
        <v>0.53462626157407411</v>
      </c>
      <c r="O1252" s="1">
        <f>Table257[[#This Row],[Time]]-TIME(0,0,3)</f>
        <v>0.53459153935185189</v>
      </c>
      <c r="P1252" t="s">
        <v>9</v>
      </c>
      <c r="Q1252">
        <v>-122</v>
      </c>
      <c r="R1252">
        <f>Table257[[#This Row],[RSSI]]</f>
        <v>-122</v>
      </c>
      <c r="S1252">
        <v>-8.3000000000000007</v>
      </c>
    </row>
    <row r="1253" spans="2:19" x14ac:dyDescent="0.25">
      <c r="B1253">
        <f>436+2*(Table146[[#This Row],[min value (corrected)]])</f>
        <v>436</v>
      </c>
      <c r="C1253">
        <f>MINUTE(Table146[[#This Row],[Corrected time]])</f>
        <v>0</v>
      </c>
      <c r="D1253" s="1">
        <v>0.5000073611111111</v>
      </c>
      <c r="E1253" s="1">
        <f>Table146[[#This Row],[Time]]-TIME(0,0,1)</f>
        <v>0.49999578703703701</v>
      </c>
      <c r="F1253" t="s">
        <v>9</v>
      </c>
      <c r="G1253">
        <v>-122</v>
      </c>
      <c r="H1253">
        <f>Table146[[#This Row],[RSSI]]</f>
        <v>-122</v>
      </c>
      <c r="I1253">
        <v>-8.8000000000000007</v>
      </c>
      <c r="L1253">
        <f>390+2*(Table257[[#This Row],[min value (corrected)]]-27)</f>
        <v>434</v>
      </c>
      <c r="M1253">
        <f>MINUTE(Table257[[#This Row],[Corrected time]])</f>
        <v>49</v>
      </c>
      <c r="N1253" s="1">
        <v>0.53463928240740743</v>
      </c>
      <c r="O1253" s="1">
        <f>Table257[[#This Row],[Time]]-TIME(0,0,3)</f>
        <v>0.53460456018518521</v>
      </c>
      <c r="P1253" t="s">
        <v>9</v>
      </c>
      <c r="Q1253">
        <v>-122</v>
      </c>
      <c r="R1253">
        <f>Table257[[#This Row],[RSSI]]</f>
        <v>-122</v>
      </c>
      <c r="S1253">
        <v>-8.8000000000000007</v>
      </c>
    </row>
    <row r="1254" spans="2:19" x14ac:dyDescent="0.25">
      <c r="B1254">
        <f>436+2*(Table146[[#This Row],[min value (corrected)]])</f>
        <v>436</v>
      </c>
      <c r="C1254">
        <f>MINUTE(Table146[[#This Row],[Corrected time]])</f>
        <v>0</v>
      </c>
      <c r="D1254" s="1">
        <v>0.50002039351851857</v>
      </c>
      <c r="E1254" s="1">
        <f>Table146[[#This Row],[Time]]-TIME(0,0,1)</f>
        <v>0.50000881944444453</v>
      </c>
      <c r="F1254" t="s">
        <v>9</v>
      </c>
      <c r="G1254">
        <v>-122</v>
      </c>
      <c r="H1254">
        <f>Table146[[#This Row],[RSSI]]</f>
        <v>-122</v>
      </c>
      <c r="I1254">
        <v>-8.8000000000000007</v>
      </c>
      <c r="L1254">
        <f>390+2*(Table257[[#This Row],[min value (corrected)]]-27)</f>
        <v>434</v>
      </c>
      <c r="M1254">
        <f>MINUTE(Table257[[#This Row],[Corrected time]])</f>
        <v>49</v>
      </c>
      <c r="N1254" s="1">
        <v>0.53465232638888893</v>
      </c>
      <c r="O1254" s="1">
        <f>Table257[[#This Row],[Time]]-TIME(0,0,3)</f>
        <v>0.5346176041666667</v>
      </c>
      <c r="P1254" t="s">
        <v>9</v>
      </c>
      <c r="Q1254">
        <v>-122</v>
      </c>
      <c r="R1254">
        <f>Table257[[#This Row],[RSSI]]</f>
        <v>-122</v>
      </c>
      <c r="S1254">
        <v>-8</v>
      </c>
    </row>
    <row r="1255" spans="2:19" x14ac:dyDescent="0.25">
      <c r="B1255">
        <f>436+2*(Table146[[#This Row],[min value (corrected)]])</f>
        <v>436</v>
      </c>
      <c r="C1255">
        <f>MINUTE(Table146[[#This Row],[Corrected time]])</f>
        <v>0</v>
      </c>
      <c r="D1255" s="1">
        <v>0.50003342592592592</v>
      </c>
      <c r="E1255" s="1">
        <f>Table146[[#This Row],[Time]]-TIME(0,0,1)</f>
        <v>0.50002185185185188</v>
      </c>
      <c r="F1255" t="s">
        <v>9</v>
      </c>
      <c r="G1255">
        <v>-122</v>
      </c>
      <c r="H1255">
        <f>Table146[[#This Row],[RSSI]]</f>
        <v>-122</v>
      </c>
      <c r="I1255">
        <v>-8.3000000000000007</v>
      </c>
      <c r="L1255">
        <f>390+2*(Table257[[#This Row],[min value (corrected)]]-27)</f>
        <v>434</v>
      </c>
      <c r="M1255">
        <f>MINUTE(Table257[[#This Row],[Corrected time]])</f>
        <v>49</v>
      </c>
      <c r="N1255" s="1">
        <v>0.53466534722222225</v>
      </c>
      <c r="O1255" s="1">
        <f>Table257[[#This Row],[Time]]-TIME(0,0,3)</f>
        <v>0.53463062500000003</v>
      </c>
      <c r="P1255" t="s">
        <v>9</v>
      </c>
      <c r="Q1255">
        <v>-122</v>
      </c>
      <c r="R1255">
        <f>Table257[[#This Row],[RSSI]]</f>
        <v>-122</v>
      </c>
      <c r="S1255">
        <v>-9</v>
      </c>
    </row>
    <row r="1256" spans="2:19" x14ac:dyDescent="0.25">
      <c r="B1256">
        <f>436+2*(Table146[[#This Row],[min value (corrected)]])</f>
        <v>436</v>
      </c>
      <c r="C1256">
        <f>MINUTE(Table146[[#This Row],[Corrected time]])</f>
        <v>0</v>
      </c>
      <c r="D1256" s="1">
        <v>0.50004645833333339</v>
      </c>
      <c r="E1256" s="1">
        <f>Table146[[#This Row],[Time]]-TIME(0,0,1)</f>
        <v>0.50003488425925935</v>
      </c>
      <c r="F1256" t="s">
        <v>9</v>
      </c>
      <c r="G1256">
        <v>-123</v>
      </c>
      <c r="H1256">
        <f>Table146[[#This Row],[RSSI]]</f>
        <v>-123</v>
      </c>
      <c r="I1256">
        <v>-9.5</v>
      </c>
      <c r="L1256">
        <f>390+2*(Table257[[#This Row],[min value (corrected)]]-27)</f>
        <v>434</v>
      </c>
      <c r="M1256">
        <f>MINUTE(Table257[[#This Row],[Corrected time]])</f>
        <v>49</v>
      </c>
      <c r="N1256" s="1">
        <v>0.53467839120370375</v>
      </c>
      <c r="O1256" s="1">
        <f>Table257[[#This Row],[Time]]-TIME(0,0,3)</f>
        <v>0.53464366898148152</v>
      </c>
      <c r="P1256" t="s">
        <v>13</v>
      </c>
      <c r="Q1256">
        <f>Q1255</f>
        <v>-122</v>
      </c>
      <c r="R1256">
        <f>Table257[[#This Row],[RSSI]]</f>
        <v>-122</v>
      </c>
      <c r="S1256">
        <f>S1255</f>
        <v>-9</v>
      </c>
    </row>
    <row r="1257" spans="2:19" x14ac:dyDescent="0.25">
      <c r="B1257">
        <f>436+2*(Table146[[#This Row],[min value (corrected)]])</f>
        <v>436</v>
      </c>
      <c r="C1257">
        <f>MINUTE(Table146[[#This Row],[Corrected time]])</f>
        <v>0</v>
      </c>
      <c r="D1257" s="1">
        <v>0.50005949074074074</v>
      </c>
      <c r="E1257" s="1">
        <f>Table146[[#This Row],[Time]]-TIME(0,0,1)</f>
        <v>0.5000479166666667</v>
      </c>
      <c r="F1257" t="s">
        <v>13</v>
      </c>
      <c r="G1257">
        <f t="shared" ref="G1257:G1261" si="161">G1256</f>
        <v>-123</v>
      </c>
      <c r="H1257">
        <f>Table146[[#This Row],[RSSI]]</f>
        <v>-123</v>
      </c>
      <c r="I1257">
        <f t="shared" ref="I1257:I1261" si="162">I1256</f>
        <v>-9.5</v>
      </c>
      <c r="L1257">
        <f>390+2*(Table257[[#This Row],[min value (corrected)]]-27)</f>
        <v>434</v>
      </c>
      <c r="M1257">
        <f>MINUTE(Table257[[#This Row],[Corrected time]])</f>
        <v>49</v>
      </c>
      <c r="N1257" s="1">
        <v>0.53469141203703707</v>
      </c>
      <c r="O1257" s="1">
        <f>Table257[[#This Row],[Time]]-TIME(0,0,3)</f>
        <v>0.53465668981481485</v>
      </c>
      <c r="P1257" t="s">
        <v>9</v>
      </c>
      <c r="Q1257">
        <v>-122</v>
      </c>
      <c r="R1257">
        <f>Table257[[#This Row],[RSSI]]</f>
        <v>-122</v>
      </c>
      <c r="S1257">
        <v>-9</v>
      </c>
    </row>
    <row r="1258" spans="2:19" x14ac:dyDescent="0.25">
      <c r="B1258">
        <f>436+2*(Table146[[#This Row],[min value (corrected)]])</f>
        <v>436</v>
      </c>
      <c r="C1258">
        <f>MINUTE(Table146[[#This Row],[Corrected time]])</f>
        <v>0</v>
      </c>
      <c r="D1258" s="1">
        <v>0.50007252314814821</v>
      </c>
      <c r="E1258" s="1">
        <f>Table146[[#This Row],[Time]]-TIME(0,0,1)</f>
        <v>0.50006094907407417</v>
      </c>
      <c r="F1258" t="s">
        <v>13</v>
      </c>
      <c r="G1258">
        <f t="shared" si="161"/>
        <v>-123</v>
      </c>
      <c r="H1258">
        <f>Table146[[#This Row],[RSSI]]</f>
        <v>-123</v>
      </c>
      <c r="I1258">
        <f t="shared" si="162"/>
        <v>-9.5</v>
      </c>
      <c r="L1258">
        <f>390+2*(Table257[[#This Row],[min value (corrected)]]-27)</f>
        <v>434</v>
      </c>
      <c r="M1258">
        <f>MINUTE(Table257[[#This Row],[Corrected time]])</f>
        <v>49</v>
      </c>
      <c r="N1258" s="1">
        <v>0.53470445601851846</v>
      </c>
      <c r="O1258" s="1">
        <f>Table257[[#This Row],[Time]]-TIME(0,0,3)</f>
        <v>0.53466973379629623</v>
      </c>
      <c r="P1258" t="s">
        <v>9</v>
      </c>
      <c r="Q1258">
        <v>-123</v>
      </c>
      <c r="R1258">
        <f>Table257[[#This Row],[RSSI]]</f>
        <v>-123</v>
      </c>
      <c r="S1258">
        <v>-9.8000000000000007</v>
      </c>
    </row>
    <row r="1259" spans="2:19" x14ac:dyDescent="0.25">
      <c r="B1259">
        <f>436+2*(Table146[[#This Row],[min value (corrected)]])</f>
        <v>436</v>
      </c>
      <c r="C1259">
        <f>MINUTE(Table146[[#This Row],[Corrected time]])</f>
        <v>0</v>
      </c>
      <c r="D1259" s="1">
        <v>0.50008555555555556</v>
      </c>
      <c r="E1259" s="1">
        <f>Table146[[#This Row],[Time]]-TIME(0,0,1)</f>
        <v>0.50007398148148152</v>
      </c>
      <c r="F1259" t="s">
        <v>13</v>
      </c>
      <c r="G1259">
        <f t="shared" si="161"/>
        <v>-123</v>
      </c>
      <c r="H1259">
        <f>Table146[[#This Row],[RSSI]]</f>
        <v>-123</v>
      </c>
      <c r="I1259">
        <f t="shared" si="162"/>
        <v>-9.5</v>
      </c>
      <c r="L1259">
        <f>390+2*(Table257[[#This Row],[min value (corrected)]]-27)</f>
        <v>434</v>
      </c>
      <c r="M1259">
        <f>MINUTE(Table257[[#This Row],[Corrected time]])</f>
        <v>49</v>
      </c>
      <c r="N1259" s="1">
        <v>0.53471748842592592</v>
      </c>
      <c r="O1259" s="1">
        <f>Table257[[#This Row],[Time]]-TIME(0,0,3)</f>
        <v>0.5346827662037037</v>
      </c>
      <c r="P1259" t="s">
        <v>9</v>
      </c>
      <c r="Q1259">
        <v>-123</v>
      </c>
      <c r="R1259">
        <f>Table257[[#This Row],[RSSI]]</f>
        <v>-123</v>
      </c>
      <c r="S1259">
        <v>-9.5</v>
      </c>
    </row>
    <row r="1260" spans="2:19" x14ac:dyDescent="0.25">
      <c r="B1260">
        <f>436+2*(Table146[[#This Row],[min value (corrected)]])</f>
        <v>436</v>
      </c>
      <c r="C1260">
        <f>MINUTE(Table146[[#This Row],[Corrected time]])</f>
        <v>0</v>
      </c>
      <c r="D1260" s="1">
        <v>0.50009857638888888</v>
      </c>
      <c r="E1260" s="1">
        <f>Table146[[#This Row],[Time]]-TIME(0,0,1)</f>
        <v>0.50008700231481484</v>
      </c>
      <c r="F1260" t="s">
        <v>13</v>
      </c>
      <c r="G1260">
        <f t="shared" si="161"/>
        <v>-123</v>
      </c>
      <c r="H1260">
        <f>Table146[[#This Row],[RSSI]]</f>
        <v>-123</v>
      </c>
      <c r="I1260">
        <f t="shared" si="162"/>
        <v>-9.5</v>
      </c>
      <c r="L1260">
        <f>390+2*(Table257[[#This Row],[min value (corrected)]]-27)</f>
        <v>434</v>
      </c>
      <c r="M1260">
        <f>MINUTE(Table257[[#This Row],[Corrected time]])</f>
        <v>49</v>
      </c>
      <c r="N1260" s="1">
        <v>0.53473052083333328</v>
      </c>
      <c r="O1260" s="1">
        <f>Table257[[#This Row],[Time]]-TIME(0,0,3)</f>
        <v>0.53469579861111105</v>
      </c>
      <c r="P1260" t="s">
        <v>9</v>
      </c>
      <c r="Q1260">
        <v>-120</v>
      </c>
      <c r="R1260">
        <f>Table257[[#This Row],[RSSI]]</f>
        <v>-120</v>
      </c>
      <c r="S1260">
        <v>-9.3000000000000007</v>
      </c>
    </row>
    <row r="1261" spans="2:19" x14ac:dyDescent="0.25">
      <c r="B1261">
        <f>436+2*(Table146[[#This Row],[min value (corrected)]])</f>
        <v>436</v>
      </c>
      <c r="C1261">
        <f>MINUTE(Table146[[#This Row],[Corrected time]])</f>
        <v>0</v>
      </c>
      <c r="D1261" s="1">
        <v>0.50011160879629624</v>
      </c>
      <c r="E1261" s="1">
        <f>Table146[[#This Row],[Time]]-TIME(0,0,1)</f>
        <v>0.5001000347222222</v>
      </c>
      <c r="F1261" t="s">
        <v>13</v>
      </c>
      <c r="G1261">
        <f t="shared" si="161"/>
        <v>-123</v>
      </c>
      <c r="H1261">
        <f>Table146[[#This Row],[RSSI]]</f>
        <v>-123</v>
      </c>
      <c r="I1261">
        <f t="shared" si="162"/>
        <v>-9.5</v>
      </c>
      <c r="L1261">
        <f>390+2*(Table257[[#This Row],[min value (corrected)]]-27)</f>
        <v>434</v>
      </c>
      <c r="M1261">
        <f>MINUTE(Table257[[#This Row],[Corrected time]])</f>
        <v>49</v>
      </c>
      <c r="N1261" s="1">
        <v>0.53474355324074074</v>
      </c>
      <c r="O1261" s="1">
        <f>Table257[[#This Row],[Time]]-TIME(0,0,3)</f>
        <v>0.53470883101851852</v>
      </c>
      <c r="P1261" t="s">
        <v>9</v>
      </c>
      <c r="Q1261">
        <v>-122</v>
      </c>
      <c r="R1261">
        <f>Table257[[#This Row],[RSSI]]</f>
        <v>-122</v>
      </c>
      <c r="S1261">
        <v>-8.5</v>
      </c>
    </row>
    <row r="1262" spans="2:19" x14ac:dyDescent="0.25">
      <c r="B1262">
        <f>436+2*(Table146[[#This Row],[min value (corrected)]])</f>
        <v>436</v>
      </c>
      <c r="C1262">
        <f>MINUTE(Table146[[#This Row],[Corrected time]])</f>
        <v>0</v>
      </c>
      <c r="D1262" s="1">
        <v>0.50012465277777773</v>
      </c>
      <c r="E1262" s="1">
        <f>Table146[[#This Row],[Time]]-TIME(0,0,1)</f>
        <v>0.5001130787037037</v>
      </c>
      <c r="F1262" t="s">
        <v>9</v>
      </c>
      <c r="G1262">
        <v>-122</v>
      </c>
      <c r="H1262">
        <f>Table146[[#This Row],[RSSI]]</f>
        <v>-122</v>
      </c>
      <c r="I1262">
        <v>-8.5</v>
      </c>
      <c r="L1262">
        <f>390+2*(Table257[[#This Row],[min value (corrected)]]-27)</f>
        <v>436</v>
      </c>
      <c r="M1262">
        <f>MINUTE(Table257[[#This Row],[Corrected time]])</f>
        <v>50</v>
      </c>
      <c r="N1262" s="1">
        <v>0.5347565856481481</v>
      </c>
      <c r="O1262" s="1">
        <f>Table257[[#This Row],[Time]]-TIME(0,0,3)</f>
        <v>0.53472186342592587</v>
      </c>
      <c r="P1262" t="s">
        <v>9</v>
      </c>
      <c r="Q1262">
        <v>-123</v>
      </c>
      <c r="R1262">
        <f>Table257[[#This Row],[RSSI]]</f>
        <v>-123</v>
      </c>
      <c r="S1262">
        <v>-8.8000000000000007</v>
      </c>
    </row>
    <row r="1263" spans="2:19" x14ac:dyDescent="0.25">
      <c r="B1263">
        <f>436+2*(Table146[[#This Row],[min value (corrected)]])</f>
        <v>436</v>
      </c>
      <c r="C1263">
        <f>MINUTE(Table146[[#This Row],[Corrected time]])</f>
        <v>0</v>
      </c>
      <c r="D1263" s="1">
        <v>0.5001376851851852</v>
      </c>
      <c r="E1263" s="1">
        <f>Table146[[#This Row],[Time]]-TIME(0,0,1)</f>
        <v>0.50012611111111116</v>
      </c>
      <c r="F1263" t="s">
        <v>13</v>
      </c>
      <c r="G1263">
        <f t="shared" ref="G1263:G1265" si="163">G1262</f>
        <v>-122</v>
      </c>
      <c r="H1263">
        <f>Table146[[#This Row],[RSSI]]</f>
        <v>-122</v>
      </c>
      <c r="I1263">
        <f t="shared" ref="I1263:I1265" si="164">I1262</f>
        <v>-8.5</v>
      </c>
      <c r="L1263">
        <f>390+2*(Table257[[#This Row],[min value (corrected)]]-27)</f>
        <v>436</v>
      </c>
      <c r="M1263">
        <f>MINUTE(Table257[[#This Row],[Corrected time]])</f>
        <v>50</v>
      </c>
      <c r="N1263" s="1">
        <v>0.53476961805555556</v>
      </c>
      <c r="O1263" s="1">
        <f>Table257[[#This Row],[Time]]-TIME(0,0,3)</f>
        <v>0.53473489583333333</v>
      </c>
      <c r="P1263" t="s">
        <v>9</v>
      </c>
      <c r="Q1263">
        <v>-123</v>
      </c>
      <c r="R1263">
        <f>Table257[[#This Row],[RSSI]]</f>
        <v>-123</v>
      </c>
      <c r="S1263">
        <v>-9.3000000000000007</v>
      </c>
    </row>
    <row r="1264" spans="2:19" x14ac:dyDescent="0.25">
      <c r="B1264">
        <f>436+2*(Table146[[#This Row],[min value (corrected)]])</f>
        <v>436</v>
      </c>
      <c r="C1264">
        <f>MINUTE(Table146[[#This Row],[Corrected time]])</f>
        <v>0</v>
      </c>
      <c r="D1264" s="1">
        <v>0.50015070601851852</v>
      </c>
      <c r="E1264" s="1">
        <f>Table146[[#This Row],[Time]]-TIME(0,0,1)</f>
        <v>0.50013913194444448</v>
      </c>
      <c r="F1264" t="s">
        <v>27</v>
      </c>
      <c r="G1264">
        <f t="shared" si="163"/>
        <v>-122</v>
      </c>
      <c r="H1264">
        <f>Table146[[#This Row],[RSSI]]</f>
        <v>-122</v>
      </c>
      <c r="I1264">
        <f t="shared" si="164"/>
        <v>-8.5</v>
      </c>
      <c r="L1264">
        <f>390+2*(Table257[[#This Row],[min value (corrected)]]-27)</f>
        <v>436</v>
      </c>
      <c r="M1264">
        <f>MINUTE(Table257[[#This Row],[Corrected time]])</f>
        <v>50</v>
      </c>
      <c r="N1264" s="1">
        <v>0.53478265046296292</v>
      </c>
      <c r="O1264" s="1">
        <f>Table257[[#This Row],[Time]]-TIME(0,0,3)</f>
        <v>0.53474792824074069</v>
      </c>
      <c r="P1264" t="s">
        <v>13</v>
      </c>
      <c r="Q1264">
        <f t="shared" ref="Q1264:Q1271" si="165">Q1263</f>
        <v>-123</v>
      </c>
      <c r="R1264">
        <f>Table257[[#This Row],[RSSI]]</f>
        <v>-123</v>
      </c>
      <c r="S1264">
        <f t="shared" ref="S1264:S1271" si="166">S1263</f>
        <v>-9.3000000000000007</v>
      </c>
    </row>
    <row r="1265" spans="2:19" x14ac:dyDescent="0.25">
      <c r="B1265">
        <f>436+2*(Table146[[#This Row],[min value (corrected)]])</f>
        <v>436</v>
      </c>
      <c r="C1265">
        <f>MINUTE(Table146[[#This Row],[Corrected time]])</f>
        <v>0</v>
      </c>
      <c r="D1265" s="1">
        <v>0.50016375000000002</v>
      </c>
      <c r="E1265" s="1">
        <f>Table146[[#This Row],[Time]]-TIME(0,0,1)</f>
        <v>0.50015217592592598</v>
      </c>
      <c r="F1265" t="s">
        <v>13</v>
      </c>
      <c r="G1265">
        <f t="shared" si="163"/>
        <v>-122</v>
      </c>
      <c r="H1265">
        <f>Table146[[#This Row],[RSSI]]</f>
        <v>-122</v>
      </c>
      <c r="I1265">
        <f t="shared" si="164"/>
        <v>-8.5</v>
      </c>
      <c r="L1265">
        <f>390+2*(Table257[[#This Row],[min value (corrected)]]-27)</f>
        <v>436</v>
      </c>
      <c r="M1265">
        <f>MINUTE(Table257[[#This Row],[Corrected time]])</f>
        <v>50</v>
      </c>
      <c r="N1265" s="1">
        <v>0.53479568287037038</v>
      </c>
      <c r="O1265" s="1">
        <f>Table257[[#This Row],[Time]]-TIME(0,0,3)</f>
        <v>0.53476096064814815</v>
      </c>
      <c r="P1265" t="s">
        <v>13</v>
      </c>
      <c r="Q1265">
        <f t="shared" si="165"/>
        <v>-123</v>
      </c>
      <c r="R1265">
        <f>Table257[[#This Row],[RSSI]]</f>
        <v>-123</v>
      </c>
      <c r="S1265">
        <f t="shared" si="166"/>
        <v>-9.3000000000000007</v>
      </c>
    </row>
    <row r="1266" spans="2:19" x14ac:dyDescent="0.25">
      <c r="B1266">
        <f>436+2*(Table146[[#This Row],[min value (corrected)]])</f>
        <v>436</v>
      </c>
      <c r="C1266">
        <f>MINUTE(Table146[[#This Row],[Corrected time]])</f>
        <v>0</v>
      </c>
      <c r="D1266" s="1">
        <v>0.50017678240740737</v>
      </c>
      <c r="E1266" s="1">
        <f>Table146[[#This Row],[Time]]-TIME(0,0,1)</f>
        <v>0.50016520833333333</v>
      </c>
      <c r="F1266" t="s">
        <v>9</v>
      </c>
      <c r="G1266">
        <v>-122</v>
      </c>
      <c r="H1266">
        <f>Table146[[#This Row],[RSSI]]</f>
        <v>-122</v>
      </c>
      <c r="I1266">
        <v>-9</v>
      </c>
      <c r="L1266">
        <f>390+2*(Table257[[#This Row],[min value (corrected)]]-27)</f>
        <v>436</v>
      </c>
      <c r="M1266">
        <f>MINUTE(Table257[[#This Row],[Corrected time]])</f>
        <v>50</v>
      </c>
      <c r="N1266" s="1">
        <v>0.53480871527777774</v>
      </c>
      <c r="O1266" s="1">
        <f>Table257[[#This Row],[Time]]-TIME(0,0,3)</f>
        <v>0.53477399305555551</v>
      </c>
      <c r="P1266" t="s">
        <v>13</v>
      </c>
      <c r="Q1266">
        <f t="shared" si="165"/>
        <v>-123</v>
      </c>
      <c r="R1266">
        <f>Table257[[#This Row],[RSSI]]</f>
        <v>-123</v>
      </c>
      <c r="S1266">
        <f t="shared" si="166"/>
        <v>-9.3000000000000007</v>
      </c>
    </row>
    <row r="1267" spans="2:19" x14ac:dyDescent="0.25">
      <c r="B1267">
        <f>436+2*(Table146[[#This Row],[min value (corrected)]])</f>
        <v>436</v>
      </c>
      <c r="C1267">
        <f>MINUTE(Table146[[#This Row],[Corrected time]])</f>
        <v>0</v>
      </c>
      <c r="D1267" s="1">
        <v>0.50018980324074069</v>
      </c>
      <c r="E1267" s="1">
        <f>Table146[[#This Row],[Time]]-TIME(0,0,1)</f>
        <v>0.50017822916666665</v>
      </c>
      <c r="F1267" t="s">
        <v>13</v>
      </c>
      <c r="G1267">
        <f>G1266</f>
        <v>-122</v>
      </c>
      <c r="H1267">
        <f>Table146[[#This Row],[RSSI]]</f>
        <v>-122</v>
      </c>
      <c r="I1267">
        <f>I1266</f>
        <v>-9</v>
      </c>
      <c r="L1267">
        <f>390+2*(Table257[[#This Row],[min value (corrected)]]-27)</f>
        <v>436</v>
      </c>
      <c r="M1267">
        <f>MINUTE(Table257[[#This Row],[Corrected time]])</f>
        <v>50</v>
      </c>
      <c r="N1267" s="1">
        <v>0.5348217476851852</v>
      </c>
      <c r="O1267" s="1">
        <f>Table257[[#This Row],[Time]]-TIME(0,0,3)</f>
        <v>0.53478702546296297</v>
      </c>
      <c r="P1267" t="s">
        <v>13</v>
      </c>
      <c r="Q1267">
        <f t="shared" si="165"/>
        <v>-123</v>
      </c>
      <c r="R1267">
        <f>Table257[[#This Row],[RSSI]]</f>
        <v>-123</v>
      </c>
      <c r="S1267">
        <f t="shared" si="166"/>
        <v>-9.3000000000000007</v>
      </c>
    </row>
    <row r="1268" spans="2:19" x14ac:dyDescent="0.25">
      <c r="B1268">
        <f>436+2*(Table146[[#This Row],[min value (corrected)]])</f>
        <v>436</v>
      </c>
      <c r="C1268">
        <f>MINUTE(Table146[[#This Row],[Corrected time]])</f>
        <v>0</v>
      </c>
      <c r="D1268" s="1">
        <v>0.50020284722222219</v>
      </c>
      <c r="E1268" s="1">
        <f>Table146[[#This Row],[Time]]-TIME(0,0,1)</f>
        <v>0.50019127314814815</v>
      </c>
      <c r="F1268" t="s">
        <v>9</v>
      </c>
      <c r="G1268">
        <v>-122</v>
      </c>
      <c r="H1268">
        <f>Table146[[#This Row],[RSSI]]</f>
        <v>-122</v>
      </c>
      <c r="I1268">
        <v>-8.3000000000000007</v>
      </c>
      <c r="L1268">
        <f>390+2*(Table257[[#This Row],[min value (corrected)]]-27)</f>
        <v>436</v>
      </c>
      <c r="M1268">
        <f>MINUTE(Table257[[#This Row],[Corrected time]])</f>
        <v>50</v>
      </c>
      <c r="N1268" s="1">
        <v>0.53483478009259255</v>
      </c>
      <c r="O1268" s="1">
        <f>Table257[[#This Row],[Time]]-TIME(0,0,3)</f>
        <v>0.53480005787037033</v>
      </c>
      <c r="P1268" t="s">
        <v>13</v>
      </c>
      <c r="Q1268">
        <f t="shared" si="165"/>
        <v>-123</v>
      </c>
      <c r="R1268">
        <f>Table257[[#This Row],[RSSI]]</f>
        <v>-123</v>
      </c>
      <c r="S1268">
        <f t="shared" si="166"/>
        <v>-9.3000000000000007</v>
      </c>
    </row>
    <row r="1269" spans="2:19" x14ac:dyDescent="0.25">
      <c r="B1269">
        <f>436+2*(Table146[[#This Row],[min value (corrected)]])</f>
        <v>436</v>
      </c>
      <c r="C1269">
        <f>MINUTE(Table146[[#This Row],[Corrected time]])</f>
        <v>0</v>
      </c>
      <c r="D1269" s="1">
        <v>0.50021586805555551</v>
      </c>
      <c r="E1269" s="1">
        <f>Table146[[#This Row],[Time]]-TIME(0,0,1)</f>
        <v>0.50020429398148147</v>
      </c>
      <c r="F1269" t="s">
        <v>9</v>
      </c>
      <c r="G1269">
        <v>-122</v>
      </c>
      <c r="H1269">
        <f>Table146[[#This Row],[RSSI]]</f>
        <v>-122</v>
      </c>
      <c r="I1269">
        <v>-8.3000000000000007</v>
      </c>
      <c r="L1269">
        <f>390+2*(Table257[[#This Row],[min value (corrected)]]-27)</f>
        <v>436</v>
      </c>
      <c r="M1269">
        <f>MINUTE(Table257[[#This Row],[Corrected time]])</f>
        <v>50</v>
      </c>
      <c r="N1269" s="1">
        <v>0.53484781250000002</v>
      </c>
      <c r="O1269" s="1">
        <f>Table257[[#This Row],[Time]]-TIME(0,0,3)</f>
        <v>0.53481309027777779</v>
      </c>
      <c r="P1269" t="s">
        <v>13</v>
      </c>
      <c r="Q1269">
        <f t="shared" si="165"/>
        <v>-123</v>
      </c>
      <c r="R1269">
        <f>Table257[[#This Row],[RSSI]]</f>
        <v>-123</v>
      </c>
      <c r="S1269">
        <f t="shared" si="166"/>
        <v>-9.3000000000000007</v>
      </c>
    </row>
    <row r="1270" spans="2:19" x14ac:dyDescent="0.25">
      <c r="B1270">
        <f>436+2*(Table146[[#This Row],[min value (corrected)]])</f>
        <v>436</v>
      </c>
      <c r="C1270">
        <f>MINUTE(Table146[[#This Row],[Corrected time]])</f>
        <v>0</v>
      </c>
      <c r="D1270" s="1">
        <v>0.50022891203703701</v>
      </c>
      <c r="E1270" s="1">
        <f>Table146[[#This Row],[Time]]-TIME(0,0,1)</f>
        <v>0.50021733796296297</v>
      </c>
      <c r="F1270" t="s">
        <v>9</v>
      </c>
      <c r="G1270">
        <v>-122</v>
      </c>
      <c r="H1270">
        <f>Table146[[#This Row],[RSSI]]</f>
        <v>-122</v>
      </c>
      <c r="I1270">
        <v>-8.5</v>
      </c>
      <c r="L1270">
        <f>390+2*(Table257[[#This Row],[min value (corrected)]]-27)</f>
        <v>436</v>
      </c>
      <c r="M1270">
        <f>MINUTE(Table257[[#This Row],[Corrected time]])</f>
        <v>50</v>
      </c>
      <c r="N1270" s="1">
        <v>0.53486084490740737</v>
      </c>
      <c r="O1270" s="1">
        <f>Table257[[#This Row],[Time]]-TIME(0,0,3)</f>
        <v>0.53482612268518515</v>
      </c>
      <c r="P1270" t="s">
        <v>13</v>
      </c>
      <c r="Q1270">
        <f t="shared" si="165"/>
        <v>-123</v>
      </c>
      <c r="R1270">
        <f>Table257[[#This Row],[RSSI]]</f>
        <v>-123</v>
      </c>
      <c r="S1270">
        <f t="shared" si="166"/>
        <v>-9.3000000000000007</v>
      </c>
    </row>
    <row r="1271" spans="2:19" x14ac:dyDescent="0.25">
      <c r="B1271">
        <f>436+2*(Table146[[#This Row],[min value (corrected)]])</f>
        <v>436</v>
      </c>
      <c r="C1271">
        <f>MINUTE(Table146[[#This Row],[Corrected time]])</f>
        <v>0</v>
      </c>
      <c r="D1271" s="1">
        <v>0.50024194444444448</v>
      </c>
      <c r="E1271" s="1">
        <f>Table146[[#This Row],[Time]]-TIME(0,0,1)</f>
        <v>0.50023037037037044</v>
      </c>
      <c r="F1271" t="s">
        <v>9</v>
      </c>
      <c r="G1271">
        <v>-122</v>
      </c>
      <c r="H1271">
        <f>Table146[[#This Row],[RSSI]]</f>
        <v>-122</v>
      </c>
      <c r="I1271">
        <v>-8.5</v>
      </c>
      <c r="L1271">
        <f>390+2*(Table257[[#This Row],[min value (corrected)]]-27)</f>
        <v>436</v>
      </c>
      <c r="M1271">
        <f>MINUTE(Table257[[#This Row],[Corrected time]])</f>
        <v>50</v>
      </c>
      <c r="N1271" s="1">
        <v>0.53487387731481484</v>
      </c>
      <c r="O1271" s="1">
        <f>Table257[[#This Row],[Time]]-TIME(0,0,3)</f>
        <v>0.53483915509259261</v>
      </c>
      <c r="P1271" t="s">
        <v>13</v>
      </c>
      <c r="Q1271">
        <f t="shared" si="165"/>
        <v>-123</v>
      </c>
      <c r="R1271">
        <f>Table257[[#This Row],[RSSI]]</f>
        <v>-123</v>
      </c>
      <c r="S1271">
        <f t="shared" si="166"/>
        <v>-9.3000000000000007</v>
      </c>
    </row>
    <row r="1272" spans="2:19" x14ac:dyDescent="0.25">
      <c r="B1272">
        <f>436+2*(Table146[[#This Row],[min value (corrected)]])</f>
        <v>436</v>
      </c>
      <c r="C1272">
        <f>MINUTE(Table146[[#This Row],[Corrected time]])</f>
        <v>0</v>
      </c>
      <c r="D1272" s="1">
        <v>0.50025497685185183</v>
      </c>
      <c r="E1272" s="1">
        <f>Table146[[#This Row],[Time]]-TIME(0,0,1)</f>
        <v>0.50024340277777779</v>
      </c>
      <c r="F1272" t="s">
        <v>9</v>
      </c>
      <c r="G1272">
        <v>-122</v>
      </c>
      <c r="H1272">
        <f>Table146[[#This Row],[RSSI]]</f>
        <v>-122</v>
      </c>
      <c r="I1272">
        <v>-8.5</v>
      </c>
      <c r="L1272">
        <f>390+2*(Table257[[#This Row],[min value (corrected)]]-27)</f>
        <v>436</v>
      </c>
      <c r="M1272">
        <f>MINUTE(Table257[[#This Row],[Corrected time]])</f>
        <v>50</v>
      </c>
      <c r="N1272" s="1">
        <v>0.53488690972222219</v>
      </c>
      <c r="O1272" s="1">
        <f>Table257[[#This Row],[Time]]-TIME(0,0,3)</f>
        <v>0.53485218749999996</v>
      </c>
      <c r="P1272" t="s">
        <v>9</v>
      </c>
      <c r="Q1272">
        <v>-122</v>
      </c>
      <c r="R1272">
        <f>Table257[[#This Row],[RSSI]]</f>
        <v>-122</v>
      </c>
      <c r="S1272">
        <v>-8.5</v>
      </c>
    </row>
    <row r="1273" spans="2:19" x14ac:dyDescent="0.25">
      <c r="B1273">
        <f>436+2*(Table146[[#This Row],[min value (corrected)]])</f>
        <v>436</v>
      </c>
      <c r="C1273">
        <f>MINUTE(Table146[[#This Row],[Corrected time]])</f>
        <v>0</v>
      </c>
      <c r="D1273" s="1">
        <v>0.50026800925925929</v>
      </c>
      <c r="E1273" s="1">
        <f>Table146[[#This Row],[Time]]-TIME(0,0,1)</f>
        <v>0.50025643518518526</v>
      </c>
      <c r="F1273" t="s">
        <v>9</v>
      </c>
      <c r="G1273">
        <v>-123</v>
      </c>
      <c r="H1273">
        <f>Table146[[#This Row],[RSSI]]</f>
        <v>-123</v>
      </c>
      <c r="I1273">
        <v>-8.8000000000000007</v>
      </c>
      <c r="L1273">
        <f>390+2*(Table257[[#This Row],[min value (corrected)]]-27)</f>
        <v>436</v>
      </c>
      <c r="M1273">
        <f>MINUTE(Table257[[#This Row],[Corrected time]])</f>
        <v>50</v>
      </c>
      <c r="N1273" s="1">
        <v>0.53489994212962966</v>
      </c>
      <c r="O1273" s="1">
        <f>Table257[[#This Row],[Time]]-TIME(0,0,3)</f>
        <v>0.53486521990740743</v>
      </c>
      <c r="P1273" t="s">
        <v>9</v>
      </c>
      <c r="Q1273">
        <v>-122</v>
      </c>
      <c r="R1273">
        <f>Table257[[#This Row],[RSSI]]</f>
        <v>-122</v>
      </c>
      <c r="S1273">
        <v>-9</v>
      </c>
    </row>
    <row r="1274" spans="2:19" x14ac:dyDescent="0.25">
      <c r="B1274">
        <f>436+2*(Table146[[#This Row],[min value (corrected)]])</f>
        <v>436</v>
      </c>
      <c r="C1274">
        <f>MINUTE(Table146[[#This Row],[Corrected time]])</f>
        <v>0</v>
      </c>
      <c r="D1274" s="1">
        <v>0.50028104166666665</v>
      </c>
      <c r="E1274" s="1">
        <f>Table146[[#This Row],[Time]]-TIME(0,0,1)</f>
        <v>0.50026946759259261</v>
      </c>
      <c r="F1274" t="s">
        <v>9</v>
      </c>
      <c r="G1274">
        <v>-122</v>
      </c>
      <c r="H1274">
        <f>Table146[[#This Row],[RSSI]]</f>
        <v>-122</v>
      </c>
      <c r="I1274">
        <v>-8.8000000000000007</v>
      </c>
      <c r="L1274">
        <f>390+2*(Table257[[#This Row],[min value (corrected)]]-27)</f>
        <v>436</v>
      </c>
      <c r="M1274">
        <f>MINUTE(Table257[[#This Row],[Corrected time]])</f>
        <v>50</v>
      </c>
      <c r="N1274" s="1">
        <v>0.53491297453703701</v>
      </c>
      <c r="O1274" s="1">
        <f>Table257[[#This Row],[Time]]-TIME(0,0,3)</f>
        <v>0.53487825231481478</v>
      </c>
      <c r="P1274" t="s">
        <v>9</v>
      </c>
      <c r="Q1274">
        <v>-123</v>
      </c>
      <c r="R1274">
        <f>Table257[[#This Row],[RSSI]]</f>
        <v>-123</v>
      </c>
      <c r="S1274">
        <v>-8.8000000000000007</v>
      </c>
    </row>
    <row r="1275" spans="2:19" x14ac:dyDescent="0.25">
      <c r="B1275">
        <f>436+2*(Table146[[#This Row],[min value (corrected)]])</f>
        <v>436</v>
      </c>
      <c r="C1275">
        <f>MINUTE(Table146[[#This Row],[Corrected time]])</f>
        <v>0</v>
      </c>
      <c r="D1275" s="1">
        <v>0.50029407407407411</v>
      </c>
      <c r="E1275" s="1">
        <f>Table146[[#This Row],[Time]]-TIME(0,0,1)</f>
        <v>0.50028250000000007</v>
      </c>
      <c r="F1275" t="s">
        <v>9</v>
      </c>
      <c r="G1275">
        <v>-123</v>
      </c>
      <c r="H1275">
        <f>Table146[[#This Row],[RSSI]]</f>
        <v>-123</v>
      </c>
      <c r="I1275">
        <v>-9</v>
      </c>
      <c r="L1275">
        <f>390+2*(Table257[[#This Row],[min value (corrected)]]-27)</f>
        <v>436</v>
      </c>
      <c r="M1275">
        <f>MINUTE(Table257[[#This Row],[Corrected time]])</f>
        <v>50</v>
      </c>
      <c r="N1275" s="1">
        <v>0.53492600694444448</v>
      </c>
      <c r="O1275" s="1">
        <f>Table257[[#This Row],[Time]]-TIME(0,0,3)</f>
        <v>0.53489128472222225</v>
      </c>
      <c r="P1275" t="s">
        <v>9</v>
      </c>
      <c r="Q1275">
        <v>-122</v>
      </c>
      <c r="R1275">
        <f>Table257[[#This Row],[RSSI]]</f>
        <v>-122</v>
      </c>
      <c r="S1275">
        <v>-8.8000000000000007</v>
      </c>
    </row>
    <row r="1276" spans="2:19" x14ac:dyDescent="0.25">
      <c r="B1276">
        <f>436+2*(Table146[[#This Row],[min value (corrected)]])</f>
        <v>436</v>
      </c>
      <c r="C1276">
        <f>MINUTE(Table146[[#This Row],[Corrected time]])</f>
        <v>0</v>
      </c>
      <c r="D1276" s="1">
        <v>0.50030710648148147</v>
      </c>
      <c r="E1276" s="1">
        <f>Table146[[#This Row],[Time]]-TIME(0,0,1)</f>
        <v>0.50029553240740743</v>
      </c>
      <c r="F1276" t="s">
        <v>9</v>
      </c>
      <c r="G1276">
        <v>-123</v>
      </c>
      <c r="H1276">
        <f>Table146[[#This Row],[RSSI]]</f>
        <v>-123</v>
      </c>
      <c r="I1276">
        <v>-9</v>
      </c>
      <c r="L1276">
        <f>390+2*(Table257[[#This Row],[min value (corrected)]]-27)</f>
        <v>436</v>
      </c>
      <c r="M1276">
        <f>MINUTE(Table257[[#This Row],[Corrected time]])</f>
        <v>50</v>
      </c>
      <c r="N1276" s="1">
        <v>0.53493903935185183</v>
      </c>
      <c r="O1276" s="1">
        <f>Table257[[#This Row],[Time]]-TIME(0,0,3)</f>
        <v>0.5349043171296296</v>
      </c>
      <c r="P1276" t="s">
        <v>9</v>
      </c>
      <c r="Q1276">
        <v>-122</v>
      </c>
      <c r="R1276">
        <f>Table257[[#This Row],[RSSI]]</f>
        <v>-122</v>
      </c>
      <c r="S1276">
        <v>-8.5</v>
      </c>
    </row>
    <row r="1277" spans="2:19" x14ac:dyDescent="0.25">
      <c r="B1277">
        <f>436+2*(Table146[[#This Row],[min value (corrected)]])</f>
        <v>436</v>
      </c>
      <c r="C1277">
        <f>MINUTE(Table146[[#This Row],[Corrected time]])</f>
        <v>0</v>
      </c>
      <c r="D1277" s="1">
        <v>0.50032013888888893</v>
      </c>
      <c r="E1277" s="1">
        <f>Table146[[#This Row],[Time]]-TIME(0,0,1)</f>
        <v>0.50030856481481489</v>
      </c>
      <c r="F1277" t="s">
        <v>9</v>
      </c>
      <c r="G1277">
        <v>-122</v>
      </c>
      <c r="H1277">
        <f>Table146[[#This Row],[RSSI]]</f>
        <v>-122</v>
      </c>
      <c r="I1277">
        <v>-8.5</v>
      </c>
      <c r="L1277">
        <f>390+2*(Table257[[#This Row],[min value (corrected)]]-27)</f>
        <v>436</v>
      </c>
      <c r="M1277">
        <f>MINUTE(Table257[[#This Row],[Corrected time]])</f>
        <v>50</v>
      </c>
      <c r="N1277" s="1">
        <v>0.53495207175925918</v>
      </c>
      <c r="O1277" s="1">
        <f>Table257[[#This Row],[Time]]-TIME(0,0,3)</f>
        <v>0.53491734953703696</v>
      </c>
      <c r="P1277" t="s">
        <v>9</v>
      </c>
      <c r="Q1277">
        <v>-123</v>
      </c>
      <c r="R1277">
        <f>Table257[[#This Row],[RSSI]]</f>
        <v>-123</v>
      </c>
      <c r="S1277">
        <v>-9.3000000000000007</v>
      </c>
    </row>
    <row r="1278" spans="2:19" x14ac:dyDescent="0.25">
      <c r="B1278">
        <f>436+2*(Table146[[#This Row],[min value (corrected)]])</f>
        <v>436</v>
      </c>
      <c r="C1278">
        <f>MINUTE(Table146[[#This Row],[Corrected time]])</f>
        <v>0</v>
      </c>
      <c r="D1278" s="1">
        <v>0.50033317129629629</v>
      </c>
      <c r="E1278" s="1">
        <f>Table146[[#This Row],[Time]]-TIME(0,0,1)</f>
        <v>0.50032159722222225</v>
      </c>
      <c r="F1278" t="s">
        <v>13</v>
      </c>
      <c r="G1278">
        <f>G1277</f>
        <v>-122</v>
      </c>
      <c r="H1278">
        <f>Table146[[#This Row],[RSSI]]</f>
        <v>-122</v>
      </c>
      <c r="I1278">
        <f>I1277</f>
        <v>-8.5</v>
      </c>
      <c r="L1278">
        <f>390+2*(Table257[[#This Row],[min value (corrected)]]-27)</f>
        <v>436</v>
      </c>
      <c r="M1278">
        <f>MINUTE(Table257[[#This Row],[Corrected time]])</f>
        <v>50</v>
      </c>
      <c r="N1278" s="1">
        <v>0.53496510416666665</v>
      </c>
      <c r="O1278" s="1">
        <f>Table257[[#This Row],[Time]]-TIME(0,0,3)</f>
        <v>0.53493038194444442</v>
      </c>
      <c r="P1278" t="s">
        <v>13</v>
      </c>
      <c r="Q1278">
        <f t="shared" ref="Q1278:Q1279" si="167">Q1277</f>
        <v>-123</v>
      </c>
      <c r="R1278">
        <f>Table257[[#This Row],[RSSI]]</f>
        <v>-123</v>
      </c>
      <c r="S1278">
        <f t="shared" ref="S1278:S1279" si="168">S1277</f>
        <v>-9.3000000000000007</v>
      </c>
    </row>
    <row r="1279" spans="2:19" x14ac:dyDescent="0.25">
      <c r="B1279">
        <f>436+2*(Table146[[#This Row],[min value (corrected)]])</f>
        <v>436</v>
      </c>
      <c r="C1279">
        <f>MINUTE(Table146[[#This Row],[Corrected time]])</f>
        <v>0</v>
      </c>
      <c r="D1279" s="1">
        <v>0.50034620370370364</v>
      </c>
      <c r="E1279" s="1">
        <f>Table146[[#This Row],[Time]]-TIME(0,0,1)</f>
        <v>0.5003346296296296</v>
      </c>
      <c r="F1279" t="s">
        <v>9</v>
      </c>
      <c r="G1279">
        <v>-123</v>
      </c>
      <c r="H1279">
        <f>Table146[[#This Row],[RSSI]]</f>
        <v>-123</v>
      </c>
      <c r="I1279">
        <v>-9.3000000000000007</v>
      </c>
      <c r="L1279">
        <f>390+2*(Table257[[#This Row],[min value (corrected)]]-27)</f>
        <v>436</v>
      </c>
      <c r="M1279">
        <f>MINUTE(Table257[[#This Row],[Corrected time]])</f>
        <v>50</v>
      </c>
      <c r="N1279" s="1">
        <v>0.534978136574074</v>
      </c>
      <c r="O1279" s="1">
        <f>Table257[[#This Row],[Time]]-TIME(0,0,3)</f>
        <v>0.53494341435185178</v>
      </c>
      <c r="P1279" t="s">
        <v>27</v>
      </c>
      <c r="Q1279">
        <f t="shared" si="167"/>
        <v>-123</v>
      </c>
      <c r="R1279">
        <f>Table257[[#This Row],[RSSI]]</f>
        <v>-123</v>
      </c>
      <c r="S1279">
        <f t="shared" si="168"/>
        <v>-9.3000000000000007</v>
      </c>
    </row>
    <row r="1280" spans="2:19" x14ac:dyDescent="0.25">
      <c r="B1280">
        <f>436+2*(Table146[[#This Row],[min value (corrected)]])</f>
        <v>436</v>
      </c>
      <c r="C1280">
        <f>MINUTE(Table146[[#This Row],[Corrected time]])</f>
        <v>0</v>
      </c>
      <c r="D1280" s="1">
        <v>0.50035923611111111</v>
      </c>
      <c r="E1280" s="1">
        <f>Table146[[#This Row],[Time]]-TIME(0,0,1)</f>
        <v>0.50034766203703707</v>
      </c>
      <c r="F1280" t="s">
        <v>9</v>
      </c>
      <c r="G1280">
        <v>-122</v>
      </c>
      <c r="H1280">
        <f>Table146[[#This Row],[RSSI]]</f>
        <v>-122</v>
      </c>
      <c r="I1280">
        <v>-9</v>
      </c>
      <c r="L1280">
        <f>390+2*(Table257[[#This Row],[min value (corrected)]]-27)</f>
        <v>436</v>
      </c>
      <c r="M1280">
        <f>MINUTE(Table257[[#This Row],[Corrected time]])</f>
        <v>50</v>
      </c>
      <c r="N1280" s="1">
        <v>0.53499116898148147</v>
      </c>
      <c r="O1280" s="1">
        <f>Table257[[#This Row],[Time]]-TIME(0,0,3)</f>
        <v>0.53495644675925924</v>
      </c>
      <c r="P1280" t="s">
        <v>9</v>
      </c>
      <c r="Q1280">
        <v>-122</v>
      </c>
      <c r="R1280">
        <f>Table257[[#This Row],[RSSI]]</f>
        <v>-122</v>
      </c>
      <c r="S1280">
        <v>-8.8000000000000007</v>
      </c>
    </row>
    <row r="1281" spans="2:19" x14ac:dyDescent="0.25">
      <c r="B1281">
        <f>436+2*(Table146[[#This Row],[min value (corrected)]])</f>
        <v>436</v>
      </c>
      <c r="C1281">
        <f>MINUTE(Table146[[#This Row],[Corrected time]])</f>
        <v>0</v>
      </c>
      <c r="D1281" s="1">
        <v>0.50037226851851846</v>
      </c>
      <c r="E1281" s="1">
        <f>Table146[[#This Row],[Time]]-TIME(0,0,1)</f>
        <v>0.50036069444444442</v>
      </c>
      <c r="F1281" t="s">
        <v>9</v>
      </c>
      <c r="G1281">
        <v>-122</v>
      </c>
      <c r="H1281">
        <f>Table146[[#This Row],[RSSI]]</f>
        <v>-122</v>
      </c>
      <c r="I1281">
        <v>-8</v>
      </c>
      <c r="L1281">
        <f>390+2*(Table257[[#This Row],[min value (corrected)]]-27)</f>
        <v>436</v>
      </c>
      <c r="M1281">
        <f>MINUTE(Table257[[#This Row],[Corrected time]])</f>
        <v>50</v>
      </c>
      <c r="N1281" s="1">
        <v>0.53500420138888882</v>
      </c>
      <c r="O1281" s="1">
        <f>Table257[[#This Row],[Time]]-TIME(0,0,3)</f>
        <v>0.53496947916666659</v>
      </c>
      <c r="P1281" t="s">
        <v>9</v>
      </c>
      <c r="Q1281">
        <v>-122</v>
      </c>
      <c r="R1281">
        <f>Table257[[#This Row],[RSSI]]</f>
        <v>-122</v>
      </c>
      <c r="S1281">
        <v>-8.8000000000000007</v>
      </c>
    </row>
    <row r="1282" spans="2:19" x14ac:dyDescent="0.25">
      <c r="B1282">
        <f>436+2*(Table146[[#This Row],[min value (corrected)]])</f>
        <v>436</v>
      </c>
      <c r="C1282">
        <f>MINUTE(Table146[[#This Row],[Corrected time]])</f>
        <v>0</v>
      </c>
      <c r="D1282" s="1">
        <v>0.50038530092592592</v>
      </c>
      <c r="E1282" s="1">
        <f>Table146[[#This Row],[Time]]-TIME(0,0,1)</f>
        <v>0.50037372685185189</v>
      </c>
      <c r="F1282" t="s">
        <v>9</v>
      </c>
      <c r="G1282">
        <v>-122</v>
      </c>
      <c r="H1282">
        <f>Table146[[#This Row],[RSSI]]</f>
        <v>-122</v>
      </c>
      <c r="I1282">
        <v>-8.8000000000000007</v>
      </c>
      <c r="L1282">
        <f>390+2*(Table257[[#This Row],[min value (corrected)]]-27)</f>
        <v>436</v>
      </c>
      <c r="M1282">
        <f>MINUTE(Table257[[#This Row],[Corrected time]])</f>
        <v>50</v>
      </c>
      <c r="N1282" s="1">
        <v>0.53501723379629629</v>
      </c>
      <c r="O1282" s="1">
        <f>Table257[[#This Row],[Time]]-TIME(0,0,3)</f>
        <v>0.53498251157407406</v>
      </c>
      <c r="P1282" t="s">
        <v>13</v>
      </c>
      <c r="Q1282">
        <f t="shared" ref="Q1282:Q1287" si="169">Q1281</f>
        <v>-122</v>
      </c>
      <c r="R1282">
        <f>Table257[[#This Row],[RSSI]]</f>
        <v>-122</v>
      </c>
      <c r="S1282">
        <f t="shared" ref="S1282:S1287" si="170">S1281</f>
        <v>-8.8000000000000007</v>
      </c>
    </row>
    <row r="1283" spans="2:19" x14ac:dyDescent="0.25">
      <c r="B1283">
        <f>436+2*(Table146[[#This Row],[min value (corrected)]])</f>
        <v>436</v>
      </c>
      <c r="C1283">
        <f>MINUTE(Table146[[#This Row],[Corrected time]])</f>
        <v>0</v>
      </c>
      <c r="D1283" s="1">
        <v>0.50039833333333328</v>
      </c>
      <c r="E1283" s="1">
        <f>Table146[[#This Row],[Time]]-TIME(0,0,1)</f>
        <v>0.50038675925925924</v>
      </c>
      <c r="F1283" t="s">
        <v>13</v>
      </c>
      <c r="G1283">
        <f>G1282</f>
        <v>-122</v>
      </c>
      <c r="H1283">
        <f>Table146[[#This Row],[RSSI]]</f>
        <v>-122</v>
      </c>
      <c r="I1283">
        <f>I1282</f>
        <v>-8.8000000000000007</v>
      </c>
      <c r="L1283">
        <f>390+2*(Table257[[#This Row],[min value (corrected)]]-27)</f>
        <v>436</v>
      </c>
      <c r="M1283">
        <f>MINUTE(Table257[[#This Row],[Corrected time]])</f>
        <v>50</v>
      </c>
      <c r="N1283" s="1">
        <v>0.53503026620370364</v>
      </c>
      <c r="O1283" s="1">
        <f>Table257[[#This Row],[Time]]-TIME(0,0,3)</f>
        <v>0.53499554398148141</v>
      </c>
      <c r="P1283" t="s">
        <v>13</v>
      </c>
      <c r="Q1283">
        <f t="shared" si="169"/>
        <v>-122</v>
      </c>
      <c r="R1283">
        <f>Table257[[#This Row],[RSSI]]</f>
        <v>-122</v>
      </c>
      <c r="S1283">
        <f t="shared" si="170"/>
        <v>-8.8000000000000007</v>
      </c>
    </row>
    <row r="1284" spans="2:19" x14ac:dyDescent="0.25">
      <c r="B1284">
        <f>436+2*(Table146[[#This Row],[min value (corrected)]])</f>
        <v>436</v>
      </c>
      <c r="C1284">
        <f>MINUTE(Table146[[#This Row],[Corrected time]])</f>
        <v>0</v>
      </c>
      <c r="D1284" s="1">
        <v>0.50041136574074074</v>
      </c>
      <c r="E1284" s="1">
        <f>Table146[[#This Row],[Time]]-TIME(0,0,1)</f>
        <v>0.5003997916666667</v>
      </c>
      <c r="F1284" t="s">
        <v>9</v>
      </c>
      <c r="G1284">
        <v>-122</v>
      </c>
      <c r="H1284">
        <f>Table146[[#This Row],[RSSI]]</f>
        <v>-122</v>
      </c>
      <c r="I1284">
        <v>-8.3000000000000007</v>
      </c>
      <c r="L1284">
        <f>390+2*(Table257[[#This Row],[min value (corrected)]]-27)</f>
        <v>436</v>
      </c>
      <c r="M1284">
        <f>MINUTE(Table257[[#This Row],[Corrected time]])</f>
        <v>50</v>
      </c>
      <c r="N1284" s="1">
        <v>0.53504329861111111</v>
      </c>
      <c r="O1284" s="1">
        <f>Table257[[#This Row],[Time]]-TIME(0,0,3)</f>
        <v>0.53500857638888888</v>
      </c>
      <c r="P1284" t="s">
        <v>13</v>
      </c>
      <c r="Q1284">
        <f t="shared" si="169"/>
        <v>-122</v>
      </c>
      <c r="R1284">
        <f>Table257[[#This Row],[RSSI]]</f>
        <v>-122</v>
      </c>
      <c r="S1284">
        <f t="shared" si="170"/>
        <v>-8.8000000000000007</v>
      </c>
    </row>
    <row r="1285" spans="2:19" x14ac:dyDescent="0.25">
      <c r="B1285">
        <f>436+2*(Table146[[#This Row],[min value (corrected)]])</f>
        <v>436</v>
      </c>
      <c r="C1285">
        <f>MINUTE(Table146[[#This Row],[Corrected time]])</f>
        <v>0</v>
      </c>
      <c r="D1285" s="1">
        <v>0.5004243981481481</v>
      </c>
      <c r="E1285" s="1">
        <f>Table146[[#This Row],[Time]]-TIME(0,0,1)</f>
        <v>0.50041282407407406</v>
      </c>
      <c r="F1285" t="s">
        <v>13</v>
      </c>
      <c r="G1285">
        <f>G1284</f>
        <v>-122</v>
      </c>
      <c r="H1285">
        <f>Table146[[#This Row],[RSSI]]</f>
        <v>-122</v>
      </c>
      <c r="I1285">
        <f>I1284</f>
        <v>-8.3000000000000007</v>
      </c>
      <c r="L1285">
        <f>390+2*(Table257[[#This Row],[min value (corrected)]]-27)</f>
        <v>436</v>
      </c>
      <c r="M1285">
        <f>MINUTE(Table257[[#This Row],[Corrected time]])</f>
        <v>50</v>
      </c>
      <c r="N1285" s="1">
        <v>0.53505633101851846</v>
      </c>
      <c r="O1285" s="1">
        <f>Table257[[#This Row],[Time]]-TIME(0,0,3)</f>
        <v>0.53502160879629623</v>
      </c>
      <c r="P1285" t="s">
        <v>13</v>
      </c>
      <c r="Q1285">
        <f t="shared" si="169"/>
        <v>-122</v>
      </c>
      <c r="R1285">
        <f>Table257[[#This Row],[RSSI]]</f>
        <v>-122</v>
      </c>
      <c r="S1285">
        <f t="shared" si="170"/>
        <v>-8.8000000000000007</v>
      </c>
    </row>
    <row r="1286" spans="2:19" x14ac:dyDescent="0.25">
      <c r="B1286">
        <f>436+2*(Table146[[#This Row],[min value (corrected)]])</f>
        <v>436</v>
      </c>
      <c r="C1286">
        <f>MINUTE(Table146[[#This Row],[Corrected time]])</f>
        <v>0</v>
      </c>
      <c r="D1286" s="1">
        <v>0.50043743055555556</v>
      </c>
      <c r="E1286" s="1">
        <f>Table146[[#This Row],[Time]]-TIME(0,0,1)</f>
        <v>0.50042585648148152</v>
      </c>
      <c r="F1286" t="s">
        <v>9</v>
      </c>
      <c r="G1286">
        <v>-122</v>
      </c>
      <c r="H1286">
        <f>Table146[[#This Row],[RSSI]]</f>
        <v>-122</v>
      </c>
      <c r="I1286">
        <v>-8.3000000000000007</v>
      </c>
      <c r="L1286">
        <f>390+2*(Table257[[#This Row],[min value (corrected)]]-27)</f>
        <v>436</v>
      </c>
      <c r="M1286">
        <f>MINUTE(Table257[[#This Row],[Corrected time]])</f>
        <v>50</v>
      </c>
      <c r="N1286" s="1">
        <v>0.53506936342592593</v>
      </c>
      <c r="O1286" s="1">
        <f>Table257[[#This Row],[Time]]-TIME(0,0,3)</f>
        <v>0.5350346412037037</v>
      </c>
      <c r="P1286" t="s">
        <v>13</v>
      </c>
      <c r="Q1286">
        <f t="shared" si="169"/>
        <v>-122</v>
      </c>
      <c r="R1286">
        <f>Table257[[#This Row],[RSSI]]</f>
        <v>-122</v>
      </c>
      <c r="S1286">
        <f t="shared" si="170"/>
        <v>-8.8000000000000007</v>
      </c>
    </row>
    <row r="1287" spans="2:19" x14ac:dyDescent="0.25">
      <c r="B1287">
        <f>436+2*(Table146[[#This Row],[min value (corrected)]])</f>
        <v>436</v>
      </c>
      <c r="C1287">
        <f>MINUTE(Table146[[#This Row],[Corrected time]])</f>
        <v>0</v>
      </c>
      <c r="D1287" s="1">
        <v>0.50045045138888888</v>
      </c>
      <c r="E1287" s="1">
        <f>Table146[[#This Row],[Time]]-TIME(0,0,1)</f>
        <v>0.50043887731481485</v>
      </c>
      <c r="F1287" t="s">
        <v>13</v>
      </c>
      <c r="G1287">
        <f>G1286</f>
        <v>-122</v>
      </c>
      <c r="H1287">
        <f>Table146[[#This Row],[RSSI]]</f>
        <v>-122</v>
      </c>
      <c r="I1287">
        <f>I1286</f>
        <v>-8.3000000000000007</v>
      </c>
      <c r="L1287">
        <f>390+2*(Table257[[#This Row],[min value (corrected)]]-27)</f>
        <v>436</v>
      </c>
      <c r="M1287">
        <f>MINUTE(Table257[[#This Row],[Corrected time]])</f>
        <v>50</v>
      </c>
      <c r="N1287" s="1">
        <v>0.53508239583333328</v>
      </c>
      <c r="O1287" s="1">
        <f>Table257[[#This Row],[Time]]-TIME(0,0,3)</f>
        <v>0.53504767361111105</v>
      </c>
      <c r="P1287" t="s">
        <v>13</v>
      </c>
      <c r="Q1287">
        <f t="shared" si="169"/>
        <v>-122</v>
      </c>
      <c r="R1287">
        <f>Table257[[#This Row],[RSSI]]</f>
        <v>-122</v>
      </c>
      <c r="S1287">
        <f t="shared" si="170"/>
        <v>-8.8000000000000007</v>
      </c>
    </row>
    <row r="1288" spans="2:19" x14ac:dyDescent="0.25">
      <c r="B1288">
        <f>436+2*(Table146[[#This Row],[min value (corrected)]])</f>
        <v>436</v>
      </c>
      <c r="C1288">
        <f>MINUTE(Table146[[#This Row],[Corrected time]])</f>
        <v>0</v>
      </c>
      <c r="D1288" s="1">
        <v>0.50046349537037038</v>
      </c>
      <c r="E1288" s="1">
        <f>Table146[[#This Row],[Time]]-TIME(0,0,1)</f>
        <v>0.50045192129629634</v>
      </c>
      <c r="F1288" t="s">
        <v>9</v>
      </c>
      <c r="G1288">
        <v>-122</v>
      </c>
      <c r="H1288">
        <f>Table146[[#This Row],[RSSI]]</f>
        <v>-122</v>
      </c>
      <c r="I1288">
        <v>-8</v>
      </c>
      <c r="L1288">
        <f>390+2*(Table257[[#This Row],[min value (corrected)]]-27)</f>
        <v>436</v>
      </c>
      <c r="M1288">
        <f>MINUTE(Table257[[#This Row],[Corrected time]])</f>
        <v>50</v>
      </c>
      <c r="N1288" s="1">
        <v>0.53509542824074074</v>
      </c>
      <c r="O1288" s="1">
        <f>Table257[[#This Row],[Time]]-TIME(0,0,3)</f>
        <v>0.53506070601851852</v>
      </c>
      <c r="P1288" t="s">
        <v>9</v>
      </c>
      <c r="Q1288">
        <v>-122</v>
      </c>
      <c r="R1288">
        <f>Table257[[#This Row],[RSSI]]</f>
        <v>-122</v>
      </c>
      <c r="S1288">
        <v>-8.5</v>
      </c>
    </row>
    <row r="1289" spans="2:19" x14ac:dyDescent="0.25">
      <c r="B1289">
        <f>436+2*(Table146[[#This Row],[min value (corrected)]])</f>
        <v>436</v>
      </c>
      <c r="C1289">
        <f>MINUTE(Table146[[#This Row],[Corrected time]])</f>
        <v>0</v>
      </c>
      <c r="D1289" s="1">
        <v>0.5004765162037037</v>
      </c>
      <c r="E1289" s="1">
        <f>Table146[[#This Row],[Time]]-TIME(0,0,1)</f>
        <v>0.50046494212962966</v>
      </c>
      <c r="F1289" t="s">
        <v>9</v>
      </c>
      <c r="G1289">
        <v>-123</v>
      </c>
      <c r="H1289">
        <f>Table146[[#This Row],[RSSI]]</f>
        <v>-123</v>
      </c>
      <c r="I1289">
        <v>-8.8000000000000007</v>
      </c>
      <c r="L1289">
        <f>390+2*(Table257[[#This Row],[min value (corrected)]]-27)</f>
        <v>436</v>
      </c>
      <c r="M1289">
        <f>MINUTE(Table257[[#This Row],[Corrected time]])</f>
        <v>50</v>
      </c>
      <c r="N1289" s="1">
        <v>0.5351084606481481</v>
      </c>
      <c r="O1289" s="1">
        <f>Table257[[#This Row],[Time]]-TIME(0,0,3)</f>
        <v>0.53507373842592587</v>
      </c>
      <c r="P1289" t="s">
        <v>9</v>
      </c>
      <c r="Q1289">
        <v>-122</v>
      </c>
      <c r="R1289">
        <f>Table257[[#This Row],[RSSI]]</f>
        <v>-122</v>
      </c>
      <c r="S1289">
        <v>-9</v>
      </c>
    </row>
    <row r="1290" spans="2:19" x14ac:dyDescent="0.25">
      <c r="B1290">
        <f>436+2*(Table146[[#This Row],[min value (corrected)]])</f>
        <v>436</v>
      </c>
      <c r="C1290">
        <f>MINUTE(Table146[[#This Row],[Corrected time]])</f>
        <v>0</v>
      </c>
      <c r="D1290" s="1">
        <v>0.50048954861111106</v>
      </c>
      <c r="E1290" s="1">
        <f>Table146[[#This Row],[Time]]-TIME(0,0,1)</f>
        <v>0.50047797453703702</v>
      </c>
      <c r="F1290" t="s">
        <v>9</v>
      </c>
      <c r="G1290">
        <v>-122</v>
      </c>
      <c r="H1290">
        <f>Table146[[#This Row],[RSSI]]</f>
        <v>-122</v>
      </c>
      <c r="I1290">
        <v>-8.8000000000000007</v>
      </c>
      <c r="L1290">
        <f>390+2*(Table257[[#This Row],[min value (corrected)]]-27)</f>
        <v>436</v>
      </c>
      <c r="M1290">
        <f>MINUTE(Table257[[#This Row],[Corrected time]])</f>
        <v>50</v>
      </c>
      <c r="N1290" s="1">
        <v>0.53512148148148142</v>
      </c>
      <c r="O1290" s="1">
        <f>Table257[[#This Row],[Time]]-TIME(0,0,3)</f>
        <v>0.53508675925925919</v>
      </c>
      <c r="P1290" t="s">
        <v>9</v>
      </c>
      <c r="Q1290">
        <v>-122</v>
      </c>
      <c r="R1290">
        <f>Table257[[#This Row],[RSSI]]</f>
        <v>-122</v>
      </c>
      <c r="S1290">
        <v>-8.5</v>
      </c>
    </row>
    <row r="1291" spans="2:19" x14ac:dyDescent="0.25">
      <c r="B1291">
        <f>436+2*(Table146[[#This Row],[min value (corrected)]])</f>
        <v>436</v>
      </c>
      <c r="C1291">
        <f>MINUTE(Table146[[#This Row],[Corrected time]])</f>
        <v>0</v>
      </c>
      <c r="D1291" s="1">
        <v>0.50050259259259255</v>
      </c>
      <c r="E1291" s="1">
        <f>Table146[[#This Row],[Time]]-TIME(0,0,1)</f>
        <v>0.50049101851851852</v>
      </c>
      <c r="F1291" t="s">
        <v>9</v>
      </c>
      <c r="G1291">
        <v>-122</v>
      </c>
      <c r="H1291">
        <f>Table146[[#This Row],[RSSI]]</f>
        <v>-122</v>
      </c>
      <c r="I1291">
        <v>-8.8000000000000007</v>
      </c>
      <c r="L1291">
        <f>390+2*(Table257[[#This Row],[min value (corrected)]]-27)</f>
        <v>436</v>
      </c>
      <c r="M1291">
        <f>MINUTE(Table257[[#This Row],[Corrected time]])</f>
        <v>50</v>
      </c>
      <c r="N1291" s="1">
        <v>0.53513452546296292</v>
      </c>
      <c r="O1291" s="1">
        <f>Table257[[#This Row],[Time]]-TIME(0,0,3)</f>
        <v>0.53509980324074069</v>
      </c>
      <c r="P1291" t="s">
        <v>9</v>
      </c>
      <c r="Q1291">
        <v>-122</v>
      </c>
      <c r="R1291">
        <f>Table257[[#This Row],[RSSI]]</f>
        <v>-122</v>
      </c>
      <c r="S1291">
        <v>-8.5</v>
      </c>
    </row>
    <row r="1292" spans="2:19" x14ac:dyDescent="0.25">
      <c r="B1292">
        <f>436+2*(Table146[[#This Row],[min value (corrected)]])</f>
        <v>436</v>
      </c>
      <c r="C1292">
        <f>MINUTE(Table146[[#This Row],[Corrected time]])</f>
        <v>0</v>
      </c>
      <c r="D1292" s="1">
        <v>0.50051560185185184</v>
      </c>
      <c r="E1292" s="1">
        <f>Table146[[#This Row],[Time]]-TIME(0,0,1)</f>
        <v>0.5005040277777778</v>
      </c>
      <c r="F1292" t="s">
        <v>9</v>
      </c>
      <c r="G1292">
        <v>-122</v>
      </c>
      <c r="H1292">
        <f>Table146[[#This Row],[RSSI]]</f>
        <v>-122</v>
      </c>
      <c r="I1292">
        <v>-8.8000000000000007</v>
      </c>
      <c r="L1292">
        <f>390+2*(Table257[[#This Row],[min value (corrected)]]-27)</f>
        <v>436</v>
      </c>
      <c r="M1292">
        <f>MINUTE(Table257[[#This Row],[Corrected time]])</f>
        <v>50</v>
      </c>
      <c r="N1292" s="1">
        <v>0.53514755787037038</v>
      </c>
      <c r="O1292" s="1">
        <f>Table257[[#This Row],[Time]]-TIME(0,0,3)</f>
        <v>0.53511283564814816</v>
      </c>
      <c r="P1292" t="s">
        <v>9</v>
      </c>
      <c r="Q1292">
        <v>-122</v>
      </c>
      <c r="R1292">
        <f>Table257[[#This Row],[RSSI]]</f>
        <v>-122</v>
      </c>
      <c r="S1292">
        <v>-8.8000000000000007</v>
      </c>
    </row>
    <row r="1293" spans="2:19" x14ac:dyDescent="0.25">
      <c r="B1293">
        <f>436+2*(Table146[[#This Row],[min value (corrected)]])</f>
        <v>436</v>
      </c>
      <c r="C1293">
        <f>MINUTE(Table146[[#This Row],[Corrected time]])</f>
        <v>0</v>
      </c>
      <c r="D1293" s="1">
        <v>0.50052865740740737</v>
      </c>
      <c r="E1293" s="1">
        <f>Table146[[#This Row],[Time]]-TIME(0,0,1)</f>
        <v>0.50051708333333333</v>
      </c>
      <c r="F1293" t="s">
        <v>9</v>
      </c>
      <c r="G1293">
        <v>-122</v>
      </c>
      <c r="H1293">
        <f>Table146[[#This Row],[RSSI]]</f>
        <v>-122</v>
      </c>
      <c r="I1293">
        <v>-8.8000000000000007</v>
      </c>
      <c r="L1293">
        <f>390+2*(Table257[[#This Row],[min value (corrected)]]-27)</f>
        <v>436</v>
      </c>
      <c r="M1293">
        <f>MINUTE(Table257[[#This Row],[Corrected time]])</f>
        <v>50</v>
      </c>
      <c r="N1293" s="1">
        <v>0.53516059027777774</v>
      </c>
      <c r="O1293" s="1">
        <f>Table257[[#This Row],[Time]]-TIME(0,0,3)</f>
        <v>0.53512586805555551</v>
      </c>
      <c r="P1293" t="s">
        <v>9</v>
      </c>
      <c r="Q1293">
        <v>-122</v>
      </c>
      <c r="R1293">
        <f>Table257[[#This Row],[RSSI]]</f>
        <v>-122</v>
      </c>
      <c r="S1293">
        <v>-8.5</v>
      </c>
    </row>
    <row r="1294" spans="2:19" x14ac:dyDescent="0.25">
      <c r="B1294">
        <f>436+2*(Table146[[#This Row],[min value (corrected)]])</f>
        <v>436</v>
      </c>
      <c r="C1294">
        <f>MINUTE(Table146[[#This Row],[Corrected time]])</f>
        <v>0</v>
      </c>
      <c r="D1294" s="1">
        <v>0.50054168981481484</v>
      </c>
      <c r="E1294" s="1">
        <f>Table146[[#This Row],[Time]]-TIME(0,0,1)</f>
        <v>0.5005301157407408</v>
      </c>
      <c r="F1294" t="s">
        <v>13</v>
      </c>
      <c r="G1294">
        <f>G1293</f>
        <v>-122</v>
      </c>
      <c r="H1294">
        <f>Table146[[#This Row],[RSSI]]</f>
        <v>-122</v>
      </c>
      <c r="I1294">
        <f>I1293</f>
        <v>-8.8000000000000007</v>
      </c>
      <c r="L1294">
        <f>390+2*(Table257[[#This Row],[min value (corrected)]]-27)</f>
        <v>436</v>
      </c>
      <c r="M1294">
        <f>MINUTE(Table257[[#This Row],[Corrected time]])</f>
        <v>50</v>
      </c>
      <c r="N1294" s="1">
        <v>0.53517362268518509</v>
      </c>
      <c r="O1294" s="1">
        <f>Table257[[#This Row],[Time]]-TIME(0,0,3)</f>
        <v>0.53513890046296286</v>
      </c>
      <c r="P1294" t="s">
        <v>9</v>
      </c>
      <c r="Q1294">
        <v>-123</v>
      </c>
      <c r="R1294">
        <f>Table257[[#This Row],[RSSI]]</f>
        <v>-123</v>
      </c>
      <c r="S1294">
        <v>-8.8000000000000007</v>
      </c>
    </row>
    <row r="1295" spans="2:19" x14ac:dyDescent="0.25">
      <c r="B1295">
        <f>436+2*(Table146[[#This Row],[min value (corrected)]])</f>
        <v>436</v>
      </c>
      <c r="C1295">
        <f>MINUTE(Table146[[#This Row],[Corrected time]])</f>
        <v>0</v>
      </c>
      <c r="D1295" s="1">
        <v>0.50055472222222219</v>
      </c>
      <c r="E1295" s="1">
        <f>Table146[[#This Row],[Time]]-TIME(0,0,1)</f>
        <v>0.50054314814814815</v>
      </c>
      <c r="F1295" t="s">
        <v>9</v>
      </c>
      <c r="G1295">
        <v>-122</v>
      </c>
      <c r="H1295">
        <f>Table146[[#This Row],[RSSI]]</f>
        <v>-122</v>
      </c>
      <c r="I1295">
        <v>-8.8000000000000007</v>
      </c>
      <c r="L1295">
        <f>390+2*(Table257[[#This Row],[min value (corrected)]]-27)</f>
        <v>436</v>
      </c>
      <c r="M1295">
        <f>MINUTE(Table257[[#This Row],[Corrected time]])</f>
        <v>50</v>
      </c>
      <c r="N1295" s="1">
        <v>0.53518665509259256</v>
      </c>
      <c r="O1295" s="1">
        <f>Table257[[#This Row],[Time]]-TIME(0,0,3)</f>
        <v>0.53515193287037033</v>
      </c>
      <c r="P1295" t="s">
        <v>9</v>
      </c>
      <c r="Q1295">
        <v>-122</v>
      </c>
      <c r="R1295">
        <f>Table257[[#This Row],[RSSI]]</f>
        <v>-122</v>
      </c>
      <c r="S1295">
        <v>-8.3000000000000007</v>
      </c>
    </row>
    <row r="1296" spans="2:19" x14ac:dyDescent="0.25">
      <c r="B1296">
        <f>436+2*(Table146[[#This Row],[min value (corrected)]])</f>
        <v>436</v>
      </c>
      <c r="C1296">
        <f>MINUTE(Table146[[#This Row],[Corrected time]])</f>
        <v>0</v>
      </c>
      <c r="D1296" s="1">
        <v>0.50056775462962955</v>
      </c>
      <c r="E1296" s="1">
        <f>Table146[[#This Row],[Time]]-TIME(0,0,1)</f>
        <v>0.50055618055555551</v>
      </c>
      <c r="F1296" t="s">
        <v>9</v>
      </c>
      <c r="G1296">
        <v>-122</v>
      </c>
      <c r="H1296">
        <f>Table146[[#This Row],[RSSI]]</f>
        <v>-122</v>
      </c>
      <c r="I1296">
        <v>-8.3000000000000007</v>
      </c>
      <c r="L1296">
        <f>390+2*(Table257[[#This Row],[min value (corrected)]]-27)</f>
        <v>436</v>
      </c>
      <c r="M1296">
        <f>MINUTE(Table257[[#This Row],[Corrected time]])</f>
        <v>50</v>
      </c>
      <c r="N1296" s="1">
        <v>0.53519967592592588</v>
      </c>
      <c r="O1296" s="1">
        <f>Table257[[#This Row],[Time]]-TIME(0,0,3)</f>
        <v>0.53516495370370365</v>
      </c>
      <c r="P1296" t="s">
        <v>9</v>
      </c>
      <c r="Q1296">
        <v>-122</v>
      </c>
      <c r="R1296">
        <f>Table257[[#This Row],[RSSI]]</f>
        <v>-122</v>
      </c>
      <c r="S1296">
        <v>-8.8000000000000007</v>
      </c>
    </row>
    <row r="1297" spans="2:19" x14ac:dyDescent="0.25">
      <c r="B1297">
        <f>436+2*(Table146[[#This Row],[min value (corrected)]])</f>
        <v>436</v>
      </c>
      <c r="C1297">
        <f>MINUTE(Table146[[#This Row],[Corrected time]])</f>
        <v>0</v>
      </c>
      <c r="D1297" s="1">
        <v>0.50058078703703701</v>
      </c>
      <c r="E1297" s="1">
        <f>Table146[[#This Row],[Time]]-TIME(0,0,1)</f>
        <v>0.50056921296296297</v>
      </c>
      <c r="F1297" t="s">
        <v>9</v>
      </c>
      <c r="G1297">
        <v>-122</v>
      </c>
      <c r="H1297">
        <f>Table146[[#This Row],[RSSI]]</f>
        <v>-122</v>
      </c>
      <c r="I1297">
        <v>-9</v>
      </c>
      <c r="L1297">
        <f>390+2*(Table257[[#This Row],[min value (corrected)]]-27)</f>
        <v>436</v>
      </c>
      <c r="M1297">
        <f>MINUTE(Table257[[#This Row],[Corrected time]])</f>
        <v>50</v>
      </c>
      <c r="N1297" s="1">
        <v>0.53521271990740737</v>
      </c>
      <c r="O1297" s="1">
        <f>Table257[[#This Row],[Time]]-TIME(0,0,3)</f>
        <v>0.53517799768518515</v>
      </c>
      <c r="P1297" t="s">
        <v>9</v>
      </c>
      <c r="Q1297">
        <v>-122</v>
      </c>
      <c r="R1297">
        <f>Table257[[#This Row],[RSSI]]</f>
        <v>-122</v>
      </c>
      <c r="S1297">
        <v>-8.3000000000000007</v>
      </c>
    </row>
    <row r="1298" spans="2:19" x14ac:dyDescent="0.25">
      <c r="B1298">
        <f>436+2*(Table146[[#This Row],[min value (corrected)]])</f>
        <v>436</v>
      </c>
      <c r="C1298">
        <f>MINUTE(Table146[[#This Row],[Corrected time]])</f>
        <v>0</v>
      </c>
      <c r="D1298" s="1">
        <v>0.5005937962962963</v>
      </c>
      <c r="E1298" s="1">
        <f>Table146[[#This Row],[Time]]-TIME(0,0,1)</f>
        <v>0.50058222222222226</v>
      </c>
      <c r="F1298" t="s">
        <v>9</v>
      </c>
      <c r="G1298">
        <v>-122</v>
      </c>
      <c r="H1298">
        <f>Table146[[#This Row],[RSSI]]</f>
        <v>-122</v>
      </c>
      <c r="I1298">
        <v>-8.8000000000000007</v>
      </c>
      <c r="L1298">
        <f>390+2*(Table257[[#This Row],[min value (corrected)]]-27)</f>
        <v>436</v>
      </c>
      <c r="M1298">
        <f>MINUTE(Table257[[#This Row],[Corrected time]])</f>
        <v>50</v>
      </c>
      <c r="N1298" s="1">
        <v>0.53522575231481484</v>
      </c>
      <c r="O1298" s="1">
        <f>Table257[[#This Row],[Time]]-TIME(0,0,3)</f>
        <v>0.53519103009259261</v>
      </c>
      <c r="P1298" t="s">
        <v>13</v>
      </c>
      <c r="Q1298">
        <f t="shared" ref="Q1298:Q1299" si="171">Q1297</f>
        <v>-122</v>
      </c>
      <c r="R1298">
        <f>Table257[[#This Row],[RSSI]]</f>
        <v>-122</v>
      </c>
      <c r="S1298">
        <f t="shared" ref="S1298:S1299" si="172">S1297</f>
        <v>-8.3000000000000007</v>
      </c>
    </row>
    <row r="1299" spans="2:19" x14ac:dyDescent="0.25">
      <c r="B1299">
        <f>436+2*(Table146[[#This Row],[min value (corrected)]])</f>
        <v>436</v>
      </c>
      <c r="C1299">
        <f>MINUTE(Table146[[#This Row],[Corrected time]])</f>
        <v>0</v>
      </c>
      <c r="D1299" s="1">
        <v>0.50060684027777769</v>
      </c>
      <c r="E1299" s="1">
        <f>Table146[[#This Row],[Time]]-TIME(0,0,1)</f>
        <v>0.50059526620370365</v>
      </c>
      <c r="F1299" t="s">
        <v>9</v>
      </c>
      <c r="G1299">
        <v>-122</v>
      </c>
      <c r="H1299">
        <f>Table146[[#This Row],[RSSI]]</f>
        <v>-122</v>
      </c>
      <c r="I1299">
        <v>-9.3000000000000007</v>
      </c>
      <c r="L1299">
        <f>390+2*(Table257[[#This Row],[min value (corrected)]]-27)</f>
        <v>436</v>
      </c>
      <c r="M1299">
        <f>MINUTE(Table257[[#This Row],[Corrected time]])</f>
        <v>50</v>
      </c>
      <c r="N1299" s="1">
        <v>0.53523878472222219</v>
      </c>
      <c r="O1299" s="1">
        <f>Table257[[#This Row],[Time]]-TIME(0,0,3)</f>
        <v>0.53520406249999997</v>
      </c>
      <c r="P1299" t="s">
        <v>13</v>
      </c>
      <c r="Q1299">
        <f t="shared" si="171"/>
        <v>-122</v>
      </c>
      <c r="R1299">
        <f>Table257[[#This Row],[RSSI]]</f>
        <v>-122</v>
      </c>
      <c r="S1299">
        <f t="shared" si="172"/>
        <v>-8.3000000000000007</v>
      </c>
    </row>
    <row r="1300" spans="2:19" x14ac:dyDescent="0.25">
      <c r="B1300">
        <f>436+2*(Table146[[#This Row],[min value (corrected)]])</f>
        <v>436</v>
      </c>
      <c r="C1300">
        <f>MINUTE(Table146[[#This Row],[Corrected time]])</f>
        <v>0</v>
      </c>
      <c r="D1300" s="1">
        <v>0.50061988425925918</v>
      </c>
      <c r="E1300" s="1">
        <f>Table146[[#This Row],[Time]]-TIME(0,0,1)</f>
        <v>0.50060831018518515</v>
      </c>
      <c r="F1300" t="s">
        <v>13</v>
      </c>
      <c r="G1300">
        <f>G1299</f>
        <v>-122</v>
      </c>
      <c r="H1300">
        <f>Table146[[#This Row],[RSSI]]</f>
        <v>-122</v>
      </c>
      <c r="I1300">
        <f>I1299</f>
        <v>-9.3000000000000007</v>
      </c>
      <c r="L1300">
        <f>390+2*(Table257[[#This Row],[min value (corrected)]]-27)</f>
        <v>436</v>
      </c>
      <c r="M1300">
        <f>MINUTE(Table257[[#This Row],[Corrected time]])</f>
        <v>50</v>
      </c>
      <c r="N1300" s="1">
        <v>0.53525181712962966</v>
      </c>
      <c r="O1300" s="1">
        <f>Table257[[#This Row],[Time]]-TIME(0,0,3)</f>
        <v>0.53521709490740743</v>
      </c>
      <c r="P1300" t="s">
        <v>9</v>
      </c>
      <c r="Q1300">
        <v>-122</v>
      </c>
      <c r="R1300">
        <f>Table257[[#This Row],[RSSI]]</f>
        <v>-122</v>
      </c>
      <c r="S1300">
        <v>-8.3000000000000007</v>
      </c>
    </row>
    <row r="1301" spans="2:19" x14ac:dyDescent="0.25">
      <c r="B1301">
        <f>436+2*(Table146[[#This Row],[min value (corrected)]])</f>
        <v>436</v>
      </c>
      <c r="C1301">
        <f>MINUTE(Table146[[#This Row],[Corrected time]])</f>
        <v>0</v>
      </c>
      <c r="D1301" s="1">
        <v>0.50063291666666665</v>
      </c>
      <c r="E1301" s="1">
        <f>Table146[[#This Row],[Time]]-TIME(0,0,1)</f>
        <v>0.50062134259259261</v>
      </c>
      <c r="F1301" t="s">
        <v>9</v>
      </c>
      <c r="G1301">
        <v>-122</v>
      </c>
      <c r="H1301">
        <f>Table146[[#This Row],[RSSI]]</f>
        <v>-122</v>
      </c>
      <c r="I1301">
        <v>-8.5</v>
      </c>
      <c r="L1301">
        <f>390+2*(Table257[[#This Row],[min value (corrected)]]-27)</f>
        <v>436</v>
      </c>
      <c r="M1301">
        <f>MINUTE(Table257[[#This Row],[Corrected time]])</f>
        <v>50</v>
      </c>
      <c r="N1301" s="1">
        <v>0.53526484953703701</v>
      </c>
      <c r="O1301" s="1">
        <f>Table257[[#This Row],[Time]]-TIME(0,0,3)</f>
        <v>0.53523012731481479</v>
      </c>
      <c r="P1301" t="s">
        <v>9</v>
      </c>
      <c r="Q1301">
        <v>-122</v>
      </c>
      <c r="R1301">
        <f>Table257[[#This Row],[RSSI]]</f>
        <v>-122</v>
      </c>
      <c r="S1301">
        <v>-8.5</v>
      </c>
    </row>
    <row r="1302" spans="2:19" x14ac:dyDescent="0.25">
      <c r="B1302">
        <f>436+2*(Table146[[#This Row],[min value (corrected)]])</f>
        <v>436</v>
      </c>
      <c r="C1302">
        <f>MINUTE(Table146[[#This Row],[Corrected time]])</f>
        <v>0</v>
      </c>
      <c r="D1302" s="1">
        <v>0.500645949074074</v>
      </c>
      <c r="E1302" s="1">
        <f>Table146[[#This Row],[Time]]-TIME(0,0,1)</f>
        <v>0.50063437499999996</v>
      </c>
      <c r="F1302" t="s">
        <v>27</v>
      </c>
      <c r="G1302">
        <f>G1301</f>
        <v>-122</v>
      </c>
      <c r="H1302">
        <f>Table146[[#This Row],[RSSI]]</f>
        <v>-122</v>
      </c>
      <c r="I1302">
        <f>I1301</f>
        <v>-8.5</v>
      </c>
      <c r="L1302">
        <f>390+2*(Table257[[#This Row],[min value (corrected)]]-27)</f>
        <v>436</v>
      </c>
      <c r="M1302">
        <f>MINUTE(Table257[[#This Row],[Corrected time]])</f>
        <v>50</v>
      </c>
      <c r="N1302" s="1">
        <v>0.53527788194444448</v>
      </c>
      <c r="O1302" s="1">
        <f>Table257[[#This Row],[Time]]-TIME(0,0,3)</f>
        <v>0.53524315972222225</v>
      </c>
      <c r="P1302" t="s">
        <v>9</v>
      </c>
      <c r="Q1302">
        <v>-122</v>
      </c>
      <c r="R1302">
        <f>Table257[[#This Row],[RSSI]]</f>
        <v>-122</v>
      </c>
      <c r="S1302">
        <v>-8.5</v>
      </c>
    </row>
    <row r="1303" spans="2:19" x14ac:dyDescent="0.25">
      <c r="B1303">
        <f>436+2*(Table146[[#This Row],[min value (corrected)]])</f>
        <v>436</v>
      </c>
      <c r="C1303">
        <f>MINUTE(Table146[[#This Row],[Corrected time]])</f>
        <v>0</v>
      </c>
      <c r="D1303" s="1">
        <v>0.50065896990740733</v>
      </c>
      <c r="E1303" s="1">
        <f>Table146[[#This Row],[Time]]-TIME(0,0,1)</f>
        <v>0.50064739583333329</v>
      </c>
      <c r="F1303" t="s">
        <v>9</v>
      </c>
      <c r="G1303">
        <v>-122</v>
      </c>
      <c r="H1303">
        <f>Table146[[#This Row],[RSSI]]</f>
        <v>-122</v>
      </c>
      <c r="I1303">
        <v>-8.8000000000000007</v>
      </c>
      <c r="L1303">
        <f>390+2*(Table257[[#This Row],[min value (corrected)]]-27)</f>
        <v>436</v>
      </c>
      <c r="M1303">
        <f>MINUTE(Table257[[#This Row],[Corrected time]])</f>
        <v>50</v>
      </c>
      <c r="N1303" s="1">
        <v>0.53529091435185183</v>
      </c>
      <c r="O1303" s="1">
        <f>Table257[[#This Row],[Time]]-TIME(0,0,3)</f>
        <v>0.5352561921296296</v>
      </c>
      <c r="P1303" t="s">
        <v>9</v>
      </c>
      <c r="Q1303">
        <v>-122</v>
      </c>
      <c r="R1303">
        <f>Table257[[#This Row],[RSSI]]</f>
        <v>-122</v>
      </c>
      <c r="S1303">
        <v>-8.8000000000000007</v>
      </c>
    </row>
    <row r="1304" spans="2:19" x14ac:dyDescent="0.25">
      <c r="B1304">
        <f>436+2*(Table146[[#This Row],[min value (corrected)]])</f>
        <v>436</v>
      </c>
      <c r="C1304">
        <f>MINUTE(Table146[[#This Row],[Corrected time]])</f>
        <v>0</v>
      </c>
      <c r="D1304" s="1">
        <v>0.50067201388888882</v>
      </c>
      <c r="E1304" s="1">
        <f>Table146[[#This Row],[Time]]-TIME(0,0,1)</f>
        <v>0.50066043981481478</v>
      </c>
      <c r="F1304" t="s">
        <v>9</v>
      </c>
      <c r="G1304">
        <v>-122</v>
      </c>
      <c r="H1304">
        <f>Table146[[#This Row],[RSSI]]</f>
        <v>-122</v>
      </c>
      <c r="I1304">
        <v>-8.5</v>
      </c>
      <c r="L1304">
        <f>390+2*(Table257[[#This Row],[min value (corrected)]]-27)</f>
        <v>436</v>
      </c>
      <c r="M1304">
        <f>MINUTE(Table257[[#This Row],[Corrected time]])</f>
        <v>50</v>
      </c>
      <c r="N1304" s="1">
        <v>0.5353039467592593</v>
      </c>
      <c r="O1304" s="1">
        <f>Table257[[#This Row],[Time]]-TIME(0,0,3)</f>
        <v>0.53526922453703707</v>
      </c>
      <c r="P1304" t="s">
        <v>9</v>
      </c>
      <c r="Q1304">
        <v>-122</v>
      </c>
      <c r="R1304">
        <f>Table257[[#This Row],[RSSI]]</f>
        <v>-122</v>
      </c>
      <c r="S1304">
        <v>-8.5</v>
      </c>
    </row>
    <row r="1305" spans="2:19" x14ac:dyDescent="0.25">
      <c r="B1305">
        <f>436+2*(Table146[[#This Row],[min value (corrected)]])</f>
        <v>436</v>
      </c>
      <c r="C1305">
        <f>MINUTE(Table146[[#This Row],[Corrected time]])</f>
        <v>0</v>
      </c>
      <c r="D1305" s="1">
        <v>0.50068504629629629</v>
      </c>
      <c r="E1305" s="1">
        <f>Table146[[#This Row],[Time]]-TIME(0,0,1)</f>
        <v>0.50067347222222225</v>
      </c>
      <c r="F1305" t="s">
        <v>13</v>
      </c>
      <c r="G1305">
        <f>G1304</f>
        <v>-122</v>
      </c>
      <c r="H1305">
        <f>Table146[[#This Row],[RSSI]]</f>
        <v>-122</v>
      </c>
      <c r="I1305">
        <f>I1304</f>
        <v>-8.5</v>
      </c>
      <c r="L1305">
        <f>390+2*(Table257[[#This Row],[min value (corrected)]]-27)</f>
        <v>436</v>
      </c>
      <c r="M1305">
        <f>MINUTE(Table257[[#This Row],[Corrected time]])</f>
        <v>50</v>
      </c>
      <c r="N1305" s="1">
        <v>0.53531697916666665</v>
      </c>
      <c r="O1305" s="1">
        <f>Table257[[#This Row],[Time]]-TIME(0,0,3)</f>
        <v>0.53528225694444442</v>
      </c>
      <c r="P1305" t="s">
        <v>9</v>
      </c>
      <c r="Q1305">
        <v>-122</v>
      </c>
      <c r="R1305">
        <f>Table257[[#This Row],[RSSI]]</f>
        <v>-122</v>
      </c>
      <c r="S1305">
        <v>-8.5</v>
      </c>
    </row>
    <row r="1306" spans="2:19" x14ac:dyDescent="0.25">
      <c r="B1306">
        <f>436+2*(Table146[[#This Row],[min value (corrected)]])</f>
        <v>436</v>
      </c>
      <c r="C1306">
        <f>MINUTE(Table146[[#This Row],[Corrected time]])</f>
        <v>0</v>
      </c>
      <c r="D1306" s="1">
        <v>0.50069806712962961</v>
      </c>
      <c r="E1306" s="1">
        <f>Table146[[#This Row],[Time]]-TIME(0,0,1)</f>
        <v>0.50068649305555557</v>
      </c>
      <c r="F1306" t="s">
        <v>9</v>
      </c>
      <c r="G1306">
        <v>-122</v>
      </c>
      <c r="H1306">
        <f>Table146[[#This Row],[RSSI]]</f>
        <v>-122</v>
      </c>
      <c r="I1306">
        <v>-8.5</v>
      </c>
      <c r="L1306">
        <f>390+2*(Table257[[#This Row],[min value (corrected)]]-27)</f>
        <v>436</v>
      </c>
      <c r="M1306">
        <f>MINUTE(Table257[[#This Row],[Corrected time]])</f>
        <v>50</v>
      </c>
      <c r="N1306" s="1">
        <v>0.53533001157407412</v>
      </c>
      <c r="O1306" s="1">
        <f>Table257[[#This Row],[Time]]-TIME(0,0,3)</f>
        <v>0.53529528935185189</v>
      </c>
      <c r="P1306" t="s">
        <v>9</v>
      </c>
      <c r="Q1306">
        <v>-122</v>
      </c>
      <c r="R1306">
        <f>Table257[[#This Row],[RSSI]]</f>
        <v>-122</v>
      </c>
      <c r="S1306">
        <v>-8.3000000000000007</v>
      </c>
    </row>
    <row r="1307" spans="2:19" x14ac:dyDescent="0.25">
      <c r="B1307">
        <f>436+2*(Table146[[#This Row],[min value (corrected)]])</f>
        <v>438</v>
      </c>
      <c r="C1307">
        <f>MINUTE(Table146[[#This Row],[Corrected time]])</f>
        <v>1</v>
      </c>
      <c r="D1307" s="1">
        <v>0.50071111111111111</v>
      </c>
      <c r="E1307" s="1">
        <f>Table146[[#This Row],[Time]]-TIME(0,0,1)</f>
        <v>0.50069953703703707</v>
      </c>
      <c r="F1307" t="s">
        <v>9</v>
      </c>
      <c r="G1307">
        <v>-122</v>
      </c>
      <c r="H1307">
        <f>Table146[[#This Row],[RSSI]]</f>
        <v>-122</v>
      </c>
      <c r="I1307">
        <v>-8.5</v>
      </c>
      <c r="L1307">
        <f>390+2*(Table257[[#This Row],[min value (corrected)]]-27)</f>
        <v>436</v>
      </c>
      <c r="M1307">
        <f>MINUTE(Table257[[#This Row],[Corrected time]])</f>
        <v>50</v>
      </c>
      <c r="N1307" s="1">
        <v>0.53534304398148147</v>
      </c>
      <c r="O1307" s="1">
        <f>Table257[[#This Row],[Time]]-TIME(0,0,3)</f>
        <v>0.53530832175925924</v>
      </c>
      <c r="P1307" t="s">
        <v>9</v>
      </c>
      <c r="Q1307">
        <v>-122</v>
      </c>
      <c r="R1307">
        <f>Table257[[#This Row],[RSSI]]</f>
        <v>-122</v>
      </c>
      <c r="S1307">
        <v>-8.3000000000000007</v>
      </c>
    </row>
    <row r="1308" spans="2:19" x14ac:dyDescent="0.25">
      <c r="B1308">
        <f>436+2*(Table146[[#This Row],[min value (corrected)]])</f>
        <v>438</v>
      </c>
      <c r="C1308">
        <f>MINUTE(Table146[[#This Row],[Corrected time]])</f>
        <v>1</v>
      </c>
      <c r="D1308" s="1">
        <v>0.50072414351851846</v>
      </c>
      <c r="E1308" s="1">
        <f>Table146[[#This Row],[Time]]-TIME(0,0,1)</f>
        <v>0.50071256944444442</v>
      </c>
      <c r="F1308" t="s">
        <v>13</v>
      </c>
      <c r="G1308">
        <f t="shared" ref="G1308:G1309" si="173">G1307</f>
        <v>-122</v>
      </c>
      <c r="H1308">
        <f>Table146[[#This Row],[RSSI]]</f>
        <v>-122</v>
      </c>
      <c r="I1308">
        <f t="shared" ref="I1308:I1309" si="174">I1307</f>
        <v>-8.5</v>
      </c>
      <c r="L1308">
        <f>390+2*(Table257[[#This Row],[min value (corrected)]]-27)</f>
        <v>436</v>
      </c>
      <c r="M1308">
        <f>MINUTE(Table257[[#This Row],[Corrected time]])</f>
        <v>50</v>
      </c>
      <c r="N1308" s="1">
        <v>0.53535607638888894</v>
      </c>
      <c r="O1308" s="1">
        <f>Table257[[#This Row],[Time]]-TIME(0,0,3)</f>
        <v>0.53532135416666671</v>
      </c>
      <c r="P1308" t="s">
        <v>9</v>
      </c>
      <c r="Q1308">
        <v>-122</v>
      </c>
      <c r="R1308">
        <f>Table257[[#This Row],[RSSI]]</f>
        <v>-122</v>
      </c>
      <c r="S1308">
        <v>-8.3000000000000007</v>
      </c>
    </row>
    <row r="1309" spans="2:19" x14ac:dyDescent="0.25">
      <c r="B1309">
        <f>436+2*(Table146[[#This Row],[min value (corrected)]])</f>
        <v>438</v>
      </c>
      <c r="C1309">
        <f>MINUTE(Table146[[#This Row],[Corrected time]])</f>
        <v>1</v>
      </c>
      <c r="D1309" s="1">
        <v>0.50073717592592593</v>
      </c>
      <c r="E1309" s="1">
        <f>Table146[[#This Row],[Time]]-TIME(0,0,1)</f>
        <v>0.50072560185185189</v>
      </c>
      <c r="F1309" t="s">
        <v>13</v>
      </c>
      <c r="G1309">
        <f t="shared" si="173"/>
        <v>-122</v>
      </c>
      <c r="H1309">
        <f>Table146[[#This Row],[RSSI]]</f>
        <v>-122</v>
      </c>
      <c r="I1309">
        <f t="shared" si="174"/>
        <v>-8.5</v>
      </c>
      <c r="L1309">
        <f>390+2*(Table257[[#This Row],[min value (corrected)]]-27)</f>
        <v>436</v>
      </c>
      <c r="M1309">
        <f>MINUTE(Table257[[#This Row],[Corrected time]])</f>
        <v>50</v>
      </c>
      <c r="N1309" s="1">
        <v>0.53536910879629629</v>
      </c>
      <c r="O1309" s="1">
        <f>Table257[[#This Row],[Time]]-TIME(0,0,3)</f>
        <v>0.53533438657407406</v>
      </c>
      <c r="P1309" t="s">
        <v>9</v>
      </c>
      <c r="Q1309">
        <v>-122</v>
      </c>
      <c r="R1309">
        <f>Table257[[#This Row],[RSSI]]</f>
        <v>-122</v>
      </c>
      <c r="S1309">
        <v>-8.5</v>
      </c>
    </row>
    <row r="1310" spans="2:19" x14ac:dyDescent="0.25">
      <c r="B1310">
        <f>436+2*(Table146[[#This Row],[min value (corrected)]])</f>
        <v>438</v>
      </c>
      <c r="C1310">
        <f>MINUTE(Table146[[#This Row],[Corrected time]])</f>
        <v>1</v>
      </c>
      <c r="D1310" s="1">
        <v>0.50075020833333328</v>
      </c>
      <c r="E1310" s="1">
        <f>Table146[[#This Row],[Time]]-TIME(0,0,1)</f>
        <v>0.50073863425925924</v>
      </c>
      <c r="F1310" t="s">
        <v>9</v>
      </c>
      <c r="G1310">
        <v>-122</v>
      </c>
      <c r="H1310">
        <f>Table146[[#This Row],[RSSI]]</f>
        <v>-122</v>
      </c>
      <c r="I1310">
        <v>-9</v>
      </c>
      <c r="L1310">
        <f>390+2*(Table257[[#This Row],[min value (corrected)]]-27)</f>
        <v>436</v>
      </c>
      <c r="M1310">
        <f>MINUTE(Table257[[#This Row],[Corrected time]])</f>
        <v>50</v>
      </c>
      <c r="N1310" s="1">
        <v>0.53538212962962972</v>
      </c>
      <c r="O1310" s="1">
        <f>Table257[[#This Row],[Time]]-TIME(0,0,3)</f>
        <v>0.53534740740740749</v>
      </c>
      <c r="P1310" t="s">
        <v>9</v>
      </c>
      <c r="Q1310">
        <v>-122</v>
      </c>
      <c r="R1310">
        <f>Table257[[#This Row],[RSSI]]</f>
        <v>-122</v>
      </c>
      <c r="S1310">
        <v>-8.5</v>
      </c>
    </row>
    <row r="1311" spans="2:19" x14ac:dyDescent="0.25">
      <c r="B1311">
        <f>436+2*(Table146[[#This Row],[min value (corrected)]])</f>
        <v>438</v>
      </c>
      <c r="C1311">
        <f>MINUTE(Table146[[#This Row],[Corrected time]])</f>
        <v>1</v>
      </c>
      <c r="D1311" s="1">
        <v>0.50076324074074074</v>
      </c>
      <c r="E1311" s="1">
        <f>Table146[[#This Row],[Time]]-TIME(0,0,1)</f>
        <v>0.50075166666666671</v>
      </c>
      <c r="F1311" t="s">
        <v>9</v>
      </c>
      <c r="G1311">
        <v>-122</v>
      </c>
      <c r="H1311">
        <f>Table146[[#This Row],[RSSI]]</f>
        <v>-122</v>
      </c>
      <c r="I1311">
        <v>-8.8000000000000007</v>
      </c>
      <c r="L1311">
        <f>390+2*(Table257[[#This Row],[min value (corrected)]]-27)</f>
        <v>436</v>
      </c>
      <c r="M1311">
        <f>MINUTE(Table257[[#This Row],[Corrected time]])</f>
        <v>50</v>
      </c>
      <c r="N1311" s="1">
        <v>0.53539517361111111</v>
      </c>
      <c r="O1311" s="1">
        <f>Table257[[#This Row],[Time]]-TIME(0,0,3)</f>
        <v>0.53536045138888888</v>
      </c>
      <c r="P1311" t="s">
        <v>9</v>
      </c>
      <c r="Q1311">
        <v>-122</v>
      </c>
      <c r="R1311">
        <f>Table257[[#This Row],[RSSI]]</f>
        <v>-122</v>
      </c>
      <c r="S1311">
        <v>-8.3000000000000007</v>
      </c>
    </row>
    <row r="1312" spans="2:19" x14ac:dyDescent="0.25">
      <c r="B1312">
        <f>436+2*(Table146[[#This Row],[min value (corrected)]])</f>
        <v>438</v>
      </c>
      <c r="C1312">
        <f>MINUTE(Table146[[#This Row],[Corrected time]])</f>
        <v>1</v>
      </c>
      <c r="D1312" s="1">
        <v>0.5007762731481481</v>
      </c>
      <c r="E1312" s="1">
        <f>Table146[[#This Row],[Time]]-TIME(0,0,1)</f>
        <v>0.50076469907407406</v>
      </c>
      <c r="F1312" t="s">
        <v>13</v>
      </c>
      <c r="G1312">
        <f t="shared" ref="G1312:G1315" si="175">G1311</f>
        <v>-122</v>
      </c>
      <c r="H1312">
        <f>Table146[[#This Row],[RSSI]]</f>
        <v>-122</v>
      </c>
      <c r="I1312">
        <f t="shared" ref="I1312:I1315" si="176">I1311</f>
        <v>-8.8000000000000007</v>
      </c>
      <c r="L1312">
        <f>390+2*(Table257[[#This Row],[min value (corrected)]]-27)</f>
        <v>436</v>
      </c>
      <c r="M1312">
        <f>MINUTE(Table257[[#This Row],[Corrected time]])</f>
        <v>50</v>
      </c>
      <c r="N1312" s="1">
        <v>0.53540820601851857</v>
      </c>
      <c r="O1312" s="1">
        <f>Table257[[#This Row],[Time]]-TIME(0,0,3)</f>
        <v>0.53537348379629635</v>
      </c>
      <c r="P1312" t="s">
        <v>9</v>
      </c>
      <c r="Q1312">
        <v>-123</v>
      </c>
      <c r="R1312">
        <f>Table257[[#This Row],[RSSI]]</f>
        <v>-123</v>
      </c>
      <c r="S1312">
        <v>-9.5</v>
      </c>
    </row>
    <row r="1313" spans="2:19" x14ac:dyDescent="0.25">
      <c r="B1313">
        <f>436+2*(Table146[[#This Row],[min value (corrected)]])</f>
        <v>438</v>
      </c>
      <c r="C1313">
        <f>MINUTE(Table146[[#This Row],[Corrected time]])</f>
        <v>1</v>
      </c>
      <c r="D1313" s="1">
        <v>0.50078929398148153</v>
      </c>
      <c r="E1313" s="1">
        <f>Table146[[#This Row],[Time]]-TIME(0,0,1)</f>
        <v>0.50077771990740749</v>
      </c>
      <c r="F1313" t="s">
        <v>13</v>
      </c>
      <c r="G1313">
        <f t="shared" si="175"/>
        <v>-122</v>
      </c>
      <c r="H1313">
        <f>Table146[[#This Row],[RSSI]]</f>
        <v>-122</v>
      </c>
      <c r="I1313">
        <f t="shared" si="176"/>
        <v>-8.8000000000000007</v>
      </c>
      <c r="L1313">
        <f>390+2*(Table257[[#This Row],[min value (corrected)]]-27)</f>
        <v>436</v>
      </c>
      <c r="M1313">
        <f>MINUTE(Table257[[#This Row],[Corrected time]])</f>
        <v>50</v>
      </c>
      <c r="N1313" s="1">
        <v>0.53542123842592593</v>
      </c>
      <c r="O1313" s="1">
        <f>Table257[[#This Row],[Time]]-TIME(0,0,3)</f>
        <v>0.5353865162037037</v>
      </c>
      <c r="P1313" t="s">
        <v>9</v>
      </c>
      <c r="Q1313">
        <v>-122</v>
      </c>
      <c r="R1313">
        <f>Table257[[#This Row],[RSSI]]</f>
        <v>-122</v>
      </c>
      <c r="S1313">
        <v>-8.3000000000000007</v>
      </c>
    </row>
    <row r="1314" spans="2:19" x14ac:dyDescent="0.25">
      <c r="B1314">
        <f>436+2*(Table146[[#This Row],[min value (corrected)]])</f>
        <v>438</v>
      </c>
      <c r="C1314">
        <f>MINUTE(Table146[[#This Row],[Corrected time]])</f>
        <v>1</v>
      </c>
      <c r="D1314" s="1">
        <v>0.50080232638888889</v>
      </c>
      <c r="E1314" s="1">
        <f>Table146[[#This Row],[Time]]-TIME(0,0,1)</f>
        <v>0.50079075231481485</v>
      </c>
      <c r="F1314" t="s">
        <v>13</v>
      </c>
      <c r="G1314">
        <f t="shared" si="175"/>
        <v>-122</v>
      </c>
      <c r="H1314">
        <f>Table146[[#This Row],[RSSI]]</f>
        <v>-122</v>
      </c>
      <c r="I1314">
        <f t="shared" si="176"/>
        <v>-8.8000000000000007</v>
      </c>
      <c r="L1314">
        <f>390+2*(Table257[[#This Row],[min value (corrected)]]-27)</f>
        <v>436</v>
      </c>
      <c r="M1314">
        <f>MINUTE(Table257[[#This Row],[Corrected time]])</f>
        <v>50</v>
      </c>
      <c r="N1314" s="1">
        <v>0.53543427083333339</v>
      </c>
      <c r="O1314" s="1">
        <f>Table257[[#This Row],[Time]]-TIME(0,0,3)</f>
        <v>0.53539954861111116</v>
      </c>
      <c r="P1314" t="s">
        <v>9</v>
      </c>
      <c r="Q1314">
        <v>-122</v>
      </c>
      <c r="R1314">
        <f>Table257[[#This Row],[RSSI]]</f>
        <v>-122</v>
      </c>
      <c r="S1314">
        <v>-8.8000000000000007</v>
      </c>
    </row>
    <row r="1315" spans="2:19" x14ac:dyDescent="0.25">
      <c r="B1315">
        <f>436+2*(Table146[[#This Row],[min value (corrected)]])</f>
        <v>438</v>
      </c>
      <c r="C1315">
        <f>MINUTE(Table146[[#This Row],[Corrected time]])</f>
        <v>1</v>
      </c>
      <c r="D1315" s="1">
        <v>0.50081537037037038</v>
      </c>
      <c r="E1315" s="1">
        <f>Table146[[#This Row],[Time]]-TIME(0,0,1)</f>
        <v>0.50080379629629634</v>
      </c>
      <c r="F1315" t="s">
        <v>13</v>
      </c>
      <c r="G1315">
        <f t="shared" si="175"/>
        <v>-122</v>
      </c>
      <c r="H1315">
        <f>Table146[[#This Row],[RSSI]]</f>
        <v>-122</v>
      </c>
      <c r="I1315">
        <f t="shared" si="176"/>
        <v>-8.8000000000000007</v>
      </c>
      <c r="L1315">
        <f>390+2*(Table257[[#This Row],[min value (corrected)]]-27)</f>
        <v>438</v>
      </c>
      <c r="M1315">
        <f>MINUTE(Table257[[#This Row],[Corrected time]])</f>
        <v>51</v>
      </c>
      <c r="N1315" s="1">
        <v>0.53544730324074075</v>
      </c>
      <c r="O1315" s="1">
        <f>Table257[[#This Row],[Time]]-TIME(0,0,3)</f>
        <v>0.53541258101851852</v>
      </c>
      <c r="P1315" t="s">
        <v>13</v>
      </c>
      <c r="Q1315">
        <f>Q1314</f>
        <v>-122</v>
      </c>
      <c r="R1315">
        <f>Table257[[#This Row],[RSSI]]</f>
        <v>-122</v>
      </c>
      <c r="S1315">
        <f>S1314</f>
        <v>-8.8000000000000007</v>
      </c>
    </row>
    <row r="1316" spans="2:19" x14ac:dyDescent="0.25">
      <c r="B1316">
        <f>436+2*(Table146[[#This Row],[min value (corrected)]])</f>
        <v>438</v>
      </c>
      <c r="C1316">
        <f>MINUTE(Table146[[#This Row],[Corrected time]])</f>
        <v>1</v>
      </c>
      <c r="D1316" s="1">
        <v>0.50082840277777774</v>
      </c>
      <c r="E1316" s="1">
        <f>Table146[[#This Row],[Time]]-TIME(0,0,1)</f>
        <v>0.5008168287037037</v>
      </c>
      <c r="F1316" t="s">
        <v>9</v>
      </c>
      <c r="G1316">
        <v>-122</v>
      </c>
      <c r="H1316">
        <f>Table146[[#This Row],[RSSI]]</f>
        <v>-122</v>
      </c>
      <c r="I1316">
        <v>-8.8000000000000007</v>
      </c>
      <c r="L1316">
        <f>390+2*(Table257[[#This Row],[min value (corrected)]]-27)</f>
        <v>438</v>
      </c>
      <c r="M1316">
        <f>MINUTE(Table257[[#This Row],[Corrected time]])</f>
        <v>51</v>
      </c>
      <c r="N1316" s="1">
        <v>0.53546033564814821</v>
      </c>
      <c r="O1316" s="1">
        <f>Table257[[#This Row],[Time]]-TIME(0,0,3)</f>
        <v>0.53542561342592598</v>
      </c>
      <c r="P1316" t="s">
        <v>9</v>
      </c>
      <c r="Q1316">
        <v>-122</v>
      </c>
      <c r="R1316">
        <f>Table257[[#This Row],[RSSI]]</f>
        <v>-122</v>
      </c>
      <c r="S1316">
        <v>-8.5</v>
      </c>
    </row>
    <row r="1317" spans="2:19" x14ac:dyDescent="0.25">
      <c r="B1317">
        <f>436+2*(Table146[[#This Row],[min value (corrected)]])</f>
        <v>438</v>
      </c>
      <c r="C1317">
        <f>MINUTE(Table146[[#This Row],[Corrected time]])</f>
        <v>1</v>
      </c>
      <c r="D1317" s="1">
        <v>0.5008414351851852</v>
      </c>
      <c r="E1317" s="1">
        <f>Table146[[#This Row],[Time]]-TIME(0,0,1)</f>
        <v>0.50082986111111116</v>
      </c>
      <c r="F1317" t="s">
        <v>13</v>
      </c>
      <c r="G1317">
        <f>G1316</f>
        <v>-122</v>
      </c>
      <c r="H1317">
        <f>Table146[[#This Row],[RSSI]]</f>
        <v>-122</v>
      </c>
      <c r="I1317">
        <f>I1316</f>
        <v>-8.8000000000000007</v>
      </c>
      <c r="L1317">
        <f>390+2*(Table257[[#This Row],[min value (corrected)]]-27)</f>
        <v>438</v>
      </c>
      <c r="M1317">
        <f>MINUTE(Table257[[#This Row],[Corrected time]])</f>
        <v>51</v>
      </c>
      <c r="N1317" s="1">
        <v>0.53547336805555557</v>
      </c>
      <c r="O1317" s="1">
        <f>Table257[[#This Row],[Time]]-TIME(0,0,3)</f>
        <v>0.53543864583333334</v>
      </c>
      <c r="P1317" t="s">
        <v>13</v>
      </c>
      <c r="Q1317">
        <f>Q1316</f>
        <v>-122</v>
      </c>
      <c r="R1317">
        <f>Table257[[#This Row],[RSSI]]</f>
        <v>-122</v>
      </c>
      <c r="S1317">
        <f>S1316</f>
        <v>-8.5</v>
      </c>
    </row>
    <row r="1318" spans="2:19" x14ac:dyDescent="0.25">
      <c r="B1318">
        <f>436+2*(Table146[[#This Row],[min value (corrected)]])</f>
        <v>438</v>
      </c>
      <c r="C1318">
        <f>MINUTE(Table146[[#This Row],[Corrected time]])</f>
        <v>1</v>
      </c>
      <c r="D1318" s="1">
        <v>0.50085446759259256</v>
      </c>
      <c r="E1318" s="1">
        <f>Table146[[#This Row],[Time]]-TIME(0,0,1)</f>
        <v>0.50084289351851852</v>
      </c>
      <c r="F1318" t="s">
        <v>9</v>
      </c>
      <c r="G1318">
        <v>-122</v>
      </c>
      <c r="H1318">
        <f>Table146[[#This Row],[RSSI]]</f>
        <v>-122</v>
      </c>
      <c r="I1318">
        <v>-8</v>
      </c>
      <c r="L1318">
        <f>390+2*(Table257[[#This Row],[min value (corrected)]]-27)</f>
        <v>438</v>
      </c>
      <c r="M1318">
        <f>MINUTE(Table257[[#This Row],[Corrected time]])</f>
        <v>51</v>
      </c>
      <c r="N1318" s="1">
        <v>0.53548640046296303</v>
      </c>
      <c r="O1318" s="1">
        <f>Table257[[#This Row],[Time]]-TIME(0,0,3)</f>
        <v>0.5354516782407408</v>
      </c>
      <c r="P1318" t="s">
        <v>9</v>
      </c>
      <c r="Q1318">
        <v>-121</v>
      </c>
      <c r="R1318">
        <f>Table257[[#This Row],[RSSI]]</f>
        <v>-121</v>
      </c>
      <c r="S1318">
        <v>-8.3000000000000007</v>
      </c>
    </row>
    <row r="1319" spans="2:19" x14ac:dyDescent="0.25">
      <c r="B1319">
        <f>436+2*(Table146[[#This Row],[min value (corrected)]])</f>
        <v>438</v>
      </c>
      <c r="C1319">
        <f>MINUTE(Table146[[#This Row],[Corrected time]])</f>
        <v>1</v>
      </c>
      <c r="D1319" s="1">
        <v>0.50086750000000002</v>
      </c>
      <c r="E1319" s="1">
        <f>Table146[[#This Row],[Time]]-TIME(0,0,1)</f>
        <v>0.50085592592592598</v>
      </c>
      <c r="F1319" t="s">
        <v>13</v>
      </c>
      <c r="G1319">
        <f t="shared" ref="G1319:G1320" si="177">G1318</f>
        <v>-122</v>
      </c>
      <c r="H1319">
        <f>Table146[[#This Row],[RSSI]]</f>
        <v>-122</v>
      </c>
      <c r="I1319">
        <f t="shared" ref="I1319:I1320" si="178">I1318</f>
        <v>-8</v>
      </c>
      <c r="L1319">
        <f>390+2*(Table257[[#This Row],[min value (corrected)]]-27)</f>
        <v>438</v>
      </c>
      <c r="M1319">
        <f>MINUTE(Table257[[#This Row],[Corrected time]])</f>
        <v>51</v>
      </c>
      <c r="N1319" s="1">
        <v>0.53549943287037038</v>
      </c>
      <c r="O1319" s="1">
        <f>Table257[[#This Row],[Time]]-TIME(0,0,3)</f>
        <v>0.53546471064814816</v>
      </c>
      <c r="P1319" t="s">
        <v>13</v>
      </c>
      <c r="Q1319">
        <f>Q1318</f>
        <v>-121</v>
      </c>
      <c r="R1319">
        <f>Table257[[#This Row],[RSSI]]</f>
        <v>-121</v>
      </c>
      <c r="S1319">
        <f>S1318</f>
        <v>-8.3000000000000007</v>
      </c>
    </row>
    <row r="1320" spans="2:19" x14ac:dyDescent="0.25">
      <c r="B1320">
        <f>436+2*(Table146[[#This Row],[min value (corrected)]])</f>
        <v>438</v>
      </c>
      <c r="C1320">
        <f>MINUTE(Table146[[#This Row],[Corrected time]])</f>
        <v>1</v>
      </c>
      <c r="D1320" s="1">
        <v>0.50088053240740738</v>
      </c>
      <c r="E1320" s="1">
        <f>Table146[[#This Row],[Time]]-TIME(0,0,1)</f>
        <v>0.50086895833333334</v>
      </c>
      <c r="F1320" t="s">
        <v>13</v>
      </c>
      <c r="G1320">
        <f t="shared" si="177"/>
        <v>-122</v>
      </c>
      <c r="H1320">
        <f>Table146[[#This Row],[RSSI]]</f>
        <v>-122</v>
      </c>
      <c r="I1320">
        <f t="shared" si="178"/>
        <v>-8</v>
      </c>
      <c r="L1320">
        <f>390+2*(Table257[[#This Row],[min value (corrected)]]-27)</f>
        <v>438</v>
      </c>
      <c r="M1320">
        <f>MINUTE(Table257[[#This Row],[Corrected time]])</f>
        <v>51</v>
      </c>
      <c r="N1320" s="1">
        <v>0.53551246527777785</v>
      </c>
      <c r="O1320" s="1">
        <f>Table257[[#This Row],[Time]]-TIME(0,0,3)</f>
        <v>0.53547774305555562</v>
      </c>
      <c r="P1320" t="s">
        <v>9</v>
      </c>
      <c r="Q1320">
        <v>-122</v>
      </c>
      <c r="R1320">
        <f>Table257[[#This Row],[RSSI]]</f>
        <v>-122</v>
      </c>
      <c r="S1320">
        <v>-9</v>
      </c>
    </row>
    <row r="1321" spans="2:19" x14ac:dyDescent="0.25">
      <c r="B1321">
        <f>436+2*(Table146[[#This Row],[min value (corrected)]])</f>
        <v>438</v>
      </c>
      <c r="C1321">
        <f>MINUTE(Table146[[#This Row],[Corrected time]])</f>
        <v>1</v>
      </c>
      <c r="D1321" s="1">
        <v>0.50089356481481484</v>
      </c>
      <c r="E1321" s="1">
        <f>Table146[[#This Row],[Time]]-TIME(0,0,1)</f>
        <v>0.5008819907407408</v>
      </c>
      <c r="F1321" t="s">
        <v>9</v>
      </c>
      <c r="G1321">
        <v>-122</v>
      </c>
      <c r="H1321">
        <f>Table146[[#This Row],[RSSI]]</f>
        <v>-122</v>
      </c>
      <c r="I1321">
        <v>-8.5</v>
      </c>
      <c r="L1321">
        <f>390+2*(Table257[[#This Row],[min value (corrected)]]-27)</f>
        <v>438</v>
      </c>
      <c r="M1321">
        <f>MINUTE(Table257[[#This Row],[Corrected time]])</f>
        <v>51</v>
      </c>
      <c r="N1321" s="1">
        <v>0.5355254976851852</v>
      </c>
      <c r="O1321" s="1">
        <f>Table257[[#This Row],[Time]]-TIME(0,0,3)</f>
        <v>0.53549077546296298</v>
      </c>
      <c r="P1321" t="s">
        <v>9</v>
      </c>
      <c r="Q1321">
        <v>-122</v>
      </c>
      <c r="R1321">
        <f>Table257[[#This Row],[RSSI]]</f>
        <v>-122</v>
      </c>
      <c r="S1321">
        <v>-8.5</v>
      </c>
    </row>
    <row r="1322" spans="2:19" x14ac:dyDescent="0.25">
      <c r="B1322">
        <f>436+2*(Table146[[#This Row],[min value (corrected)]])</f>
        <v>438</v>
      </c>
      <c r="C1322">
        <f>MINUTE(Table146[[#This Row],[Corrected time]])</f>
        <v>1</v>
      </c>
      <c r="D1322" s="1">
        <v>0.50090658564814816</v>
      </c>
      <c r="E1322" s="1">
        <f>Table146[[#This Row],[Time]]-TIME(0,0,1)</f>
        <v>0.50089501157407412</v>
      </c>
      <c r="F1322" t="s">
        <v>13</v>
      </c>
      <c r="G1322">
        <f>G1321</f>
        <v>-122</v>
      </c>
      <c r="H1322">
        <f>Table146[[#This Row],[RSSI]]</f>
        <v>-122</v>
      </c>
      <c r="I1322">
        <f>I1321</f>
        <v>-8.5</v>
      </c>
      <c r="L1322">
        <f>390+2*(Table257[[#This Row],[min value (corrected)]]-27)</f>
        <v>438</v>
      </c>
      <c r="M1322">
        <f>MINUTE(Table257[[#This Row],[Corrected time]])</f>
        <v>51</v>
      </c>
      <c r="N1322" s="1">
        <v>0.53553853009259267</v>
      </c>
      <c r="O1322" s="1">
        <f>Table257[[#This Row],[Time]]-TIME(0,0,3)</f>
        <v>0.53550380787037044</v>
      </c>
      <c r="P1322" t="s">
        <v>13</v>
      </c>
      <c r="Q1322">
        <f t="shared" ref="Q1322:Q1323" si="179">Q1321</f>
        <v>-122</v>
      </c>
      <c r="R1322">
        <f>Table257[[#This Row],[RSSI]]</f>
        <v>-122</v>
      </c>
      <c r="S1322">
        <f t="shared" ref="S1322:S1323" si="180">S1321</f>
        <v>-8.5</v>
      </c>
    </row>
    <row r="1323" spans="2:19" x14ac:dyDescent="0.25">
      <c r="B1323">
        <f>436+2*(Table146[[#This Row],[min value (corrected)]])</f>
        <v>438</v>
      </c>
      <c r="C1323">
        <f>MINUTE(Table146[[#This Row],[Corrected time]])</f>
        <v>1</v>
      </c>
      <c r="D1323" s="1">
        <v>0.50091960648148148</v>
      </c>
      <c r="E1323" s="1">
        <f>Table146[[#This Row],[Time]]-TIME(0,0,1)</f>
        <v>0.50090803240740744</v>
      </c>
      <c r="F1323" t="s">
        <v>9</v>
      </c>
      <c r="G1323">
        <v>-123</v>
      </c>
      <c r="H1323">
        <f>Table146[[#This Row],[RSSI]]</f>
        <v>-123</v>
      </c>
      <c r="I1323">
        <v>-9</v>
      </c>
      <c r="L1323">
        <f>390+2*(Table257[[#This Row],[min value (corrected)]]-27)</f>
        <v>438</v>
      </c>
      <c r="M1323">
        <f>MINUTE(Table257[[#This Row],[Corrected time]])</f>
        <v>51</v>
      </c>
      <c r="N1323" s="1">
        <v>0.53555156250000002</v>
      </c>
      <c r="O1323" s="1">
        <f>Table257[[#This Row],[Time]]-TIME(0,0,3)</f>
        <v>0.53551684027777779</v>
      </c>
      <c r="P1323" t="s">
        <v>13</v>
      </c>
      <c r="Q1323">
        <f t="shared" si="179"/>
        <v>-122</v>
      </c>
      <c r="R1323">
        <f>Table257[[#This Row],[RSSI]]</f>
        <v>-122</v>
      </c>
      <c r="S1323">
        <f t="shared" si="180"/>
        <v>-8.5</v>
      </c>
    </row>
    <row r="1324" spans="2:19" x14ac:dyDescent="0.25">
      <c r="B1324">
        <f>436+2*(Table146[[#This Row],[min value (corrected)]])</f>
        <v>438</v>
      </c>
      <c r="C1324">
        <f>MINUTE(Table146[[#This Row],[Corrected time]])</f>
        <v>1</v>
      </c>
      <c r="D1324" s="1">
        <v>0.50093266203703701</v>
      </c>
      <c r="E1324" s="1">
        <f>Table146[[#This Row],[Time]]-TIME(0,0,1)</f>
        <v>0.50092108796296297</v>
      </c>
      <c r="F1324" t="s">
        <v>9</v>
      </c>
      <c r="G1324">
        <v>-122</v>
      </c>
      <c r="H1324">
        <f>Table146[[#This Row],[RSSI]]</f>
        <v>-122</v>
      </c>
      <c r="I1324">
        <v>-8.8000000000000007</v>
      </c>
      <c r="L1324">
        <f>390+2*(Table257[[#This Row],[min value (corrected)]]-27)</f>
        <v>438</v>
      </c>
      <c r="M1324">
        <f>MINUTE(Table257[[#This Row],[Corrected time]])</f>
        <v>51</v>
      </c>
      <c r="N1324" s="1">
        <v>0.53556459490740749</v>
      </c>
      <c r="O1324" s="1">
        <f>Table257[[#This Row],[Time]]-TIME(0,0,3)</f>
        <v>0.53552987268518526</v>
      </c>
      <c r="P1324" t="s">
        <v>9</v>
      </c>
      <c r="Q1324">
        <v>-123</v>
      </c>
      <c r="R1324">
        <f>Table257[[#This Row],[RSSI]]</f>
        <v>-123</v>
      </c>
      <c r="S1324">
        <v>-9</v>
      </c>
    </row>
    <row r="1325" spans="2:19" x14ac:dyDescent="0.25">
      <c r="B1325">
        <f>436+2*(Table146[[#This Row],[min value (corrected)]])</f>
        <v>438</v>
      </c>
      <c r="C1325">
        <f>MINUTE(Table146[[#This Row],[Corrected time]])</f>
        <v>1</v>
      </c>
      <c r="D1325" s="1">
        <v>0.50094569444444448</v>
      </c>
      <c r="E1325" s="1">
        <f>Table146[[#This Row],[Time]]-TIME(0,0,1)</f>
        <v>0.50093412037037044</v>
      </c>
      <c r="F1325" t="s">
        <v>9</v>
      </c>
      <c r="G1325">
        <v>-122</v>
      </c>
      <c r="H1325">
        <f>Table146[[#This Row],[RSSI]]</f>
        <v>-122</v>
      </c>
      <c r="I1325">
        <v>-8.5</v>
      </c>
      <c r="L1325">
        <f>390+2*(Table257[[#This Row],[min value (corrected)]]-27)</f>
        <v>438</v>
      </c>
      <c r="M1325">
        <f>MINUTE(Table257[[#This Row],[Corrected time]])</f>
        <v>51</v>
      </c>
      <c r="N1325" s="1">
        <v>0.53557762731481484</v>
      </c>
      <c r="O1325" s="1">
        <f>Table257[[#This Row],[Time]]-TIME(0,0,3)</f>
        <v>0.53554290509259261</v>
      </c>
      <c r="P1325" t="s">
        <v>9</v>
      </c>
      <c r="Q1325">
        <v>-122</v>
      </c>
      <c r="R1325">
        <f>Table257[[#This Row],[RSSI]]</f>
        <v>-122</v>
      </c>
      <c r="S1325">
        <v>-8.5</v>
      </c>
    </row>
    <row r="1326" spans="2:19" x14ac:dyDescent="0.25">
      <c r="B1326">
        <f>436+2*(Table146[[#This Row],[min value (corrected)]])</f>
        <v>438</v>
      </c>
      <c r="C1326">
        <f>MINUTE(Table146[[#This Row],[Corrected time]])</f>
        <v>1</v>
      </c>
      <c r="D1326" s="1">
        <v>0.50095872685185183</v>
      </c>
      <c r="E1326" s="1">
        <f>Table146[[#This Row],[Time]]-TIME(0,0,1)</f>
        <v>0.50094715277777779</v>
      </c>
      <c r="F1326" t="s">
        <v>9</v>
      </c>
      <c r="G1326">
        <v>-122</v>
      </c>
      <c r="H1326">
        <f>Table146[[#This Row],[RSSI]]</f>
        <v>-122</v>
      </c>
      <c r="I1326">
        <v>-8</v>
      </c>
      <c r="L1326">
        <f>390+2*(Table257[[#This Row],[min value (corrected)]]-27)</f>
        <v>438</v>
      </c>
      <c r="M1326">
        <f>MINUTE(Table257[[#This Row],[Corrected time]])</f>
        <v>51</v>
      </c>
      <c r="N1326" s="1">
        <v>0.53559065972222231</v>
      </c>
      <c r="O1326" s="1">
        <f>Table257[[#This Row],[Time]]-TIME(0,0,3)</f>
        <v>0.53555593750000008</v>
      </c>
      <c r="P1326" t="s">
        <v>9</v>
      </c>
      <c r="Q1326">
        <v>-122</v>
      </c>
      <c r="R1326">
        <f>Table257[[#This Row],[RSSI]]</f>
        <v>-122</v>
      </c>
      <c r="S1326">
        <v>-8.5</v>
      </c>
    </row>
    <row r="1327" spans="2:19" x14ac:dyDescent="0.25">
      <c r="B1327">
        <f>436+2*(Table146[[#This Row],[min value (corrected)]])</f>
        <v>438</v>
      </c>
      <c r="C1327">
        <f>MINUTE(Table146[[#This Row],[Corrected time]])</f>
        <v>1</v>
      </c>
      <c r="D1327" s="1">
        <v>0.50097174768518526</v>
      </c>
      <c r="E1327" s="1">
        <f>Table146[[#This Row],[Time]]-TIME(0,0,1)</f>
        <v>0.50096017361111123</v>
      </c>
      <c r="F1327" t="s">
        <v>9</v>
      </c>
      <c r="G1327">
        <v>-122</v>
      </c>
      <c r="H1327">
        <f>Table146[[#This Row],[RSSI]]</f>
        <v>-122</v>
      </c>
      <c r="I1327">
        <v>-8.8000000000000007</v>
      </c>
      <c r="L1327">
        <f>390+2*(Table257[[#This Row],[min value (corrected)]]-27)</f>
        <v>438</v>
      </c>
      <c r="M1327">
        <f>MINUTE(Table257[[#This Row],[Corrected time]])</f>
        <v>51</v>
      </c>
      <c r="N1327" s="1">
        <v>0.53560369212962966</v>
      </c>
      <c r="O1327" s="1">
        <f>Table257[[#This Row],[Time]]-TIME(0,0,3)</f>
        <v>0.53556896990740743</v>
      </c>
      <c r="P1327" t="s">
        <v>9</v>
      </c>
      <c r="Q1327">
        <v>-122</v>
      </c>
      <c r="R1327">
        <f>Table257[[#This Row],[RSSI]]</f>
        <v>-122</v>
      </c>
      <c r="S1327">
        <v>-8.3000000000000007</v>
      </c>
    </row>
    <row r="1328" spans="2:19" x14ac:dyDescent="0.25">
      <c r="B1328">
        <f>436+2*(Table146[[#This Row],[min value (corrected)]])</f>
        <v>438</v>
      </c>
      <c r="C1328">
        <f>MINUTE(Table146[[#This Row],[Corrected time]])</f>
        <v>1</v>
      </c>
      <c r="D1328" s="1">
        <v>0.50098479166666665</v>
      </c>
      <c r="E1328" s="1">
        <f>Table146[[#This Row],[Time]]-TIME(0,0,1)</f>
        <v>0.50097321759259261</v>
      </c>
      <c r="F1328" t="s">
        <v>9</v>
      </c>
      <c r="G1328">
        <v>-123</v>
      </c>
      <c r="H1328">
        <f>Table146[[#This Row],[RSSI]]</f>
        <v>-123</v>
      </c>
      <c r="I1328">
        <v>-8.8000000000000007</v>
      </c>
      <c r="L1328">
        <f>390+2*(Table257[[#This Row],[min value (corrected)]]-27)</f>
        <v>438</v>
      </c>
      <c r="M1328">
        <f>MINUTE(Table257[[#This Row],[Corrected time]])</f>
        <v>51</v>
      </c>
      <c r="N1328" s="1">
        <v>0.53561672453703713</v>
      </c>
      <c r="O1328" s="1">
        <f>Table257[[#This Row],[Time]]-TIME(0,0,3)</f>
        <v>0.5355820023148149</v>
      </c>
      <c r="P1328" t="s">
        <v>9</v>
      </c>
      <c r="Q1328">
        <v>-123</v>
      </c>
      <c r="R1328">
        <f>Table257[[#This Row],[RSSI]]</f>
        <v>-123</v>
      </c>
      <c r="S1328">
        <v>-9.3000000000000007</v>
      </c>
    </row>
    <row r="1329" spans="2:19" x14ac:dyDescent="0.25">
      <c r="B1329">
        <f>436+2*(Table146[[#This Row],[min value (corrected)]])</f>
        <v>438</v>
      </c>
      <c r="C1329">
        <f>MINUTE(Table146[[#This Row],[Corrected time]])</f>
        <v>1</v>
      </c>
      <c r="D1329" s="1">
        <v>0.50099782407407412</v>
      </c>
      <c r="E1329" s="1">
        <f>Table146[[#This Row],[Time]]-TIME(0,0,1)</f>
        <v>0.50098625000000008</v>
      </c>
      <c r="F1329" t="s">
        <v>13</v>
      </c>
      <c r="G1329">
        <f>G1328</f>
        <v>-123</v>
      </c>
      <c r="H1329">
        <f>Table146[[#This Row],[RSSI]]</f>
        <v>-123</v>
      </c>
      <c r="I1329">
        <f>I1328</f>
        <v>-8.8000000000000007</v>
      </c>
      <c r="L1329">
        <f>390+2*(Table257[[#This Row],[min value (corrected)]]-27)</f>
        <v>438</v>
      </c>
      <c r="M1329">
        <f>MINUTE(Table257[[#This Row],[Corrected time]])</f>
        <v>51</v>
      </c>
      <c r="N1329" s="1">
        <v>0.53562975694444448</v>
      </c>
      <c r="O1329" s="1">
        <f>Table257[[#This Row],[Time]]-TIME(0,0,3)</f>
        <v>0.53559503472222225</v>
      </c>
      <c r="P1329" t="s">
        <v>9</v>
      </c>
      <c r="Q1329">
        <v>-121</v>
      </c>
      <c r="R1329">
        <f>Table257[[#This Row],[RSSI]]</f>
        <v>-121</v>
      </c>
      <c r="S1329">
        <v>-7.7</v>
      </c>
    </row>
    <row r="1330" spans="2:19" x14ac:dyDescent="0.25">
      <c r="B1330">
        <f>436+2*(Table146[[#This Row],[min value (corrected)]])</f>
        <v>438</v>
      </c>
      <c r="C1330">
        <f>MINUTE(Table146[[#This Row],[Corrected time]])</f>
        <v>1</v>
      </c>
      <c r="D1330" s="1">
        <v>0.50101085648148147</v>
      </c>
      <c r="E1330" s="1">
        <f>Table146[[#This Row],[Time]]-TIME(0,0,1)</f>
        <v>0.50099928240740743</v>
      </c>
      <c r="F1330" t="s">
        <v>9</v>
      </c>
      <c r="G1330">
        <v>-122</v>
      </c>
      <c r="H1330">
        <f>Table146[[#This Row],[RSSI]]</f>
        <v>-122</v>
      </c>
      <c r="I1330">
        <v>-8.3000000000000007</v>
      </c>
      <c r="L1330">
        <f>390+2*(Table257[[#This Row],[min value (corrected)]]-27)</f>
        <v>438</v>
      </c>
      <c r="M1330">
        <f>MINUTE(Table257[[#This Row],[Corrected time]])</f>
        <v>51</v>
      </c>
      <c r="N1330" s="1">
        <v>0.53564278935185183</v>
      </c>
      <c r="O1330" s="1">
        <f>Table257[[#This Row],[Time]]-TIME(0,0,3)</f>
        <v>0.53560806712962961</v>
      </c>
      <c r="P1330" t="s">
        <v>9</v>
      </c>
      <c r="Q1330">
        <v>-122</v>
      </c>
      <c r="R1330">
        <f>Table257[[#This Row],[RSSI]]</f>
        <v>-122</v>
      </c>
      <c r="S1330">
        <v>-8.5</v>
      </c>
    </row>
    <row r="1331" spans="2:19" x14ac:dyDescent="0.25">
      <c r="B1331">
        <f>436+2*(Table146[[#This Row],[min value (corrected)]])</f>
        <v>438</v>
      </c>
      <c r="C1331">
        <f>MINUTE(Table146[[#This Row],[Corrected time]])</f>
        <v>1</v>
      </c>
      <c r="D1331" s="1">
        <v>0.5010238773148149</v>
      </c>
      <c r="E1331" s="1">
        <f>Table146[[#This Row],[Time]]-TIME(0,0,1)</f>
        <v>0.50101230324074086</v>
      </c>
      <c r="F1331" t="s">
        <v>9</v>
      </c>
      <c r="G1331">
        <v>-123</v>
      </c>
      <c r="H1331">
        <f>Table146[[#This Row],[RSSI]]</f>
        <v>-123</v>
      </c>
      <c r="I1331">
        <v>-9</v>
      </c>
      <c r="L1331">
        <f>390+2*(Table257[[#This Row],[min value (corrected)]]-27)</f>
        <v>438</v>
      </c>
      <c r="M1331">
        <f>MINUTE(Table257[[#This Row],[Corrected time]])</f>
        <v>51</v>
      </c>
      <c r="N1331" s="1">
        <v>0.5356558217592593</v>
      </c>
      <c r="O1331" s="1">
        <f>Table257[[#This Row],[Time]]-TIME(0,0,3)</f>
        <v>0.53562109953703707</v>
      </c>
      <c r="P1331" t="s">
        <v>9</v>
      </c>
      <c r="Q1331">
        <v>-122</v>
      </c>
      <c r="R1331">
        <f>Table257[[#This Row],[RSSI]]</f>
        <v>-122</v>
      </c>
      <c r="S1331">
        <v>-8.3000000000000007</v>
      </c>
    </row>
    <row r="1332" spans="2:19" x14ac:dyDescent="0.25">
      <c r="B1332">
        <f>436+2*(Table146[[#This Row],[min value (corrected)]])</f>
        <v>438</v>
      </c>
      <c r="C1332">
        <f>MINUTE(Table146[[#This Row],[Corrected time]])</f>
        <v>1</v>
      </c>
      <c r="D1332" s="1">
        <v>0.50103689814814822</v>
      </c>
      <c r="E1332" s="1">
        <f>Table146[[#This Row],[Time]]-TIME(0,0,1)</f>
        <v>0.50102532407407419</v>
      </c>
      <c r="F1332" t="s">
        <v>9</v>
      </c>
      <c r="G1332">
        <v>-122</v>
      </c>
      <c r="H1332">
        <f>Table146[[#This Row],[RSSI]]</f>
        <v>-122</v>
      </c>
      <c r="I1332">
        <v>-8.8000000000000007</v>
      </c>
      <c r="L1332">
        <f>390+2*(Table257[[#This Row],[min value (corrected)]]-27)</f>
        <v>438</v>
      </c>
      <c r="M1332">
        <f>MINUTE(Table257[[#This Row],[Corrected time]])</f>
        <v>51</v>
      </c>
      <c r="N1332" s="1">
        <v>0.53566885416666665</v>
      </c>
      <c r="O1332" s="1">
        <f>Table257[[#This Row],[Time]]-TIME(0,0,3)</f>
        <v>0.53563413194444442</v>
      </c>
      <c r="P1332" t="s">
        <v>9</v>
      </c>
      <c r="Q1332">
        <v>-121</v>
      </c>
      <c r="R1332">
        <f>Table257[[#This Row],[RSSI]]</f>
        <v>-121</v>
      </c>
      <c r="S1332">
        <v>-7.7</v>
      </c>
    </row>
    <row r="1333" spans="2:19" x14ac:dyDescent="0.25">
      <c r="B1333">
        <f>436+2*(Table146[[#This Row],[min value (corrected)]])</f>
        <v>438</v>
      </c>
      <c r="C1333">
        <f>MINUTE(Table146[[#This Row],[Corrected time]])</f>
        <v>1</v>
      </c>
      <c r="D1333" s="1">
        <v>0.50104993055555558</v>
      </c>
      <c r="E1333" s="1">
        <f>Table146[[#This Row],[Time]]-TIME(0,0,1)</f>
        <v>0.50103835648148154</v>
      </c>
      <c r="F1333" t="s">
        <v>9</v>
      </c>
      <c r="G1333">
        <v>-122</v>
      </c>
      <c r="H1333">
        <f>Table146[[#This Row],[RSSI]]</f>
        <v>-122</v>
      </c>
      <c r="I1333">
        <v>-8.5</v>
      </c>
      <c r="L1333">
        <f>390+2*(Table257[[#This Row],[min value (corrected)]]-27)</f>
        <v>438</v>
      </c>
      <c r="M1333">
        <f>MINUTE(Table257[[#This Row],[Corrected time]])</f>
        <v>51</v>
      </c>
      <c r="N1333" s="1">
        <v>0.53568188657407412</v>
      </c>
      <c r="O1333" s="1">
        <f>Table257[[#This Row],[Time]]-TIME(0,0,3)</f>
        <v>0.53564716435185189</v>
      </c>
      <c r="P1333" t="s">
        <v>9</v>
      </c>
      <c r="Q1333">
        <v>-122</v>
      </c>
      <c r="R1333">
        <f>Table257[[#This Row],[RSSI]]</f>
        <v>-122</v>
      </c>
      <c r="S1333">
        <v>-8.5</v>
      </c>
    </row>
    <row r="1334" spans="2:19" x14ac:dyDescent="0.25">
      <c r="B1334">
        <f>436+2*(Table146[[#This Row],[min value (corrected)]])</f>
        <v>438</v>
      </c>
      <c r="C1334">
        <f>MINUTE(Table146[[#This Row],[Corrected time]])</f>
        <v>1</v>
      </c>
      <c r="D1334" s="1">
        <v>0.50106298611111111</v>
      </c>
      <c r="E1334" s="1">
        <f>Table146[[#This Row],[Time]]-TIME(0,0,1)</f>
        <v>0.50105141203703707</v>
      </c>
      <c r="F1334" t="s">
        <v>9</v>
      </c>
      <c r="G1334">
        <v>-122</v>
      </c>
      <c r="H1334">
        <f>Table146[[#This Row],[RSSI]]</f>
        <v>-122</v>
      </c>
      <c r="I1334">
        <v>-9.3000000000000007</v>
      </c>
      <c r="L1334">
        <f>390+2*(Table257[[#This Row],[min value (corrected)]]-27)</f>
        <v>438</v>
      </c>
      <c r="M1334">
        <f>MINUTE(Table257[[#This Row],[Corrected time]])</f>
        <v>51</v>
      </c>
      <c r="N1334" s="1">
        <v>0.53569491898148147</v>
      </c>
      <c r="O1334" s="1">
        <f>Table257[[#This Row],[Time]]-TIME(0,0,3)</f>
        <v>0.53566019675925924</v>
      </c>
      <c r="P1334" t="s">
        <v>9</v>
      </c>
      <c r="Q1334">
        <v>-122</v>
      </c>
      <c r="R1334">
        <f>Table257[[#This Row],[RSSI]]</f>
        <v>-122</v>
      </c>
      <c r="S1334">
        <v>-8.5</v>
      </c>
    </row>
    <row r="1335" spans="2:19" x14ac:dyDescent="0.25">
      <c r="B1335">
        <f>436+2*(Table146[[#This Row],[min value (corrected)]])</f>
        <v>438</v>
      </c>
      <c r="C1335">
        <f>MINUTE(Table146[[#This Row],[Corrected time]])</f>
        <v>1</v>
      </c>
      <c r="D1335" s="1">
        <v>0.50107601851851857</v>
      </c>
      <c r="E1335" s="1">
        <f>Table146[[#This Row],[Time]]-TIME(0,0,1)</f>
        <v>0.50106444444444453</v>
      </c>
      <c r="F1335" t="s">
        <v>13</v>
      </c>
      <c r="G1335">
        <f>G1334</f>
        <v>-122</v>
      </c>
      <c r="H1335">
        <f>Table146[[#This Row],[RSSI]]</f>
        <v>-122</v>
      </c>
      <c r="I1335">
        <f>I1334</f>
        <v>-9.3000000000000007</v>
      </c>
      <c r="L1335">
        <f>390+2*(Table257[[#This Row],[min value (corrected)]]-27)</f>
        <v>438</v>
      </c>
      <c r="M1335">
        <f>MINUTE(Table257[[#This Row],[Corrected time]])</f>
        <v>51</v>
      </c>
      <c r="N1335" s="1">
        <v>0.53570795138888894</v>
      </c>
      <c r="O1335" s="1">
        <f>Table257[[#This Row],[Time]]-TIME(0,0,3)</f>
        <v>0.53567322916666671</v>
      </c>
      <c r="P1335" t="s">
        <v>13</v>
      </c>
      <c r="Q1335">
        <f>Q1334</f>
        <v>-122</v>
      </c>
      <c r="R1335">
        <f>Table257[[#This Row],[RSSI]]</f>
        <v>-122</v>
      </c>
      <c r="S1335">
        <f>S1334</f>
        <v>-8.5</v>
      </c>
    </row>
    <row r="1336" spans="2:19" x14ac:dyDescent="0.25">
      <c r="B1336">
        <f>436+2*(Table146[[#This Row],[min value (corrected)]])</f>
        <v>438</v>
      </c>
      <c r="C1336">
        <f>MINUTE(Table146[[#This Row],[Corrected time]])</f>
        <v>1</v>
      </c>
      <c r="D1336" s="1">
        <v>0.50108903935185189</v>
      </c>
      <c r="E1336" s="1">
        <f>Table146[[#This Row],[Time]]-TIME(0,0,1)</f>
        <v>0.50107746527777786</v>
      </c>
      <c r="F1336" t="s">
        <v>9</v>
      </c>
      <c r="G1336">
        <v>-123</v>
      </c>
      <c r="H1336">
        <f>Table146[[#This Row],[RSSI]]</f>
        <v>-123</v>
      </c>
      <c r="I1336">
        <v>-9</v>
      </c>
      <c r="L1336">
        <f>390+2*(Table257[[#This Row],[min value (corrected)]]-27)</f>
        <v>438</v>
      </c>
      <c r="M1336">
        <f>MINUTE(Table257[[#This Row],[Corrected time]])</f>
        <v>51</v>
      </c>
      <c r="N1336" s="1">
        <v>0.53572098379629629</v>
      </c>
      <c r="O1336" s="1">
        <f>Table257[[#This Row],[Time]]-TIME(0,0,3)</f>
        <v>0.53568626157407406</v>
      </c>
      <c r="P1336" t="s">
        <v>9</v>
      </c>
      <c r="Q1336">
        <v>-122</v>
      </c>
      <c r="R1336">
        <f>Table257[[#This Row],[RSSI]]</f>
        <v>-122</v>
      </c>
      <c r="S1336">
        <v>-8.3000000000000007</v>
      </c>
    </row>
    <row r="1337" spans="2:19" x14ac:dyDescent="0.25">
      <c r="B1337">
        <f>436+2*(Table146[[#This Row],[min value (corrected)]])</f>
        <v>438</v>
      </c>
      <c r="C1337">
        <f>MINUTE(Table146[[#This Row],[Corrected time]])</f>
        <v>1</v>
      </c>
      <c r="D1337" s="1">
        <v>0.50110208333333339</v>
      </c>
      <c r="E1337" s="1">
        <f>Table146[[#This Row],[Time]]-TIME(0,0,1)</f>
        <v>0.50109050925925935</v>
      </c>
      <c r="F1337" t="s">
        <v>13</v>
      </c>
      <c r="G1337">
        <f>G1336</f>
        <v>-123</v>
      </c>
      <c r="H1337">
        <f>Table146[[#This Row],[RSSI]]</f>
        <v>-123</v>
      </c>
      <c r="I1337">
        <f>I1336</f>
        <v>-9</v>
      </c>
      <c r="L1337">
        <f>390+2*(Table257[[#This Row],[min value (corrected)]]-27)</f>
        <v>438</v>
      </c>
      <c r="M1337">
        <f>MINUTE(Table257[[#This Row],[Corrected time]])</f>
        <v>51</v>
      </c>
      <c r="N1337" s="1">
        <v>0.53573401620370376</v>
      </c>
      <c r="O1337" s="1">
        <f>Table257[[#This Row],[Time]]-TIME(0,0,3)</f>
        <v>0.53569929398148153</v>
      </c>
      <c r="P1337" t="s">
        <v>9</v>
      </c>
      <c r="Q1337">
        <v>-121</v>
      </c>
      <c r="R1337">
        <f>Table257[[#This Row],[RSSI]]</f>
        <v>-121</v>
      </c>
      <c r="S1337">
        <v>-8</v>
      </c>
    </row>
    <row r="1338" spans="2:19" x14ac:dyDescent="0.25">
      <c r="B1338">
        <f>436+2*(Table146[[#This Row],[min value (corrected)]])</f>
        <v>438</v>
      </c>
      <c r="C1338">
        <f>MINUTE(Table146[[#This Row],[Corrected time]])</f>
        <v>1</v>
      </c>
      <c r="D1338" s="1">
        <v>0.50111511574074075</v>
      </c>
      <c r="E1338" s="1">
        <f>Table146[[#This Row],[Time]]-TIME(0,0,1)</f>
        <v>0.50110354166666671</v>
      </c>
      <c r="F1338" t="s">
        <v>9</v>
      </c>
      <c r="G1338">
        <v>-123</v>
      </c>
      <c r="H1338">
        <f>Table146[[#This Row],[RSSI]]</f>
        <v>-123</v>
      </c>
      <c r="I1338">
        <v>-10</v>
      </c>
      <c r="L1338">
        <f>390+2*(Table257[[#This Row],[min value (corrected)]]-27)</f>
        <v>438</v>
      </c>
      <c r="M1338">
        <f>MINUTE(Table257[[#This Row],[Corrected time]])</f>
        <v>51</v>
      </c>
      <c r="N1338" s="1">
        <v>0.53574704861111111</v>
      </c>
      <c r="O1338" s="1">
        <f>Table257[[#This Row],[Time]]-TIME(0,0,3)</f>
        <v>0.53571232638888888</v>
      </c>
      <c r="P1338" t="s">
        <v>9</v>
      </c>
      <c r="Q1338">
        <v>-122</v>
      </c>
      <c r="R1338">
        <f>Table257[[#This Row],[RSSI]]</f>
        <v>-122</v>
      </c>
      <c r="S1338">
        <v>-8.3000000000000007</v>
      </c>
    </row>
    <row r="1339" spans="2:19" x14ac:dyDescent="0.25">
      <c r="B1339">
        <f>436+2*(Table146[[#This Row],[min value (corrected)]])</f>
        <v>438</v>
      </c>
      <c r="C1339">
        <f>MINUTE(Table146[[#This Row],[Corrected time]])</f>
        <v>1</v>
      </c>
      <c r="D1339" s="1">
        <v>0.50112814814814821</v>
      </c>
      <c r="E1339" s="1">
        <f>Table146[[#This Row],[Time]]-TIME(0,0,1)</f>
        <v>0.50111657407407417</v>
      </c>
      <c r="F1339" t="s">
        <v>9</v>
      </c>
      <c r="G1339">
        <v>-123</v>
      </c>
      <c r="H1339">
        <f>Table146[[#This Row],[RSSI]]</f>
        <v>-123</v>
      </c>
      <c r="I1339">
        <v>-9.5</v>
      </c>
      <c r="L1339">
        <f>390+2*(Table257[[#This Row],[min value (corrected)]]-27)</f>
        <v>438</v>
      </c>
      <c r="M1339">
        <f>MINUTE(Table257[[#This Row],[Corrected time]])</f>
        <v>51</v>
      </c>
      <c r="N1339" s="1">
        <v>0.53576008101851857</v>
      </c>
      <c r="O1339" s="1">
        <f>Table257[[#This Row],[Time]]-TIME(0,0,3)</f>
        <v>0.53572535879629635</v>
      </c>
      <c r="P1339" t="s">
        <v>9</v>
      </c>
      <c r="Q1339">
        <v>-122</v>
      </c>
      <c r="R1339">
        <f>Table257[[#This Row],[RSSI]]</f>
        <v>-122</v>
      </c>
      <c r="S1339">
        <v>-8.8000000000000007</v>
      </c>
    </row>
    <row r="1340" spans="2:19" x14ac:dyDescent="0.25">
      <c r="B1340">
        <f>436+2*(Table146[[#This Row],[min value (corrected)]])</f>
        <v>438</v>
      </c>
      <c r="C1340">
        <f>MINUTE(Table146[[#This Row],[Corrected time]])</f>
        <v>1</v>
      </c>
      <c r="D1340" s="1">
        <v>0.50114118055555557</v>
      </c>
      <c r="E1340" s="1">
        <f>Table146[[#This Row],[Time]]-TIME(0,0,1)</f>
        <v>0.50112960648148153</v>
      </c>
      <c r="F1340" t="s">
        <v>9</v>
      </c>
      <c r="G1340">
        <v>-122</v>
      </c>
      <c r="H1340">
        <f>Table146[[#This Row],[RSSI]]</f>
        <v>-122</v>
      </c>
      <c r="I1340">
        <v>-8.8000000000000007</v>
      </c>
      <c r="L1340">
        <f>390+2*(Table257[[#This Row],[min value (corrected)]]-27)</f>
        <v>438</v>
      </c>
      <c r="M1340">
        <f>MINUTE(Table257[[#This Row],[Corrected time]])</f>
        <v>51</v>
      </c>
      <c r="N1340" s="1">
        <v>0.53577311342592593</v>
      </c>
      <c r="O1340" s="1">
        <f>Table257[[#This Row],[Time]]-TIME(0,0,3)</f>
        <v>0.5357383912037037</v>
      </c>
      <c r="P1340" t="s">
        <v>9</v>
      </c>
      <c r="Q1340">
        <v>-122</v>
      </c>
      <c r="R1340">
        <f>Table257[[#This Row],[RSSI]]</f>
        <v>-122</v>
      </c>
      <c r="S1340">
        <v>-8.3000000000000007</v>
      </c>
    </row>
    <row r="1341" spans="2:19" x14ac:dyDescent="0.25">
      <c r="B1341">
        <f>436+2*(Table146[[#This Row],[min value (corrected)]])</f>
        <v>438</v>
      </c>
      <c r="C1341">
        <f>MINUTE(Table146[[#This Row],[Corrected time]])</f>
        <v>1</v>
      </c>
      <c r="D1341" s="1">
        <v>0.50115421296296303</v>
      </c>
      <c r="E1341" s="1">
        <f>Table146[[#This Row],[Time]]-TIME(0,0,1)</f>
        <v>0.50114263888888899</v>
      </c>
      <c r="F1341" t="s">
        <v>13</v>
      </c>
      <c r="G1341">
        <f>G1340</f>
        <v>-122</v>
      </c>
      <c r="H1341">
        <f>Table146[[#This Row],[RSSI]]</f>
        <v>-122</v>
      </c>
      <c r="I1341">
        <f>I1340</f>
        <v>-8.8000000000000007</v>
      </c>
      <c r="L1341">
        <f>390+2*(Table257[[#This Row],[min value (corrected)]]-27)</f>
        <v>438</v>
      </c>
      <c r="M1341">
        <f>MINUTE(Table257[[#This Row],[Corrected time]])</f>
        <v>51</v>
      </c>
      <c r="N1341" s="1">
        <v>0.53578614583333339</v>
      </c>
      <c r="O1341" s="1">
        <f>Table257[[#This Row],[Time]]-TIME(0,0,3)</f>
        <v>0.53575142361111117</v>
      </c>
      <c r="P1341" t="s">
        <v>9</v>
      </c>
      <c r="Q1341">
        <v>-122</v>
      </c>
      <c r="R1341">
        <f>Table257[[#This Row],[RSSI]]</f>
        <v>-122</v>
      </c>
      <c r="S1341">
        <v>-9</v>
      </c>
    </row>
    <row r="1342" spans="2:19" x14ac:dyDescent="0.25">
      <c r="B1342">
        <f>436+2*(Table146[[#This Row],[min value (corrected)]])</f>
        <v>438</v>
      </c>
      <c r="C1342">
        <f>MINUTE(Table146[[#This Row],[Corrected time]])</f>
        <v>1</v>
      </c>
      <c r="D1342" s="1">
        <v>0.50116724537037038</v>
      </c>
      <c r="E1342" s="1">
        <f>Table146[[#This Row],[Time]]-TIME(0,0,1)</f>
        <v>0.50115567129629635</v>
      </c>
      <c r="F1342" t="s">
        <v>9</v>
      </c>
      <c r="G1342">
        <v>-122</v>
      </c>
      <c r="H1342">
        <f>Table146[[#This Row],[RSSI]]</f>
        <v>-122</v>
      </c>
      <c r="I1342">
        <v>-8.8000000000000007</v>
      </c>
      <c r="L1342">
        <f>390+2*(Table257[[#This Row],[min value (corrected)]]-27)</f>
        <v>438</v>
      </c>
      <c r="M1342">
        <f>MINUTE(Table257[[#This Row],[Corrected time]])</f>
        <v>51</v>
      </c>
      <c r="N1342" s="1">
        <v>0.53579917824074075</v>
      </c>
      <c r="O1342" s="1">
        <f>Table257[[#This Row],[Time]]-TIME(0,0,3)</f>
        <v>0.53576445601851852</v>
      </c>
      <c r="P1342" t="s">
        <v>9</v>
      </c>
      <c r="Q1342">
        <v>-122</v>
      </c>
      <c r="R1342">
        <f>Table257[[#This Row],[RSSI]]</f>
        <v>-122</v>
      </c>
      <c r="S1342">
        <v>-8.8000000000000007</v>
      </c>
    </row>
    <row r="1343" spans="2:19" x14ac:dyDescent="0.25">
      <c r="B1343">
        <f>436+2*(Table146[[#This Row],[min value (corrected)]])</f>
        <v>438</v>
      </c>
      <c r="C1343">
        <f>MINUTE(Table146[[#This Row],[Corrected time]])</f>
        <v>1</v>
      </c>
      <c r="D1343" s="1">
        <v>0.50118027777777785</v>
      </c>
      <c r="E1343" s="1">
        <f>Table146[[#This Row],[Time]]-TIME(0,0,1)</f>
        <v>0.50116870370370381</v>
      </c>
      <c r="F1343" t="s">
        <v>13</v>
      </c>
      <c r="G1343">
        <f>G1342</f>
        <v>-122</v>
      </c>
      <c r="H1343">
        <f>Table146[[#This Row],[RSSI]]</f>
        <v>-122</v>
      </c>
      <c r="I1343">
        <f>I1342</f>
        <v>-8.8000000000000007</v>
      </c>
      <c r="L1343">
        <f>390+2*(Table257[[#This Row],[min value (corrected)]]-27)</f>
        <v>438</v>
      </c>
      <c r="M1343">
        <f>MINUTE(Table257[[#This Row],[Corrected time]])</f>
        <v>51</v>
      </c>
      <c r="N1343" s="1">
        <v>0.53581221064814821</v>
      </c>
      <c r="O1343" s="1">
        <f>Table257[[#This Row],[Time]]-TIME(0,0,3)</f>
        <v>0.53577748842592599</v>
      </c>
      <c r="P1343" t="s">
        <v>9</v>
      </c>
      <c r="Q1343">
        <v>-122</v>
      </c>
      <c r="R1343">
        <f>Table257[[#This Row],[RSSI]]</f>
        <v>-122</v>
      </c>
      <c r="S1343">
        <v>-8.8000000000000007</v>
      </c>
    </row>
    <row r="1344" spans="2:19" x14ac:dyDescent="0.25">
      <c r="B1344">
        <f>436+2*(Table146[[#This Row],[min value (corrected)]])</f>
        <v>438</v>
      </c>
      <c r="C1344">
        <f>MINUTE(Table146[[#This Row],[Corrected time]])</f>
        <v>1</v>
      </c>
      <c r="D1344" s="1">
        <v>0.50119329861111117</v>
      </c>
      <c r="E1344" s="1">
        <f>Table146[[#This Row],[Time]]-TIME(0,0,1)</f>
        <v>0.50118172453703713</v>
      </c>
      <c r="F1344" t="s">
        <v>9</v>
      </c>
      <c r="G1344">
        <v>-122</v>
      </c>
      <c r="H1344">
        <f>Table146[[#This Row],[RSSI]]</f>
        <v>-122</v>
      </c>
      <c r="I1344">
        <v>-9</v>
      </c>
      <c r="L1344">
        <f>390+2*(Table257[[#This Row],[min value (corrected)]]-27)</f>
        <v>438</v>
      </c>
      <c r="M1344">
        <f>MINUTE(Table257[[#This Row],[Corrected time]])</f>
        <v>51</v>
      </c>
      <c r="N1344" s="1">
        <v>0.53582524305555557</v>
      </c>
      <c r="O1344" s="1">
        <f>Table257[[#This Row],[Time]]-TIME(0,0,3)</f>
        <v>0.53579052083333334</v>
      </c>
      <c r="P1344" t="s">
        <v>9</v>
      </c>
      <c r="Q1344">
        <v>-122</v>
      </c>
      <c r="R1344">
        <f>Table257[[#This Row],[RSSI]]</f>
        <v>-122</v>
      </c>
      <c r="S1344">
        <v>-8.8000000000000007</v>
      </c>
    </row>
    <row r="1345" spans="2:19" x14ac:dyDescent="0.25">
      <c r="B1345">
        <f>436+2*(Table146[[#This Row],[min value (corrected)]])</f>
        <v>438</v>
      </c>
      <c r="C1345">
        <f>MINUTE(Table146[[#This Row],[Corrected time]])</f>
        <v>1</v>
      </c>
      <c r="D1345" s="1">
        <v>0.50120633101851852</v>
      </c>
      <c r="E1345" s="1">
        <f>Table146[[#This Row],[Time]]-TIME(0,0,1)</f>
        <v>0.50119475694444449</v>
      </c>
      <c r="F1345" t="s">
        <v>9</v>
      </c>
      <c r="G1345">
        <v>-122</v>
      </c>
      <c r="H1345">
        <f>Table146[[#This Row],[RSSI]]</f>
        <v>-122</v>
      </c>
      <c r="I1345">
        <v>-8.3000000000000007</v>
      </c>
      <c r="L1345">
        <f>390+2*(Table257[[#This Row],[min value (corrected)]]-27)</f>
        <v>438</v>
      </c>
      <c r="M1345">
        <f>MINUTE(Table257[[#This Row],[Corrected time]])</f>
        <v>51</v>
      </c>
      <c r="N1345" s="1">
        <v>0.53583827546296303</v>
      </c>
      <c r="O1345" s="1">
        <f>Table257[[#This Row],[Time]]-TIME(0,0,3)</f>
        <v>0.5358035532407408</v>
      </c>
      <c r="P1345" t="s">
        <v>13</v>
      </c>
      <c r="Q1345">
        <f>Q1344</f>
        <v>-122</v>
      </c>
      <c r="R1345">
        <f>Table257[[#This Row],[RSSI]]</f>
        <v>-122</v>
      </c>
      <c r="S1345">
        <f>S1344</f>
        <v>-8.8000000000000007</v>
      </c>
    </row>
    <row r="1346" spans="2:19" x14ac:dyDescent="0.25">
      <c r="B1346">
        <f>436+2*(Table146[[#This Row],[min value (corrected)]])</f>
        <v>438</v>
      </c>
      <c r="C1346">
        <f>MINUTE(Table146[[#This Row],[Corrected time]])</f>
        <v>1</v>
      </c>
      <c r="D1346" s="1">
        <v>0.50121937500000002</v>
      </c>
      <c r="E1346" s="1">
        <f>Table146[[#This Row],[Time]]-TIME(0,0,1)</f>
        <v>0.50120780092592598</v>
      </c>
      <c r="F1346" t="s">
        <v>9</v>
      </c>
      <c r="G1346">
        <v>-122</v>
      </c>
      <c r="H1346">
        <f>Table146[[#This Row],[RSSI]]</f>
        <v>-122</v>
      </c>
      <c r="I1346">
        <v>-9</v>
      </c>
      <c r="L1346">
        <f>390+2*(Table257[[#This Row],[min value (corrected)]]-27)</f>
        <v>438</v>
      </c>
      <c r="M1346">
        <f>MINUTE(Table257[[#This Row],[Corrected time]])</f>
        <v>51</v>
      </c>
      <c r="N1346" s="1">
        <v>0.53585130787037039</v>
      </c>
      <c r="O1346" s="1">
        <f>Table257[[#This Row],[Time]]-TIME(0,0,3)</f>
        <v>0.53581658564814816</v>
      </c>
      <c r="P1346" t="s">
        <v>9</v>
      </c>
      <c r="Q1346">
        <v>-123</v>
      </c>
      <c r="R1346">
        <f>Table257[[#This Row],[RSSI]]</f>
        <v>-123</v>
      </c>
      <c r="S1346">
        <v>-9.3000000000000007</v>
      </c>
    </row>
    <row r="1347" spans="2:19" x14ac:dyDescent="0.25">
      <c r="B1347">
        <f>436+2*(Table146[[#This Row],[min value (corrected)]])</f>
        <v>438</v>
      </c>
      <c r="C1347">
        <f>MINUTE(Table146[[#This Row],[Corrected time]])</f>
        <v>1</v>
      </c>
      <c r="D1347" s="1">
        <v>0.50123240740740749</v>
      </c>
      <c r="E1347" s="1">
        <f>Table146[[#This Row],[Time]]-TIME(0,0,1)</f>
        <v>0.50122083333333345</v>
      </c>
      <c r="F1347" t="s">
        <v>9</v>
      </c>
      <c r="G1347">
        <v>-122</v>
      </c>
      <c r="H1347">
        <f>Table146[[#This Row],[RSSI]]</f>
        <v>-122</v>
      </c>
      <c r="I1347">
        <v>-9</v>
      </c>
      <c r="L1347">
        <f>390+2*(Table257[[#This Row],[min value (corrected)]]-27)</f>
        <v>438</v>
      </c>
      <c r="M1347">
        <f>MINUTE(Table257[[#This Row],[Corrected time]])</f>
        <v>51</v>
      </c>
      <c r="N1347" s="1">
        <v>0.53586434027777774</v>
      </c>
      <c r="O1347" s="1">
        <f>Table257[[#This Row],[Time]]-TIME(0,0,3)</f>
        <v>0.53582961805555551</v>
      </c>
      <c r="P1347" t="s">
        <v>9</v>
      </c>
      <c r="Q1347">
        <v>-123</v>
      </c>
      <c r="R1347">
        <f>Table257[[#This Row],[RSSI]]</f>
        <v>-123</v>
      </c>
      <c r="S1347">
        <v>-9.3000000000000007</v>
      </c>
    </row>
    <row r="1348" spans="2:19" x14ac:dyDescent="0.25">
      <c r="B1348">
        <f>436+2*(Table146[[#This Row],[min value (corrected)]])</f>
        <v>438</v>
      </c>
      <c r="C1348">
        <f>MINUTE(Table146[[#This Row],[Corrected time]])</f>
        <v>1</v>
      </c>
      <c r="D1348" s="1">
        <v>0.50124542824074081</v>
      </c>
      <c r="E1348" s="1">
        <f>Table146[[#This Row],[Time]]-TIME(0,0,1)</f>
        <v>0.50123385416666677</v>
      </c>
      <c r="F1348" t="s">
        <v>9</v>
      </c>
      <c r="G1348">
        <v>-122</v>
      </c>
      <c r="H1348">
        <f>Table146[[#This Row],[RSSI]]</f>
        <v>-122</v>
      </c>
      <c r="I1348">
        <v>-9</v>
      </c>
      <c r="L1348">
        <f>390+2*(Table257[[#This Row],[min value (corrected)]]-27)</f>
        <v>438</v>
      </c>
      <c r="M1348">
        <f>MINUTE(Table257[[#This Row],[Corrected time]])</f>
        <v>51</v>
      </c>
      <c r="N1348" s="1">
        <v>0.5358773726851852</v>
      </c>
      <c r="O1348" s="1">
        <f>Table257[[#This Row],[Time]]-TIME(0,0,3)</f>
        <v>0.53584265046296298</v>
      </c>
      <c r="P1348" t="s">
        <v>9</v>
      </c>
      <c r="Q1348">
        <v>-122</v>
      </c>
      <c r="R1348">
        <f>Table257[[#This Row],[RSSI]]</f>
        <v>-122</v>
      </c>
      <c r="S1348">
        <v>-9</v>
      </c>
    </row>
    <row r="1349" spans="2:19" x14ac:dyDescent="0.25">
      <c r="B1349">
        <f>436+2*(Table146[[#This Row],[min value (corrected)]])</f>
        <v>438</v>
      </c>
      <c r="C1349">
        <f>MINUTE(Table146[[#This Row],[Corrected time]])</f>
        <v>1</v>
      </c>
      <c r="D1349" s="1">
        <v>0.50125847222222231</v>
      </c>
      <c r="E1349" s="1">
        <f>Table146[[#This Row],[Time]]-TIME(0,0,1)</f>
        <v>0.50124689814814827</v>
      </c>
      <c r="F1349" t="s">
        <v>13</v>
      </c>
      <c r="G1349">
        <f>G1348</f>
        <v>-122</v>
      </c>
      <c r="H1349">
        <f>Table146[[#This Row],[RSSI]]</f>
        <v>-122</v>
      </c>
      <c r="I1349">
        <f>I1348</f>
        <v>-9</v>
      </c>
      <c r="L1349">
        <f>390+2*(Table257[[#This Row],[min value (corrected)]]-27)</f>
        <v>438</v>
      </c>
      <c r="M1349">
        <f>MINUTE(Table257[[#This Row],[Corrected time]])</f>
        <v>51</v>
      </c>
      <c r="N1349" s="1">
        <v>0.53589040509259256</v>
      </c>
      <c r="O1349" s="1">
        <f>Table257[[#This Row],[Time]]-TIME(0,0,3)</f>
        <v>0.53585568287037033</v>
      </c>
      <c r="P1349" t="s">
        <v>9</v>
      </c>
      <c r="Q1349">
        <v>-122</v>
      </c>
      <c r="R1349">
        <f>Table257[[#This Row],[RSSI]]</f>
        <v>-122</v>
      </c>
      <c r="S1349">
        <v>-8</v>
      </c>
    </row>
    <row r="1350" spans="2:19" x14ac:dyDescent="0.25">
      <c r="B1350">
        <f>436+2*(Table146[[#This Row],[min value (corrected)]])</f>
        <v>438</v>
      </c>
      <c r="C1350">
        <f>MINUTE(Table146[[#This Row],[Corrected time]])</f>
        <v>1</v>
      </c>
      <c r="D1350" s="1">
        <v>0.50127149305555563</v>
      </c>
      <c r="E1350" s="1">
        <f>Table146[[#This Row],[Time]]-TIME(0,0,1)</f>
        <v>0.50125991898148159</v>
      </c>
      <c r="F1350" t="s">
        <v>9</v>
      </c>
      <c r="G1350">
        <v>-122</v>
      </c>
      <c r="H1350">
        <f>Table146[[#This Row],[RSSI]]</f>
        <v>-122</v>
      </c>
      <c r="I1350">
        <v>-8.5</v>
      </c>
      <c r="L1350">
        <f>390+2*(Table257[[#This Row],[min value (corrected)]]-27)</f>
        <v>438</v>
      </c>
      <c r="M1350">
        <f>MINUTE(Table257[[#This Row],[Corrected time]])</f>
        <v>51</v>
      </c>
      <c r="N1350" s="1">
        <v>0.53590343750000002</v>
      </c>
      <c r="O1350" s="1">
        <f>Table257[[#This Row],[Time]]-TIME(0,0,3)</f>
        <v>0.5358687152777778</v>
      </c>
      <c r="P1350" t="s">
        <v>9</v>
      </c>
      <c r="Q1350">
        <v>-122</v>
      </c>
      <c r="R1350">
        <f>Table257[[#This Row],[RSSI]]</f>
        <v>-122</v>
      </c>
      <c r="S1350">
        <v>-8.8000000000000007</v>
      </c>
    </row>
    <row r="1351" spans="2:19" x14ac:dyDescent="0.25">
      <c r="B1351">
        <f>436+2*(Table146[[#This Row],[min value (corrected)]])</f>
        <v>438</v>
      </c>
      <c r="C1351">
        <f>MINUTE(Table146[[#This Row],[Corrected time]])</f>
        <v>1</v>
      </c>
      <c r="D1351" s="1">
        <v>0.50128452546296298</v>
      </c>
      <c r="E1351" s="1">
        <f>Table146[[#This Row],[Time]]-TIME(0,0,1)</f>
        <v>0.50127295138888894</v>
      </c>
      <c r="F1351" t="s">
        <v>9</v>
      </c>
      <c r="G1351">
        <v>-122</v>
      </c>
      <c r="H1351">
        <f>Table146[[#This Row],[RSSI]]</f>
        <v>-122</v>
      </c>
      <c r="I1351">
        <v>-8.3000000000000007</v>
      </c>
      <c r="L1351">
        <f>390+2*(Table257[[#This Row],[min value (corrected)]]-27)</f>
        <v>438</v>
      </c>
      <c r="M1351">
        <f>MINUTE(Table257[[#This Row],[Corrected time]])</f>
        <v>51</v>
      </c>
      <c r="N1351" s="1">
        <v>0.53591646990740738</v>
      </c>
      <c r="O1351" s="1">
        <f>Table257[[#This Row],[Time]]-TIME(0,0,3)</f>
        <v>0.53588174768518515</v>
      </c>
      <c r="P1351" t="s">
        <v>9</v>
      </c>
      <c r="Q1351">
        <v>-122</v>
      </c>
      <c r="R1351">
        <f>Table257[[#This Row],[RSSI]]</f>
        <v>-122</v>
      </c>
      <c r="S1351">
        <v>-8.5</v>
      </c>
    </row>
    <row r="1352" spans="2:19" x14ac:dyDescent="0.25">
      <c r="B1352">
        <f>436+2*(Table146[[#This Row],[min value (corrected)]])</f>
        <v>438</v>
      </c>
      <c r="C1352">
        <f>MINUTE(Table146[[#This Row],[Corrected time]])</f>
        <v>1</v>
      </c>
      <c r="D1352" s="1">
        <v>0.50129756944444448</v>
      </c>
      <c r="E1352" s="1">
        <f>Table146[[#This Row],[Time]]-TIME(0,0,1)</f>
        <v>0.50128599537037044</v>
      </c>
      <c r="F1352" t="s">
        <v>13</v>
      </c>
      <c r="G1352">
        <f>G1351</f>
        <v>-122</v>
      </c>
      <c r="H1352">
        <f>Table146[[#This Row],[RSSI]]</f>
        <v>-122</v>
      </c>
      <c r="I1352">
        <f>I1351</f>
        <v>-8.3000000000000007</v>
      </c>
      <c r="L1352">
        <f>390+2*(Table257[[#This Row],[min value (corrected)]]-27)</f>
        <v>438</v>
      </c>
      <c r="M1352">
        <f>MINUTE(Table257[[#This Row],[Corrected time]])</f>
        <v>51</v>
      </c>
      <c r="N1352" s="1">
        <v>0.53592950231481484</v>
      </c>
      <c r="O1352" s="1">
        <f>Table257[[#This Row],[Time]]-TIME(0,0,3)</f>
        <v>0.53589478009259262</v>
      </c>
      <c r="P1352" t="s">
        <v>9</v>
      </c>
      <c r="Q1352">
        <v>-123</v>
      </c>
      <c r="R1352">
        <f>Table257[[#This Row],[RSSI]]</f>
        <v>-123</v>
      </c>
      <c r="S1352">
        <v>-8.8000000000000007</v>
      </c>
    </row>
    <row r="1353" spans="2:19" x14ac:dyDescent="0.25">
      <c r="B1353">
        <f>436+2*(Table146[[#This Row],[min value (corrected)]])</f>
        <v>438</v>
      </c>
      <c r="C1353">
        <f>MINUTE(Table146[[#This Row],[Corrected time]])</f>
        <v>1</v>
      </c>
      <c r="D1353" s="1">
        <v>0.5013105902777778</v>
      </c>
      <c r="E1353" s="1">
        <f>Table146[[#This Row],[Time]]-TIME(0,0,1)</f>
        <v>0.50129901620370376</v>
      </c>
      <c r="F1353" t="s">
        <v>9</v>
      </c>
      <c r="G1353">
        <v>-122</v>
      </c>
      <c r="H1353">
        <f>Table146[[#This Row],[RSSI]]</f>
        <v>-122</v>
      </c>
      <c r="I1353">
        <v>-8.3000000000000007</v>
      </c>
      <c r="L1353">
        <f>390+2*(Table257[[#This Row],[min value (corrected)]]-27)</f>
        <v>438</v>
      </c>
      <c r="M1353">
        <f>MINUTE(Table257[[#This Row],[Corrected time]])</f>
        <v>51</v>
      </c>
      <c r="N1353" s="1">
        <v>0.5359425347222222</v>
      </c>
      <c r="O1353" s="1">
        <f>Table257[[#This Row],[Time]]-TIME(0,0,3)</f>
        <v>0.53590781249999997</v>
      </c>
      <c r="P1353" t="s">
        <v>13</v>
      </c>
      <c r="Q1353">
        <f>Q1352</f>
        <v>-123</v>
      </c>
      <c r="R1353">
        <f>Table257[[#This Row],[RSSI]]</f>
        <v>-123</v>
      </c>
      <c r="S1353">
        <f>S1352</f>
        <v>-8.8000000000000007</v>
      </c>
    </row>
    <row r="1354" spans="2:19" x14ac:dyDescent="0.25">
      <c r="B1354">
        <f>436+2*(Table146[[#This Row],[min value (corrected)]])</f>
        <v>438</v>
      </c>
      <c r="C1354">
        <f>MINUTE(Table146[[#This Row],[Corrected time]])</f>
        <v>1</v>
      </c>
      <c r="D1354" s="1">
        <v>0.50132362268518516</v>
      </c>
      <c r="E1354" s="1">
        <f>Table146[[#This Row],[Time]]-TIME(0,0,1)</f>
        <v>0.50131204861111112</v>
      </c>
      <c r="F1354" t="s">
        <v>9</v>
      </c>
      <c r="G1354">
        <v>-122</v>
      </c>
      <c r="H1354">
        <f>Table146[[#This Row],[RSSI]]</f>
        <v>-122</v>
      </c>
      <c r="I1354">
        <v>-8.8000000000000007</v>
      </c>
      <c r="L1354">
        <f>390+2*(Table257[[#This Row],[min value (corrected)]]-27)</f>
        <v>438</v>
      </c>
      <c r="M1354">
        <f>MINUTE(Table257[[#This Row],[Corrected time]])</f>
        <v>51</v>
      </c>
      <c r="N1354" s="1">
        <v>0.53595555555555552</v>
      </c>
      <c r="O1354" s="1">
        <f>Table257[[#This Row],[Time]]-TIME(0,0,3)</f>
        <v>0.53592083333333329</v>
      </c>
      <c r="P1354" t="s">
        <v>9</v>
      </c>
      <c r="Q1354">
        <v>-122</v>
      </c>
      <c r="R1354">
        <f>Table257[[#This Row],[RSSI]]</f>
        <v>-122</v>
      </c>
      <c r="S1354">
        <v>-9</v>
      </c>
    </row>
    <row r="1355" spans="2:19" x14ac:dyDescent="0.25">
      <c r="B1355">
        <f>436+2*(Table146[[#This Row],[min value (corrected)]])</f>
        <v>438</v>
      </c>
      <c r="C1355">
        <f>MINUTE(Table146[[#This Row],[Corrected time]])</f>
        <v>1</v>
      </c>
      <c r="D1355" s="1">
        <v>0.50133666666666665</v>
      </c>
      <c r="E1355" s="1">
        <f>Table146[[#This Row],[Time]]-TIME(0,0,1)</f>
        <v>0.50132509259259261</v>
      </c>
      <c r="F1355" t="s">
        <v>9</v>
      </c>
      <c r="G1355">
        <v>-122</v>
      </c>
      <c r="H1355">
        <f>Table146[[#This Row],[RSSI]]</f>
        <v>-122</v>
      </c>
      <c r="I1355">
        <v>-8.8000000000000007</v>
      </c>
      <c r="L1355">
        <f>390+2*(Table257[[#This Row],[min value (corrected)]]-27)</f>
        <v>438</v>
      </c>
      <c r="M1355">
        <f>MINUTE(Table257[[#This Row],[Corrected time]])</f>
        <v>51</v>
      </c>
      <c r="N1355" s="1">
        <v>0.53596859953703702</v>
      </c>
      <c r="O1355" s="1">
        <f>Table257[[#This Row],[Time]]-TIME(0,0,3)</f>
        <v>0.53593387731481479</v>
      </c>
      <c r="P1355" t="s">
        <v>9</v>
      </c>
      <c r="Q1355">
        <v>-122</v>
      </c>
      <c r="R1355">
        <f>Table257[[#This Row],[RSSI]]</f>
        <v>-122</v>
      </c>
      <c r="S1355">
        <v>-8.3000000000000007</v>
      </c>
    </row>
    <row r="1356" spans="2:19" x14ac:dyDescent="0.25">
      <c r="B1356">
        <f>436+2*(Table146[[#This Row],[min value (corrected)]])</f>
        <v>438</v>
      </c>
      <c r="C1356">
        <f>MINUTE(Table146[[#This Row],[Corrected time]])</f>
        <v>1</v>
      </c>
      <c r="D1356" s="1">
        <v>0.50134969907407412</v>
      </c>
      <c r="E1356" s="1">
        <f>Table146[[#This Row],[Time]]-TIME(0,0,1)</f>
        <v>0.50133812500000008</v>
      </c>
      <c r="F1356" t="s">
        <v>9</v>
      </c>
      <c r="G1356">
        <v>-121</v>
      </c>
      <c r="H1356">
        <f>Table146[[#This Row],[RSSI]]</f>
        <v>-121</v>
      </c>
      <c r="I1356">
        <v>-8</v>
      </c>
      <c r="L1356">
        <f>390+2*(Table257[[#This Row],[min value (corrected)]]-27)</f>
        <v>438</v>
      </c>
      <c r="M1356">
        <f>MINUTE(Table257[[#This Row],[Corrected time]])</f>
        <v>51</v>
      </c>
      <c r="N1356" s="1">
        <v>0.53598163194444448</v>
      </c>
      <c r="O1356" s="1">
        <f>Table257[[#This Row],[Time]]-TIME(0,0,3)</f>
        <v>0.53594690972222225</v>
      </c>
      <c r="P1356" t="s">
        <v>9</v>
      </c>
      <c r="Q1356">
        <v>-122</v>
      </c>
      <c r="R1356">
        <f>Table257[[#This Row],[RSSI]]</f>
        <v>-122</v>
      </c>
      <c r="S1356">
        <v>-8.5</v>
      </c>
    </row>
    <row r="1357" spans="2:19" x14ac:dyDescent="0.25">
      <c r="B1357">
        <f>436+2*(Table146[[#This Row],[min value (corrected)]])</f>
        <v>438</v>
      </c>
      <c r="C1357">
        <f>MINUTE(Table146[[#This Row],[Corrected time]])</f>
        <v>1</v>
      </c>
      <c r="D1357" s="1">
        <v>0.50136273148148147</v>
      </c>
      <c r="E1357" s="1">
        <f>Table146[[#This Row],[Time]]-TIME(0,0,1)</f>
        <v>0.50135115740740743</v>
      </c>
      <c r="F1357" t="s">
        <v>9</v>
      </c>
      <c r="G1357">
        <v>-122</v>
      </c>
      <c r="H1357">
        <f>Table146[[#This Row],[RSSI]]</f>
        <v>-122</v>
      </c>
      <c r="I1357">
        <v>-8.8000000000000007</v>
      </c>
      <c r="L1357">
        <f>390+2*(Table257[[#This Row],[min value (corrected)]]-27)</f>
        <v>438</v>
      </c>
      <c r="M1357">
        <f>MINUTE(Table257[[#This Row],[Corrected time]])</f>
        <v>51</v>
      </c>
      <c r="N1357" s="1">
        <v>0.53599466435185183</v>
      </c>
      <c r="O1357" s="1">
        <f>Table257[[#This Row],[Time]]-TIME(0,0,3)</f>
        <v>0.53595994212962961</v>
      </c>
      <c r="P1357" t="s">
        <v>9</v>
      </c>
      <c r="Q1357">
        <v>-122</v>
      </c>
      <c r="R1357">
        <f>Table257[[#This Row],[RSSI]]</f>
        <v>-122</v>
      </c>
      <c r="S1357">
        <v>-8.5</v>
      </c>
    </row>
    <row r="1358" spans="2:19" x14ac:dyDescent="0.25">
      <c r="B1358">
        <f>436+2*(Table146[[#This Row],[min value (corrected)]])</f>
        <v>438</v>
      </c>
      <c r="C1358">
        <f>MINUTE(Table146[[#This Row],[Corrected time]])</f>
        <v>1</v>
      </c>
      <c r="D1358" s="1">
        <v>0.50137576388888894</v>
      </c>
      <c r="E1358" s="1">
        <f>Table146[[#This Row],[Time]]-TIME(0,0,1)</f>
        <v>0.5013641898148149</v>
      </c>
      <c r="F1358" t="s">
        <v>9</v>
      </c>
      <c r="G1358">
        <v>-122</v>
      </c>
      <c r="H1358">
        <f>Table146[[#This Row],[RSSI]]</f>
        <v>-122</v>
      </c>
      <c r="I1358">
        <v>-8.5</v>
      </c>
      <c r="L1358">
        <f>390+2*(Table257[[#This Row],[min value (corrected)]]-27)</f>
        <v>438</v>
      </c>
      <c r="M1358">
        <f>MINUTE(Table257[[#This Row],[Corrected time]])</f>
        <v>51</v>
      </c>
      <c r="N1358" s="1">
        <v>0.5360076967592593</v>
      </c>
      <c r="O1358" s="1">
        <f>Table257[[#This Row],[Time]]-TIME(0,0,3)</f>
        <v>0.53597297453703707</v>
      </c>
      <c r="P1358" t="s">
        <v>9</v>
      </c>
      <c r="Q1358">
        <v>-122</v>
      </c>
      <c r="R1358">
        <f>Table257[[#This Row],[RSSI]]</f>
        <v>-122</v>
      </c>
      <c r="S1358">
        <v>-8.3000000000000007</v>
      </c>
    </row>
    <row r="1359" spans="2:19" x14ac:dyDescent="0.25">
      <c r="B1359">
        <f>436+2*(Table146[[#This Row],[min value (corrected)]])</f>
        <v>438</v>
      </c>
      <c r="C1359">
        <f>MINUTE(Table146[[#This Row],[Corrected time]])</f>
        <v>1</v>
      </c>
      <c r="D1359" s="1">
        <v>0.50138878472222226</v>
      </c>
      <c r="E1359" s="1">
        <f>Table146[[#This Row],[Time]]-TIME(0,0,1)</f>
        <v>0.50137721064814822</v>
      </c>
      <c r="F1359" t="s">
        <v>9</v>
      </c>
      <c r="G1359">
        <v>-122</v>
      </c>
      <c r="H1359">
        <f>Table146[[#This Row],[RSSI]]</f>
        <v>-122</v>
      </c>
      <c r="I1359">
        <v>-8.8000000000000007</v>
      </c>
      <c r="L1359">
        <f>390+2*(Table257[[#This Row],[min value (corrected)]]-27)</f>
        <v>438</v>
      </c>
      <c r="M1359">
        <f>MINUTE(Table257[[#This Row],[Corrected time]])</f>
        <v>51</v>
      </c>
      <c r="N1359" s="1">
        <v>0.53602071759259262</v>
      </c>
      <c r="O1359" s="1">
        <f>Table257[[#This Row],[Time]]-TIME(0,0,3)</f>
        <v>0.53598599537037039</v>
      </c>
      <c r="P1359" t="s">
        <v>9</v>
      </c>
      <c r="Q1359">
        <v>-122</v>
      </c>
      <c r="R1359">
        <f>Table257[[#This Row],[RSSI]]</f>
        <v>-122</v>
      </c>
      <c r="S1359">
        <v>-8.8000000000000007</v>
      </c>
    </row>
    <row r="1360" spans="2:19" x14ac:dyDescent="0.25">
      <c r="B1360">
        <f>436+2*(Table146[[#This Row],[min value (corrected)]])</f>
        <v>440</v>
      </c>
      <c r="C1360">
        <f>MINUTE(Table146[[#This Row],[Corrected time]])</f>
        <v>2</v>
      </c>
      <c r="D1360" s="1">
        <v>0.50140181712962961</v>
      </c>
      <c r="E1360" s="1">
        <f>Table146[[#This Row],[Time]]-TIME(0,0,1)</f>
        <v>0.50139024305555557</v>
      </c>
      <c r="F1360" t="s">
        <v>9</v>
      </c>
      <c r="G1360">
        <v>-122</v>
      </c>
      <c r="H1360">
        <f>Table146[[#This Row],[RSSI]]</f>
        <v>-122</v>
      </c>
      <c r="I1360">
        <v>-8.8000000000000007</v>
      </c>
      <c r="L1360">
        <f>390+2*(Table257[[#This Row],[min value (corrected)]]-27)</f>
        <v>438</v>
      </c>
      <c r="M1360">
        <f>MINUTE(Table257[[#This Row],[Corrected time]])</f>
        <v>51</v>
      </c>
      <c r="N1360" s="1">
        <v>0.53603376157407412</v>
      </c>
      <c r="O1360" s="1">
        <f>Table257[[#This Row],[Time]]-TIME(0,0,3)</f>
        <v>0.53599903935185189</v>
      </c>
      <c r="P1360" t="s">
        <v>13</v>
      </c>
      <c r="Q1360">
        <f>Q1359</f>
        <v>-122</v>
      </c>
      <c r="R1360">
        <f>Table257[[#This Row],[RSSI]]</f>
        <v>-122</v>
      </c>
      <c r="S1360">
        <f>S1359</f>
        <v>-8.8000000000000007</v>
      </c>
    </row>
    <row r="1361" spans="2:19" x14ac:dyDescent="0.25">
      <c r="B1361">
        <f>436+2*(Table146[[#This Row],[min value (corrected)]])</f>
        <v>440</v>
      </c>
      <c r="C1361">
        <f>MINUTE(Table146[[#This Row],[Corrected time]])</f>
        <v>2</v>
      </c>
      <c r="D1361" s="1">
        <v>0.50141486111111111</v>
      </c>
      <c r="E1361" s="1">
        <f>Table146[[#This Row],[Time]]-TIME(0,0,1)</f>
        <v>0.50140328703703707</v>
      </c>
      <c r="F1361" t="s">
        <v>9</v>
      </c>
      <c r="G1361">
        <v>-122</v>
      </c>
      <c r="H1361">
        <f>Table146[[#This Row],[RSSI]]</f>
        <v>-122</v>
      </c>
      <c r="I1361">
        <v>-8.5</v>
      </c>
      <c r="L1361">
        <f>390+2*(Table257[[#This Row],[min value (corrected)]]-27)</f>
        <v>438</v>
      </c>
      <c r="M1361">
        <f>MINUTE(Table257[[#This Row],[Corrected time]])</f>
        <v>51</v>
      </c>
      <c r="N1361" s="1">
        <v>0.53604679398148147</v>
      </c>
      <c r="O1361" s="1">
        <f>Table257[[#This Row],[Time]]-TIME(0,0,3)</f>
        <v>0.53601207175925925</v>
      </c>
      <c r="P1361" t="s">
        <v>9</v>
      </c>
      <c r="Q1361">
        <v>-122</v>
      </c>
      <c r="R1361">
        <f>Table257[[#This Row],[RSSI]]</f>
        <v>-122</v>
      </c>
      <c r="S1361">
        <v>-9</v>
      </c>
    </row>
    <row r="1362" spans="2:19" x14ac:dyDescent="0.25">
      <c r="B1362">
        <f>436+2*(Table146[[#This Row],[min value (corrected)]])</f>
        <v>440</v>
      </c>
      <c r="C1362">
        <f>MINUTE(Table146[[#This Row],[Corrected time]])</f>
        <v>2</v>
      </c>
      <c r="D1362" s="1">
        <v>0.50142789351851857</v>
      </c>
      <c r="E1362" s="1">
        <f>Table146[[#This Row],[Time]]-TIME(0,0,1)</f>
        <v>0.50141631944444454</v>
      </c>
      <c r="F1362" t="s">
        <v>13</v>
      </c>
      <c r="G1362">
        <f>G1361</f>
        <v>-122</v>
      </c>
      <c r="H1362">
        <f>Table146[[#This Row],[RSSI]]</f>
        <v>-122</v>
      </c>
      <c r="I1362">
        <f>I1361</f>
        <v>-8.5</v>
      </c>
      <c r="L1362">
        <f>390+2*(Table257[[#This Row],[min value (corrected)]]-27)</f>
        <v>438</v>
      </c>
      <c r="M1362">
        <f>MINUTE(Table257[[#This Row],[Corrected time]])</f>
        <v>51</v>
      </c>
      <c r="N1362" s="1">
        <v>0.53605982638888894</v>
      </c>
      <c r="O1362" s="1">
        <f>Table257[[#This Row],[Time]]-TIME(0,0,3)</f>
        <v>0.53602510416666671</v>
      </c>
      <c r="P1362" t="s">
        <v>13</v>
      </c>
      <c r="Q1362">
        <f>Q1361</f>
        <v>-122</v>
      </c>
      <c r="R1362">
        <f>Table257[[#This Row],[RSSI]]</f>
        <v>-122</v>
      </c>
      <c r="S1362">
        <f>S1361</f>
        <v>-9</v>
      </c>
    </row>
    <row r="1363" spans="2:19" x14ac:dyDescent="0.25">
      <c r="B1363">
        <f>436+2*(Table146[[#This Row],[min value (corrected)]])</f>
        <v>440</v>
      </c>
      <c r="C1363">
        <f>MINUTE(Table146[[#This Row],[Corrected time]])</f>
        <v>2</v>
      </c>
      <c r="D1363" s="1">
        <v>0.50144092592592593</v>
      </c>
      <c r="E1363" s="1">
        <f>Table146[[#This Row],[Time]]-TIME(0,0,1)</f>
        <v>0.50142935185185189</v>
      </c>
      <c r="F1363" t="s">
        <v>9</v>
      </c>
      <c r="G1363">
        <v>-122</v>
      </c>
      <c r="H1363">
        <f>Table146[[#This Row],[RSSI]]</f>
        <v>-122</v>
      </c>
      <c r="I1363">
        <v>-9.3000000000000007</v>
      </c>
      <c r="L1363">
        <f>390+2*(Table257[[#This Row],[min value (corrected)]]-27)</f>
        <v>438</v>
      </c>
      <c r="M1363">
        <f>MINUTE(Table257[[#This Row],[Corrected time]])</f>
        <v>51</v>
      </c>
      <c r="N1363" s="1">
        <v>0.53607285879629629</v>
      </c>
      <c r="O1363" s="1">
        <f>Table257[[#This Row],[Time]]-TIME(0,0,3)</f>
        <v>0.53603813657407406</v>
      </c>
      <c r="P1363" t="s">
        <v>9</v>
      </c>
      <c r="Q1363">
        <v>-120</v>
      </c>
      <c r="R1363">
        <f>Table257[[#This Row],[RSSI]]</f>
        <v>-120</v>
      </c>
      <c r="S1363">
        <v>-8.8000000000000007</v>
      </c>
    </row>
    <row r="1364" spans="2:19" x14ac:dyDescent="0.25">
      <c r="B1364">
        <f>436+2*(Table146[[#This Row],[min value (corrected)]])</f>
        <v>440</v>
      </c>
      <c r="C1364">
        <f>MINUTE(Table146[[#This Row],[Corrected time]])</f>
        <v>2</v>
      </c>
      <c r="D1364" s="1">
        <v>0.50145395833333339</v>
      </c>
      <c r="E1364" s="1">
        <f>Table146[[#This Row],[Time]]-TIME(0,0,1)</f>
        <v>0.50144238425925935</v>
      </c>
      <c r="F1364" t="s">
        <v>13</v>
      </c>
      <c r="G1364">
        <f t="shared" ref="G1364:G1367" si="181">G1363</f>
        <v>-122</v>
      </c>
      <c r="H1364">
        <f>Table146[[#This Row],[RSSI]]</f>
        <v>-122</v>
      </c>
      <c r="I1364">
        <f t="shared" ref="I1364:I1367" si="182">I1363</f>
        <v>-9.3000000000000007</v>
      </c>
      <c r="L1364">
        <f>390+2*(Table257[[#This Row],[min value (corrected)]]-27)</f>
        <v>438</v>
      </c>
      <c r="M1364">
        <f>MINUTE(Table257[[#This Row],[Corrected time]])</f>
        <v>51</v>
      </c>
      <c r="N1364" s="1">
        <v>0.53608589120370376</v>
      </c>
      <c r="O1364" s="1">
        <f>Table257[[#This Row],[Time]]-TIME(0,0,3)</f>
        <v>0.53605116898148153</v>
      </c>
      <c r="P1364" t="s">
        <v>9</v>
      </c>
      <c r="Q1364">
        <v>-122</v>
      </c>
      <c r="R1364">
        <f>Table257[[#This Row],[RSSI]]</f>
        <v>-122</v>
      </c>
      <c r="S1364">
        <v>-8.5</v>
      </c>
    </row>
    <row r="1365" spans="2:19" x14ac:dyDescent="0.25">
      <c r="B1365">
        <f>436+2*(Table146[[#This Row],[min value (corrected)]])</f>
        <v>440</v>
      </c>
      <c r="C1365">
        <f>MINUTE(Table146[[#This Row],[Corrected time]])</f>
        <v>2</v>
      </c>
      <c r="D1365" s="1">
        <v>0.50146699074074075</v>
      </c>
      <c r="E1365" s="1">
        <f>Table146[[#This Row],[Time]]-TIME(0,0,1)</f>
        <v>0.50145541666666671</v>
      </c>
      <c r="F1365" t="s">
        <v>13</v>
      </c>
      <c r="G1365">
        <f t="shared" si="181"/>
        <v>-122</v>
      </c>
      <c r="H1365">
        <f>Table146[[#This Row],[RSSI]]</f>
        <v>-122</v>
      </c>
      <c r="I1365">
        <f t="shared" si="182"/>
        <v>-9.3000000000000007</v>
      </c>
      <c r="L1365">
        <f>390+2*(Table257[[#This Row],[min value (corrected)]]-27)</f>
        <v>438</v>
      </c>
      <c r="M1365">
        <f>MINUTE(Table257[[#This Row],[Corrected time]])</f>
        <v>51</v>
      </c>
      <c r="N1365" s="1">
        <v>0.53609892361111111</v>
      </c>
      <c r="O1365" s="1">
        <f>Table257[[#This Row],[Time]]-TIME(0,0,3)</f>
        <v>0.53606420138888888</v>
      </c>
      <c r="P1365" t="s">
        <v>13</v>
      </c>
      <c r="Q1365">
        <f>Q1364</f>
        <v>-122</v>
      </c>
      <c r="R1365">
        <f>Table257[[#This Row],[RSSI]]</f>
        <v>-122</v>
      </c>
      <c r="S1365">
        <f>S1364</f>
        <v>-8.5</v>
      </c>
    </row>
    <row r="1366" spans="2:19" x14ac:dyDescent="0.25">
      <c r="B1366">
        <f>436+2*(Table146[[#This Row],[min value (corrected)]])</f>
        <v>440</v>
      </c>
      <c r="C1366">
        <f>MINUTE(Table146[[#This Row],[Corrected time]])</f>
        <v>2</v>
      </c>
      <c r="D1366" s="1">
        <v>0.50148002314814821</v>
      </c>
      <c r="E1366" s="1">
        <f>Table146[[#This Row],[Time]]-TIME(0,0,1)</f>
        <v>0.50146844907407417</v>
      </c>
      <c r="F1366" t="s">
        <v>13</v>
      </c>
      <c r="G1366">
        <f t="shared" si="181"/>
        <v>-122</v>
      </c>
      <c r="H1366">
        <f>Table146[[#This Row],[RSSI]]</f>
        <v>-122</v>
      </c>
      <c r="I1366">
        <f t="shared" si="182"/>
        <v>-9.3000000000000007</v>
      </c>
      <c r="L1366">
        <f>390+2*(Table257[[#This Row],[min value (corrected)]]-27)</f>
        <v>438</v>
      </c>
      <c r="M1366">
        <f>MINUTE(Table257[[#This Row],[Corrected time]])</f>
        <v>51</v>
      </c>
      <c r="N1366" s="1">
        <v>0.53611195601851847</v>
      </c>
      <c r="O1366" s="1">
        <f>Table257[[#This Row],[Time]]-TIME(0,0,3)</f>
        <v>0.53607723379629624</v>
      </c>
      <c r="P1366" t="s">
        <v>9</v>
      </c>
      <c r="Q1366">
        <v>-122</v>
      </c>
      <c r="R1366">
        <f>Table257[[#This Row],[RSSI]]</f>
        <v>-122</v>
      </c>
      <c r="S1366">
        <v>-8</v>
      </c>
    </row>
    <row r="1367" spans="2:19" x14ac:dyDescent="0.25">
      <c r="B1367">
        <f>436+2*(Table146[[#This Row],[min value (corrected)]])</f>
        <v>440</v>
      </c>
      <c r="C1367">
        <f>MINUTE(Table146[[#This Row],[Corrected time]])</f>
        <v>2</v>
      </c>
      <c r="D1367" s="1">
        <v>0.50149305555555557</v>
      </c>
      <c r="E1367" s="1">
        <f>Table146[[#This Row],[Time]]-TIME(0,0,1)</f>
        <v>0.50148148148148153</v>
      </c>
      <c r="F1367" t="s">
        <v>13</v>
      </c>
      <c r="G1367">
        <f t="shared" si="181"/>
        <v>-122</v>
      </c>
      <c r="H1367">
        <f>Table146[[#This Row],[RSSI]]</f>
        <v>-122</v>
      </c>
      <c r="I1367">
        <f t="shared" si="182"/>
        <v>-9.3000000000000007</v>
      </c>
      <c r="L1367">
        <f>390+2*(Table257[[#This Row],[min value (corrected)]]-27)</f>
        <v>438</v>
      </c>
      <c r="M1367">
        <f>MINUTE(Table257[[#This Row],[Corrected time]])</f>
        <v>51</v>
      </c>
      <c r="N1367" s="1">
        <v>0.53612498842592593</v>
      </c>
      <c r="O1367" s="1">
        <f>Table257[[#This Row],[Time]]-TIME(0,0,3)</f>
        <v>0.5360902662037037</v>
      </c>
      <c r="P1367" t="s">
        <v>13</v>
      </c>
      <c r="Q1367">
        <f>Q1366</f>
        <v>-122</v>
      </c>
      <c r="R1367">
        <f>Table257[[#This Row],[RSSI]]</f>
        <v>-122</v>
      </c>
      <c r="S1367">
        <f>S1366</f>
        <v>-8</v>
      </c>
    </row>
    <row r="1368" spans="2:19" x14ac:dyDescent="0.25">
      <c r="B1368">
        <f>436+2*(Table146[[#This Row],[min value (corrected)]])</f>
        <v>440</v>
      </c>
      <c r="C1368">
        <f>MINUTE(Table146[[#This Row],[Corrected time]])</f>
        <v>2</v>
      </c>
      <c r="D1368" s="1">
        <v>0.50150607638888889</v>
      </c>
      <c r="E1368" s="1">
        <f>Table146[[#This Row],[Time]]-TIME(0,0,1)</f>
        <v>0.50149450231481485</v>
      </c>
      <c r="F1368" t="s">
        <v>9</v>
      </c>
      <c r="G1368">
        <v>-122</v>
      </c>
      <c r="H1368">
        <f>Table146[[#This Row],[RSSI]]</f>
        <v>-122</v>
      </c>
      <c r="I1368">
        <v>-9</v>
      </c>
      <c r="L1368">
        <f>390+2*(Table257[[#This Row],[min value (corrected)]]-27)</f>
        <v>438</v>
      </c>
      <c r="M1368">
        <f>MINUTE(Table257[[#This Row],[Corrected time]])</f>
        <v>51</v>
      </c>
      <c r="N1368" s="1">
        <v>0.53613802083333328</v>
      </c>
      <c r="O1368" s="1">
        <f>Table257[[#This Row],[Time]]-TIME(0,0,3)</f>
        <v>0.53610329861111106</v>
      </c>
      <c r="P1368" t="s">
        <v>9</v>
      </c>
      <c r="Q1368">
        <v>-122</v>
      </c>
      <c r="R1368">
        <f>Table257[[#This Row],[RSSI]]</f>
        <v>-122</v>
      </c>
      <c r="S1368">
        <v>-8.8000000000000007</v>
      </c>
    </row>
    <row r="1369" spans="2:19" x14ac:dyDescent="0.25">
      <c r="B1369">
        <f>436+2*(Table146[[#This Row],[min value (corrected)]])</f>
        <v>440</v>
      </c>
      <c r="C1369">
        <f>MINUTE(Table146[[#This Row],[Corrected time]])</f>
        <v>2</v>
      </c>
      <c r="D1369" s="1">
        <v>0.50151912037037039</v>
      </c>
      <c r="E1369" s="1">
        <f>Table146[[#This Row],[Time]]-TIME(0,0,1)</f>
        <v>0.50150754629629635</v>
      </c>
      <c r="F1369" t="s">
        <v>13</v>
      </c>
      <c r="G1369">
        <f>G1368</f>
        <v>-122</v>
      </c>
      <c r="H1369">
        <f>Table146[[#This Row],[RSSI]]</f>
        <v>-122</v>
      </c>
      <c r="I1369">
        <f>I1368</f>
        <v>-9</v>
      </c>
      <c r="L1369">
        <f>390+2*(Table257[[#This Row],[min value (corrected)]]-27)</f>
        <v>440</v>
      </c>
      <c r="M1369">
        <f>MINUTE(Table257[[#This Row],[Corrected time]])</f>
        <v>52</v>
      </c>
      <c r="N1369" s="1">
        <v>0.53615105324074075</v>
      </c>
      <c r="O1369" s="1">
        <f>Table257[[#This Row],[Time]]-TIME(0,0,3)</f>
        <v>0.53611633101851852</v>
      </c>
      <c r="P1369" t="s">
        <v>13</v>
      </c>
      <c r="Q1369">
        <f>Q1368</f>
        <v>-122</v>
      </c>
      <c r="R1369">
        <f>Table257[[#This Row],[RSSI]]</f>
        <v>-122</v>
      </c>
      <c r="S1369">
        <f>S1368</f>
        <v>-8.8000000000000007</v>
      </c>
    </row>
    <row r="1370" spans="2:19" x14ac:dyDescent="0.25">
      <c r="B1370">
        <f>436+2*(Table146[[#This Row],[min value (corrected)]])</f>
        <v>440</v>
      </c>
      <c r="C1370">
        <f>MINUTE(Table146[[#This Row],[Corrected time]])</f>
        <v>2</v>
      </c>
      <c r="D1370" s="1">
        <v>0.50153214120370371</v>
      </c>
      <c r="E1370" s="1">
        <f>Table146[[#This Row],[Time]]-TIME(0,0,1)</f>
        <v>0.50152056712962967</v>
      </c>
      <c r="F1370" t="s">
        <v>9</v>
      </c>
      <c r="G1370">
        <v>-122</v>
      </c>
      <c r="H1370">
        <f>Table146[[#This Row],[RSSI]]</f>
        <v>-122</v>
      </c>
      <c r="I1370">
        <v>-8.8000000000000007</v>
      </c>
      <c r="L1370">
        <f>390+2*(Table257[[#This Row],[min value (corrected)]]-27)</f>
        <v>440</v>
      </c>
      <c r="M1370">
        <f>MINUTE(Table257[[#This Row],[Corrected time]])</f>
        <v>52</v>
      </c>
      <c r="N1370" s="1">
        <v>0.5361640856481481</v>
      </c>
      <c r="O1370" s="1">
        <f>Table257[[#This Row],[Time]]-TIME(0,0,3)</f>
        <v>0.53612936342592588</v>
      </c>
      <c r="P1370" t="s">
        <v>9</v>
      </c>
      <c r="Q1370">
        <v>-122</v>
      </c>
      <c r="R1370">
        <f>Table257[[#This Row],[RSSI]]</f>
        <v>-122</v>
      </c>
      <c r="S1370">
        <v>-8.5</v>
      </c>
    </row>
    <row r="1371" spans="2:19" x14ac:dyDescent="0.25">
      <c r="B1371">
        <f>436+2*(Table146[[#This Row],[min value (corrected)]])</f>
        <v>440</v>
      </c>
      <c r="C1371">
        <f>MINUTE(Table146[[#This Row],[Corrected time]])</f>
        <v>2</v>
      </c>
      <c r="D1371" s="1">
        <v>0.5015451851851852</v>
      </c>
      <c r="E1371" s="1">
        <f>Table146[[#This Row],[Time]]-TIME(0,0,1)</f>
        <v>0.50153361111111117</v>
      </c>
      <c r="F1371" t="s">
        <v>9</v>
      </c>
      <c r="G1371">
        <v>-122</v>
      </c>
      <c r="H1371">
        <f>Table146[[#This Row],[RSSI]]</f>
        <v>-122</v>
      </c>
      <c r="I1371">
        <v>-9</v>
      </c>
      <c r="L1371">
        <f>390+2*(Table257[[#This Row],[min value (corrected)]]-27)</f>
        <v>440</v>
      </c>
      <c r="M1371">
        <f>MINUTE(Table257[[#This Row],[Corrected time]])</f>
        <v>52</v>
      </c>
      <c r="N1371" s="1">
        <v>0.53617711805555557</v>
      </c>
      <c r="O1371" s="1">
        <f>Table257[[#This Row],[Time]]-TIME(0,0,3)</f>
        <v>0.53614239583333334</v>
      </c>
      <c r="P1371" t="s">
        <v>13</v>
      </c>
      <c r="Q1371">
        <f>Q1370</f>
        <v>-122</v>
      </c>
      <c r="R1371">
        <f>Table257[[#This Row],[RSSI]]</f>
        <v>-122</v>
      </c>
      <c r="S1371">
        <f>S1370</f>
        <v>-8.5</v>
      </c>
    </row>
    <row r="1372" spans="2:19" x14ac:dyDescent="0.25">
      <c r="B1372">
        <f>436+2*(Table146[[#This Row],[min value (corrected)]])</f>
        <v>440</v>
      </c>
      <c r="C1372">
        <f>MINUTE(Table146[[#This Row],[Corrected time]])</f>
        <v>2</v>
      </c>
      <c r="D1372" s="1">
        <v>0.50155819444444438</v>
      </c>
      <c r="E1372" s="1">
        <f>Table146[[#This Row],[Time]]-TIME(0,0,1)</f>
        <v>0.50154662037037034</v>
      </c>
      <c r="F1372" t="s">
        <v>9</v>
      </c>
      <c r="G1372">
        <v>-120</v>
      </c>
      <c r="H1372">
        <f>Table146[[#This Row],[RSSI]]</f>
        <v>-120</v>
      </c>
      <c r="I1372">
        <v>-8.8000000000000007</v>
      </c>
      <c r="L1372">
        <f>390+2*(Table257[[#This Row],[min value (corrected)]]-27)</f>
        <v>440</v>
      </c>
      <c r="M1372">
        <f>MINUTE(Table257[[#This Row],[Corrected time]])</f>
        <v>52</v>
      </c>
      <c r="N1372" s="1">
        <v>0.53619015046296292</v>
      </c>
      <c r="O1372" s="1">
        <f>Table257[[#This Row],[Time]]-TIME(0,0,3)</f>
        <v>0.53615542824074069</v>
      </c>
      <c r="P1372" t="s">
        <v>9</v>
      </c>
      <c r="Q1372">
        <v>-123</v>
      </c>
      <c r="R1372">
        <f>Table257[[#This Row],[RSSI]]</f>
        <v>-123</v>
      </c>
      <c r="S1372">
        <v>-9</v>
      </c>
    </row>
    <row r="1373" spans="2:19" x14ac:dyDescent="0.25">
      <c r="B1373">
        <f>436+2*(Table146[[#This Row],[min value (corrected)]])</f>
        <v>440</v>
      </c>
      <c r="C1373">
        <f>MINUTE(Table146[[#This Row],[Corrected time]])</f>
        <v>2</v>
      </c>
      <c r="D1373" s="1">
        <v>0.50157123842592588</v>
      </c>
      <c r="E1373" s="1">
        <f>Table146[[#This Row],[Time]]-TIME(0,0,1)</f>
        <v>0.50155966435185184</v>
      </c>
      <c r="F1373" t="s">
        <v>13</v>
      </c>
      <c r="G1373">
        <f t="shared" ref="G1373:G1374" si="183">G1372</f>
        <v>-120</v>
      </c>
      <c r="H1373">
        <f>Table146[[#This Row],[RSSI]]</f>
        <v>-120</v>
      </c>
      <c r="I1373">
        <f t="shared" ref="I1373:I1374" si="184">I1372</f>
        <v>-8.8000000000000007</v>
      </c>
      <c r="L1373">
        <f>390+2*(Table257[[#This Row],[min value (corrected)]]-27)</f>
        <v>440</v>
      </c>
      <c r="M1373">
        <f>MINUTE(Table257[[#This Row],[Corrected time]])</f>
        <v>52</v>
      </c>
      <c r="N1373" s="1">
        <v>0.53620318287037039</v>
      </c>
      <c r="O1373" s="1">
        <f>Table257[[#This Row],[Time]]-TIME(0,0,3)</f>
        <v>0.53616846064814816</v>
      </c>
      <c r="P1373" t="s">
        <v>9</v>
      </c>
      <c r="Q1373">
        <v>-123</v>
      </c>
      <c r="R1373">
        <f>Table257[[#This Row],[RSSI]]</f>
        <v>-123</v>
      </c>
      <c r="S1373">
        <v>-9</v>
      </c>
    </row>
    <row r="1374" spans="2:19" x14ac:dyDescent="0.25">
      <c r="B1374">
        <f>436+2*(Table146[[#This Row],[min value (corrected)]])</f>
        <v>440</v>
      </c>
      <c r="C1374">
        <f>MINUTE(Table146[[#This Row],[Corrected time]])</f>
        <v>2</v>
      </c>
      <c r="D1374" s="1">
        <v>0.50158427083333335</v>
      </c>
      <c r="E1374" s="1">
        <f>Table146[[#This Row],[Time]]-TIME(0,0,1)</f>
        <v>0.50157269675925931</v>
      </c>
      <c r="F1374" t="s">
        <v>13</v>
      </c>
      <c r="G1374">
        <f t="shared" si="183"/>
        <v>-120</v>
      </c>
      <c r="H1374">
        <f>Table146[[#This Row],[RSSI]]</f>
        <v>-120</v>
      </c>
      <c r="I1374">
        <f t="shared" si="184"/>
        <v>-8.8000000000000007</v>
      </c>
      <c r="L1374">
        <f>390+2*(Table257[[#This Row],[min value (corrected)]]-27)</f>
        <v>440</v>
      </c>
      <c r="M1374">
        <f>MINUTE(Table257[[#This Row],[Corrected time]])</f>
        <v>52</v>
      </c>
      <c r="N1374" s="1">
        <v>0.53621621527777774</v>
      </c>
      <c r="O1374" s="1">
        <f>Table257[[#This Row],[Time]]-TIME(0,0,3)</f>
        <v>0.53618149305555551</v>
      </c>
      <c r="P1374" t="s">
        <v>9</v>
      </c>
      <c r="Q1374">
        <v>-122</v>
      </c>
      <c r="R1374">
        <f>Table257[[#This Row],[RSSI]]</f>
        <v>-122</v>
      </c>
      <c r="S1374">
        <v>-9.3000000000000007</v>
      </c>
    </row>
    <row r="1375" spans="2:19" x14ac:dyDescent="0.25">
      <c r="B1375">
        <f>436+2*(Table146[[#This Row],[min value (corrected)]])</f>
        <v>440</v>
      </c>
      <c r="C1375">
        <f>MINUTE(Table146[[#This Row],[Corrected time]])</f>
        <v>2</v>
      </c>
      <c r="D1375" s="1">
        <v>0.5015973032407407</v>
      </c>
      <c r="E1375" s="1">
        <f>Table146[[#This Row],[Time]]-TIME(0,0,1)</f>
        <v>0.50158572916666666</v>
      </c>
      <c r="F1375" t="s">
        <v>9</v>
      </c>
      <c r="G1375">
        <v>-122</v>
      </c>
      <c r="H1375">
        <f>Table146[[#This Row],[RSSI]]</f>
        <v>-122</v>
      </c>
      <c r="I1375">
        <v>-8.8000000000000007</v>
      </c>
      <c r="L1375">
        <f>390+2*(Table257[[#This Row],[min value (corrected)]]-27)</f>
        <v>440</v>
      </c>
      <c r="M1375">
        <f>MINUTE(Table257[[#This Row],[Corrected time]])</f>
        <v>52</v>
      </c>
      <c r="N1375" s="1">
        <v>0.53622924768518521</v>
      </c>
      <c r="O1375" s="1">
        <f>Table257[[#This Row],[Time]]-TIME(0,0,3)</f>
        <v>0.53619452546296298</v>
      </c>
      <c r="P1375" t="s">
        <v>13</v>
      </c>
      <c r="Q1375">
        <f t="shared" ref="Q1375:Q1377" si="185">Q1374</f>
        <v>-122</v>
      </c>
      <c r="R1375">
        <f>Table257[[#This Row],[RSSI]]</f>
        <v>-122</v>
      </c>
      <c r="S1375">
        <f t="shared" ref="S1375:S1377" si="186">S1374</f>
        <v>-9.3000000000000007</v>
      </c>
    </row>
    <row r="1376" spans="2:19" x14ac:dyDescent="0.25">
      <c r="B1376">
        <f>436+2*(Table146[[#This Row],[min value (corrected)]])</f>
        <v>440</v>
      </c>
      <c r="C1376">
        <f>MINUTE(Table146[[#This Row],[Corrected time]])</f>
        <v>2</v>
      </c>
      <c r="D1376" s="1">
        <v>0.5016103472222222</v>
      </c>
      <c r="E1376" s="1">
        <f>Table146[[#This Row],[Time]]-TIME(0,0,1)</f>
        <v>0.50159877314814816</v>
      </c>
      <c r="F1376" t="s">
        <v>9</v>
      </c>
      <c r="G1376">
        <v>-122</v>
      </c>
      <c r="H1376">
        <f>Table146[[#This Row],[RSSI]]</f>
        <v>-122</v>
      </c>
      <c r="I1376">
        <v>-9</v>
      </c>
      <c r="L1376">
        <f>390+2*(Table257[[#This Row],[min value (corrected)]]-27)</f>
        <v>440</v>
      </c>
      <c r="M1376">
        <f>MINUTE(Table257[[#This Row],[Corrected time]])</f>
        <v>52</v>
      </c>
      <c r="N1376" s="1">
        <v>0.53624228009259256</v>
      </c>
      <c r="O1376" s="1">
        <f>Table257[[#This Row],[Time]]-TIME(0,0,3)</f>
        <v>0.53620755787037033</v>
      </c>
      <c r="P1376" t="s">
        <v>13</v>
      </c>
      <c r="Q1376">
        <f t="shared" si="185"/>
        <v>-122</v>
      </c>
      <c r="R1376">
        <f>Table257[[#This Row],[RSSI]]</f>
        <v>-122</v>
      </c>
      <c r="S1376">
        <f t="shared" si="186"/>
        <v>-9.3000000000000007</v>
      </c>
    </row>
    <row r="1377" spans="2:19" x14ac:dyDescent="0.25">
      <c r="B1377">
        <f>436+2*(Table146[[#This Row],[min value (corrected)]])</f>
        <v>440</v>
      </c>
      <c r="C1377">
        <f>MINUTE(Table146[[#This Row],[Corrected time]])</f>
        <v>2</v>
      </c>
      <c r="D1377" s="1">
        <v>0.50162337962962966</v>
      </c>
      <c r="E1377" s="1">
        <f>Table146[[#This Row],[Time]]-TIME(0,0,1)</f>
        <v>0.50161180555555562</v>
      </c>
      <c r="F1377" t="s">
        <v>9</v>
      </c>
      <c r="G1377">
        <v>-122</v>
      </c>
      <c r="H1377">
        <f>Table146[[#This Row],[RSSI]]</f>
        <v>-122</v>
      </c>
      <c r="I1377">
        <v>-9.3000000000000007</v>
      </c>
      <c r="L1377">
        <f>390+2*(Table257[[#This Row],[min value (corrected)]]-27)</f>
        <v>440</v>
      </c>
      <c r="M1377">
        <f>MINUTE(Table257[[#This Row],[Corrected time]])</f>
        <v>52</v>
      </c>
      <c r="N1377" s="1">
        <v>0.53625531250000003</v>
      </c>
      <c r="O1377" s="1">
        <f>Table257[[#This Row],[Time]]-TIME(0,0,3)</f>
        <v>0.5362205902777778</v>
      </c>
      <c r="P1377" t="s">
        <v>13</v>
      </c>
      <c r="Q1377">
        <f t="shared" si="185"/>
        <v>-122</v>
      </c>
      <c r="R1377">
        <f>Table257[[#This Row],[RSSI]]</f>
        <v>-122</v>
      </c>
      <c r="S1377">
        <f t="shared" si="186"/>
        <v>-9.3000000000000007</v>
      </c>
    </row>
    <row r="1378" spans="2:19" x14ac:dyDescent="0.25">
      <c r="B1378">
        <f>436+2*(Table146[[#This Row],[min value (corrected)]])</f>
        <v>440</v>
      </c>
      <c r="C1378">
        <f>MINUTE(Table146[[#This Row],[Corrected time]])</f>
        <v>2</v>
      </c>
      <c r="D1378" s="1">
        <v>0.50163641203703702</v>
      </c>
      <c r="E1378" s="1">
        <f>Table146[[#This Row],[Time]]-TIME(0,0,1)</f>
        <v>0.50162483796296298</v>
      </c>
      <c r="F1378" t="s">
        <v>9</v>
      </c>
      <c r="G1378">
        <v>-122</v>
      </c>
      <c r="H1378">
        <f>Table146[[#This Row],[RSSI]]</f>
        <v>-122</v>
      </c>
      <c r="I1378">
        <v>-8.8000000000000007</v>
      </c>
      <c r="L1378">
        <f>390+2*(Table257[[#This Row],[min value (corrected)]]-27)</f>
        <v>440</v>
      </c>
      <c r="M1378">
        <f>MINUTE(Table257[[#This Row],[Corrected time]])</f>
        <v>52</v>
      </c>
      <c r="N1378" s="1">
        <v>0.53626834490740738</v>
      </c>
      <c r="O1378" s="1">
        <f>Table257[[#This Row],[Time]]-TIME(0,0,3)</f>
        <v>0.53623362268518515</v>
      </c>
      <c r="P1378" t="s">
        <v>9</v>
      </c>
      <c r="Q1378">
        <v>-122</v>
      </c>
      <c r="R1378">
        <f>Table257[[#This Row],[RSSI]]</f>
        <v>-122</v>
      </c>
      <c r="S1378">
        <v>-8.3000000000000007</v>
      </c>
    </row>
    <row r="1379" spans="2:19" x14ac:dyDescent="0.25">
      <c r="B1379">
        <f>436+2*(Table146[[#This Row],[min value (corrected)]])</f>
        <v>440</v>
      </c>
      <c r="C1379">
        <f>MINUTE(Table146[[#This Row],[Corrected time]])</f>
        <v>2</v>
      </c>
      <c r="D1379" s="1">
        <v>0.50164944444444448</v>
      </c>
      <c r="E1379" s="1">
        <f>Table146[[#This Row],[Time]]-TIME(0,0,1)</f>
        <v>0.50163787037037044</v>
      </c>
      <c r="F1379" t="s">
        <v>13</v>
      </c>
      <c r="G1379">
        <f>G1378</f>
        <v>-122</v>
      </c>
      <c r="H1379">
        <f>Table146[[#This Row],[RSSI]]</f>
        <v>-122</v>
      </c>
      <c r="I1379">
        <f>I1378</f>
        <v>-8.8000000000000007</v>
      </c>
      <c r="L1379">
        <f>390+2*(Table257[[#This Row],[min value (corrected)]]-27)</f>
        <v>440</v>
      </c>
      <c r="M1379">
        <f>MINUTE(Table257[[#This Row],[Corrected time]])</f>
        <v>52</v>
      </c>
      <c r="N1379" s="1">
        <v>0.53628137731481484</v>
      </c>
      <c r="O1379" s="1">
        <f>Table257[[#This Row],[Time]]-TIME(0,0,3)</f>
        <v>0.53624665509259262</v>
      </c>
      <c r="P1379" t="s">
        <v>9</v>
      </c>
      <c r="Q1379">
        <v>-122</v>
      </c>
      <c r="R1379">
        <f>Table257[[#This Row],[RSSI]]</f>
        <v>-122</v>
      </c>
      <c r="S1379">
        <v>-8.8000000000000007</v>
      </c>
    </row>
    <row r="1380" spans="2:19" x14ac:dyDescent="0.25">
      <c r="B1380">
        <f>436+2*(Table146[[#This Row],[min value (corrected)]])</f>
        <v>440</v>
      </c>
      <c r="C1380">
        <f>MINUTE(Table146[[#This Row],[Corrected time]])</f>
        <v>2</v>
      </c>
      <c r="D1380" s="1">
        <v>0.50166247685185184</v>
      </c>
      <c r="E1380" s="1">
        <f>Table146[[#This Row],[Time]]-TIME(0,0,1)</f>
        <v>0.5016509027777778</v>
      </c>
      <c r="F1380" t="s">
        <v>9</v>
      </c>
      <c r="G1380">
        <v>-122</v>
      </c>
      <c r="H1380">
        <f>Table146[[#This Row],[RSSI]]</f>
        <v>-122</v>
      </c>
      <c r="I1380">
        <v>-8.8000000000000007</v>
      </c>
      <c r="L1380">
        <f>390+2*(Table257[[#This Row],[min value (corrected)]]-27)</f>
        <v>440</v>
      </c>
      <c r="M1380">
        <f>MINUTE(Table257[[#This Row],[Corrected time]])</f>
        <v>52</v>
      </c>
      <c r="N1380" s="1">
        <v>0.5362944097222222</v>
      </c>
      <c r="O1380" s="1">
        <f>Table257[[#This Row],[Time]]-TIME(0,0,3)</f>
        <v>0.53625968749999997</v>
      </c>
      <c r="P1380" t="s">
        <v>9</v>
      </c>
      <c r="Q1380">
        <v>-122</v>
      </c>
      <c r="R1380">
        <f>Table257[[#This Row],[RSSI]]</f>
        <v>-122</v>
      </c>
      <c r="S1380">
        <v>-8.5</v>
      </c>
    </row>
    <row r="1381" spans="2:19" x14ac:dyDescent="0.25">
      <c r="B1381">
        <f>436+2*(Table146[[#This Row],[min value (corrected)]])</f>
        <v>440</v>
      </c>
      <c r="C1381">
        <f>MINUTE(Table146[[#This Row],[Corrected time]])</f>
        <v>2</v>
      </c>
      <c r="D1381" s="1">
        <v>0.50167549768518516</v>
      </c>
      <c r="E1381" s="1">
        <f>Table146[[#This Row],[Time]]-TIME(0,0,1)</f>
        <v>0.50166392361111112</v>
      </c>
      <c r="F1381" t="s">
        <v>9</v>
      </c>
      <c r="G1381">
        <v>-122</v>
      </c>
      <c r="H1381">
        <f>Table146[[#This Row],[RSSI]]</f>
        <v>-122</v>
      </c>
      <c r="I1381">
        <v>-9.3000000000000007</v>
      </c>
      <c r="L1381">
        <f>390+2*(Table257[[#This Row],[min value (corrected)]]-27)</f>
        <v>440</v>
      </c>
      <c r="M1381">
        <f>MINUTE(Table257[[#This Row],[Corrected time]])</f>
        <v>52</v>
      </c>
      <c r="N1381" s="1">
        <v>0.53630744212962966</v>
      </c>
      <c r="O1381" s="1">
        <f>Table257[[#This Row],[Time]]-TIME(0,0,3)</f>
        <v>0.53627271990740744</v>
      </c>
      <c r="P1381" t="s">
        <v>9</v>
      </c>
      <c r="Q1381">
        <v>-119</v>
      </c>
      <c r="R1381">
        <f>Table257[[#This Row],[RSSI]]</f>
        <v>-119</v>
      </c>
      <c r="S1381">
        <v>-8.5</v>
      </c>
    </row>
    <row r="1382" spans="2:19" x14ac:dyDescent="0.25">
      <c r="B1382">
        <f>436+2*(Table146[[#This Row],[min value (corrected)]])</f>
        <v>440</v>
      </c>
      <c r="C1382">
        <f>MINUTE(Table146[[#This Row],[Corrected time]])</f>
        <v>2</v>
      </c>
      <c r="D1382" s="1">
        <v>0.50168853009259262</v>
      </c>
      <c r="E1382" s="1">
        <f>Table146[[#This Row],[Time]]-TIME(0,0,1)</f>
        <v>0.50167695601851858</v>
      </c>
      <c r="F1382" t="s">
        <v>9</v>
      </c>
      <c r="G1382">
        <v>-122</v>
      </c>
      <c r="H1382">
        <f>Table146[[#This Row],[RSSI]]</f>
        <v>-122</v>
      </c>
      <c r="I1382">
        <v>-8.3000000000000007</v>
      </c>
      <c r="L1382">
        <f>390+2*(Table257[[#This Row],[min value (corrected)]]-27)</f>
        <v>440</v>
      </c>
      <c r="M1382">
        <f>MINUTE(Table257[[#This Row],[Corrected time]])</f>
        <v>52</v>
      </c>
      <c r="N1382" s="1">
        <v>0.53632047453703702</v>
      </c>
      <c r="O1382" s="1">
        <f>Table257[[#This Row],[Time]]-TIME(0,0,3)</f>
        <v>0.53628575231481479</v>
      </c>
      <c r="P1382" t="s">
        <v>9</v>
      </c>
      <c r="Q1382">
        <v>-122</v>
      </c>
      <c r="R1382">
        <f>Table257[[#This Row],[RSSI]]</f>
        <v>-122</v>
      </c>
      <c r="S1382">
        <v>-9</v>
      </c>
    </row>
    <row r="1383" spans="2:19" x14ac:dyDescent="0.25">
      <c r="B1383">
        <f>436+2*(Table146[[#This Row],[min value (corrected)]])</f>
        <v>440</v>
      </c>
      <c r="C1383">
        <f>MINUTE(Table146[[#This Row],[Corrected time]])</f>
        <v>2</v>
      </c>
      <c r="D1383" s="1">
        <v>0.50170157407407412</v>
      </c>
      <c r="E1383" s="1">
        <f>Table146[[#This Row],[Time]]-TIME(0,0,1)</f>
        <v>0.50169000000000008</v>
      </c>
      <c r="F1383" t="s">
        <v>13</v>
      </c>
      <c r="G1383">
        <f>G1382</f>
        <v>-122</v>
      </c>
      <c r="H1383">
        <f>Table146[[#This Row],[RSSI]]</f>
        <v>-122</v>
      </c>
      <c r="I1383">
        <f>I1382</f>
        <v>-8.3000000000000007</v>
      </c>
      <c r="L1383">
        <f>390+2*(Table257[[#This Row],[min value (corrected)]]-27)</f>
        <v>440</v>
      </c>
      <c r="M1383">
        <f>MINUTE(Table257[[#This Row],[Corrected time]])</f>
        <v>52</v>
      </c>
      <c r="N1383" s="1">
        <v>0.53633349537037034</v>
      </c>
      <c r="O1383" s="1">
        <f>Table257[[#This Row],[Time]]-TIME(0,0,3)</f>
        <v>0.53629877314814811</v>
      </c>
      <c r="P1383" t="s">
        <v>13</v>
      </c>
      <c r="Q1383">
        <f>Q1382</f>
        <v>-122</v>
      </c>
      <c r="R1383">
        <f>Table257[[#This Row],[RSSI]]</f>
        <v>-122</v>
      </c>
      <c r="S1383">
        <f>S1382</f>
        <v>-9</v>
      </c>
    </row>
    <row r="1384" spans="2:19" x14ac:dyDescent="0.25">
      <c r="B1384">
        <f>436+2*(Table146[[#This Row],[min value (corrected)]])</f>
        <v>440</v>
      </c>
      <c r="C1384">
        <f>MINUTE(Table146[[#This Row],[Corrected time]])</f>
        <v>2</v>
      </c>
      <c r="D1384" s="1">
        <v>0.50171460648148147</v>
      </c>
      <c r="E1384" s="1">
        <f>Table146[[#This Row],[Time]]-TIME(0,0,1)</f>
        <v>0.50170303240740743</v>
      </c>
      <c r="F1384" t="s">
        <v>9</v>
      </c>
      <c r="G1384">
        <v>-122</v>
      </c>
      <c r="H1384">
        <f>Table146[[#This Row],[RSSI]]</f>
        <v>-122</v>
      </c>
      <c r="I1384">
        <v>-8.8000000000000007</v>
      </c>
      <c r="L1384">
        <f>390+2*(Table257[[#This Row],[min value (corrected)]]-27)</f>
        <v>440</v>
      </c>
      <c r="M1384">
        <f>MINUTE(Table257[[#This Row],[Corrected time]])</f>
        <v>52</v>
      </c>
      <c r="N1384" s="1">
        <v>0.53634653935185184</v>
      </c>
      <c r="O1384" s="1">
        <f>Table257[[#This Row],[Time]]-TIME(0,0,3)</f>
        <v>0.53631181712962961</v>
      </c>
      <c r="P1384" t="s">
        <v>9</v>
      </c>
      <c r="Q1384">
        <v>-122</v>
      </c>
      <c r="R1384">
        <f>Table257[[#This Row],[RSSI]]</f>
        <v>-122</v>
      </c>
      <c r="S1384">
        <v>-8.8000000000000007</v>
      </c>
    </row>
    <row r="1385" spans="2:19" x14ac:dyDescent="0.25">
      <c r="B1385">
        <f>436+2*(Table146[[#This Row],[min value (corrected)]])</f>
        <v>440</v>
      </c>
      <c r="C1385">
        <f>MINUTE(Table146[[#This Row],[Corrected time]])</f>
        <v>2</v>
      </c>
      <c r="D1385" s="1">
        <v>0.50172763888888883</v>
      </c>
      <c r="E1385" s="1">
        <f>Table146[[#This Row],[Time]]-TIME(0,0,1)</f>
        <v>0.50171606481481479</v>
      </c>
      <c r="F1385" t="s">
        <v>9</v>
      </c>
      <c r="G1385">
        <v>-122</v>
      </c>
      <c r="H1385">
        <f>Table146[[#This Row],[RSSI]]</f>
        <v>-122</v>
      </c>
      <c r="I1385">
        <v>-9</v>
      </c>
      <c r="L1385">
        <f>390+2*(Table257[[#This Row],[min value (corrected)]]-27)</f>
        <v>440</v>
      </c>
      <c r="M1385">
        <f>MINUTE(Table257[[#This Row],[Corrected time]])</f>
        <v>52</v>
      </c>
      <c r="N1385" s="1">
        <v>0.53635957175925919</v>
      </c>
      <c r="O1385" s="1">
        <f>Table257[[#This Row],[Time]]-TIME(0,0,3)</f>
        <v>0.53632484953703696</v>
      </c>
      <c r="P1385" t="s">
        <v>9</v>
      </c>
      <c r="Q1385">
        <v>-122</v>
      </c>
      <c r="R1385">
        <f>Table257[[#This Row],[RSSI]]</f>
        <v>-122</v>
      </c>
      <c r="S1385">
        <v>-8.3000000000000007</v>
      </c>
    </row>
    <row r="1386" spans="2:19" x14ac:dyDescent="0.25">
      <c r="B1386">
        <f>436+2*(Table146[[#This Row],[min value (corrected)]])</f>
        <v>440</v>
      </c>
      <c r="C1386">
        <f>MINUTE(Table146[[#This Row],[Corrected time]])</f>
        <v>2</v>
      </c>
      <c r="D1386" s="1">
        <v>0.50174065972222215</v>
      </c>
      <c r="E1386" s="1">
        <f>Table146[[#This Row],[Time]]-TIME(0,0,1)</f>
        <v>0.50172908564814811</v>
      </c>
      <c r="F1386" t="s">
        <v>9</v>
      </c>
      <c r="G1386">
        <v>-122</v>
      </c>
      <c r="H1386">
        <f>Table146[[#This Row],[RSSI]]</f>
        <v>-122</v>
      </c>
      <c r="I1386">
        <v>-8.8000000000000007</v>
      </c>
      <c r="L1386">
        <f>390+2*(Table257[[#This Row],[min value (corrected)]]-27)</f>
        <v>440</v>
      </c>
      <c r="M1386">
        <f>MINUTE(Table257[[#This Row],[Corrected time]])</f>
        <v>52</v>
      </c>
      <c r="N1386" s="1">
        <v>0.53637260416666666</v>
      </c>
      <c r="O1386" s="1">
        <f>Table257[[#This Row],[Time]]-TIME(0,0,3)</f>
        <v>0.53633788194444443</v>
      </c>
      <c r="P1386" t="s">
        <v>9</v>
      </c>
      <c r="Q1386">
        <v>-122</v>
      </c>
      <c r="R1386">
        <f>Table257[[#This Row],[RSSI]]</f>
        <v>-122</v>
      </c>
      <c r="S1386">
        <v>-8.5</v>
      </c>
    </row>
    <row r="1387" spans="2:19" x14ac:dyDescent="0.25">
      <c r="B1387">
        <f>436+2*(Table146[[#This Row],[min value (corrected)]])</f>
        <v>440</v>
      </c>
      <c r="C1387">
        <f>MINUTE(Table146[[#This Row],[Corrected time]])</f>
        <v>2</v>
      </c>
      <c r="D1387" s="1">
        <v>0.50175369212962961</v>
      </c>
      <c r="E1387" s="1">
        <f>Table146[[#This Row],[Time]]-TIME(0,0,1)</f>
        <v>0.50174211805555557</v>
      </c>
      <c r="F1387" t="s">
        <v>13</v>
      </c>
      <c r="G1387">
        <f>G1386</f>
        <v>-122</v>
      </c>
      <c r="H1387">
        <f>Table146[[#This Row],[RSSI]]</f>
        <v>-122</v>
      </c>
      <c r="I1387">
        <f>I1386</f>
        <v>-8.8000000000000007</v>
      </c>
      <c r="L1387">
        <f>390+2*(Table257[[#This Row],[min value (corrected)]]-27)</f>
        <v>440</v>
      </c>
      <c r="M1387">
        <f>MINUTE(Table257[[#This Row],[Corrected time]])</f>
        <v>52</v>
      </c>
      <c r="N1387" s="1">
        <v>0.53638563657407401</v>
      </c>
      <c r="O1387" s="1">
        <f>Table257[[#This Row],[Time]]-TIME(0,0,3)</f>
        <v>0.53635091435185178</v>
      </c>
      <c r="P1387" t="s">
        <v>9</v>
      </c>
      <c r="Q1387">
        <v>-122</v>
      </c>
      <c r="R1387">
        <f>Table257[[#This Row],[RSSI]]</f>
        <v>-122</v>
      </c>
      <c r="S1387">
        <v>-8.3000000000000007</v>
      </c>
    </row>
    <row r="1388" spans="2:19" x14ac:dyDescent="0.25">
      <c r="B1388">
        <f>436+2*(Table146[[#This Row],[min value (corrected)]])</f>
        <v>440</v>
      </c>
      <c r="C1388">
        <f>MINUTE(Table146[[#This Row],[Corrected time]])</f>
        <v>2</v>
      </c>
      <c r="D1388" s="1">
        <v>0.50176673611111111</v>
      </c>
      <c r="E1388" s="1">
        <f>Table146[[#This Row],[Time]]-TIME(0,0,1)</f>
        <v>0.50175516203703707</v>
      </c>
      <c r="F1388" t="s">
        <v>9</v>
      </c>
      <c r="G1388">
        <v>-122</v>
      </c>
      <c r="H1388">
        <f>Table146[[#This Row],[RSSI]]</f>
        <v>-122</v>
      </c>
      <c r="I1388">
        <v>-8.8000000000000007</v>
      </c>
      <c r="L1388">
        <f>390+2*(Table257[[#This Row],[min value (corrected)]]-27)</f>
        <v>440</v>
      </c>
      <c r="M1388">
        <f>MINUTE(Table257[[#This Row],[Corrected time]])</f>
        <v>52</v>
      </c>
      <c r="N1388" s="1">
        <v>0.53639866898148147</v>
      </c>
      <c r="O1388" s="1">
        <f>Table257[[#This Row],[Time]]-TIME(0,0,3)</f>
        <v>0.53636394675925925</v>
      </c>
      <c r="P1388" t="s">
        <v>9</v>
      </c>
      <c r="Q1388">
        <v>-122</v>
      </c>
      <c r="R1388">
        <f>Table257[[#This Row],[RSSI]]</f>
        <v>-122</v>
      </c>
      <c r="S1388">
        <v>-8.8000000000000007</v>
      </c>
    </row>
    <row r="1389" spans="2:19" x14ac:dyDescent="0.25">
      <c r="B1389">
        <f>436+2*(Table146[[#This Row],[min value (corrected)]])</f>
        <v>440</v>
      </c>
      <c r="C1389">
        <f>MINUTE(Table146[[#This Row],[Corrected time]])</f>
        <v>2</v>
      </c>
      <c r="D1389" s="1">
        <v>0.50177976851851847</v>
      </c>
      <c r="E1389" s="1">
        <f>Table146[[#This Row],[Time]]-TIME(0,0,1)</f>
        <v>0.50176819444444443</v>
      </c>
      <c r="F1389" t="s">
        <v>9</v>
      </c>
      <c r="G1389">
        <v>-123</v>
      </c>
      <c r="H1389">
        <f>Table146[[#This Row],[RSSI]]</f>
        <v>-123</v>
      </c>
      <c r="I1389">
        <v>-9</v>
      </c>
      <c r="L1389">
        <f>390+2*(Table257[[#This Row],[min value (corrected)]]-27)</f>
        <v>440</v>
      </c>
      <c r="M1389">
        <f>MINUTE(Table257[[#This Row],[Corrected time]])</f>
        <v>52</v>
      </c>
      <c r="N1389" s="1">
        <v>0.53641170138888883</v>
      </c>
      <c r="O1389" s="1">
        <f>Table257[[#This Row],[Time]]-TIME(0,0,3)</f>
        <v>0.5363769791666666</v>
      </c>
      <c r="P1389" t="s">
        <v>27</v>
      </c>
      <c r="Q1389">
        <f>Q1388</f>
        <v>-122</v>
      </c>
      <c r="R1389">
        <f>Table257[[#This Row],[RSSI]]</f>
        <v>-122</v>
      </c>
      <c r="S1389">
        <f>S1388</f>
        <v>-8.8000000000000007</v>
      </c>
    </row>
    <row r="1390" spans="2:19" x14ac:dyDescent="0.25">
      <c r="B1390">
        <f>436+2*(Table146[[#This Row],[min value (corrected)]])</f>
        <v>440</v>
      </c>
      <c r="C1390">
        <f>MINUTE(Table146[[#This Row],[Corrected time]])</f>
        <v>2</v>
      </c>
      <c r="D1390" s="1">
        <v>0.50179280092592593</v>
      </c>
      <c r="E1390" s="1">
        <f>Table146[[#This Row],[Time]]-TIME(0,0,1)</f>
        <v>0.50178122685185189</v>
      </c>
      <c r="F1390" t="s">
        <v>9</v>
      </c>
      <c r="G1390">
        <v>-123</v>
      </c>
      <c r="H1390">
        <f>Table146[[#This Row],[RSSI]]</f>
        <v>-123</v>
      </c>
      <c r="I1390">
        <v>-9</v>
      </c>
      <c r="L1390">
        <f>390+2*(Table257[[#This Row],[min value (corrected)]]-27)</f>
        <v>440</v>
      </c>
      <c r="M1390">
        <f>MINUTE(Table257[[#This Row],[Corrected time]])</f>
        <v>52</v>
      </c>
      <c r="N1390" s="1">
        <v>0.53642473379629629</v>
      </c>
      <c r="O1390" s="1">
        <f>Table257[[#This Row],[Time]]-TIME(0,0,3)</f>
        <v>0.53639001157407407</v>
      </c>
      <c r="P1390" t="s">
        <v>9</v>
      </c>
      <c r="Q1390">
        <v>-122</v>
      </c>
      <c r="R1390">
        <f>Table257[[#This Row],[RSSI]]</f>
        <v>-122</v>
      </c>
      <c r="S1390">
        <v>-8.8000000000000007</v>
      </c>
    </row>
    <row r="1391" spans="2:19" x14ac:dyDescent="0.25">
      <c r="B1391">
        <f>436+2*(Table146[[#This Row],[min value (corrected)]])</f>
        <v>440</v>
      </c>
      <c r="C1391">
        <f>MINUTE(Table146[[#This Row],[Corrected time]])</f>
        <v>2</v>
      </c>
      <c r="D1391" s="1">
        <v>0.50180582175925925</v>
      </c>
      <c r="E1391" s="1">
        <f>Table146[[#This Row],[Time]]-TIME(0,0,1)</f>
        <v>0.50179424768518521</v>
      </c>
      <c r="F1391" t="s">
        <v>9</v>
      </c>
      <c r="G1391">
        <v>-121</v>
      </c>
      <c r="H1391">
        <f>Table146[[#This Row],[RSSI]]</f>
        <v>-121</v>
      </c>
      <c r="I1391">
        <v>-8.3000000000000007</v>
      </c>
      <c r="L1391">
        <f>390+2*(Table257[[#This Row],[min value (corrected)]]-27)</f>
        <v>440</v>
      </c>
      <c r="M1391">
        <f>MINUTE(Table257[[#This Row],[Corrected time]])</f>
        <v>52</v>
      </c>
      <c r="N1391" s="1">
        <v>0.53643776620370365</v>
      </c>
      <c r="O1391" s="1">
        <f>Table257[[#This Row],[Time]]-TIME(0,0,3)</f>
        <v>0.53640304398148142</v>
      </c>
      <c r="P1391" t="s">
        <v>9</v>
      </c>
      <c r="Q1391">
        <v>-122</v>
      </c>
      <c r="R1391">
        <f>Table257[[#This Row],[RSSI]]</f>
        <v>-122</v>
      </c>
      <c r="S1391">
        <v>-8.3000000000000007</v>
      </c>
    </row>
    <row r="1392" spans="2:19" x14ac:dyDescent="0.25">
      <c r="B1392">
        <f>436+2*(Table146[[#This Row],[min value (corrected)]])</f>
        <v>440</v>
      </c>
      <c r="C1392">
        <f>MINUTE(Table146[[#This Row],[Corrected time]])</f>
        <v>2</v>
      </c>
      <c r="D1392" s="1">
        <v>0.50181885416666661</v>
      </c>
      <c r="E1392" s="1">
        <f>Table146[[#This Row],[Time]]-TIME(0,0,1)</f>
        <v>0.50180728009259257</v>
      </c>
      <c r="F1392" t="s">
        <v>9</v>
      </c>
      <c r="G1392">
        <v>-122</v>
      </c>
      <c r="H1392">
        <f>Table146[[#This Row],[RSSI]]</f>
        <v>-122</v>
      </c>
      <c r="I1392">
        <v>-8.5</v>
      </c>
      <c r="L1392">
        <f>390+2*(Table257[[#This Row],[min value (corrected)]]-27)</f>
        <v>440</v>
      </c>
      <c r="M1392">
        <f>MINUTE(Table257[[#This Row],[Corrected time]])</f>
        <v>52</v>
      </c>
      <c r="N1392" s="1">
        <v>0.53645079861111111</v>
      </c>
      <c r="O1392" s="1">
        <f>Table257[[#This Row],[Time]]-TIME(0,0,3)</f>
        <v>0.53641607638888888</v>
      </c>
      <c r="P1392" t="s">
        <v>9</v>
      </c>
      <c r="Q1392">
        <v>-122</v>
      </c>
      <c r="R1392">
        <f>Table257[[#This Row],[RSSI]]</f>
        <v>-122</v>
      </c>
      <c r="S1392">
        <v>-8.3000000000000007</v>
      </c>
    </row>
    <row r="1393" spans="2:19" x14ac:dyDescent="0.25">
      <c r="B1393">
        <f>436+2*(Table146[[#This Row],[min value (corrected)]])</f>
        <v>440</v>
      </c>
      <c r="C1393">
        <f>MINUTE(Table146[[#This Row],[Corrected time]])</f>
        <v>2</v>
      </c>
      <c r="D1393" s="1">
        <v>0.5018318981481481</v>
      </c>
      <c r="E1393" s="1">
        <f>Table146[[#This Row],[Time]]-TIME(0,0,1)</f>
        <v>0.50182032407407406</v>
      </c>
      <c r="F1393" t="s">
        <v>9</v>
      </c>
      <c r="G1393">
        <v>-122</v>
      </c>
      <c r="H1393">
        <f>Table146[[#This Row],[RSSI]]</f>
        <v>-122</v>
      </c>
      <c r="I1393">
        <v>-8.8000000000000007</v>
      </c>
      <c r="L1393">
        <f>390+2*(Table257[[#This Row],[min value (corrected)]]-27)</f>
        <v>440</v>
      </c>
      <c r="M1393">
        <f>MINUTE(Table257[[#This Row],[Corrected time]])</f>
        <v>52</v>
      </c>
      <c r="N1393" s="1">
        <v>0.53646383101851847</v>
      </c>
      <c r="O1393" s="1">
        <f>Table257[[#This Row],[Time]]-TIME(0,0,3)</f>
        <v>0.53642910879629624</v>
      </c>
      <c r="P1393" t="s">
        <v>9</v>
      </c>
      <c r="Q1393">
        <v>-122</v>
      </c>
      <c r="R1393">
        <f>Table257[[#This Row],[RSSI]]</f>
        <v>-122</v>
      </c>
      <c r="S1393">
        <v>-8.5</v>
      </c>
    </row>
    <row r="1394" spans="2:19" x14ac:dyDescent="0.25">
      <c r="B1394">
        <f>436+2*(Table146[[#This Row],[min value (corrected)]])</f>
        <v>440</v>
      </c>
      <c r="C1394">
        <f>MINUTE(Table146[[#This Row],[Corrected time]])</f>
        <v>2</v>
      </c>
      <c r="D1394" s="1">
        <v>0.50184491898148142</v>
      </c>
      <c r="E1394" s="1">
        <f>Table146[[#This Row],[Time]]-TIME(0,0,1)</f>
        <v>0.50183334490740739</v>
      </c>
      <c r="F1394" t="s">
        <v>9</v>
      </c>
      <c r="G1394">
        <v>-122</v>
      </c>
      <c r="H1394">
        <f>Table146[[#This Row],[RSSI]]</f>
        <v>-122</v>
      </c>
      <c r="I1394">
        <v>-8.8000000000000007</v>
      </c>
      <c r="L1394">
        <f>390+2*(Table257[[#This Row],[min value (corrected)]]-27)</f>
        <v>440</v>
      </c>
      <c r="M1394">
        <f>MINUTE(Table257[[#This Row],[Corrected time]])</f>
        <v>52</v>
      </c>
      <c r="N1394" s="1">
        <v>0.53647686342592593</v>
      </c>
      <c r="O1394" s="1">
        <f>Table257[[#This Row],[Time]]-TIME(0,0,3)</f>
        <v>0.5364421412037037</v>
      </c>
      <c r="P1394" t="s">
        <v>9</v>
      </c>
      <c r="Q1394">
        <v>-122</v>
      </c>
      <c r="R1394">
        <f>Table257[[#This Row],[RSSI]]</f>
        <v>-122</v>
      </c>
      <c r="S1394">
        <v>-8.5</v>
      </c>
    </row>
    <row r="1395" spans="2:19" x14ac:dyDescent="0.25">
      <c r="B1395">
        <f>436+2*(Table146[[#This Row],[min value (corrected)]])</f>
        <v>440</v>
      </c>
      <c r="C1395">
        <f>MINUTE(Table146[[#This Row],[Corrected time]])</f>
        <v>2</v>
      </c>
      <c r="D1395" s="1">
        <v>0.50185795138888889</v>
      </c>
      <c r="E1395" s="1">
        <f>Table146[[#This Row],[Time]]-TIME(0,0,1)</f>
        <v>0.50184637731481485</v>
      </c>
      <c r="F1395" t="s">
        <v>9</v>
      </c>
      <c r="G1395">
        <v>-123</v>
      </c>
      <c r="H1395">
        <f>Table146[[#This Row],[RSSI]]</f>
        <v>-123</v>
      </c>
      <c r="I1395">
        <v>-9</v>
      </c>
      <c r="L1395">
        <f>390+2*(Table257[[#This Row],[min value (corrected)]]-27)</f>
        <v>440</v>
      </c>
      <c r="M1395">
        <f>MINUTE(Table257[[#This Row],[Corrected time]])</f>
        <v>52</v>
      </c>
      <c r="N1395" s="1">
        <v>0.53648989583333329</v>
      </c>
      <c r="O1395" s="1">
        <f>Table257[[#This Row],[Time]]-TIME(0,0,3)</f>
        <v>0.53645517361111106</v>
      </c>
      <c r="P1395" t="s">
        <v>9</v>
      </c>
      <c r="Q1395">
        <v>-122</v>
      </c>
      <c r="R1395">
        <f>Table257[[#This Row],[RSSI]]</f>
        <v>-122</v>
      </c>
      <c r="S1395">
        <v>-8.5</v>
      </c>
    </row>
    <row r="1396" spans="2:19" x14ac:dyDescent="0.25">
      <c r="B1396">
        <f>436+2*(Table146[[#This Row],[min value (corrected)]])</f>
        <v>440</v>
      </c>
      <c r="C1396">
        <f>MINUTE(Table146[[#This Row],[Corrected time]])</f>
        <v>2</v>
      </c>
      <c r="D1396" s="1">
        <v>0.50187099537037039</v>
      </c>
      <c r="E1396" s="1">
        <f>Table146[[#This Row],[Time]]-TIME(0,0,1)</f>
        <v>0.50185942129629635</v>
      </c>
      <c r="F1396" t="s">
        <v>9</v>
      </c>
      <c r="G1396">
        <v>-122</v>
      </c>
      <c r="H1396">
        <f>Table146[[#This Row],[RSSI]]</f>
        <v>-122</v>
      </c>
      <c r="I1396">
        <v>-8.3000000000000007</v>
      </c>
      <c r="L1396">
        <f>390+2*(Table257[[#This Row],[min value (corrected)]]-27)</f>
        <v>440</v>
      </c>
      <c r="M1396">
        <f>MINUTE(Table257[[#This Row],[Corrected time]])</f>
        <v>52</v>
      </c>
      <c r="N1396" s="1">
        <v>0.53650292824074075</v>
      </c>
      <c r="O1396" s="1">
        <f>Table257[[#This Row],[Time]]-TIME(0,0,3)</f>
        <v>0.53646820601851852</v>
      </c>
      <c r="P1396" t="s">
        <v>9</v>
      </c>
      <c r="Q1396">
        <v>-122</v>
      </c>
      <c r="R1396">
        <f>Table257[[#This Row],[RSSI]]</f>
        <v>-122</v>
      </c>
      <c r="S1396">
        <v>-8.8000000000000007</v>
      </c>
    </row>
    <row r="1397" spans="2:19" x14ac:dyDescent="0.25">
      <c r="B1397">
        <f>436+2*(Table146[[#This Row],[min value (corrected)]])</f>
        <v>440</v>
      </c>
      <c r="C1397">
        <f>MINUTE(Table146[[#This Row],[Corrected time]])</f>
        <v>2</v>
      </c>
      <c r="D1397" s="1">
        <v>0.50188401620370371</v>
      </c>
      <c r="E1397" s="1">
        <f>Table146[[#This Row],[Time]]-TIME(0,0,1)</f>
        <v>0.50187244212962967</v>
      </c>
      <c r="F1397" t="s">
        <v>9</v>
      </c>
      <c r="G1397">
        <v>-122</v>
      </c>
      <c r="H1397">
        <f>Table146[[#This Row],[RSSI]]</f>
        <v>-122</v>
      </c>
      <c r="I1397">
        <v>-8.3000000000000007</v>
      </c>
      <c r="L1397">
        <f>390+2*(Table257[[#This Row],[min value (corrected)]]-27)</f>
        <v>440</v>
      </c>
      <c r="M1397">
        <f>MINUTE(Table257[[#This Row],[Corrected time]])</f>
        <v>52</v>
      </c>
      <c r="N1397" s="1">
        <v>0.5365159606481481</v>
      </c>
      <c r="O1397" s="1">
        <f>Table257[[#This Row],[Time]]-TIME(0,0,3)</f>
        <v>0.53648123842592588</v>
      </c>
      <c r="P1397" t="s">
        <v>13</v>
      </c>
      <c r="Q1397">
        <f>Q1396</f>
        <v>-122</v>
      </c>
      <c r="R1397">
        <f>Table257[[#This Row],[RSSI]]</f>
        <v>-122</v>
      </c>
      <c r="S1397">
        <f>S1396</f>
        <v>-8.8000000000000007</v>
      </c>
    </row>
    <row r="1398" spans="2:19" x14ac:dyDescent="0.25">
      <c r="B1398">
        <f>436+2*(Table146[[#This Row],[min value (corrected)]])</f>
        <v>440</v>
      </c>
      <c r="C1398">
        <f>MINUTE(Table146[[#This Row],[Corrected time]])</f>
        <v>2</v>
      </c>
      <c r="D1398" s="1">
        <v>0.50189706018518521</v>
      </c>
      <c r="E1398" s="1">
        <f>Table146[[#This Row],[Time]]-TIME(0,0,1)</f>
        <v>0.50188548611111117</v>
      </c>
      <c r="F1398" t="s">
        <v>9</v>
      </c>
      <c r="G1398">
        <v>-123</v>
      </c>
      <c r="H1398">
        <f>Table146[[#This Row],[RSSI]]</f>
        <v>-123</v>
      </c>
      <c r="I1398">
        <v>-9.3000000000000007</v>
      </c>
      <c r="L1398">
        <f>390+2*(Table257[[#This Row],[min value (corrected)]]-27)</f>
        <v>440</v>
      </c>
      <c r="M1398">
        <f>MINUTE(Table257[[#This Row],[Corrected time]])</f>
        <v>52</v>
      </c>
      <c r="N1398" s="1">
        <v>0.53652898148148143</v>
      </c>
      <c r="O1398" s="1">
        <f>Table257[[#This Row],[Time]]-TIME(0,0,3)</f>
        <v>0.5364942592592592</v>
      </c>
      <c r="P1398" t="s">
        <v>9</v>
      </c>
      <c r="Q1398">
        <v>-121</v>
      </c>
      <c r="R1398">
        <f>Table257[[#This Row],[RSSI]]</f>
        <v>-121</v>
      </c>
      <c r="S1398">
        <v>-7.5</v>
      </c>
    </row>
    <row r="1399" spans="2:19" x14ac:dyDescent="0.25">
      <c r="B1399">
        <f>436+2*(Table146[[#This Row],[min value (corrected)]])</f>
        <v>440</v>
      </c>
      <c r="C1399">
        <f>MINUTE(Table146[[#This Row],[Corrected time]])</f>
        <v>2</v>
      </c>
      <c r="D1399" s="1">
        <v>0.50191009259259256</v>
      </c>
      <c r="E1399" s="1">
        <f>Table146[[#This Row],[Time]]-TIME(0,0,1)</f>
        <v>0.50189851851851852</v>
      </c>
      <c r="F1399" t="s">
        <v>9</v>
      </c>
      <c r="G1399">
        <v>-121</v>
      </c>
      <c r="H1399">
        <f>Table146[[#This Row],[RSSI]]</f>
        <v>-121</v>
      </c>
      <c r="I1399">
        <v>-8</v>
      </c>
      <c r="L1399">
        <f>390+2*(Table257[[#This Row],[min value (corrected)]]-27)</f>
        <v>440</v>
      </c>
      <c r="M1399">
        <f>MINUTE(Table257[[#This Row],[Corrected time]])</f>
        <v>52</v>
      </c>
      <c r="N1399" s="1">
        <v>0.53654202546296292</v>
      </c>
      <c r="O1399" s="1">
        <f>Table257[[#This Row],[Time]]-TIME(0,0,3)</f>
        <v>0.5365073032407407</v>
      </c>
      <c r="P1399" t="s">
        <v>9</v>
      </c>
      <c r="Q1399">
        <v>-122</v>
      </c>
      <c r="R1399">
        <f>Table257[[#This Row],[RSSI]]</f>
        <v>-122</v>
      </c>
      <c r="S1399">
        <v>-8.3000000000000007</v>
      </c>
    </row>
    <row r="1400" spans="2:19" x14ac:dyDescent="0.25">
      <c r="B1400">
        <f>436+2*(Table146[[#This Row],[min value (corrected)]])</f>
        <v>440</v>
      </c>
      <c r="C1400">
        <f>MINUTE(Table146[[#This Row],[Corrected time]])</f>
        <v>2</v>
      </c>
      <c r="D1400" s="1">
        <v>0.50192311342592588</v>
      </c>
      <c r="E1400" s="1">
        <f>Table146[[#This Row],[Time]]-TIME(0,0,1)</f>
        <v>0.50191153935185184</v>
      </c>
      <c r="F1400" t="s">
        <v>13</v>
      </c>
      <c r="G1400">
        <f t="shared" ref="G1400:G1401" si="187">G1399</f>
        <v>-121</v>
      </c>
      <c r="H1400">
        <f>Table146[[#This Row],[RSSI]]</f>
        <v>-121</v>
      </c>
      <c r="I1400">
        <f t="shared" ref="I1400:I1401" si="188">I1399</f>
        <v>-8</v>
      </c>
      <c r="L1400">
        <f>390+2*(Table257[[#This Row],[min value (corrected)]]-27)</f>
        <v>440</v>
      </c>
      <c r="M1400">
        <f>MINUTE(Table257[[#This Row],[Corrected time]])</f>
        <v>52</v>
      </c>
      <c r="N1400" s="1">
        <v>0.53655505787037039</v>
      </c>
      <c r="O1400" s="1">
        <f>Table257[[#This Row],[Time]]-TIME(0,0,3)</f>
        <v>0.53652033564814816</v>
      </c>
      <c r="P1400" t="s">
        <v>9</v>
      </c>
      <c r="Q1400">
        <v>-123</v>
      </c>
      <c r="R1400">
        <f>Table257[[#This Row],[RSSI]]</f>
        <v>-123</v>
      </c>
      <c r="S1400">
        <v>-9</v>
      </c>
    </row>
    <row r="1401" spans="2:19" x14ac:dyDescent="0.25">
      <c r="B1401">
        <f>436+2*(Table146[[#This Row],[min value (corrected)]])</f>
        <v>440</v>
      </c>
      <c r="C1401">
        <f>MINUTE(Table146[[#This Row],[Corrected time]])</f>
        <v>2</v>
      </c>
      <c r="D1401" s="1">
        <v>0.50193614583333335</v>
      </c>
      <c r="E1401" s="1">
        <f>Table146[[#This Row],[Time]]-TIME(0,0,1)</f>
        <v>0.50192457175925931</v>
      </c>
      <c r="F1401" t="s">
        <v>13</v>
      </c>
      <c r="G1401">
        <f t="shared" si="187"/>
        <v>-121</v>
      </c>
      <c r="H1401">
        <f>Table146[[#This Row],[RSSI]]</f>
        <v>-121</v>
      </c>
      <c r="I1401">
        <f t="shared" si="188"/>
        <v>-8</v>
      </c>
      <c r="L1401">
        <f>390+2*(Table257[[#This Row],[min value (corrected)]]-27)</f>
        <v>440</v>
      </c>
      <c r="M1401">
        <f>MINUTE(Table257[[#This Row],[Corrected time]])</f>
        <v>52</v>
      </c>
      <c r="N1401" s="1">
        <v>0.53656809027777774</v>
      </c>
      <c r="O1401" s="1">
        <f>Table257[[#This Row],[Time]]-TIME(0,0,3)</f>
        <v>0.53653336805555552</v>
      </c>
      <c r="P1401" t="s">
        <v>27</v>
      </c>
      <c r="Q1401">
        <f>Q1400</f>
        <v>-123</v>
      </c>
      <c r="R1401">
        <f>Table257[[#This Row],[RSSI]]</f>
        <v>-123</v>
      </c>
      <c r="S1401">
        <f>S1400</f>
        <v>-9</v>
      </c>
    </row>
    <row r="1402" spans="2:19" x14ac:dyDescent="0.25">
      <c r="B1402">
        <f>436+2*(Table146[[#This Row],[min value (corrected)]])</f>
        <v>440</v>
      </c>
      <c r="C1402">
        <f>MINUTE(Table146[[#This Row],[Corrected time]])</f>
        <v>2</v>
      </c>
      <c r="D1402" s="1">
        <v>0.5019491782407407</v>
      </c>
      <c r="E1402" s="1">
        <f>Table146[[#This Row],[Time]]-TIME(0,0,1)</f>
        <v>0.50193760416666666</v>
      </c>
      <c r="F1402" t="s">
        <v>9</v>
      </c>
      <c r="G1402">
        <v>-122</v>
      </c>
      <c r="H1402">
        <f>Table146[[#This Row],[RSSI]]</f>
        <v>-122</v>
      </c>
      <c r="I1402">
        <v>-8.8000000000000007</v>
      </c>
      <c r="L1402">
        <f>390+2*(Table257[[#This Row],[min value (corrected)]]-27)</f>
        <v>440</v>
      </c>
      <c r="M1402">
        <f>MINUTE(Table257[[#This Row],[Corrected time]])</f>
        <v>52</v>
      </c>
      <c r="N1402" s="1">
        <v>0.53658111111111106</v>
      </c>
      <c r="O1402" s="1">
        <f>Table257[[#This Row],[Time]]-TIME(0,0,3)</f>
        <v>0.53654638888888884</v>
      </c>
      <c r="P1402" t="s">
        <v>9</v>
      </c>
      <c r="Q1402">
        <v>-122</v>
      </c>
      <c r="R1402">
        <f>Table257[[#This Row],[RSSI]]</f>
        <v>-122</v>
      </c>
      <c r="S1402">
        <v>-8.5</v>
      </c>
    </row>
    <row r="1403" spans="2:19" x14ac:dyDescent="0.25">
      <c r="B1403">
        <f>436+2*(Table146[[#This Row],[min value (corrected)]])</f>
        <v>440</v>
      </c>
      <c r="C1403">
        <f>MINUTE(Table146[[#This Row],[Corrected time]])</f>
        <v>2</v>
      </c>
      <c r="D1403" s="1">
        <v>0.50196221064814817</v>
      </c>
      <c r="E1403" s="1">
        <f>Table146[[#This Row],[Time]]-TIME(0,0,1)</f>
        <v>0.50195063657407413</v>
      </c>
      <c r="F1403" t="s">
        <v>9</v>
      </c>
      <c r="G1403">
        <v>-123</v>
      </c>
      <c r="H1403">
        <f>Table146[[#This Row],[RSSI]]</f>
        <v>-123</v>
      </c>
      <c r="I1403">
        <v>-9.5</v>
      </c>
      <c r="L1403">
        <f>390+2*(Table257[[#This Row],[min value (corrected)]]-27)</f>
        <v>440</v>
      </c>
      <c r="M1403">
        <f>MINUTE(Table257[[#This Row],[Corrected time]])</f>
        <v>52</v>
      </c>
      <c r="N1403" s="1">
        <v>0.53659415509259256</v>
      </c>
      <c r="O1403" s="1">
        <f>Table257[[#This Row],[Time]]-TIME(0,0,3)</f>
        <v>0.53655943287037033</v>
      </c>
      <c r="P1403" t="s">
        <v>13</v>
      </c>
      <c r="Q1403">
        <f>Q1402</f>
        <v>-122</v>
      </c>
      <c r="R1403">
        <f>Table257[[#This Row],[RSSI]]</f>
        <v>-122</v>
      </c>
      <c r="S1403">
        <f>S1402</f>
        <v>-8.5</v>
      </c>
    </row>
    <row r="1404" spans="2:19" x14ac:dyDescent="0.25">
      <c r="B1404">
        <f>436+2*(Table146[[#This Row],[min value (corrected)]])</f>
        <v>440</v>
      </c>
      <c r="C1404">
        <f>MINUTE(Table146[[#This Row],[Corrected time]])</f>
        <v>2</v>
      </c>
      <c r="D1404" s="1">
        <v>0.50197523148148149</v>
      </c>
      <c r="E1404" s="1">
        <f>Table146[[#This Row],[Time]]-TIME(0,0,1)</f>
        <v>0.50196365740740745</v>
      </c>
      <c r="F1404" t="s">
        <v>9</v>
      </c>
      <c r="G1404">
        <v>-122</v>
      </c>
      <c r="H1404">
        <f>Table146[[#This Row],[RSSI]]</f>
        <v>-122</v>
      </c>
      <c r="I1404">
        <v>-8.8000000000000007</v>
      </c>
      <c r="L1404">
        <f>390+2*(Table257[[#This Row],[min value (corrected)]]-27)</f>
        <v>440</v>
      </c>
      <c r="M1404">
        <f>MINUTE(Table257[[#This Row],[Corrected time]])</f>
        <v>52</v>
      </c>
      <c r="N1404" s="1">
        <v>0.53660718749999992</v>
      </c>
      <c r="O1404" s="1">
        <f>Table257[[#This Row],[Time]]-TIME(0,0,3)</f>
        <v>0.53657246527777769</v>
      </c>
      <c r="P1404" t="s">
        <v>9</v>
      </c>
      <c r="Q1404">
        <v>-122</v>
      </c>
      <c r="R1404">
        <f>Table257[[#This Row],[RSSI]]</f>
        <v>-122</v>
      </c>
      <c r="S1404">
        <v>-8.3000000000000007</v>
      </c>
    </row>
    <row r="1405" spans="2:19" x14ac:dyDescent="0.25">
      <c r="B1405">
        <f>436+2*(Table146[[#This Row],[min value (corrected)]])</f>
        <v>440</v>
      </c>
      <c r="C1405">
        <f>MINUTE(Table146[[#This Row],[Corrected time]])</f>
        <v>2</v>
      </c>
      <c r="D1405" s="1">
        <v>0.50198827546296287</v>
      </c>
      <c r="E1405" s="1">
        <f>Table146[[#This Row],[Time]]-TIME(0,0,1)</f>
        <v>0.50197670138888884</v>
      </c>
      <c r="F1405" t="s">
        <v>9</v>
      </c>
      <c r="G1405">
        <v>-123</v>
      </c>
      <c r="H1405">
        <f>Table146[[#This Row],[RSSI]]</f>
        <v>-123</v>
      </c>
      <c r="I1405">
        <v>-9.3000000000000007</v>
      </c>
      <c r="L1405">
        <f>390+2*(Table257[[#This Row],[min value (corrected)]]-27)</f>
        <v>440</v>
      </c>
      <c r="M1405">
        <f>MINUTE(Table257[[#This Row],[Corrected time]])</f>
        <v>52</v>
      </c>
      <c r="N1405" s="1">
        <v>0.53662021990740738</v>
      </c>
      <c r="O1405" s="1">
        <f>Table257[[#This Row],[Time]]-TIME(0,0,3)</f>
        <v>0.53658549768518515</v>
      </c>
      <c r="P1405" t="s">
        <v>27</v>
      </c>
      <c r="Q1405">
        <f>Q1404</f>
        <v>-122</v>
      </c>
      <c r="R1405">
        <f>Table257[[#This Row],[RSSI]]</f>
        <v>-122</v>
      </c>
      <c r="S1405">
        <f>S1404</f>
        <v>-8.3000000000000007</v>
      </c>
    </row>
    <row r="1406" spans="2:19" x14ac:dyDescent="0.25">
      <c r="B1406">
        <f>436+2*(Table146[[#This Row],[min value (corrected)]])</f>
        <v>440</v>
      </c>
      <c r="C1406">
        <f>MINUTE(Table146[[#This Row],[Corrected time]])</f>
        <v>2</v>
      </c>
      <c r="D1406" s="1">
        <v>0.50200130787037034</v>
      </c>
      <c r="E1406" s="1">
        <f>Table146[[#This Row],[Time]]-TIME(0,0,1)</f>
        <v>0.5019897337962963</v>
      </c>
      <c r="F1406" t="s">
        <v>9</v>
      </c>
      <c r="G1406">
        <v>-122</v>
      </c>
      <c r="H1406">
        <f>Table146[[#This Row],[RSSI]]</f>
        <v>-122</v>
      </c>
      <c r="I1406">
        <v>-8.5</v>
      </c>
      <c r="L1406">
        <f>390+2*(Table257[[#This Row],[min value (corrected)]]-27)</f>
        <v>440</v>
      </c>
      <c r="M1406">
        <f>MINUTE(Table257[[#This Row],[Corrected time]])</f>
        <v>52</v>
      </c>
      <c r="N1406" s="1">
        <v>0.53663325231481473</v>
      </c>
      <c r="O1406" s="1">
        <f>Table257[[#This Row],[Time]]-TIME(0,0,3)</f>
        <v>0.53659853009259251</v>
      </c>
      <c r="P1406" t="s">
        <v>9</v>
      </c>
      <c r="Q1406">
        <v>-121</v>
      </c>
      <c r="R1406">
        <f>Table257[[#This Row],[RSSI]]</f>
        <v>-121</v>
      </c>
      <c r="S1406">
        <v>-8</v>
      </c>
    </row>
    <row r="1407" spans="2:19" x14ac:dyDescent="0.25">
      <c r="B1407">
        <f>436+2*(Table146[[#This Row],[min value (corrected)]])</f>
        <v>440</v>
      </c>
      <c r="C1407">
        <f>MINUTE(Table146[[#This Row],[Corrected time]])</f>
        <v>2</v>
      </c>
      <c r="D1407" s="1">
        <v>0.50201434027777769</v>
      </c>
      <c r="E1407" s="1">
        <f>Table146[[#This Row],[Time]]-TIME(0,0,1)</f>
        <v>0.50200276620370365</v>
      </c>
      <c r="F1407" t="s">
        <v>13</v>
      </c>
      <c r="G1407">
        <f t="shared" ref="G1407:G1409" si="189">G1406</f>
        <v>-122</v>
      </c>
      <c r="H1407">
        <f>Table146[[#This Row],[RSSI]]</f>
        <v>-122</v>
      </c>
      <c r="I1407">
        <f t="shared" ref="I1407:I1409" si="190">I1406</f>
        <v>-8.5</v>
      </c>
      <c r="L1407">
        <f>390+2*(Table257[[#This Row],[min value (corrected)]]-27)</f>
        <v>440</v>
      </c>
      <c r="M1407">
        <f>MINUTE(Table257[[#This Row],[Corrected time]])</f>
        <v>52</v>
      </c>
      <c r="N1407" s="1">
        <v>0.53664627314814817</v>
      </c>
      <c r="O1407" s="1">
        <f>Table257[[#This Row],[Time]]-TIME(0,0,3)</f>
        <v>0.53661155092592594</v>
      </c>
      <c r="P1407" t="s">
        <v>9</v>
      </c>
      <c r="Q1407">
        <v>-123</v>
      </c>
      <c r="R1407">
        <f>Table257[[#This Row],[RSSI]]</f>
        <v>-123</v>
      </c>
      <c r="S1407">
        <v>-9</v>
      </c>
    </row>
    <row r="1408" spans="2:19" x14ac:dyDescent="0.25">
      <c r="B1408">
        <f>436+2*(Table146[[#This Row],[min value (corrected)]])</f>
        <v>440</v>
      </c>
      <c r="C1408">
        <f>MINUTE(Table146[[#This Row],[Corrected time]])</f>
        <v>2</v>
      </c>
      <c r="D1408" s="1">
        <v>0.50202737268518516</v>
      </c>
      <c r="E1408" s="1">
        <f>Table146[[#This Row],[Time]]-TIME(0,0,1)</f>
        <v>0.50201579861111112</v>
      </c>
      <c r="F1408" t="s">
        <v>27</v>
      </c>
      <c r="G1408">
        <f t="shared" si="189"/>
        <v>-122</v>
      </c>
      <c r="H1408">
        <f>Table146[[#This Row],[RSSI]]</f>
        <v>-122</v>
      </c>
      <c r="I1408">
        <f t="shared" si="190"/>
        <v>-8.5</v>
      </c>
      <c r="L1408">
        <f>390+2*(Table257[[#This Row],[min value (corrected)]]-27)</f>
        <v>440</v>
      </c>
      <c r="M1408">
        <f>MINUTE(Table257[[#This Row],[Corrected time]])</f>
        <v>52</v>
      </c>
      <c r="N1408" s="1">
        <v>0.53665931712962955</v>
      </c>
      <c r="O1408" s="1">
        <f>Table257[[#This Row],[Time]]-TIME(0,0,3)</f>
        <v>0.53662459490740733</v>
      </c>
      <c r="P1408" t="s">
        <v>9</v>
      </c>
      <c r="Q1408">
        <v>-122</v>
      </c>
      <c r="R1408">
        <f>Table257[[#This Row],[RSSI]]</f>
        <v>-122</v>
      </c>
      <c r="S1408">
        <v>-8.5</v>
      </c>
    </row>
    <row r="1409" spans="2:19" x14ac:dyDescent="0.25">
      <c r="B1409">
        <f>436+2*(Table146[[#This Row],[min value (corrected)]])</f>
        <v>440</v>
      </c>
      <c r="C1409">
        <f>MINUTE(Table146[[#This Row],[Corrected time]])</f>
        <v>2</v>
      </c>
      <c r="D1409" s="1">
        <v>0.50204040509259251</v>
      </c>
      <c r="E1409" s="1">
        <f>Table146[[#This Row],[Time]]-TIME(0,0,1)</f>
        <v>0.50202883101851847</v>
      </c>
      <c r="F1409" t="s">
        <v>13</v>
      </c>
      <c r="G1409">
        <f t="shared" si="189"/>
        <v>-122</v>
      </c>
      <c r="H1409">
        <f>Table146[[#This Row],[RSSI]]</f>
        <v>-122</v>
      </c>
      <c r="I1409">
        <f t="shared" si="190"/>
        <v>-8.5</v>
      </c>
      <c r="L1409">
        <f>390+2*(Table257[[#This Row],[min value (corrected)]]-27)</f>
        <v>440</v>
      </c>
      <c r="M1409">
        <f>MINUTE(Table257[[#This Row],[Corrected time]])</f>
        <v>52</v>
      </c>
      <c r="N1409" s="1">
        <v>0.53667233796296299</v>
      </c>
      <c r="O1409" s="1">
        <f>Table257[[#This Row],[Time]]-TIME(0,0,3)</f>
        <v>0.53663761574074076</v>
      </c>
      <c r="P1409" t="s">
        <v>9</v>
      </c>
      <c r="Q1409">
        <v>-121</v>
      </c>
      <c r="R1409">
        <f>Table257[[#This Row],[RSSI]]</f>
        <v>-121</v>
      </c>
      <c r="S1409">
        <v>-8.3000000000000007</v>
      </c>
    </row>
    <row r="1410" spans="2:19" x14ac:dyDescent="0.25">
      <c r="B1410">
        <f>436+2*(Table146[[#This Row],[min value (corrected)]])</f>
        <v>440</v>
      </c>
      <c r="C1410">
        <f>MINUTE(Table146[[#This Row],[Corrected time]])</f>
        <v>2</v>
      </c>
      <c r="D1410" s="1">
        <v>0.50205343749999998</v>
      </c>
      <c r="E1410" s="1">
        <f>Table146[[#This Row],[Time]]-TIME(0,0,1)</f>
        <v>0.50204186342592594</v>
      </c>
      <c r="F1410" t="s">
        <v>9</v>
      </c>
      <c r="G1410">
        <v>-122</v>
      </c>
      <c r="H1410">
        <f>Table146[[#This Row],[RSSI]]</f>
        <v>-122</v>
      </c>
      <c r="I1410">
        <v>-8.5</v>
      </c>
      <c r="L1410">
        <f>390+2*(Table257[[#This Row],[min value (corrected)]]-27)</f>
        <v>440</v>
      </c>
      <c r="M1410">
        <f>MINUTE(Table257[[#This Row],[Corrected time]])</f>
        <v>52</v>
      </c>
      <c r="N1410" s="1">
        <v>0.53668538194444437</v>
      </c>
      <c r="O1410" s="1">
        <f>Table257[[#This Row],[Time]]-TIME(0,0,3)</f>
        <v>0.53665065972222215</v>
      </c>
      <c r="P1410" t="s">
        <v>9</v>
      </c>
      <c r="Q1410">
        <v>-122</v>
      </c>
      <c r="R1410">
        <f>Table257[[#This Row],[RSSI]]</f>
        <v>-122</v>
      </c>
      <c r="S1410">
        <v>-8</v>
      </c>
    </row>
    <row r="1411" spans="2:19" x14ac:dyDescent="0.25">
      <c r="B1411">
        <f>436+2*(Table146[[#This Row],[min value (corrected)]])</f>
        <v>440</v>
      </c>
      <c r="C1411">
        <f>MINUTE(Table146[[#This Row],[Corrected time]])</f>
        <v>2</v>
      </c>
      <c r="D1411" s="1">
        <v>0.50206646990740733</v>
      </c>
      <c r="E1411" s="1">
        <f>Table146[[#This Row],[Time]]-TIME(0,0,1)</f>
        <v>0.50205489583333329</v>
      </c>
      <c r="F1411" t="s">
        <v>9</v>
      </c>
      <c r="G1411">
        <v>-122</v>
      </c>
      <c r="H1411">
        <f>Table146[[#This Row],[RSSI]]</f>
        <v>-122</v>
      </c>
      <c r="I1411">
        <v>-9.3000000000000007</v>
      </c>
      <c r="L1411">
        <f>390+2*(Table257[[#This Row],[min value (corrected)]]-27)</f>
        <v>440</v>
      </c>
      <c r="M1411">
        <f>MINUTE(Table257[[#This Row],[Corrected time]])</f>
        <v>52</v>
      </c>
      <c r="N1411" s="1">
        <v>0.53669840277777781</v>
      </c>
      <c r="O1411" s="1">
        <f>Table257[[#This Row],[Time]]-TIME(0,0,3)</f>
        <v>0.53666368055555558</v>
      </c>
      <c r="P1411" t="s">
        <v>9</v>
      </c>
      <c r="Q1411">
        <v>-122</v>
      </c>
      <c r="R1411">
        <f>Table257[[#This Row],[RSSI]]</f>
        <v>-122</v>
      </c>
      <c r="S1411">
        <v>-8.8000000000000007</v>
      </c>
    </row>
    <row r="1412" spans="2:19" x14ac:dyDescent="0.25">
      <c r="B1412">
        <f>436+2*(Table146[[#This Row],[min value (corrected)]])</f>
        <v>440</v>
      </c>
      <c r="C1412">
        <f>MINUTE(Table146[[#This Row],[Corrected time]])</f>
        <v>2</v>
      </c>
      <c r="D1412" s="1">
        <v>0.5020795023148148</v>
      </c>
      <c r="E1412" s="1">
        <f>Table146[[#This Row],[Time]]-TIME(0,0,1)</f>
        <v>0.50206792824074076</v>
      </c>
      <c r="F1412" t="s">
        <v>9</v>
      </c>
      <c r="G1412">
        <v>-122</v>
      </c>
      <c r="H1412">
        <f>Table146[[#This Row],[RSSI]]</f>
        <v>-122</v>
      </c>
      <c r="I1412">
        <v>-8.8000000000000007</v>
      </c>
      <c r="L1412">
        <f>390+2*(Table257[[#This Row],[min value (corrected)]]-27)</f>
        <v>440</v>
      </c>
      <c r="M1412">
        <f>MINUTE(Table257[[#This Row],[Corrected time]])</f>
        <v>52</v>
      </c>
      <c r="N1412" s="1">
        <v>0.53671143518518516</v>
      </c>
      <c r="O1412" s="1">
        <f>Table257[[#This Row],[Time]]-TIME(0,0,3)</f>
        <v>0.53667671296296293</v>
      </c>
      <c r="P1412" t="s">
        <v>9</v>
      </c>
      <c r="Q1412">
        <v>-122</v>
      </c>
      <c r="R1412">
        <f>Table257[[#This Row],[RSSI]]</f>
        <v>-122</v>
      </c>
      <c r="S1412">
        <v>-8.5</v>
      </c>
    </row>
    <row r="1413" spans="2:19" x14ac:dyDescent="0.25">
      <c r="B1413">
        <f>436+2*(Table146[[#This Row],[min value (corrected)]])</f>
        <v>442</v>
      </c>
      <c r="C1413">
        <f>MINUTE(Table146[[#This Row],[Corrected time]])</f>
        <v>3</v>
      </c>
      <c r="D1413" s="1">
        <v>0.50209253472222215</v>
      </c>
      <c r="E1413" s="1">
        <f>Table146[[#This Row],[Time]]-TIME(0,0,1)</f>
        <v>0.50208096064814811</v>
      </c>
      <c r="F1413" t="s">
        <v>13</v>
      </c>
      <c r="G1413">
        <f>G1412</f>
        <v>-122</v>
      </c>
      <c r="H1413">
        <f>Table146[[#This Row],[RSSI]]</f>
        <v>-122</v>
      </c>
      <c r="I1413">
        <f>I1412</f>
        <v>-8.8000000000000007</v>
      </c>
      <c r="L1413">
        <f>390+2*(Table257[[#This Row],[min value (corrected)]]-27)</f>
        <v>440</v>
      </c>
      <c r="M1413">
        <f>MINUTE(Table257[[#This Row],[Corrected time]])</f>
        <v>52</v>
      </c>
      <c r="N1413" s="1">
        <v>0.53672447916666666</v>
      </c>
      <c r="O1413" s="1">
        <f>Table257[[#This Row],[Time]]-TIME(0,0,3)</f>
        <v>0.53668975694444443</v>
      </c>
      <c r="P1413" t="s">
        <v>9</v>
      </c>
      <c r="Q1413">
        <v>-122</v>
      </c>
      <c r="R1413">
        <f>Table257[[#This Row],[RSSI]]</f>
        <v>-122</v>
      </c>
      <c r="S1413">
        <v>-8.3000000000000007</v>
      </c>
    </row>
    <row r="1414" spans="2:19" x14ac:dyDescent="0.25">
      <c r="B1414">
        <f>436+2*(Table146[[#This Row],[min value (corrected)]])</f>
        <v>442</v>
      </c>
      <c r="C1414">
        <f>MINUTE(Table146[[#This Row],[Corrected time]])</f>
        <v>3</v>
      </c>
      <c r="D1414" s="1">
        <v>0.50210556712962962</v>
      </c>
      <c r="E1414" s="1">
        <f>Table146[[#This Row],[Time]]-TIME(0,0,1)</f>
        <v>0.50209399305555558</v>
      </c>
      <c r="F1414" t="s">
        <v>9</v>
      </c>
      <c r="G1414">
        <v>-123</v>
      </c>
      <c r="H1414">
        <f>Table146[[#This Row],[RSSI]]</f>
        <v>-123</v>
      </c>
      <c r="I1414">
        <v>-9</v>
      </c>
      <c r="L1414">
        <f>390+2*(Table257[[#This Row],[min value (corrected)]]-27)</f>
        <v>440</v>
      </c>
      <c r="M1414">
        <f>MINUTE(Table257[[#This Row],[Corrected time]])</f>
        <v>52</v>
      </c>
      <c r="N1414" s="1">
        <v>0.53673751157407401</v>
      </c>
      <c r="O1414" s="1">
        <f>Table257[[#This Row],[Time]]-TIME(0,0,3)</f>
        <v>0.53670278935185178</v>
      </c>
      <c r="P1414" t="s">
        <v>9</v>
      </c>
      <c r="Q1414">
        <v>-122</v>
      </c>
      <c r="R1414">
        <f>Table257[[#This Row],[RSSI]]</f>
        <v>-122</v>
      </c>
      <c r="S1414">
        <v>-8.5</v>
      </c>
    </row>
    <row r="1415" spans="2:19" x14ac:dyDescent="0.25">
      <c r="B1415">
        <f>436+2*(Table146[[#This Row],[min value (corrected)]])</f>
        <v>442</v>
      </c>
      <c r="C1415">
        <f>MINUTE(Table146[[#This Row],[Corrected time]])</f>
        <v>3</v>
      </c>
      <c r="D1415" s="1">
        <v>0.50211859953703697</v>
      </c>
      <c r="E1415" s="1">
        <f>Table146[[#This Row],[Time]]-TIME(0,0,1)</f>
        <v>0.50210702546296293</v>
      </c>
      <c r="F1415" t="s">
        <v>13</v>
      </c>
      <c r="G1415">
        <f t="shared" ref="G1415:G1417" si="191">G1414</f>
        <v>-123</v>
      </c>
      <c r="H1415">
        <f>Table146[[#This Row],[RSSI]]</f>
        <v>-123</v>
      </c>
      <c r="I1415">
        <f t="shared" ref="I1415:I1417" si="192">I1414</f>
        <v>-9</v>
      </c>
      <c r="L1415">
        <f>390+2*(Table257[[#This Row],[min value (corrected)]]-27)</f>
        <v>440</v>
      </c>
      <c r="M1415">
        <f>MINUTE(Table257[[#This Row],[Corrected time]])</f>
        <v>52</v>
      </c>
      <c r="N1415" s="1">
        <v>0.53675054398148148</v>
      </c>
      <c r="O1415" s="1">
        <f>Table257[[#This Row],[Time]]-TIME(0,0,3)</f>
        <v>0.53671582175925925</v>
      </c>
      <c r="P1415" t="s">
        <v>13</v>
      </c>
      <c r="Q1415">
        <f>Q1414</f>
        <v>-122</v>
      </c>
      <c r="R1415">
        <f>Table257[[#This Row],[RSSI]]</f>
        <v>-122</v>
      </c>
      <c r="S1415">
        <f>S1414</f>
        <v>-8.5</v>
      </c>
    </row>
    <row r="1416" spans="2:19" x14ac:dyDescent="0.25">
      <c r="B1416">
        <f>436+2*(Table146[[#This Row],[min value (corrected)]])</f>
        <v>442</v>
      </c>
      <c r="C1416">
        <f>MINUTE(Table146[[#This Row],[Corrected time]])</f>
        <v>3</v>
      </c>
      <c r="D1416" s="1">
        <v>0.50213163194444443</v>
      </c>
      <c r="E1416" s="1">
        <f>Table146[[#This Row],[Time]]-TIME(0,0,1)</f>
        <v>0.5021200578703704</v>
      </c>
      <c r="F1416" t="s">
        <v>13</v>
      </c>
      <c r="G1416">
        <f t="shared" si="191"/>
        <v>-123</v>
      </c>
      <c r="H1416">
        <f>Table146[[#This Row],[RSSI]]</f>
        <v>-123</v>
      </c>
      <c r="I1416">
        <f t="shared" si="192"/>
        <v>-9</v>
      </c>
      <c r="L1416">
        <f>390+2*(Table257[[#This Row],[min value (corrected)]]-27)</f>
        <v>440</v>
      </c>
      <c r="M1416">
        <f>MINUTE(Table257[[#This Row],[Corrected time]])</f>
        <v>52</v>
      </c>
      <c r="N1416" s="1">
        <v>0.53676357638888883</v>
      </c>
      <c r="O1416" s="1">
        <f>Table257[[#This Row],[Time]]-TIME(0,0,3)</f>
        <v>0.5367288541666666</v>
      </c>
      <c r="P1416" t="s">
        <v>9</v>
      </c>
      <c r="Q1416">
        <v>-121</v>
      </c>
      <c r="R1416">
        <f>Table257[[#This Row],[RSSI]]</f>
        <v>-121</v>
      </c>
      <c r="S1416">
        <v>-8</v>
      </c>
    </row>
    <row r="1417" spans="2:19" x14ac:dyDescent="0.25">
      <c r="B1417">
        <f>436+2*(Table146[[#This Row],[min value (corrected)]])</f>
        <v>442</v>
      </c>
      <c r="C1417">
        <f>MINUTE(Table146[[#This Row],[Corrected time]])</f>
        <v>3</v>
      </c>
      <c r="D1417" s="1">
        <v>0.50214466435185179</v>
      </c>
      <c r="E1417" s="1">
        <f>Table146[[#This Row],[Time]]-TIME(0,0,1)</f>
        <v>0.50213309027777775</v>
      </c>
      <c r="F1417" t="s">
        <v>27</v>
      </c>
      <c r="G1417">
        <f t="shared" si="191"/>
        <v>-123</v>
      </c>
      <c r="H1417">
        <f>Table146[[#This Row],[RSSI]]</f>
        <v>-123</v>
      </c>
      <c r="I1417">
        <f t="shared" si="192"/>
        <v>-9</v>
      </c>
      <c r="L1417">
        <f>390+2*(Table257[[#This Row],[min value (corrected)]]-27)</f>
        <v>440</v>
      </c>
      <c r="M1417">
        <f>MINUTE(Table257[[#This Row],[Corrected time]])</f>
        <v>52</v>
      </c>
      <c r="N1417" s="1">
        <v>0.53677659722222226</v>
      </c>
      <c r="O1417" s="1">
        <f>Table257[[#This Row],[Time]]-TIME(0,0,3)</f>
        <v>0.53674187500000003</v>
      </c>
      <c r="P1417" t="s">
        <v>9</v>
      </c>
      <c r="Q1417">
        <v>-122</v>
      </c>
      <c r="R1417">
        <f>Table257[[#This Row],[RSSI]]</f>
        <v>-122</v>
      </c>
      <c r="S1417">
        <v>-8.8000000000000007</v>
      </c>
    </row>
    <row r="1418" spans="2:19" x14ac:dyDescent="0.25">
      <c r="B1418">
        <f>436+2*(Table146[[#This Row],[min value (corrected)]])</f>
        <v>442</v>
      </c>
      <c r="C1418">
        <f>MINUTE(Table146[[#This Row],[Corrected time]])</f>
        <v>3</v>
      </c>
      <c r="D1418" s="1">
        <v>0.50215769675925925</v>
      </c>
      <c r="E1418" s="1">
        <f>Table146[[#This Row],[Time]]-TIME(0,0,1)</f>
        <v>0.50214612268518521</v>
      </c>
      <c r="F1418" t="s">
        <v>9</v>
      </c>
      <c r="G1418">
        <v>-123</v>
      </c>
      <c r="H1418">
        <f>Table146[[#This Row],[RSSI]]</f>
        <v>-123</v>
      </c>
      <c r="I1418">
        <v>-9</v>
      </c>
      <c r="L1418">
        <f>390+2*(Table257[[#This Row],[min value (corrected)]]-27)</f>
        <v>440</v>
      </c>
      <c r="M1418">
        <f>MINUTE(Table257[[#This Row],[Corrected time]])</f>
        <v>52</v>
      </c>
      <c r="N1418" s="1">
        <v>0.53678964120370365</v>
      </c>
      <c r="O1418" s="1">
        <f>Table257[[#This Row],[Time]]-TIME(0,0,3)</f>
        <v>0.53675491898148142</v>
      </c>
      <c r="P1418" t="s">
        <v>9</v>
      </c>
      <c r="Q1418">
        <v>-122</v>
      </c>
      <c r="R1418">
        <f>Table257[[#This Row],[RSSI]]</f>
        <v>-122</v>
      </c>
      <c r="S1418">
        <v>-8.3000000000000007</v>
      </c>
    </row>
    <row r="1419" spans="2:19" x14ac:dyDescent="0.25">
      <c r="B1419">
        <f>436+2*(Table146[[#This Row],[min value (corrected)]])</f>
        <v>442</v>
      </c>
      <c r="C1419">
        <f>MINUTE(Table146[[#This Row],[Corrected time]])</f>
        <v>3</v>
      </c>
      <c r="D1419" s="1">
        <v>0.50217072916666661</v>
      </c>
      <c r="E1419" s="1">
        <f>Table146[[#This Row],[Time]]-TIME(0,0,1)</f>
        <v>0.50215915509259257</v>
      </c>
      <c r="F1419" t="s">
        <v>13</v>
      </c>
      <c r="G1419">
        <f t="shared" ref="G1419:G1422" si="193">G1418</f>
        <v>-123</v>
      </c>
      <c r="H1419">
        <f>Table146[[#This Row],[RSSI]]</f>
        <v>-123</v>
      </c>
      <c r="I1419">
        <f t="shared" ref="I1419:I1422" si="194">I1418</f>
        <v>-9</v>
      </c>
      <c r="L1419">
        <f>390+2*(Table257[[#This Row],[min value (corrected)]]-27)</f>
        <v>440</v>
      </c>
      <c r="M1419">
        <f>MINUTE(Table257[[#This Row],[Corrected time]])</f>
        <v>52</v>
      </c>
      <c r="N1419" s="1">
        <v>0.53680267361111111</v>
      </c>
      <c r="O1419" s="1">
        <f>Table257[[#This Row],[Time]]-TIME(0,0,3)</f>
        <v>0.53676795138888889</v>
      </c>
      <c r="P1419" t="s">
        <v>13</v>
      </c>
      <c r="Q1419">
        <f>Q1418</f>
        <v>-122</v>
      </c>
      <c r="R1419">
        <f>Table257[[#This Row],[RSSI]]</f>
        <v>-122</v>
      </c>
      <c r="S1419">
        <f>S1418</f>
        <v>-8.3000000000000007</v>
      </c>
    </row>
    <row r="1420" spans="2:19" x14ac:dyDescent="0.25">
      <c r="B1420">
        <f>436+2*(Table146[[#This Row],[min value (corrected)]])</f>
        <v>442</v>
      </c>
      <c r="C1420">
        <f>MINUTE(Table146[[#This Row],[Corrected time]])</f>
        <v>3</v>
      </c>
      <c r="D1420" s="1">
        <v>0.50218376157407407</v>
      </c>
      <c r="E1420" s="1">
        <f>Table146[[#This Row],[Time]]-TIME(0,0,1)</f>
        <v>0.50217218750000003</v>
      </c>
      <c r="F1420" t="s">
        <v>13</v>
      </c>
      <c r="G1420">
        <f t="shared" si="193"/>
        <v>-123</v>
      </c>
      <c r="H1420">
        <f>Table146[[#This Row],[RSSI]]</f>
        <v>-123</v>
      </c>
      <c r="I1420">
        <f t="shared" si="194"/>
        <v>-9</v>
      </c>
      <c r="L1420">
        <f>390+2*(Table257[[#This Row],[min value (corrected)]]-27)</f>
        <v>440</v>
      </c>
      <c r="M1420">
        <f>MINUTE(Table257[[#This Row],[Corrected time]])</f>
        <v>52</v>
      </c>
      <c r="N1420" s="1">
        <v>0.53681570601851847</v>
      </c>
      <c r="O1420" s="1">
        <f>Table257[[#This Row],[Time]]-TIME(0,0,3)</f>
        <v>0.53678098379629624</v>
      </c>
      <c r="P1420" t="s">
        <v>9</v>
      </c>
      <c r="Q1420">
        <v>-122</v>
      </c>
      <c r="R1420">
        <f>Table257[[#This Row],[RSSI]]</f>
        <v>-122</v>
      </c>
      <c r="S1420">
        <v>-8.3000000000000007</v>
      </c>
    </row>
    <row r="1421" spans="2:19" x14ac:dyDescent="0.25">
      <c r="B1421">
        <f>436+2*(Table146[[#This Row],[min value (corrected)]])</f>
        <v>442</v>
      </c>
      <c r="C1421">
        <f>MINUTE(Table146[[#This Row],[Corrected time]])</f>
        <v>3</v>
      </c>
      <c r="D1421" s="1">
        <v>0.50219679398148143</v>
      </c>
      <c r="E1421" s="1">
        <f>Table146[[#This Row],[Time]]-TIME(0,0,1)</f>
        <v>0.50218521990740739</v>
      </c>
      <c r="F1421" t="s">
        <v>13</v>
      </c>
      <c r="G1421">
        <f t="shared" si="193"/>
        <v>-123</v>
      </c>
      <c r="H1421">
        <f>Table146[[#This Row],[RSSI]]</f>
        <v>-123</v>
      </c>
      <c r="I1421">
        <f t="shared" si="194"/>
        <v>-9</v>
      </c>
      <c r="L1421">
        <f>390+2*(Table257[[#This Row],[min value (corrected)]]-27)</f>
        <v>440</v>
      </c>
      <c r="M1421">
        <f>MINUTE(Table257[[#This Row],[Corrected time]])</f>
        <v>52</v>
      </c>
      <c r="N1421" s="1">
        <v>0.53682873842592593</v>
      </c>
      <c r="O1421" s="1">
        <f>Table257[[#This Row],[Time]]-TIME(0,0,3)</f>
        <v>0.53679401620370371</v>
      </c>
      <c r="P1421" t="s">
        <v>9</v>
      </c>
      <c r="Q1421">
        <v>-122</v>
      </c>
      <c r="R1421">
        <f>Table257[[#This Row],[RSSI]]</f>
        <v>-122</v>
      </c>
      <c r="S1421">
        <v>-9</v>
      </c>
    </row>
    <row r="1422" spans="2:19" x14ac:dyDescent="0.25">
      <c r="B1422">
        <f>436+2*(Table146[[#This Row],[min value (corrected)]])</f>
        <v>442</v>
      </c>
      <c r="C1422">
        <f>MINUTE(Table146[[#This Row],[Corrected time]])</f>
        <v>3</v>
      </c>
      <c r="D1422" s="1">
        <v>0.50220982638888889</v>
      </c>
      <c r="E1422" s="1">
        <f>Table146[[#This Row],[Time]]-TIME(0,0,1)</f>
        <v>0.50219825231481485</v>
      </c>
      <c r="F1422" t="s">
        <v>13</v>
      </c>
      <c r="G1422">
        <f t="shared" si="193"/>
        <v>-123</v>
      </c>
      <c r="H1422">
        <f>Table146[[#This Row],[RSSI]]</f>
        <v>-123</v>
      </c>
      <c r="I1422">
        <f t="shared" si="194"/>
        <v>-9</v>
      </c>
      <c r="L1422">
        <f>390+2*(Table257[[#This Row],[min value (corrected)]]-27)</f>
        <v>442</v>
      </c>
      <c r="M1422">
        <f>MINUTE(Table257[[#This Row],[Corrected time]])</f>
        <v>53</v>
      </c>
      <c r="N1422" s="1">
        <v>0.5368417708333334</v>
      </c>
      <c r="O1422" s="1">
        <f>Table257[[#This Row],[Time]]-TIME(0,0,3)</f>
        <v>0.53680704861111117</v>
      </c>
      <c r="P1422" t="s">
        <v>9</v>
      </c>
      <c r="Q1422">
        <v>-122</v>
      </c>
      <c r="R1422">
        <f>Table257[[#This Row],[RSSI]]</f>
        <v>-122</v>
      </c>
      <c r="S1422">
        <v>-8.8000000000000007</v>
      </c>
    </row>
    <row r="1423" spans="2:19" x14ac:dyDescent="0.25">
      <c r="B1423">
        <f>436+2*(Table146[[#This Row],[min value (corrected)]])</f>
        <v>442</v>
      </c>
      <c r="C1423">
        <f>MINUTE(Table146[[#This Row],[Corrected time]])</f>
        <v>3</v>
      </c>
      <c r="D1423" s="1">
        <v>0.50222285879629625</v>
      </c>
      <c r="E1423" s="1">
        <f>Table146[[#This Row],[Time]]-TIME(0,0,1)</f>
        <v>0.50221128472222221</v>
      </c>
      <c r="F1423" t="s">
        <v>9</v>
      </c>
      <c r="G1423">
        <v>-122</v>
      </c>
      <c r="H1423">
        <f>Table146[[#This Row],[RSSI]]</f>
        <v>-122</v>
      </c>
      <c r="I1423">
        <v>-8.5</v>
      </c>
      <c r="L1423">
        <f>390+2*(Table257[[#This Row],[min value (corrected)]]-27)</f>
        <v>442</v>
      </c>
      <c r="M1423">
        <f>MINUTE(Table257[[#This Row],[Corrected time]])</f>
        <v>53</v>
      </c>
      <c r="N1423" s="1">
        <v>0.53685480324074075</v>
      </c>
      <c r="O1423" s="1">
        <f>Table257[[#This Row],[Time]]-TIME(0,0,3)</f>
        <v>0.53682008101851852</v>
      </c>
      <c r="P1423" t="s">
        <v>13</v>
      </c>
      <c r="Q1423">
        <f>Q1422</f>
        <v>-122</v>
      </c>
      <c r="R1423">
        <f>Table257[[#This Row],[RSSI]]</f>
        <v>-122</v>
      </c>
      <c r="S1423">
        <f>S1422</f>
        <v>-8.8000000000000007</v>
      </c>
    </row>
    <row r="1424" spans="2:19" x14ac:dyDescent="0.25">
      <c r="B1424">
        <f>436+2*(Table146[[#This Row],[min value (corrected)]])</f>
        <v>442</v>
      </c>
      <c r="C1424">
        <f>MINUTE(Table146[[#This Row],[Corrected time]])</f>
        <v>3</v>
      </c>
      <c r="D1424" s="1">
        <v>0.50223589120370371</v>
      </c>
      <c r="E1424" s="1">
        <f>Table146[[#This Row],[Time]]-TIME(0,0,1)</f>
        <v>0.50222431712962967</v>
      </c>
      <c r="F1424" t="s">
        <v>13</v>
      </c>
      <c r="G1424">
        <f>G1423</f>
        <v>-122</v>
      </c>
      <c r="H1424">
        <f>Table146[[#This Row],[RSSI]]</f>
        <v>-122</v>
      </c>
      <c r="I1424">
        <f>I1423</f>
        <v>-8.5</v>
      </c>
      <c r="L1424">
        <f>390+2*(Table257[[#This Row],[min value (corrected)]]-27)</f>
        <v>442</v>
      </c>
      <c r="M1424">
        <f>MINUTE(Table257[[#This Row],[Corrected time]])</f>
        <v>53</v>
      </c>
      <c r="N1424" s="1">
        <v>0.53686783564814822</v>
      </c>
      <c r="O1424" s="1">
        <f>Table257[[#This Row],[Time]]-TIME(0,0,3)</f>
        <v>0.53683311342592599</v>
      </c>
      <c r="P1424" t="s">
        <v>9</v>
      </c>
      <c r="Q1424">
        <v>-122</v>
      </c>
      <c r="R1424">
        <f>Table257[[#This Row],[RSSI]]</f>
        <v>-122</v>
      </c>
      <c r="S1424">
        <v>-8.8000000000000007</v>
      </c>
    </row>
    <row r="1425" spans="2:19" x14ac:dyDescent="0.25">
      <c r="B1425">
        <f>436+2*(Table146[[#This Row],[min value (corrected)]])</f>
        <v>442</v>
      </c>
      <c r="C1425">
        <f>MINUTE(Table146[[#This Row],[Corrected time]])</f>
        <v>3</v>
      </c>
      <c r="D1425" s="1">
        <v>0.50224892361111106</v>
      </c>
      <c r="E1425" s="1">
        <f>Table146[[#This Row],[Time]]-TIME(0,0,1)</f>
        <v>0.50223734953703703</v>
      </c>
      <c r="F1425" t="s">
        <v>9</v>
      </c>
      <c r="G1425">
        <v>-122</v>
      </c>
      <c r="H1425">
        <f>Table146[[#This Row],[RSSI]]</f>
        <v>-122</v>
      </c>
      <c r="I1425">
        <v>-8.3000000000000007</v>
      </c>
      <c r="L1425">
        <f>390+2*(Table257[[#This Row],[min value (corrected)]]-27)</f>
        <v>442</v>
      </c>
      <c r="M1425">
        <f>MINUTE(Table257[[#This Row],[Corrected time]])</f>
        <v>53</v>
      </c>
      <c r="N1425" s="1">
        <v>0.53688086805555557</v>
      </c>
      <c r="O1425" s="1">
        <f>Table257[[#This Row],[Time]]-TIME(0,0,3)</f>
        <v>0.53684614583333334</v>
      </c>
      <c r="P1425" t="s">
        <v>13</v>
      </c>
      <c r="Q1425">
        <f t="shared" ref="Q1425:Q1427" si="195">Q1424</f>
        <v>-122</v>
      </c>
      <c r="R1425">
        <f>Table257[[#This Row],[RSSI]]</f>
        <v>-122</v>
      </c>
      <c r="S1425">
        <f t="shared" ref="S1425:S1427" si="196">S1424</f>
        <v>-8.8000000000000007</v>
      </c>
    </row>
    <row r="1426" spans="2:19" x14ac:dyDescent="0.25">
      <c r="B1426">
        <f>436+2*(Table146[[#This Row],[min value (corrected)]])</f>
        <v>442</v>
      </c>
      <c r="C1426">
        <f>MINUTE(Table146[[#This Row],[Corrected time]])</f>
        <v>3</v>
      </c>
      <c r="D1426" s="1">
        <v>0.50226195601851853</v>
      </c>
      <c r="E1426" s="1">
        <f>Table146[[#This Row],[Time]]-TIME(0,0,1)</f>
        <v>0.50225038194444449</v>
      </c>
      <c r="F1426" t="s">
        <v>9</v>
      </c>
      <c r="G1426">
        <v>-123</v>
      </c>
      <c r="H1426">
        <f>Table146[[#This Row],[RSSI]]</f>
        <v>-123</v>
      </c>
      <c r="I1426">
        <v>-9.5</v>
      </c>
      <c r="L1426">
        <f>390+2*(Table257[[#This Row],[min value (corrected)]]-27)</f>
        <v>442</v>
      </c>
      <c r="M1426">
        <f>MINUTE(Table257[[#This Row],[Corrected time]])</f>
        <v>53</v>
      </c>
      <c r="N1426" s="1">
        <v>0.53689388888888889</v>
      </c>
      <c r="O1426" s="1">
        <f>Table257[[#This Row],[Time]]-TIME(0,0,3)</f>
        <v>0.53685916666666667</v>
      </c>
      <c r="P1426" t="s">
        <v>13</v>
      </c>
      <c r="Q1426">
        <f t="shared" si="195"/>
        <v>-122</v>
      </c>
      <c r="R1426">
        <f>Table257[[#This Row],[RSSI]]</f>
        <v>-122</v>
      </c>
      <c r="S1426">
        <f t="shared" si="196"/>
        <v>-8.8000000000000007</v>
      </c>
    </row>
    <row r="1427" spans="2:19" x14ac:dyDescent="0.25">
      <c r="B1427">
        <f>436+2*(Table146[[#This Row],[min value (corrected)]])</f>
        <v>442</v>
      </c>
      <c r="C1427">
        <f>MINUTE(Table146[[#This Row],[Corrected time]])</f>
        <v>3</v>
      </c>
      <c r="D1427" s="1">
        <v>0.50227498842592588</v>
      </c>
      <c r="E1427" s="1">
        <f>Table146[[#This Row],[Time]]-TIME(0,0,1)</f>
        <v>0.50226341435185184</v>
      </c>
      <c r="F1427" t="s">
        <v>13</v>
      </c>
      <c r="G1427">
        <f>G1426</f>
        <v>-123</v>
      </c>
      <c r="H1427">
        <f>Table146[[#This Row],[RSSI]]</f>
        <v>-123</v>
      </c>
      <c r="I1427">
        <f>I1426</f>
        <v>-9.5</v>
      </c>
      <c r="L1427">
        <f>390+2*(Table257[[#This Row],[min value (corrected)]]-27)</f>
        <v>442</v>
      </c>
      <c r="M1427">
        <f>MINUTE(Table257[[#This Row],[Corrected time]])</f>
        <v>53</v>
      </c>
      <c r="N1427" s="1">
        <v>0.53690693287037039</v>
      </c>
      <c r="O1427" s="1">
        <f>Table257[[#This Row],[Time]]-TIME(0,0,3)</f>
        <v>0.53687221064814816</v>
      </c>
      <c r="P1427" t="s">
        <v>13</v>
      </c>
      <c r="Q1427">
        <f t="shared" si="195"/>
        <v>-122</v>
      </c>
      <c r="R1427">
        <f>Table257[[#This Row],[RSSI]]</f>
        <v>-122</v>
      </c>
      <c r="S1427">
        <f t="shared" si="196"/>
        <v>-8.8000000000000007</v>
      </c>
    </row>
    <row r="1428" spans="2:19" x14ac:dyDescent="0.25">
      <c r="B1428">
        <f>436+2*(Table146[[#This Row],[min value (corrected)]])</f>
        <v>442</v>
      </c>
      <c r="C1428">
        <f>MINUTE(Table146[[#This Row],[Corrected time]])</f>
        <v>3</v>
      </c>
      <c r="D1428" s="1">
        <v>0.50228802083333335</v>
      </c>
      <c r="E1428" s="1">
        <f>Table146[[#This Row],[Time]]-TIME(0,0,1)</f>
        <v>0.50227644675925931</v>
      </c>
      <c r="F1428" t="s">
        <v>9</v>
      </c>
      <c r="G1428">
        <v>-122</v>
      </c>
      <c r="H1428">
        <f>Table146[[#This Row],[RSSI]]</f>
        <v>-122</v>
      </c>
      <c r="I1428">
        <v>-8.5</v>
      </c>
      <c r="L1428">
        <f>390+2*(Table257[[#This Row],[min value (corrected)]]-27)</f>
        <v>442</v>
      </c>
      <c r="M1428">
        <f>MINUTE(Table257[[#This Row],[Corrected time]])</f>
        <v>53</v>
      </c>
      <c r="N1428" s="1">
        <v>0.53691996527777786</v>
      </c>
      <c r="O1428" s="1">
        <f>Table257[[#This Row],[Time]]-TIME(0,0,3)</f>
        <v>0.53688524305555563</v>
      </c>
      <c r="P1428" t="s">
        <v>9</v>
      </c>
      <c r="Q1428">
        <v>-122</v>
      </c>
      <c r="R1428">
        <f>Table257[[#This Row],[RSSI]]</f>
        <v>-122</v>
      </c>
      <c r="S1428">
        <v>-8.8000000000000007</v>
      </c>
    </row>
    <row r="1429" spans="2:19" x14ac:dyDescent="0.25">
      <c r="B1429">
        <f>436+2*(Table146[[#This Row],[min value (corrected)]])</f>
        <v>442</v>
      </c>
      <c r="C1429">
        <f>MINUTE(Table146[[#This Row],[Corrected time]])</f>
        <v>3</v>
      </c>
      <c r="D1429" s="1">
        <v>0.50230105324074081</v>
      </c>
      <c r="E1429" s="1">
        <f>Table146[[#This Row],[Time]]-TIME(0,0,1)</f>
        <v>0.50228947916666677</v>
      </c>
      <c r="F1429" t="s">
        <v>9</v>
      </c>
      <c r="G1429">
        <v>-122</v>
      </c>
      <c r="H1429">
        <f>Table146[[#This Row],[RSSI]]</f>
        <v>-122</v>
      </c>
      <c r="I1429">
        <v>-8.8000000000000007</v>
      </c>
      <c r="L1429">
        <f>390+2*(Table257[[#This Row],[min value (corrected)]]-27)</f>
        <v>442</v>
      </c>
      <c r="M1429">
        <f>MINUTE(Table257[[#This Row],[Corrected time]])</f>
        <v>53</v>
      </c>
      <c r="N1429" s="1">
        <v>0.53693299768518521</v>
      </c>
      <c r="O1429" s="1">
        <f>Table257[[#This Row],[Time]]-TIME(0,0,3)</f>
        <v>0.53689827546296298</v>
      </c>
      <c r="P1429" t="s">
        <v>13</v>
      </c>
      <c r="Q1429">
        <f t="shared" ref="Q1429:Q1430" si="197">Q1428</f>
        <v>-122</v>
      </c>
      <c r="R1429">
        <f>Table257[[#This Row],[RSSI]]</f>
        <v>-122</v>
      </c>
      <c r="S1429">
        <f t="shared" ref="S1429:S1430" si="198">S1428</f>
        <v>-8.8000000000000007</v>
      </c>
    </row>
    <row r="1430" spans="2:19" x14ac:dyDescent="0.25">
      <c r="B1430">
        <f>436+2*(Table146[[#This Row],[min value (corrected)]])</f>
        <v>442</v>
      </c>
      <c r="C1430">
        <f>MINUTE(Table146[[#This Row],[Corrected time]])</f>
        <v>3</v>
      </c>
      <c r="D1430" s="1">
        <v>0.50231408564814817</v>
      </c>
      <c r="E1430" s="1">
        <f>Table146[[#This Row],[Time]]-TIME(0,0,1)</f>
        <v>0.50230251157407413</v>
      </c>
      <c r="F1430" t="s">
        <v>9</v>
      </c>
      <c r="G1430">
        <v>-122</v>
      </c>
      <c r="H1430">
        <f>Table146[[#This Row],[RSSI]]</f>
        <v>-122</v>
      </c>
      <c r="I1430">
        <v>-8.8000000000000007</v>
      </c>
      <c r="L1430">
        <f>390+2*(Table257[[#This Row],[min value (corrected)]]-27)</f>
        <v>442</v>
      </c>
      <c r="M1430">
        <f>MINUTE(Table257[[#This Row],[Corrected time]])</f>
        <v>53</v>
      </c>
      <c r="N1430" s="1">
        <v>0.53694603009259267</v>
      </c>
      <c r="O1430" s="1">
        <f>Table257[[#This Row],[Time]]-TIME(0,0,3)</f>
        <v>0.53691130787037045</v>
      </c>
      <c r="P1430" t="s">
        <v>13</v>
      </c>
      <c r="Q1430">
        <f t="shared" si="197"/>
        <v>-122</v>
      </c>
      <c r="R1430">
        <f>Table257[[#This Row],[RSSI]]</f>
        <v>-122</v>
      </c>
      <c r="S1430">
        <f t="shared" si="198"/>
        <v>-8.8000000000000007</v>
      </c>
    </row>
    <row r="1431" spans="2:19" x14ac:dyDescent="0.25">
      <c r="B1431">
        <f>436+2*(Table146[[#This Row],[min value (corrected)]])</f>
        <v>442</v>
      </c>
      <c r="C1431">
        <f>MINUTE(Table146[[#This Row],[Corrected time]])</f>
        <v>3</v>
      </c>
      <c r="D1431" s="1">
        <v>0.50232711805555563</v>
      </c>
      <c r="E1431" s="1">
        <f>Table146[[#This Row],[Time]]-TIME(0,0,1)</f>
        <v>0.50231554398148159</v>
      </c>
      <c r="F1431" t="s">
        <v>9</v>
      </c>
      <c r="G1431">
        <v>-120</v>
      </c>
      <c r="H1431">
        <f>Table146[[#This Row],[RSSI]]</f>
        <v>-120</v>
      </c>
      <c r="I1431">
        <v>-8</v>
      </c>
      <c r="L1431">
        <f>390+2*(Table257[[#This Row],[min value (corrected)]]-27)</f>
        <v>442</v>
      </c>
      <c r="M1431">
        <f>MINUTE(Table257[[#This Row],[Corrected time]])</f>
        <v>53</v>
      </c>
      <c r="N1431" s="1">
        <v>0.53695906250000003</v>
      </c>
      <c r="O1431" s="1">
        <f>Table257[[#This Row],[Time]]-TIME(0,0,3)</f>
        <v>0.5369243402777778</v>
      </c>
      <c r="P1431" t="s">
        <v>9</v>
      </c>
      <c r="Q1431">
        <v>-121</v>
      </c>
      <c r="R1431">
        <f>Table257[[#This Row],[RSSI]]</f>
        <v>-121</v>
      </c>
      <c r="S1431">
        <v>-8</v>
      </c>
    </row>
    <row r="1432" spans="2:19" x14ac:dyDescent="0.25">
      <c r="B1432">
        <f>436+2*(Table146[[#This Row],[min value (corrected)]])</f>
        <v>442</v>
      </c>
      <c r="C1432">
        <f>MINUTE(Table146[[#This Row],[Corrected time]])</f>
        <v>3</v>
      </c>
      <c r="D1432" s="1">
        <v>0.50234015046296299</v>
      </c>
      <c r="E1432" s="1">
        <f>Table146[[#This Row],[Time]]-TIME(0,0,1)</f>
        <v>0.50232857638888895</v>
      </c>
      <c r="F1432" t="s">
        <v>9</v>
      </c>
      <c r="G1432">
        <v>-122</v>
      </c>
      <c r="H1432">
        <f>Table146[[#This Row],[RSSI]]</f>
        <v>-122</v>
      </c>
      <c r="I1432">
        <v>-8.3000000000000007</v>
      </c>
      <c r="L1432">
        <f>390+2*(Table257[[#This Row],[min value (corrected)]]-27)</f>
        <v>442</v>
      </c>
      <c r="M1432">
        <f>MINUTE(Table257[[#This Row],[Corrected time]])</f>
        <v>53</v>
      </c>
      <c r="N1432" s="1">
        <v>0.53697209490740749</v>
      </c>
      <c r="O1432" s="1">
        <f>Table257[[#This Row],[Time]]-TIME(0,0,3)</f>
        <v>0.53693737268518527</v>
      </c>
      <c r="P1432" t="s">
        <v>9</v>
      </c>
      <c r="Q1432">
        <v>-122</v>
      </c>
      <c r="R1432">
        <f>Table257[[#This Row],[RSSI]]</f>
        <v>-122</v>
      </c>
      <c r="S1432">
        <v>-8.5</v>
      </c>
    </row>
    <row r="1433" spans="2:19" x14ac:dyDescent="0.25">
      <c r="B1433">
        <f>436+2*(Table146[[#This Row],[min value (corrected)]])</f>
        <v>442</v>
      </c>
      <c r="C1433">
        <f>MINUTE(Table146[[#This Row],[Corrected time]])</f>
        <v>3</v>
      </c>
      <c r="D1433" s="1">
        <v>0.50235318287037045</v>
      </c>
      <c r="E1433" s="1">
        <f>Table146[[#This Row],[Time]]-TIME(0,0,1)</f>
        <v>0.50234160879629641</v>
      </c>
      <c r="F1433" t="s">
        <v>9</v>
      </c>
      <c r="G1433">
        <v>-121</v>
      </c>
      <c r="H1433">
        <f>Table146[[#This Row],[RSSI]]</f>
        <v>-121</v>
      </c>
      <c r="I1433">
        <v>-8.5</v>
      </c>
      <c r="L1433">
        <f>390+2*(Table257[[#This Row],[min value (corrected)]]-27)</f>
        <v>442</v>
      </c>
      <c r="M1433">
        <f>MINUTE(Table257[[#This Row],[Corrected time]])</f>
        <v>53</v>
      </c>
      <c r="N1433" s="1">
        <v>0.53698512731481485</v>
      </c>
      <c r="O1433" s="1">
        <f>Table257[[#This Row],[Time]]-TIME(0,0,3)</f>
        <v>0.53695040509259262</v>
      </c>
      <c r="P1433" t="s">
        <v>9</v>
      </c>
      <c r="Q1433">
        <v>-123</v>
      </c>
      <c r="R1433">
        <f>Table257[[#This Row],[RSSI]]</f>
        <v>-123</v>
      </c>
      <c r="S1433">
        <v>-9</v>
      </c>
    </row>
    <row r="1434" spans="2:19" x14ac:dyDescent="0.25">
      <c r="B1434">
        <f>436+2*(Table146[[#This Row],[min value (corrected)]])</f>
        <v>442</v>
      </c>
      <c r="C1434">
        <f>MINUTE(Table146[[#This Row],[Corrected time]])</f>
        <v>3</v>
      </c>
      <c r="D1434" s="1">
        <v>0.50236621527777781</v>
      </c>
      <c r="E1434" s="1">
        <f>Table146[[#This Row],[Time]]-TIME(0,0,1)</f>
        <v>0.50235464120370377</v>
      </c>
      <c r="F1434" t="s">
        <v>13</v>
      </c>
      <c r="G1434">
        <f>G1433</f>
        <v>-121</v>
      </c>
      <c r="H1434">
        <f>Table146[[#This Row],[RSSI]]</f>
        <v>-121</v>
      </c>
      <c r="I1434">
        <f>I1433</f>
        <v>-8.5</v>
      </c>
      <c r="L1434">
        <f>390+2*(Table257[[#This Row],[min value (corrected)]]-27)</f>
        <v>442</v>
      </c>
      <c r="M1434">
        <f>MINUTE(Table257[[#This Row],[Corrected time]])</f>
        <v>53</v>
      </c>
      <c r="N1434" s="1">
        <v>0.53699815972222231</v>
      </c>
      <c r="O1434" s="1">
        <f>Table257[[#This Row],[Time]]-TIME(0,0,3)</f>
        <v>0.53696343750000008</v>
      </c>
      <c r="P1434" t="s">
        <v>13</v>
      </c>
      <c r="Q1434">
        <f>Q1433</f>
        <v>-123</v>
      </c>
      <c r="R1434">
        <f>Table257[[#This Row],[RSSI]]</f>
        <v>-123</v>
      </c>
      <c r="S1434">
        <f>S1433</f>
        <v>-9</v>
      </c>
    </row>
    <row r="1435" spans="2:19" x14ac:dyDescent="0.25">
      <c r="B1435">
        <f>436+2*(Table146[[#This Row],[min value (corrected)]])</f>
        <v>442</v>
      </c>
      <c r="C1435">
        <f>MINUTE(Table146[[#This Row],[Corrected time]])</f>
        <v>3</v>
      </c>
      <c r="D1435" s="1">
        <v>0.50237924768518527</v>
      </c>
      <c r="E1435" s="1">
        <f>Table146[[#This Row],[Time]]-TIME(0,0,1)</f>
        <v>0.50236767361111123</v>
      </c>
      <c r="F1435" t="s">
        <v>9</v>
      </c>
      <c r="G1435">
        <v>-122</v>
      </c>
      <c r="H1435">
        <f>Table146[[#This Row],[RSSI]]</f>
        <v>-122</v>
      </c>
      <c r="I1435">
        <v>-8.5</v>
      </c>
      <c r="L1435">
        <f>390+2*(Table257[[#This Row],[min value (corrected)]]-27)</f>
        <v>442</v>
      </c>
      <c r="M1435">
        <f>MINUTE(Table257[[#This Row],[Corrected time]])</f>
        <v>53</v>
      </c>
      <c r="N1435" s="1">
        <v>0.53701119212962967</v>
      </c>
      <c r="O1435" s="1">
        <f>Table257[[#This Row],[Time]]-TIME(0,0,3)</f>
        <v>0.53697646990740744</v>
      </c>
      <c r="P1435" t="s">
        <v>9</v>
      </c>
      <c r="Q1435">
        <v>-122</v>
      </c>
      <c r="R1435">
        <f>Table257[[#This Row],[RSSI]]</f>
        <v>-122</v>
      </c>
      <c r="S1435">
        <v>-8.3000000000000007</v>
      </c>
    </row>
    <row r="1436" spans="2:19" x14ac:dyDescent="0.25">
      <c r="B1436">
        <f>436+2*(Table146[[#This Row],[min value (corrected)]])</f>
        <v>442</v>
      </c>
      <c r="C1436">
        <f>MINUTE(Table146[[#This Row],[Corrected time]])</f>
        <v>3</v>
      </c>
      <c r="D1436" s="1">
        <v>0.50239228009259262</v>
      </c>
      <c r="E1436" s="1">
        <f>Table146[[#This Row],[Time]]-TIME(0,0,1)</f>
        <v>0.50238070601851859</v>
      </c>
      <c r="F1436" t="s">
        <v>9</v>
      </c>
      <c r="G1436">
        <v>-123</v>
      </c>
      <c r="H1436">
        <f>Table146[[#This Row],[RSSI]]</f>
        <v>-123</v>
      </c>
      <c r="I1436">
        <v>-9.8000000000000007</v>
      </c>
      <c r="L1436">
        <f>390+2*(Table257[[#This Row],[min value (corrected)]]-27)</f>
        <v>442</v>
      </c>
      <c r="M1436">
        <f>MINUTE(Table257[[#This Row],[Corrected time]])</f>
        <v>53</v>
      </c>
      <c r="N1436" s="1">
        <v>0.53702422453703702</v>
      </c>
      <c r="O1436" s="1">
        <f>Table257[[#This Row],[Time]]-TIME(0,0,3)</f>
        <v>0.53698950231481479</v>
      </c>
      <c r="P1436" t="s">
        <v>9</v>
      </c>
      <c r="Q1436">
        <v>-122</v>
      </c>
      <c r="R1436">
        <f>Table257[[#This Row],[RSSI]]</f>
        <v>-122</v>
      </c>
      <c r="S1436">
        <v>-8.5</v>
      </c>
    </row>
    <row r="1437" spans="2:19" x14ac:dyDescent="0.25">
      <c r="B1437">
        <f>436+2*(Table146[[#This Row],[min value (corrected)]])</f>
        <v>442</v>
      </c>
      <c r="C1437">
        <f>MINUTE(Table146[[#This Row],[Corrected time]])</f>
        <v>3</v>
      </c>
      <c r="D1437" s="1">
        <v>0.50240531250000009</v>
      </c>
      <c r="E1437" s="1">
        <f>Table146[[#This Row],[Time]]-TIME(0,0,1)</f>
        <v>0.50239373842592605</v>
      </c>
      <c r="F1437" t="s">
        <v>9</v>
      </c>
      <c r="G1437">
        <v>-123</v>
      </c>
      <c r="H1437">
        <f>Table146[[#This Row],[RSSI]]</f>
        <v>-123</v>
      </c>
      <c r="I1437">
        <v>-9.8000000000000007</v>
      </c>
      <c r="L1437">
        <f>390+2*(Table257[[#This Row],[min value (corrected)]]-27)</f>
        <v>442</v>
      </c>
      <c r="M1437">
        <f>MINUTE(Table257[[#This Row],[Corrected time]])</f>
        <v>53</v>
      </c>
      <c r="N1437" s="1">
        <v>0.53703725694444449</v>
      </c>
      <c r="O1437" s="1">
        <f>Table257[[#This Row],[Time]]-TIME(0,0,3)</f>
        <v>0.53700253472222226</v>
      </c>
      <c r="P1437" t="s">
        <v>9</v>
      </c>
      <c r="Q1437">
        <v>-122</v>
      </c>
      <c r="R1437">
        <f>Table257[[#This Row],[RSSI]]</f>
        <v>-122</v>
      </c>
      <c r="S1437">
        <v>-8.5</v>
      </c>
    </row>
    <row r="1438" spans="2:19" x14ac:dyDescent="0.25">
      <c r="B1438">
        <f>436+2*(Table146[[#This Row],[min value (corrected)]])</f>
        <v>442</v>
      </c>
      <c r="C1438">
        <f>MINUTE(Table146[[#This Row],[Corrected time]])</f>
        <v>3</v>
      </c>
      <c r="D1438" s="1">
        <v>0.50241834490740744</v>
      </c>
      <c r="E1438" s="1">
        <f>Table146[[#This Row],[Time]]-TIME(0,0,1)</f>
        <v>0.5024067708333334</v>
      </c>
      <c r="F1438" t="s">
        <v>9</v>
      </c>
      <c r="G1438">
        <v>-122</v>
      </c>
      <c r="H1438">
        <f>Table146[[#This Row],[RSSI]]</f>
        <v>-122</v>
      </c>
      <c r="I1438">
        <v>-9</v>
      </c>
      <c r="L1438">
        <f>390+2*(Table257[[#This Row],[min value (corrected)]]-27)</f>
        <v>442</v>
      </c>
      <c r="M1438">
        <f>MINUTE(Table257[[#This Row],[Corrected time]])</f>
        <v>53</v>
      </c>
      <c r="N1438" s="1">
        <v>0.53705028935185184</v>
      </c>
      <c r="O1438" s="1">
        <f>Table257[[#This Row],[Time]]-TIME(0,0,3)</f>
        <v>0.53701556712962961</v>
      </c>
      <c r="P1438" t="s">
        <v>9</v>
      </c>
      <c r="Q1438">
        <v>-122</v>
      </c>
      <c r="R1438">
        <f>Table257[[#This Row],[RSSI]]</f>
        <v>-122</v>
      </c>
      <c r="S1438">
        <v>-8.3000000000000007</v>
      </c>
    </row>
    <row r="1439" spans="2:19" x14ac:dyDescent="0.25">
      <c r="B1439">
        <f>436+2*(Table146[[#This Row],[min value (corrected)]])</f>
        <v>442</v>
      </c>
      <c r="C1439">
        <f>MINUTE(Table146[[#This Row],[Corrected time]])</f>
        <v>3</v>
      </c>
      <c r="D1439" s="1">
        <v>0.50243137731481491</v>
      </c>
      <c r="E1439" s="1">
        <f>Table146[[#This Row],[Time]]-TIME(0,0,1)</f>
        <v>0.50241980324074087</v>
      </c>
      <c r="F1439" t="s">
        <v>9</v>
      </c>
      <c r="G1439">
        <v>-122</v>
      </c>
      <c r="H1439">
        <f>Table146[[#This Row],[RSSI]]</f>
        <v>-122</v>
      </c>
      <c r="I1439">
        <v>-8.3000000000000007</v>
      </c>
      <c r="L1439">
        <f>390+2*(Table257[[#This Row],[min value (corrected)]]-27)</f>
        <v>442</v>
      </c>
      <c r="M1439">
        <f>MINUTE(Table257[[#This Row],[Corrected time]])</f>
        <v>53</v>
      </c>
      <c r="N1439" s="1">
        <v>0.53706331018518516</v>
      </c>
      <c r="O1439" s="1">
        <f>Table257[[#This Row],[Time]]-TIME(0,0,3)</f>
        <v>0.53702858796296293</v>
      </c>
      <c r="P1439" t="s">
        <v>13</v>
      </c>
      <c r="Q1439">
        <f>Q1438</f>
        <v>-122</v>
      </c>
      <c r="R1439">
        <f>Table257[[#This Row],[RSSI]]</f>
        <v>-122</v>
      </c>
      <c r="S1439">
        <f>S1438</f>
        <v>-8.3000000000000007</v>
      </c>
    </row>
    <row r="1440" spans="2:19" x14ac:dyDescent="0.25">
      <c r="B1440">
        <f>436+2*(Table146[[#This Row],[min value (corrected)]])</f>
        <v>442</v>
      </c>
      <c r="C1440">
        <f>MINUTE(Table146[[#This Row],[Corrected time]])</f>
        <v>3</v>
      </c>
      <c r="D1440" s="1">
        <v>0.50244439814814823</v>
      </c>
      <c r="E1440" s="1">
        <f>Table146[[#This Row],[Time]]-TIME(0,0,1)</f>
        <v>0.50243282407407419</v>
      </c>
      <c r="F1440" t="s">
        <v>9</v>
      </c>
      <c r="G1440">
        <v>-122</v>
      </c>
      <c r="H1440">
        <f>Table146[[#This Row],[RSSI]]</f>
        <v>-122</v>
      </c>
      <c r="I1440">
        <v>-9</v>
      </c>
      <c r="L1440">
        <f>390+2*(Table257[[#This Row],[min value (corrected)]]-27)</f>
        <v>442</v>
      </c>
      <c r="M1440">
        <f>MINUTE(Table257[[#This Row],[Corrected time]])</f>
        <v>53</v>
      </c>
      <c r="N1440" s="1">
        <v>0.53707635416666666</v>
      </c>
      <c r="O1440" s="1">
        <f>Table257[[#This Row],[Time]]-TIME(0,0,3)</f>
        <v>0.53704163194444443</v>
      </c>
      <c r="P1440" t="s">
        <v>9</v>
      </c>
      <c r="Q1440">
        <v>-122</v>
      </c>
      <c r="R1440">
        <f>Table257[[#This Row],[RSSI]]</f>
        <v>-122</v>
      </c>
      <c r="S1440">
        <v>-8.8000000000000007</v>
      </c>
    </row>
    <row r="1441" spans="2:19" x14ac:dyDescent="0.25">
      <c r="B1441">
        <f>436+2*(Table146[[#This Row],[min value (corrected)]])</f>
        <v>442</v>
      </c>
      <c r="C1441">
        <f>MINUTE(Table146[[#This Row],[Corrected time]])</f>
        <v>3</v>
      </c>
      <c r="D1441" s="1">
        <v>0.50245744212962962</v>
      </c>
      <c r="E1441" s="1">
        <f>Table146[[#This Row],[Time]]-TIME(0,0,1)</f>
        <v>0.50244586805555558</v>
      </c>
      <c r="F1441" t="s">
        <v>13</v>
      </c>
      <c r="G1441">
        <f>G1440</f>
        <v>-122</v>
      </c>
      <c r="H1441">
        <f>Table146[[#This Row],[RSSI]]</f>
        <v>-122</v>
      </c>
      <c r="I1441">
        <f>I1440</f>
        <v>-9</v>
      </c>
      <c r="L1441">
        <f>390+2*(Table257[[#This Row],[min value (corrected)]]-27)</f>
        <v>442</v>
      </c>
      <c r="M1441">
        <f>MINUTE(Table257[[#This Row],[Corrected time]])</f>
        <v>53</v>
      </c>
      <c r="N1441" s="1">
        <v>0.53708938657407412</v>
      </c>
      <c r="O1441" s="1">
        <f>Table257[[#This Row],[Time]]-TIME(0,0,3)</f>
        <v>0.5370546643518519</v>
      </c>
      <c r="P1441" t="s">
        <v>9</v>
      </c>
      <c r="Q1441">
        <v>-122</v>
      </c>
      <c r="R1441">
        <f>Table257[[#This Row],[RSSI]]</f>
        <v>-122</v>
      </c>
      <c r="S1441">
        <v>-8.3000000000000007</v>
      </c>
    </row>
    <row r="1442" spans="2:19" x14ac:dyDescent="0.25">
      <c r="B1442">
        <f>436+2*(Table146[[#This Row],[min value (corrected)]])</f>
        <v>442</v>
      </c>
      <c r="C1442">
        <f>MINUTE(Table146[[#This Row],[Corrected time]])</f>
        <v>3</v>
      </c>
      <c r="D1442" s="1">
        <v>0.50247047453703708</v>
      </c>
      <c r="E1442" s="1">
        <f>Table146[[#This Row],[Time]]-TIME(0,0,1)</f>
        <v>0.50245890046296304</v>
      </c>
      <c r="F1442" t="s">
        <v>9</v>
      </c>
      <c r="G1442">
        <v>-122</v>
      </c>
      <c r="H1442">
        <f>Table146[[#This Row],[RSSI]]</f>
        <v>-122</v>
      </c>
      <c r="I1442">
        <v>-8.8000000000000007</v>
      </c>
      <c r="L1442">
        <f>390+2*(Table257[[#This Row],[min value (corrected)]]-27)</f>
        <v>442</v>
      </c>
      <c r="M1442">
        <f>MINUTE(Table257[[#This Row],[Corrected time]])</f>
        <v>53</v>
      </c>
      <c r="N1442" s="1">
        <v>0.53710240740740745</v>
      </c>
      <c r="O1442" s="1">
        <f>Table257[[#This Row],[Time]]-TIME(0,0,3)</f>
        <v>0.53706768518518522</v>
      </c>
      <c r="P1442" t="s">
        <v>9</v>
      </c>
      <c r="Q1442">
        <v>-122</v>
      </c>
      <c r="R1442">
        <f>Table257[[#This Row],[RSSI]]</f>
        <v>-122</v>
      </c>
      <c r="S1442">
        <v>-8.5</v>
      </c>
    </row>
    <row r="1443" spans="2:19" x14ac:dyDescent="0.25">
      <c r="B1443">
        <f>436+2*(Table146[[#This Row],[min value (corrected)]])</f>
        <v>442</v>
      </c>
      <c r="C1443">
        <f>MINUTE(Table146[[#This Row],[Corrected time]])</f>
        <v>3</v>
      </c>
      <c r="D1443" s="1">
        <v>0.50248350694444444</v>
      </c>
      <c r="E1443" s="1">
        <f>Table146[[#This Row],[Time]]-TIME(0,0,1)</f>
        <v>0.5024719328703704</v>
      </c>
      <c r="F1443" t="s">
        <v>13</v>
      </c>
      <c r="G1443">
        <f>G1442</f>
        <v>-122</v>
      </c>
      <c r="H1443">
        <f>Table146[[#This Row],[RSSI]]</f>
        <v>-122</v>
      </c>
      <c r="I1443">
        <f>I1442</f>
        <v>-8.8000000000000007</v>
      </c>
      <c r="L1443">
        <f>390+2*(Table257[[#This Row],[min value (corrected)]]-27)</f>
        <v>442</v>
      </c>
      <c r="M1443">
        <f>MINUTE(Table257[[#This Row],[Corrected time]])</f>
        <v>53</v>
      </c>
      <c r="N1443" s="1">
        <v>0.5371154398148148</v>
      </c>
      <c r="O1443" s="1">
        <f>Table257[[#This Row],[Time]]-TIME(0,0,3)</f>
        <v>0.53708071759259257</v>
      </c>
      <c r="P1443" t="s">
        <v>9</v>
      </c>
      <c r="Q1443">
        <v>-121</v>
      </c>
      <c r="R1443">
        <f>Table257[[#This Row],[RSSI]]</f>
        <v>-121</v>
      </c>
      <c r="S1443">
        <v>-8</v>
      </c>
    </row>
    <row r="1444" spans="2:19" x14ac:dyDescent="0.25">
      <c r="B1444">
        <f>436+2*(Table146[[#This Row],[min value (corrected)]])</f>
        <v>442</v>
      </c>
      <c r="C1444">
        <f>MINUTE(Table146[[#This Row],[Corrected time]])</f>
        <v>3</v>
      </c>
      <c r="D1444" s="1">
        <v>0.50249652777777776</v>
      </c>
      <c r="E1444" s="1">
        <f>Table146[[#This Row],[Time]]-TIME(0,0,1)</f>
        <v>0.50248495370370372</v>
      </c>
      <c r="F1444" t="s">
        <v>9</v>
      </c>
      <c r="G1444">
        <v>-123</v>
      </c>
      <c r="H1444">
        <f>Table146[[#This Row],[RSSI]]</f>
        <v>-123</v>
      </c>
      <c r="I1444">
        <v>-9.5</v>
      </c>
      <c r="L1444">
        <f>390+2*(Table257[[#This Row],[min value (corrected)]]-27)</f>
        <v>442</v>
      </c>
      <c r="M1444">
        <f>MINUTE(Table257[[#This Row],[Corrected time]])</f>
        <v>53</v>
      </c>
      <c r="N1444" s="1">
        <v>0.53712847222222226</v>
      </c>
      <c r="O1444" s="1">
        <f>Table257[[#This Row],[Time]]-TIME(0,0,3)</f>
        <v>0.53709375000000004</v>
      </c>
      <c r="P1444" t="s">
        <v>9</v>
      </c>
      <c r="Q1444">
        <v>-122</v>
      </c>
      <c r="R1444">
        <f>Table257[[#This Row],[RSSI]]</f>
        <v>-122</v>
      </c>
      <c r="S1444">
        <v>-9</v>
      </c>
    </row>
    <row r="1445" spans="2:19" x14ac:dyDescent="0.25">
      <c r="B1445">
        <f>436+2*(Table146[[#This Row],[min value (corrected)]])</f>
        <v>442</v>
      </c>
      <c r="C1445">
        <f>MINUTE(Table146[[#This Row],[Corrected time]])</f>
        <v>3</v>
      </c>
      <c r="D1445" s="1">
        <v>0.50250957175925925</v>
      </c>
      <c r="E1445" s="1">
        <f>Table146[[#This Row],[Time]]-TIME(0,0,1)</f>
        <v>0.50249799768518522</v>
      </c>
      <c r="F1445" t="s">
        <v>9</v>
      </c>
      <c r="G1445">
        <v>-122</v>
      </c>
      <c r="H1445">
        <f>Table146[[#This Row],[RSSI]]</f>
        <v>-122</v>
      </c>
      <c r="I1445">
        <v>-8.5</v>
      </c>
      <c r="L1445">
        <f>390+2*(Table257[[#This Row],[min value (corrected)]]-27)</f>
        <v>442</v>
      </c>
      <c r="M1445">
        <f>MINUTE(Table257[[#This Row],[Corrected time]])</f>
        <v>53</v>
      </c>
      <c r="N1445" s="1">
        <v>0.53714151620370376</v>
      </c>
      <c r="O1445" s="1">
        <f>Table257[[#This Row],[Time]]-TIME(0,0,3)</f>
        <v>0.53710679398148153</v>
      </c>
      <c r="P1445" t="s">
        <v>9</v>
      </c>
      <c r="Q1445">
        <v>-122</v>
      </c>
      <c r="R1445">
        <f>Table257[[#This Row],[RSSI]]</f>
        <v>-122</v>
      </c>
      <c r="S1445">
        <v>-8.5</v>
      </c>
    </row>
    <row r="1446" spans="2:19" x14ac:dyDescent="0.25">
      <c r="B1446">
        <f>436+2*(Table146[[#This Row],[min value (corrected)]])</f>
        <v>442</v>
      </c>
      <c r="C1446">
        <f>MINUTE(Table146[[#This Row],[Corrected time]])</f>
        <v>3</v>
      </c>
      <c r="D1446" s="1">
        <v>0.50252260416666672</v>
      </c>
      <c r="E1446" s="1">
        <f>Table146[[#This Row],[Time]]-TIME(0,0,1)</f>
        <v>0.50251103009259268</v>
      </c>
      <c r="F1446" t="s">
        <v>9</v>
      </c>
      <c r="G1446">
        <v>-122</v>
      </c>
      <c r="H1446">
        <f>Table146[[#This Row],[RSSI]]</f>
        <v>-122</v>
      </c>
      <c r="I1446">
        <v>-8.3000000000000007</v>
      </c>
      <c r="L1446">
        <f>390+2*(Table257[[#This Row],[min value (corrected)]]-27)</f>
        <v>442</v>
      </c>
      <c r="M1446">
        <f>MINUTE(Table257[[#This Row],[Corrected time]])</f>
        <v>53</v>
      </c>
      <c r="N1446" s="1">
        <v>0.53715453703703708</v>
      </c>
      <c r="O1446" s="1">
        <f>Table257[[#This Row],[Time]]-TIME(0,0,3)</f>
        <v>0.53711981481481486</v>
      </c>
      <c r="P1446" t="s">
        <v>13</v>
      </c>
      <c r="Q1446">
        <f t="shared" ref="Q1446:Q1448" si="199">Q1445</f>
        <v>-122</v>
      </c>
      <c r="R1446">
        <f>Table257[[#This Row],[RSSI]]</f>
        <v>-122</v>
      </c>
      <c r="S1446">
        <f t="shared" ref="S1446:S1448" si="200">S1445</f>
        <v>-8.5</v>
      </c>
    </row>
    <row r="1447" spans="2:19" x14ac:dyDescent="0.25">
      <c r="B1447">
        <f>436+2*(Table146[[#This Row],[min value (corrected)]])</f>
        <v>442</v>
      </c>
      <c r="C1447">
        <f>MINUTE(Table146[[#This Row],[Corrected time]])</f>
        <v>3</v>
      </c>
      <c r="D1447" s="1">
        <v>0.50253563657407407</v>
      </c>
      <c r="E1447" s="1">
        <f>Table146[[#This Row],[Time]]-TIME(0,0,1)</f>
        <v>0.50252406250000003</v>
      </c>
      <c r="F1447" t="s">
        <v>9</v>
      </c>
      <c r="G1447">
        <v>-122</v>
      </c>
      <c r="H1447">
        <f>Table146[[#This Row],[RSSI]]</f>
        <v>-122</v>
      </c>
      <c r="I1447">
        <v>-8.5</v>
      </c>
      <c r="L1447">
        <f>390+2*(Table257[[#This Row],[min value (corrected)]]-27)</f>
        <v>442</v>
      </c>
      <c r="M1447">
        <f>MINUTE(Table257[[#This Row],[Corrected time]])</f>
        <v>53</v>
      </c>
      <c r="N1447" s="1">
        <v>0.53716758101851858</v>
      </c>
      <c r="O1447" s="1">
        <f>Table257[[#This Row],[Time]]-TIME(0,0,3)</f>
        <v>0.53713285879629635</v>
      </c>
      <c r="P1447" t="s">
        <v>13</v>
      </c>
      <c r="Q1447">
        <f t="shared" si="199"/>
        <v>-122</v>
      </c>
      <c r="R1447">
        <f>Table257[[#This Row],[RSSI]]</f>
        <v>-122</v>
      </c>
      <c r="S1447">
        <f t="shared" si="200"/>
        <v>-8.5</v>
      </c>
    </row>
    <row r="1448" spans="2:19" x14ac:dyDescent="0.25">
      <c r="B1448">
        <f>436+2*(Table146[[#This Row],[min value (corrected)]])</f>
        <v>442</v>
      </c>
      <c r="C1448">
        <f>MINUTE(Table146[[#This Row],[Corrected time]])</f>
        <v>3</v>
      </c>
      <c r="D1448" s="1">
        <v>0.50254866898148154</v>
      </c>
      <c r="E1448" s="1">
        <f>Table146[[#This Row],[Time]]-TIME(0,0,1)</f>
        <v>0.5025370949074075</v>
      </c>
      <c r="F1448" t="s">
        <v>9</v>
      </c>
      <c r="G1448">
        <v>-122</v>
      </c>
      <c r="H1448">
        <f>Table146[[#This Row],[RSSI]]</f>
        <v>-122</v>
      </c>
      <c r="I1448">
        <v>-8.8000000000000007</v>
      </c>
      <c r="L1448">
        <f>390+2*(Table257[[#This Row],[min value (corrected)]]-27)</f>
        <v>442</v>
      </c>
      <c r="M1448">
        <f>MINUTE(Table257[[#This Row],[Corrected time]])</f>
        <v>53</v>
      </c>
      <c r="N1448" s="1">
        <v>0.53718061342592593</v>
      </c>
      <c r="O1448" s="1">
        <f>Table257[[#This Row],[Time]]-TIME(0,0,3)</f>
        <v>0.53714589120370371</v>
      </c>
      <c r="P1448" t="s">
        <v>13</v>
      </c>
      <c r="Q1448">
        <f t="shared" si="199"/>
        <v>-122</v>
      </c>
      <c r="R1448">
        <f>Table257[[#This Row],[RSSI]]</f>
        <v>-122</v>
      </c>
      <c r="S1448">
        <f t="shared" si="200"/>
        <v>-8.5</v>
      </c>
    </row>
    <row r="1449" spans="2:19" x14ac:dyDescent="0.25">
      <c r="B1449">
        <f>436+2*(Table146[[#This Row],[min value (corrected)]])</f>
        <v>442</v>
      </c>
      <c r="C1449">
        <f>MINUTE(Table146[[#This Row],[Corrected time]])</f>
        <v>3</v>
      </c>
      <c r="D1449" s="1">
        <v>0.50256170138888889</v>
      </c>
      <c r="E1449" s="1">
        <f>Table146[[#This Row],[Time]]-TIME(0,0,1)</f>
        <v>0.50255012731481485</v>
      </c>
      <c r="F1449" t="s">
        <v>9</v>
      </c>
      <c r="G1449">
        <v>-122</v>
      </c>
      <c r="H1449">
        <f>Table146[[#This Row],[RSSI]]</f>
        <v>-122</v>
      </c>
      <c r="I1449">
        <v>-8.5</v>
      </c>
      <c r="L1449">
        <f>390+2*(Table257[[#This Row],[min value (corrected)]]-27)</f>
        <v>442</v>
      </c>
      <c r="M1449">
        <f>MINUTE(Table257[[#This Row],[Corrected time]])</f>
        <v>53</v>
      </c>
      <c r="N1449" s="1">
        <v>0.5371936458333334</v>
      </c>
      <c r="O1449" s="1">
        <f>Table257[[#This Row],[Time]]-TIME(0,0,3)</f>
        <v>0.53715892361111117</v>
      </c>
      <c r="P1449" t="s">
        <v>9</v>
      </c>
      <c r="Q1449">
        <v>-123</v>
      </c>
      <c r="R1449">
        <f>Table257[[#This Row],[RSSI]]</f>
        <v>-123</v>
      </c>
      <c r="S1449">
        <v>-9.3000000000000007</v>
      </c>
    </row>
    <row r="1450" spans="2:19" x14ac:dyDescent="0.25">
      <c r="B1450">
        <f>436+2*(Table146[[#This Row],[min value (corrected)]])</f>
        <v>442</v>
      </c>
      <c r="C1450">
        <f>MINUTE(Table146[[#This Row],[Corrected time]])</f>
        <v>3</v>
      </c>
      <c r="D1450" s="1">
        <v>0.50257473379629636</v>
      </c>
      <c r="E1450" s="1">
        <f>Table146[[#This Row],[Time]]-TIME(0,0,1)</f>
        <v>0.50256315972222232</v>
      </c>
      <c r="F1450" t="s">
        <v>9</v>
      </c>
      <c r="G1450">
        <v>-122</v>
      </c>
      <c r="H1450">
        <f>Table146[[#This Row],[RSSI]]</f>
        <v>-122</v>
      </c>
      <c r="I1450">
        <v>-9</v>
      </c>
      <c r="L1450">
        <f>390+2*(Table257[[#This Row],[min value (corrected)]]-27)</f>
        <v>442</v>
      </c>
      <c r="M1450">
        <f>MINUTE(Table257[[#This Row],[Corrected time]])</f>
        <v>53</v>
      </c>
      <c r="N1450" s="1">
        <v>0.53720667824074075</v>
      </c>
      <c r="O1450" s="1">
        <f>Table257[[#This Row],[Time]]-TIME(0,0,3)</f>
        <v>0.53717195601851853</v>
      </c>
      <c r="P1450" t="s">
        <v>9</v>
      </c>
      <c r="Q1450">
        <v>-123</v>
      </c>
      <c r="R1450">
        <f>Table257[[#This Row],[RSSI]]</f>
        <v>-123</v>
      </c>
      <c r="S1450">
        <v>-9</v>
      </c>
    </row>
    <row r="1451" spans="2:19" x14ac:dyDescent="0.25">
      <c r="B1451">
        <f>436+2*(Table146[[#This Row],[min value (corrected)]])</f>
        <v>442</v>
      </c>
      <c r="C1451">
        <f>MINUTE(Table146[[#This Row],[Corrected time]])</f>
        <v>3</v>
      </c>
      <c r="D1451" s="1">
        <v>0.50258775462962968</v>
      </c>
      <c r="E1451" s="1">
        <f>Table146[[#This Row],[Time]]-TIME(0,0,1)</f>
        <v>0.50257618055555564</v>
      </c>
      <c r="F1451" t="s">
        <v>9</v>
      </c>
      <c r="G1451">
        <v>-122</v>
      </c>
      <c r="H1451">
        <f>Table146[[#This Row],[RSSI]]</f>
        <v>-122</v>
      </c>
      <c r="I1451">
        <v>-8.8000000000000007</v>
      </c>
      <c r="L1451">
        <f>390+2*(Table257[[#This Row],[min value (corrected)]]-27)</f>
        <v>442</v>
      </c>
      <c r="M1451">
        <f>MINUTE(Table257[[#This Row],[Corrected time]])</f>
        <v>53</v>
      </c>
      <c r="N1451" s="1">
        <v>0.53721971064814822</v>
      </c>
      <c r="O1451" s="1">
        <f>Table257[[#This Row],[Time]]-TIME(0,0,3)</f>
        <v>0.53718498842592599</v>
      </c>
      <c r="P1451" t="s">
        <v>9</v>
      </c>
      <c r="Q1451">
        <v>-122</v>
      </c>
      <c r="R1451">
        <f>Table257[[#This Row],[RSSI]]</f>
        <v>-122</v>
      </c>
      <c r="S1451">
        <v>-8.8000000000000007</v>
      </c>
    </row>
    <row r="1452" spans="2:19" x14ac:dyDescent="0.25">
      <c r="B1452">
        <f>436+2*(Table146[[#This Row],[min value (corrected)]])</f>
        <v>442</v>
      </c>
      <c r="C1452">
        <f>MINUTE(Table146[[#This Row],[Corrected time]])</f>
        <v>3</v>
      </c>
      <c r="D1452" s="1">
        <v>0.50260079861111118</v>
      </c>
      <c r="E1452" s="1">
        <f>Table146[[#This Row],[Time]]-TIME(0,0,1)</f>
        <v>0.50258922453703714</v>
      </c>
      <c r="F1452" t="s">
        <v>13</v>
      </c>
      <c r="G1452">
        <f>G1451</f>
        <v>-122</v>
      </c>
      <c r="H1452">
        <f>Table146[[#This Row],[RSSI]]</f>
        <v>-122</v>
      </c>
      <c r="I1452">
        <f>I1451</f>
        <v>-8.8000000000000007</v>
      </c>
      <c r="L1452">
        <f>390+2*(Table257[[#This Row],[min value (corrected)]]-27)</f>
        <v>442</v>
      </c>
      <c r="M1452">
        <f>MINUTE(Table257[[#This Row],[Corrected time]])</f>
        <v>53</v>
      </c>
      <c r="N1452" s="1">
        <v>0.53723273148148154</v>
      </c>
      <c r="O1452" s="1">
        <f>Table257[[#This Row],[Time]]-TIME(0,0,3)</f>
        <v>0.53719800925925931</v>
      </c>
      <c r="P1452" t="s">
        <v>13</v>
      </c>
      <c r="Q1452">
        <f>Q1451</f>
        <v>-122</v>
      </c>
      <c r="R1452">
        <f>Table257[[#This Row],[RSSI]]</f>
        <v>-122</v>
      </c>
      <c r="S1452">
        <f>S1451</f>
        <v>-8.8000000000000007</v>
      </c>
    </row>
    <row r="1453" spans="2:19" x14ac:dyDescent="0.25">
      <c r="B1453">
        <f>436+2*(Table146[[#This Row],[min value (corrected)]])</f>
        <v>442</v>
      </c>
      <c r="C1453">
        <f>MINUTE(Table146[[#This Row],[Corrected time]])</f>
        <v>3</v>
      </c>
      <c r="D1453" s="1">
        <v>0.50261383101851853</v>
      </c>
      <c r="E1453" s="1">
        <f>Table146[[#This Row],[Time]]-TIME(0,0,1)</f>
        <v>0.50260225694444449</v>
      </c>
      <c r="F1453" t="s">
        <v>9</v>
      </c>
      <c r="G1453">
        <v>-123</v>
      </c>
      <c r="H1453">
        <f>Table146[[#This Row],[RSSI]]</f>
        <v>-123</v>
      </c>
      <c r="I1453">
        <v>-9.8000000000000007</v>
      </c>
      <c r="L1453">
        <f>390+2*(Table257[[#This Row],[min value (corrected)]]-27)</f>
        <v>442</v>
      </c>
      <c r="M1453">
        <f>MINUTE(Table257[[#This Row],[Corrected time]])</f>
        <v>53</v>
      </c>
      <c r="N1453" s="1">
        <v>0.53724576388888889</v>
      </c>
      <c r="O1453" s="1">
        <f>Table257[[#This Row],[Time]]-TIME(0,0,3)</f>
        <v>0.53721104166666667</v>
      </c>
      <c r="P1453" t="s">
        <v>9</v>
      </c>
      <c r="Q1453">
        <v>-122</v>
      </c>
      <c r="R1453">
        <f>Table257[[#This Row],[RSSI]]</f>
        <v>-122</v>
      </c>
      <c r="S1453">
        <v>-8.5</v>
      </c>
    </row>
    <row r="1454" spans="2:19" x14ac:dyDescent="0.25">
      <c r="B1454">
        <f>436+2*(Table146[[#This Row],[min value (corrected)]])</f>
        <v>442</v>
      </c>
      <c r="C1454">
        <f>MINUTE(Table146[[#This Row],[Corrected time]])</f>
        <v>3</v>
      </c>
      <c r="D1454" s="1">
        <v>0.502626863425926</v>
      </c>
      <c r="E1454" s="1">
        <f>Table146[[#This Row],[Time]]-TIME(0,0,1)</f>
        <v>0.50261528935185196</v>
      </c>
      <c r="F1454" t="s">
        <v>9</v>
      </c>
      <c r="G1454">
        <v>-123</v>
      </c>
      <c r="H1454">
        <f>Table146[[#This Row],[RSSI]]</f>
        <v>-123</v>
      </c>
      <c r="I1454">
        <v>-9.5</v>
      </c>
      <c r="L1454">
        <f>390+2*(Table257[[#This Row],[min value (corrected)]]-27)</f>
        <v>442</v>
      </c>
      <c r="M1454">
        <f>MINUTE(Table257[[#This Row],[Corrected time]])</f>
        <v>53</v>
      </c>
      <c r="N1454" s="1">
        <v>0.53725880787037039</v>
      </c>
      <c r="O1454" s="1">
        <f>Table257[[#This Row],[Time]]-TIME(0,0,3)</f>
        <v>0.53722408564814816</v>
      </c>
      <c r="P1454" t="s">
        <v>9</v>
      </c>
      <c r="Q1454">
        <v>-123</v>
      </c>
      <c r="R1454">
        <f>Table257[[#This Row],[RSSI]]</f>
        <v>-123</v>
      </c>
      <c r="S1454">
        <v>-9</v>
      </c>
    </row>
    <row r="1455" spans="2:19" x14ac:dyDescent="0.25">
      <c r="B1455">
        <f>436+2*(Table146[[#This Row],[min value (corrected)]])</f>
        <v>442</v>
      </c>
      <c r="C1455">
        <f>MINUTE(Table146[[#This Row],[Corrected time]])</f>
        <v>3</v>
      </c>
      <c r="D1455" s="1">
        <v>0.50263989583333335</v>
      </c>
      <c r="E1455" s="1">
        <f>Table146[[#This Row],[Time]]-TIME(0,0,1)</f>
        <v>0.50262832175925931</v>
      </c>
      <c r="F1455" t="s">
        <v>9</v>
      </c>
      <c r="G1455">
        <v>-123</v>
      </c>
      <c r="H1455">
        <f>Table146[[#This Row],[RSSI]]</f>
        <v>-123</v>
      </c>
      <c r="I1455">
        <v>-9</v>
      </c>
      <c r="L1455">
        <f>390+2*(Table257[[#This Row],[min value (corrected)]]-27)</f>
        <v>442</v>
      </c>
      <c r="M1455">
        <f>MINUTE(Table257[[#This Row],[Corrected time]])</f>
        <v>53</v>
      </c>
      <c r="N1455" s="1">
        <v>0.53727184027777775</v>
      </c>
      <c r="O1455" s="1">
        <f>Table257[[#This Row],[Time]]-TIME(0,0,3)</f>
        <v>0.53723711805555552</v>
      </c>
      <c r="P1455" t="s">
        <v>9</v>
      </c>
      <c r="Q1455">
        <v>-122</v>
      </c>
      <c r="R1455">
        <f>Table257[[#This Row],[RSSI]]</f>
        <v>-122</v>
      </c>
      <c r="S1455">
        <v>-9</v>
      </c>
    </row>
    <row r="1456" spans="2:19" x14ac:dyDescent="0.25">
      <c r="B1456">
        <f>436+2*(Table146[[#This Row],[min value (corrected)]])</f>
        <v>442</v>
      </c>
      <c r="C1456">
        <f>MINUTE(Table146[[#This Row],[Corrected time]])</f>
        <v>3</v>
      </c>
      <c r="D1456" s="1">
        <v>0.50265291666666667</v>
      </c>
      <c r="E1456" s="1">
        <f>Table146[[#This Row],[Time]]-TIME(0,0,1)</f>
        <v>0.50264134259259263</v>
      </c>
      <c r="F1456" t="s">
        <v>9</v>
      </c>
      <c r="G1456">
        <v>-122</v>
      </c>
      <c r="H1456">
        <f>Table146[[#This Row],[RSSI]]</f>
        <v>-122</v>
      </c>
      <c r="I1456">
        <v>-9.3000000000000007</v>
      </c>
      <c r="L1456">
        <f>390+2*(Table257[[#This Row],[min value (corrected)]]-27)</f>
        <v>442</v>
      </c>
      <c r="M1456">
        <f>MINUTE(Table257[[#This Row],[Corrected time]])</f>
        <v>53</v>
      </c>
      <c r="N1456" s="1">
        <v>0.53728484953703703</v>
      </c>
      <c r="O1456" s="1">
        <f>Table257[[#This Row],[Time]]-TIME(0,0,3)</f>
        <v>0.53725012731481481</v>
      </c>
      <c r="P1456" t="s">
        <v>13</v>
      </c>
      <c r="Q1456">
        <f>Q1455</f>
        <v>-122</v>
      </c>
      <c r="R1456">
        <f>Table257[[#This Row],[RSSI]]</f>
        <v>-122</v>
      </c>
      <c r="S1456">
        <f>S1455</f>
        <v>-9</v>
      </c>
    </row>
    <row r="1457" spans="2:19" x14ac:dyDescent="0.25">
      <c r="B1457">
        <f>436+2*(Table146[[#This Row],[min value (corrected)]])</f>
        <v>442</v>
      </c>
      <c r="C1457">
        <f>MINUTE(Table146[[#This Row],[Corrected time]])</f>
        <v>3</v>
      </c>
      <c r="D1457" s="1">
        <v>0.50266596064814817</v>
      </c>
      <c r="E1457" s="1">
        <f>Table146[[#This Row],[Time]]-TIME(0,0,1)</f>
        <v>0.50265438657407413</v>
      </c>
      <c r="F1457" t="s">
        <v>9</v>
      </c>
      <c r="G1457">
        <v>-122</v>
      </c>
      <c r="H1457">
        <f>Table146[[#This Row],[RSSI]]</f>
        <v>-122</v>
      </c>
      <c r="I1457">
        <v>-8.5</v>
      </c>
      <c r="L1457">
        <f>390+2*(Table257[[#This Row],[min value (corrected)]]-27)</f>
        <v>442</v>
      </c>
      <c r="M1457">
        <f>MINUTE(Table257[[#This Row],[Corrected time]])</f>
        <v>53</v>
      </c>
      <c r="N1457" s="1">
        <v>0.53729790509259256</v>
      </c>
      <c r="O1457" s="1">
        <f>Table257[[#This Row],[Time]]-TIME(0,0,3)</f>
        <v>0.53726318287037034</v>
      </c>
      <c r="P1457" t="s">
        <v>9</v>
      </c>
      <c r="Q1457">
        <v>-123</v>
      </c>
      <c r="R1457">
        <f>Table257[[#This Row],[RSSI]]</f>
        <v>-123</v>
      </c>
      <c r="S1457">
        <v>-9</v>
      </c>
    </row>
    <row r="1458" spans="2:19" x14ac:dyDescent="0.25">
      <c r="B1458">
        <f>436+2*(Table146[[#This Row],[min value (corrected)]])</f>
        <v>442</v>
      </c>
      <c r="C1458">
        <f>MINUTE(Table146[[#This Row],[Corrected time]])</f>
        <v>3</v>
      </c>
      <c r="D1458" s="1">
        <v>0.50267898148148149</v>
      </c>
      <c r="E1458" s="1">
        <f>Table146[[#This Row],[Time]]-TIME(0,0,1)</f>
        <v>0.50266740740740745</v>
      </c>
      <c r="F1458" t="s">
        <v>9</v>
      </c>
      <c r="G1458">
        <v>-122</v>
      </c>
      <c r="H1458">
        <f>Table146[[#This Row],[RSSI]]</f>
        <v>-122</v>
      </c>
      <c r="I1458">
        <v>-9</v>
      </c>
      <c r="L1458">
        <f>390+2*(Table257[[#This Row],[min value (corrected)]]-27)</f>
        <v>442</v>
      </c>
      <c r="M1458">
        <f>MINUTE(Table257[[#This Row],[Corrected time]])</f>
        <v>53</v>
      </c>
      <c r="N1458" s="1">
        <v>0.53731093750000003</v>
      </c>
      <c r="O1458" s="1">
        <f>Table257[[#This Row],[Time]]-TIME(0,0,3)</f>
        <v>0.5372762152777778</v>
      </c>
      <c r="P1458" t="s">
        <v>13</v>
      </c>
      <c r="Q1458">
        <f>Q1457</f>
        <v>-123</v>
      </c>
      <c r="R1458">
        <f>Table257[[#This Row],[RSSI]]</f>
        <v>-123</v>
      </c>
      <c r="S1458">
        <f>S1457</f>
        <v>-9</v>
      </c>
    </row>
    <row r="1459" spans="2:19" x14ac:dyDescent="0.25">
      <c r="B1459">
        <f>436+2*(Table146[[#This Row],[min value (corrected)]])</f>
        <v>442</v>
      </c>
      <c r="C1459">
        <f>MINUTE(Table146[[#This Row],[Corrected time]])</f>
        <v>3</v>
      </c>
      <c r="D1459" s="1">
        <v>0.50269202546296299</v>
      </c>
      <c r="E1459" s="1">
        <f>Table146[[#This Row],[Time]]-TIME(0,0,1)</f>
        <v>0.50268045138888895</v>
      </c>
      <c r="F1459" t="s">
        <v>9</v>
      </c>
      <c r="G1459">
        <v>-122</v>
      </c>
      <c r="H1459">
        <f>Table146[[#This Row],[RSSI]]</f>
        <v>-122</v>
      </c>
      <c r="I1459">
        <v>-8.5</v>
      </c>
      <c r="L1459">
        <f>390+2*(Table257[[#This Row],[min value (corrected)]]-27)</f>
        <v>442</v>
      </c>
      <c r="M1459">
        <f>MINUTE(Table257[[#This Row],[Corrected time]])</f>
        <v>53</v>
      </c>
      <c r="N1459" s="1">
        <v>0.53732396990740738</v>
      </c>
      <c r="O1459" s="1">
        <f>Table257[[#This Row],[Time]]-TIME(0,0,3)</f>
        <v>0.53728924768518516</v>
      </c>
      <c r="P1459" t="s">
        <v>9</v>
      </c>
      <c r="Q1459">
        <v>-122</v>
      </c>
      <c r="R1459">
        <f>Table257[[#This Row],[RSSI]]</f>
        <v>-122</v>
      </c>
      <c r="S1459">
        <v>-9</v>
      </c>
    </row>
    <row r="1460" spans="2:19" x14ac:dyDescent="0.25">
      <c r="B1460">
        <f>436+2*(Table146[[#This Row],[min value (corrected)]])</f>
        <v>442</v>
      </c>
      <c r="C1460">
        <f>MINUTE(Table146[[#This Row],[Corrected time]])</f>
        <v>3</v>
      </c>
      <c r="D1460" s="1">
        <v>0.50270505787037034</v>
      </c>
      <c r="E1460" s="1">
        <f>Table146[[#This Row],[Time]]-TIME(0,0,1)</f>
        <v>0.5026934837962963</v>
      </c>
      <c r="F1460" t="s">
        <v>9</v>
      </c>
      <c r="G1460">
        <v>-122</v>
      </c>
      <c r="H1460">
        <f>Table146[[#This Row],[RSSI]]</f>
        <v>-122</v>
      </c>
      <c r="I1460">
        <v>-9.3000000000000007</v>
      </c>
      <c r="L1460">
        <f>390+2*(Table257[[#This Row],[min value (corrected)]]-27)</f>
        <v>442</v>
      </c>
      <c r="M1460">
        <f>MINUTE(Table257[[#This Row],[Corrected time]])</f>
        <v>53</v>
      </c>
      <c r="N1460" s="1">
        <v>0.53733699074074071</v>
      </c>
      <c r="O1460" s="1">
        <f>Table257[[#This Row],[Time]]-TIME(0,0,3)</f>
        <v>0.53730226851851848</v>
      </c>
      <c r="P1460" t="s">
        <v>9</v>
      </c>
      <c r="Q1460">
        <v>-123</v>
      </c>
      <c r="R1460">
        <f>Table257[[#This Row],[RSSI]]</f>
        <v>-123</v>
      </c>
      <c r="S1460">
        <v>-9.3000000000000007</v>
      </c>
    </row>
    <row r="1461" spans="2:19" x14ac:dyDescent="0.25">
      <c r="B1461">
        <f>436+2*(Table146[[#This Row],[min value (corrected)]])</f>
        <v>442</v>
      </c>
      <c r="C1461">
        <f>MINUTE(Table146[[#This Row],[Corrected time]])</f>
        <v>3</v>
      </c>
      <c r="D1461" s="1">
        <v>0.50271809027777781</v>
      </c>
      <c r="E1461" s="1">
        <f>Table146[[#This Row],[Time]]-TIME(0,0,1)</f>
        <v>0.50270651620370377</v>
      </c>
      <c r="F1461" t="s">
        <v>13</v>
      </c>
      <c r="G1461">
        <f t="shared" ref="G1461:G1462" si="201">G1460</f>
        <v>-122</v>
      </c>
      <c r="H1461">
        <f>Table146[[#This Row],[RSSI]]</f>
        <v>-122</v>
      </c>
      <c r="I1461">
        <f t="shared" ref="I1461:I1462" si="202">I1460</f>
        <v>-9.3000000000000007</v>
      </c>
      <c r="L1461">
        <f>390+2*(Table257[[#This Row],[min value (corrected)]]-27)</f>
        <v>442</v>
      </c>
      <c r="M1461">
        <f>MINUTE(Table257[[#This Row],[Corrected time]])</f>
        <v>53</v>
      </c>
      <c r="N1461" s="1">
        <v>0.53735002314814817</v>
      </c>
      <c r="O1461" s="1">
        <f>Table257[[#This Row],[Time]]-TIME(0,0,3)</f>
        <v>0.53731530092592594</v>
      </c>
      <c r="P1461" t="s">
        <v>9</v>
      </c>
      <c r="Q1461">
        <v>-122</v>
      </c>
      <c r="R1461">
        <f>Table257[[#This Row],[RSSI]]</f>
        <v>-122</v>
      </c>
      <c r="S1461">
        <v>-9.3000000000000007</v>
      </c>
    </row>
    <row r="1462" spans="2:19" x14ac:dyDescent="0.25">
      <c r="B1462">
        <f>436+2*(Table146[[#This Row],[min value (corrected)]])</f>
        <v>442</v>
      </c>
      <c r="C1462">
        <f>MINUTE(Table146[[#This Row],[Corrected time]])</f>
        <v>3</v>
      </c>
      <c r="D1462" s="1">
        <v>0.50273112268518516</v>
      </c>
      <c r="E1462" s="1">
        <f>Table146[[#This Row],[Time]]-TIME(0,0,1)</f>
        <v>0.50271954861111112</v>
      </c>
      <c r="F1462" t="s">
        <v>13</v>
      </c>
      <c r="G1462">
        <f t="shared" si="201"/>
        <v>-122</v>
      </c>
      <c r="H1462">
        <f>Table146[[#This Row],[RSSI]]</f>
        <v>-122</v>
      </c>
      <c r="I1462">
        <f t="shared" si="202"/>
        <v>-9.3000000000000007</v>
      </c>
      <c r="L1462">
        <f>390+2*(Table257[[#This Row],[min value (corrected)]]-27)</f>
        <v>442</v>
      </c>
      <c r="M1462">
        <f>MINUTE(Table257[[#This Row],[Corrected time]])</f>
        <v>53</v>
      </c>
      <c r="N1462" s="1">
        <v>0.53736306712962967</v>
      </c>
      <c r="O1462" s="1">
        <f>Table257[[#This Row],[Time]]-TIME(0,0,3)</f>
        <v>0.53732834490740744</v>
      </c>
      <c r="P1462" t="s">
        <v>9</v>
      </c>
      <c r="Q1462">
        <v>-122</v>
      </c>
      <c r="R1462">
        <f>Table257[[#This Row],[RSSI]]</f>
        <v>-122</v>
      </c>
      <c r="S1462">
        <v>-8.8000000000000007</v>
      </c>
    </row>
    <row r="1463" spans="2:19" x14ac:dyDescent="0.25">
      <c r="B1463">
        <f>436+2*(Table146[[#This Row],[min value (corrected)]])</f>
        <v>442</v>
      </c>
      <c r="C1463">
        <f>MINUTE(Table146[[#This Row],[Corrected time]])</f>
        <v>3</v>
      </c>
      <c r="D1463" s="1">
        <v>0.50274415509259263</v>
      </c>
      <c r="E1463" s="1">
        <f>Table146[[#This Row],[Time]]-TIME(0,0,1)</f>
        <v>0.50273258101851859</v>
      </c>
      <c r="F1463" t="s">
        <v>9</v>
      </c>
      <c r="G1463">
        <v>-122</v>
      </c>
      <c r="H1463">
        <f>Table146[[#This Row],[RSSI]]</f>
        <v>-122</v>
      </c>
      <c r="I1463">
        <v>-8.8000000000000007</v>
      </c>
      <c r="L1463">
        <f>390+2*(Table257[[#This Row],[min value (corrected)]]-27)</f>
        <v>442</v>
      </c>
      <c r="M1463">
        <f>MINUTE(Table257[[#This Row],[Corrected time]])</f>
        <v>53</v>
      </c>
      <c r="N1463" s="1">
        <v>0.53737609953703702</v>
      </c>
      <c r="O1463" s="1">
        <f>Table257[[#This Row],[Time]]-TIME(0,0,3)</f>
        <v>0.53734137731481479</v>
      </c>
      <c r="P1463" t="s">
        <v>13</v>
      </c>
      <c r="Q1463">
        <f>Q1462</f>
        <v>-122</v>
      </c>
      <c r="R1463">
        <f>Table257[[#This Row],[RSSI]]</f>
        <v>-122</v>
      </c>
      <c r="S1463">
        <f>S1462</f>
        <v>-8.8000000000000007</v>
      </c>
    </row>
    <row r="1464" spans="2:19" x14ac:dyDescent="0.25">
      <c r="B1464">
        <f>436+2*(Table146[[#This Row],[min value (corrected)]])</f>
        <v>442</v>
      </c>
      <c r="C1464">
        <f>MINUTE(Table146[[#This Row],[Corrected time]])</f>
        <v>3</v>
      </c>
      <c r="D1464" s="1">
        <v>0.50275718749999998</v>
      </c>
      <c r="E1464" s="1">
        <f>Table146[[#This Row],[Time]]-TIME(0,0,1)</f>
        <v>0.50274561342592594</v>
      </c>
      <c r="F1464" t="s">
        <v>9</v>
      </c>
      <c r="G1464">
        <v>-122</v>
      </c>
      <c r="H1464">
        <f>Table146[[#This Row],[RSSI]]</f>
        <v>-122</v>
      </c>
      <c r="I1464">
        <v>-8.8000000000000007</v>
      </c>
      <c r="L1464">
        <f>390+2*(Table257[[#This Row],[min value (corrected)]]-27)</f>
        <v>442</v>
      </c>
      <c r="M1464">
        <f>MINUTE(Table257[[#This Row],[Corrected time]])</f>
        <v>53</v>
      </c>
      <c r="N1464" s="1">
        <v>0.53738912037037034</v>
      </c>
      <c r="O1464" s="1">
        <f>Table257[[#This Row],[Time]]-TIME(0,0,3)</f>
        <v>0.53735439814814812</v>
      </c>
      <c r="P1464" t="s">
        <v>9</v>
      </c>
      <c r="Q1464">
        <v>-121</v>
      </c>
      <c r="R1464">
        <f>Table257[[#This Row],[RSSI]]</f>
        <v>-121</v>
      </c>
      <c r="S1464">
        <v>-7.5</v>
      </c>
    </row>
    <row r="1465" spans="2:19" x14ac:dyDescent="0.25">
      <c r="B1465">
        <f>436+2*(Table146[[#This Row],[min value (corrected)]])</f>
        <v>442</v>
      </c>
      <c r="C1465">
        <f>MINUTE(Table146[[#This Row],[Corrected time]])</f>
        <v>3</v>
      </c>
      <c r="D1465" s="1">
        <v>0.50277021990740745</v>
      </c>
      <c r="E1465" s="1">
        <f>Table146[[#This Row],[Time]]-TIME(0,0,1)</f>
        <v>0.50275864583333341</v>
      </c>
      <c r="F1465" t="s">
        <v>9</v>
      </c>
      <c r="G1465">
        <v>-122</v>
      </c>
      <c r="H1465">
        <f>Table146[[#This Row],[RSSI]]</f>
        <v>-122</v>
      </c>
      <c r="I1465">
        <v>-8.5</v>
      </c>
      <c r="L1465">
        <f>390+2*(Table257[[#This Row],[min value (corrected)]]-27)</f>
        <v>442</v>
      </c>
      <c r="M1465">
        <f>MINUTE(Table257[[#This Row],[Corrected time]])</f>
        <v>53</v>
      </c>
      <c r="N1465" s="1">
        <v>0.53740216435185184</v>
      </c>
      <c r="O1465" s="1">
        <f>Table257[[#This Row],[Time]]-TIME(0,0,3)</f>
        <v>0.53736744212962961</v>
      </c>
      <c r="P1465" t="s">
        <v>13</v>
      </c>
      <c r="Q1465">
        <f>Q1464</f>
        <v>-121</v>
      </c>
      <c r="R1465">
        <f>Table257[[#This Row],[RSSI]]</f>
        <v>-121</v>
      </c>
      <c r="S1465">
        <f>S1464</f>
        <v>-7.5</v>
      </c>
    </row>
    <row r="1466" spans="2:19" x14ac:dyDescent="0.25">
      <c r="B1466">
        <f>436+2*(Table146[[#This Row],[min value (corrected)]])</f>
        <v>442</v>
      </c>
      <c r="C1466">
        <f>MINUTE(Table146[[#This Row],[Corrected time]])</f>
        <v>3</v>
      </c>
      <c r="D1466" s="1">
        <v>0.5027832523148148</v>
      </c>
      <c r="E1466" s="1">
        <f>Table146[[#This Row],[Time]]-TIME(0,0,1)</f>
        <v>0.50277167824074076</v>
      </c>
      <c r="F1466" t="s">
        <v>9</v>
      </c>
      <c r="G1466">
        <v>-122</v>
      </c>
      <c r="H1466">
        <f>Table146[[#This Row],[RSSI]]</f>
        <v>-122</v>
      </c>
      <c r="I1466">
        <v>-9</v>
      </c>
      <c r="L1466">
        <f>390+2*(Table257[[#This Row],[min value (corrected)]]-27)</f>
        <v>442</v>
      </c>
      <c r="M1466">
        <f>MINUTE(Table257[[#This Row],[Corrected time]])</f>
        <v>53</v>
      </c>
      <c r="N1466" s="1">
        <v>0.53741519675925931</v>
      </c>
      <c r="O1466" s="1">
        <f>Table257[[#This Row],[Time]]-TIME(0,0,3)</f>
        <v>0.53738047453703708</v>
      </c>
      <c r="P1466" t="s">
        <v>9</v>
      </c>
      <c r="Q1466">
        <v>-122</v>
      </c>
      <c r="R1466">
        <f>Table257[[#This Row],[RSSI]]</f>
        <v>-122</v>
      </c>
      <c r="S1466">
        <v>-8.8000000000000007</v>
      </c>
    </row>
    <row r="1467" spans="2:19" x14ac:dyDescent="0.25">
      <c r="B1467">
        <f>436+2*(Table146[[#This Row],[min value (corrected)]])</f>
        <v>444</v>
      </c>
      <c r="C1467">
        <f>MINUTE(Table146[[#This Row],[Corrected time]])</f>
        <v>4</v>
      </c>
      <c r="D1467" s="1">
        <v>0.50279628472222226</v>
      </c>
      <c r="E1467" s="1">
        <f>Table146[[#This Row],[Time]]-TIME(0,0,1)</f>
        <v>0.50278471064814823</v>
      </c>
      <c r="F1467" t="s">
        <v>9</v>
      </c>
      <c r="G1467">
        <v>-122</v>
      </c>
      <c r="H1467">
        <f>Table146[[#This Row],[RSSI]]</f>
        <v>-122</v>
      </c>
      <c r="I1467">
        <v>-8.8000000000000007</v>
      </c>
      <c r="L1467">
        <f>390+2*(Table257[[#This Row],[min value (corrected)]]-27)</f>
        <v>442</v>
      </c>
      <c r="M1467">
        <f>MINUTE(Table257[[#This Row],[Corrected time]])</f>
        <v>53</v>
      </c>
      <c r="N1467" s="1">
        <v>0.53742822916666666</v>
      </c>
      <c r="O1467" s="1">
        <f>Table257[[#This Row],[Time]]-TIME(0,0,3)</f>
        <v>0.53739350694444443</v>
      </c>
      <c r="P1467" t="s">
        <v>9</v>
      </c>
      <c r="Q1467">
        <v>-123</v>
      </c>
      <c r="R1467">
        <f>Table257[[#This Row],[RSSI]]</f>
        <v>-123</v>
      </c>
      <c r="S1467">
        <v>-9.5</v>
      </c>
    </row>
    <row r="1468" spans="2:19" x14ac:dyDescent="0.25">
      <c r="B1468">
        <f>436+2*(Table146[[#This Row],[min value (corrected)]])</f>
        <v>444</v>
      </c>
      <c r="C1468">
        <f>MINUTE(Table146[[#This Row],[Corrected time]])</f>
        <v>4</v>
      </c>
      <c r="D1468" s="1">
        <v>0.50280931712962962</v>
      </c>
      <c r="E1468" s="1">
        <f>Table146[[#This Row],[Time]]-TIME(0,0,1)</f>
        <v>0.50279774305555558</v>
      </c>
      <c r="F1468" t="s">
        <v>13</v>
      </c>
      <c r="G1468">
        <f t="shared" ref="G1468:G1472" si="203">G1467</f>
        <v>-122</v>
      </c>
      <c r="H1468">
        <f>Table146[[#This Row],[RSSI]]</f>
        <v>-122</v>
      </c>
      <c r="I1468">
        <f t="shared" ref="I1468:I1472" si="204">I1467</f>
        <v>-8.8000000000000007</v>
      </c>
      <c r="L1468">
        <f>390+2*(Table257[[#This Row],[min value (corrected)]]-27)</f>
        <v>442</v>
      </c>
      <c r="M1468">
        <f>MINUTE(Table257[[#This Row],[Corrected time]])</f>
        <v>53</v>
      </c>
      <c r="N1468" s="1">
        <v>0.53744126157407413</v>
      </c>
      <c r="O1468" s="1">
        <f>Table257[[#This Row],[Time]]-TIME(0,0,3)</f>
        <v>0.5374065393518519</v>
      </c>
      <c r="P1468" t="s">
        <v>9</v>
      </c>
      <c r="Q1468">
        <v>-122</v>
      </c>
      <c r="R1468">
        <f>Table257[[#This Row],[RSSI]]</f>
        <v>-122</v>
      </c>
      <c r="S1468">
        <v>-9</v>
      </c>
    </row>
    <row r="1469" spans="2:19" x14ac:dyDescent="0.25">
      <c r="B1469">
        <f>436+2*(Table146[[#This Row],[min value (corrected)]])</f>
        <v>444</v>
      </c>
      <c r="C1469">
        <f>MINUTE(Table146[[#This Row],[Corrected time]])</f>
        <v>4</v>
      </c>
      <c r="D1469" s="1">
        <v>0.50282234953703708</v>
      </c>
      <c r="E1469" s="1">
        <f>Table146[[#This Row],[Time]]-TIME(0,0,1)</f>
        <v>0.50281077546296304</v>
      </c>
      <c r="F1469" t="s">
        <v>13</v>
      </c>
      <c r="G1469">
        <f t="shared" si="203"/>
        <v>-122</v>
      </c>
      <c r="H1469">
        <f>Table146[[#This Row],[RSSI]]</f>
        <v>-122</v>
      </c>
      <c r="I1469">
        <f t="shared" si="204"/>
        <v>-8.8000000000000007</v>
      </c>
      <c r="L1469">
        <f>390+2*(Table257[[#This Row],[min value (corrected)]]-27)</f>
        <v>442</v>
      </c>
      <c r="M1469">
        <f>MINUTE(Table257[[#This Row],[Corrected time]])</f>
        <v>53</v>
      </c>
      <c r="N1469" s="1">
        <v>0.53745429398148148</v>
      </c>
      <c r="O1469" s="1">
        <f>Table257[[#This Row],[Time]]-TIME(0,0,3)</f>
        <v>0.53741957175925925</v>
      </c>
      <c r="P1469" t="s">
        <v>9</v>
      </c>
      <c r="Q1469">
        <v>-122</v>
      </c>
      <c r="R1469">
        <f>Table257[[#This Row],[RSSI]]</f>
        <v>-122</v>
      </c>
      <c r="S1469">
        <v>-9</v>
      </c>
    </row>
    <row r="1470" spans="2:19" x14ac:dyDescent="0.25">
      <c r="B1470">
        <f>436+2*(Table146[[#This Row],[min value (corrected)]])</f>
        <v>444</v>
      </c>
      <c r="C1470">
        <f>MINUTE(Table146[[#This Row],[Corrected time]])</f>
        <v>4</v>
      </c>
      <c r="D1470" s="1">
        <v>0.50283538194444444</v>
      </c>
      <c r="E1470" s="1">
        <f>Table146[[#This Row],[Time]]-TIME(0,0,1)</f>
        <v>0.5028238078703704</v>
      </c>
      <c r="F1470" t="s">
        <v>13</v>
      </c>
      <c r="G1470">
        <f t="shared" si="203"/>
        <v>-122</v>
      </c>
      <c r="H1470">
        <f>Table146[[#This Row],[RSSI]]</f>
        <v>-122</v>
      </c>
      <c r="I1470">
        <f t="shared" si="204"/>
        <v>-8.8000000000000007</v>
      </c>
      <c r="L1470">
        <f>390+2*(Table257[[#This Row],[min value (corrected)]]-27)</f>
        <v>442</v>
      </c>
      <c r="M1470">
        <f>MINUTE(Table257[[#This Row],[Corrected time]])</f>
        <v>53</v>
      </c>
      <c r="N1470" s="1">
        <v>0.53746732638888894</v>
      </c>
      <c r="O1470" s="1">
        <f>Table257[[#This Row],[Time]]-TIME(0,0,3)</f>
        <v>0.53743260416666672</v>
      </c>
      <c r="P1470" t="s">
        <v>9</v>
      </c>
      <c r="Q1470">
        <v>-122</v>
      </c>
      <c r="R1470">
        <f>Table257[[#This Row],[RSSI]]</f>
        <v>-122</v>
      </c>
      <c r="S1470">
        <v>-8.8000000000000007</v>
      </c>
    </row>
    <row r="1471" spans="2:19" x14ac:dyDescent="0.25">
      <c r="B1471">
        <f>436+2*(Table146[[#This Row],[min value (corrected)]])</f>
        <v>444</v>
      </c>
      <c r="C1471">
        <f>MINUTE(Table146[[#This Row],[Corrected time]])</f>
        <v>4</v>
      </c>
      <c r="D1471" s="1">
        <v>0.5028484143518519</v>
      </c>
      <c r="E1471" s="1">
        <f>Table146[[#This Row],[Time]]-TIME(0,0,1)</f>
        <v>0.50283684027777786</v>
      </c>
      <c r="F1471" t="s">
        <v>13</v>
      </c>
      <c r="G1471">
        <f t="shared" si="203"/>
        <v>-122</v>
      </c>
      <c r="H1471">
        <f>Table146[[#This Row],[RSSI]]</f>
        <v>-122</v>
      </c>
      <c r="I1471">
        <f t="shared" si="204"/>
        <v>-8.8000000000000007</v>
      </c>
      <c r="L1471">
        <f>390+2*(Table257[[#This Row],[min value (corrected)]]-27)</f>
        <v>442</v>
      </c>
      <c r="M1471">
        <f>MINUTE(Table257[[#This Row],[Corrected time]])</f>
        <v>53</v>
      </c>
      <c r="N1471" s="1">
        <v>0.5374803587962963</v>
      </c>
      <c r="O1471" s="1">
        <f>Table257[[#This Row],[Time]]-TIME(0,0,3)</f>
        <v>0.53744563657407407</v>
      </c>
      <c r="P1471" t="s">
        <v>9</v>
      </c>
      <c r="Q1471">
        <v>-123</v>
      </c>
      <c r="R1471">
        <f>Table257[[#This Row],[RSSI]]</f>
        <v>-123</v>
      </c>
      <c r="S1471">
        <v>-8.8000000000000007</v>
      </c>
    </row>
    <row r="1472" spans="2:19" x14ac:dyDescent="0.25">
      <c r="B1472">
        <f>436+2*(Table146[[#This Row],[min value (corrected)]])</f>
        <v>444</v>
      </c>
      <c r="C1472">
        <f>MINUTE(Table146[[#This Row],[Corrected time]])</f>
        <v>4</v>
      </c>
      <c r="D1472" s="1">
        <v>0.50286144675925926</v>
      </c>
      <c r="E1472" s="1">
        <f>Table146[[#This Row],[Time]]-TIME(0,0,1)</f>
        <v>0.50284987268518522</v>
      </c>
      <c r="F1472" t="s">
        <v>13</v>
      </c>
      <c r="G1472">
        <f t="shared" si="203"/>
        <v>-122</v>
      </c>
      <c r="H1472">
        <f>Table146[[#This Row],[RSSI]]</f>
        <v>-122</v>
      </c>
      <c r="I1472">
        <f t="shared" si="204"/>
        <v>-8.8000000000000007</v>
      </c>
      <c r="L1472">
        <f>390+2*(Table257[[#This Row],[min value (corrected)]]-27)</f>
        <v>442</v>
      </c>
      <c r="M1472">
        <f>MINUTE(Table257[[#This Row],[Corrected time]])</f>
        <v>53</v>
      </c>
      <c r="N1472" s="1">
        <v>0.53749339120370365</v>
      </c>
      <c r="O1472" s="1">
        <f>Table257[[#This Row],[Time]]-TIME(0,0,3)</f>
        <v>0.53745866898148142</v>
      </c>
      <c r="P1472" t="s">
        <v>9</v>
      </c>
      <c r="Q1472">
        <v>-122</v>
      </c>
      <c r="R1472">
        <f>Table257[[#This Row],[RSSI]]</f>
        <v>-122</v>
      </c>
      <c r="S1472">
        <v>-8.5</v>
      </c>
    </row>
    <row r="1473" spans="2:19" x14ac:dyDescent="0.25">
      <c r="B1473">
        <f>436+2*(Table146[[#This Row],[min value (corrected)]])</f>
        <v>444</v>
      </c>
      <c r="C1473">
        <f>MINUTE(Table146[[#This Row],[Corrected time]])</f>
        <v>4</v>
      </c>
      <c r="D1473" s="1">
        <v>0.50287447916666672</v>
      </c>
      <c r="E1473" s="1">
        <f>Table146[[#This Row],[Time]]-TIME(0,0,1)</f>
        <v>0.50286290509259268</v>
      </c>
      <c r="F1473" t="s">
        <v>9</v>
      </c>
      <c r="G1473">
        <v>-123</v>
      </c>
      <c r="H1473">
        <f>Table146[[#This Row],[RSSI]]</f>
        <v>-123</v>
      </c>
      <c r="I1473">
        <v>-9.3000000000000007</v>
      </c>
      <c r="L1473">
        <f>390+2*(Table257[[#This Row],[min value (corrected)]]-27)</f>
        <v>442</v>
      </c>
      <c r="M1473">
        <f>MINUTE(Table257[[#This Row],[Corrected time]])</f>
        <v>53</v>
      </c>
      <c r="N1473" s="1">
        <v>0.53750641203703697</v>
      </c>
      <c r="O1473" s="1">
        <f>Table257[[#This Row],[Time]]-TIME(0,0,3)</f>
        <v>0.53747168981481475</v>
      </c>
      <c r="P1473" t="s">
        <v>9</v>
      </c>
      <c r="Q1473">
        <v>-122</v>
      </c>
      <c r="R1473">
        <f>Table257[[#This Row],[RSSI]]</f>
        <v>-122</v>
      </c>
      <c r="S1473">
        <v>-8.3000000000000007</v>
      </c>
    </row>
    <row r="1474" spans="2:19" x14ac:dyDescent="0.25">
      <c r="B1474">
        <f>436+2*(Table146[[#This Row],[min value (corrected)]])</f>
        <v>444</v>
      </c>
      <c r="C1474">
        <f>MINUTE(Table146[[#This Row],[Corrected time]])</f>
        <v>4</v>
      </c>
      <c r="D1474" s="1">
        <v>0.50288751157407408</v>
      </c>
      <c r="E1474" s="1">
        <f>Table146[[#This Row],[Time]]-TIME(0,0,1)</f>
        <v>0.50287593750000004</v>
      </c>
      <c r="F1474" t="s">
        <v>9</v>
      </c>
      <c r="G1474">
        <v>-123</v>
      </c>
      <c r="H1474">
        <f>Table146[[#This Row],[RSSI]]</f>
        <v>-123</v>
      </c>
      <c r="I1474">
        <v>-9.3000000000000007</v>
      </c>
      <c r="L1474">
        <f>390+2*(Table257[[#This Row],[min value (corrected)]]-27)</f>
        <v>442</v>
      </c>
      <c r="M1474">
        <f>MINUTE(Table257[[#This Row],[Corrected time]])</f>
        <v>53</v>
      </c>
      <c r="N1474" s="1">
        <v>0.53751945601851847</v>
      </c>
      <c r="O1474" s="1">
        <f>Table257[[#This Row],[Time]]-TIME(0,0,3)</f>
        <v>0.53748473379629624</v>
      </c>
      <c r="P1474" t="s">
        <v>9</v>
      </c>
      <c r="Q1474">
        <v>-123</v>
      </c>
      <c r="R1474">
        <f>Table257[[#This Row],[RSSI]]</f>
        <v>-123</v>
      </c>
      <c r="S1474">
        <v>-9.3000000000000007</v>
      </c>
    </row>
    <row r="1475" spans="2:19" x14ac:dyDescent="0.25">
      <c r="B1475">
        <f>436+2*(Table146[[#This Row],[min value (corrected)]])</f>
        <v>444</v>
      </c>
      <c r="C1475">
        <f>MINUTE(Table146[[#This Row],[Corrected time]])</f>
        <v>4</v>
      </c>
      <c r="D1475" s="1">
        <v>0.50290054398148154</v>
      </c>
      <c r="E1475" s="1">
        <f>Table146[[#This Row],[Time]]-TIME(0,0,1)</f>
        <v>0.5028889699074075</v>
      </c>
      <c r="F1475" t="s">
        <v>9</v>
      </c>
      <c r="G1475">
        <v>-122</v>
      </c>
      <c r="H1475">
        <f>Table146[[#This Row],[RSSI]]</f>
        <v>-122</v>
      </c>
      <c r="I1475">
        <v>-8.8000000000000007</v>
      </c>
      <c r="L1475">
        <f>390+2*(Table257[[#This Row],[min value (corrected)]]-27)</f>
        <v>444</v>
      </c>
      <c r="M1475">
        <f>MINUTE(Table257[[#This Row],[Corrected time]])</f>
        <v>54</v>
      </c>
      <c r="N1475" s="1">
        <v>0.53753247685185179</v>
      </c>
      <c r="O1475" s="1">
        <f>Table257[[#This Row],[Time]]-TIME(0,0,3)</f>
        <v>0.53749775462962956</v>
      </c>
      <c r="P1475" t="s">
        <v>9</v>
      </c>
      <c r="Q1475">
        <v>-122</v>
      </c>
      <c r="R1475">
        <f>Table257[[#This Row],[RSSI]]</f>
        <v>-122</v>
      </c>
      <c r="S1475">
        <v>-8.5</v>
      </c>
    </row>
    <row r="1476" spans="2:19" x14ac:dyDescent="0.25">
      <c r="B1476">
        <f>436+2*(Table146[[#This Row],[min value (corrected)]])</f>
        <v>444</v>
      </c>
      <c r="C1476">
        <f>MINUTE(Table146[[#This Row],[Corrected time]])</f>
        <v>4</v>
      </c>
      <c r="D1476" s="1">
        <v>0.50291357638888889</v>
      </c>
      <c r="E1476" s="1">
        <f>Table146[[#This Row],[Time]]-TIME(0,0,1)</f>
        <v>0.50290200231481486</v>
      </c>
      <c r="F1476" t="s">
        <v>9</v>
      </c>
      <c r="G1476">
        <v>-122</v>
      </c>
      <c r="H1476">
        <f>Table146[[#This Row],[RSSI]]</f>
        <v>-122</v>
      </c>
      <c r="I1476">
        <v>-8.8000000000000007</v>
      </c>
      <c r="L1476">
        <f>390+2*(Table257[[#This Row],[min value (corrected)]]-27)</f>
        <v>444</v>
      </c>
      <c r="M1476">
        <f>MINUTE(Table257[[#This Row],[Corrected time]])</f>
        <v>54</v>
      </c>
      <c r="N1476" s="1">
        <v>0.53754552083333329</v>
      </c>
      <c r="O1476" s="1">
        <f>Table257[[#This Row],[Time]]-TIME(0,0,3)</f>
        <v>0.53751079861111106</v>
      </c>
      <c r="P1476" t="s">
        <v>13</v>
      </c>
      <c r="Q1476">
        <f t="shared" ref="Q1476:Q1479" si="205">Q1475</f>
        <v>-122</v>
      </c>
      <c r="R1476">
        <f>Table257[[#This Row],[RSSI]]</f>
        <v>-122</v>
      </c>
      <c r="S1476">
        <f t="shared" ref="S1476:S1479" si="206">S1475</f>
        <v>-8.5</v>
      </c>
    </row>
    <row r="1477" spans="2:19" x14ac:dyDescent="0.25">
      <c r="B1477">
        <f>436+2*(Table146[[#This Row],[min value (corrected)]])</f>
        <v>444</v>
      </c>
      <c r="C1477">
        <f>MINUTE(Table146[[#This Row],[Corrected time]])</f>
        <v>4</v>
      </c>
      <c r="D1477" s="1">
        <v>0.50292660879629625</v>
      </c>
      <c r="E1477" s="1">
        <f>Table146[[#This Row],[Time]]-TIME(0,0,1)</f>
        <v>0.50291503472222221</v>
      </c>
      <c r="F1477" t="s">
        <v>9</v>
      </c>
      <c r="G1477">
        <v>-123</v>
      </c>
      <c r="H1477">
        <f>Table146[[#This Row],[RSSI]]</f>
        <v>-123</v>
      </c>
      <c r="I1477">
        <v>-9</v>
      </c>
      <c r="L1477">
        <f>390+2*(Table257[[#This Row],[min value (corrected)]]-27)</f>
        <v>444</v>
      </c>
      <c r="M1477">
        <f>MINUTE(Table257[[#This Row],[Corrected time]])</f>
        <v>54</v>
      </c>
      <c r="N1477" s="1">
        <v>0.53755855324074076</v>
      </c>
      <c r="O1477" s="1">
        <f>Table257[[#This Row],[Time]]-TIME(0,0,3)</f>
        <v>0.53752383101851853</v>
      </c>
      <c r="P1477" t="s">
        <v>13</v>
      </c>
      <c r="Q1477">
        <f t="shared" si="205"/>
        <v>-122</v>
      </c>
      <c r="R1477">
        <f>Table257[[#This Row],[RSSI]]</f>
        <v>-122</v>
      </c>
      <c r="S1477">
        <f t="shared" si="206"/>
        <v>-8.5</v>
      </c>
    </row>
    <row r="1478" spans="2:19" x14ac:dyDescent="0.25">
      <c r="B1478">
        <f>436+2*(Table146[[#This Row],[min value (corrected)]])</f>
        <v>444</v>
      </c>
      <c r="C1478">
        <f>MINUTE(Table146[[#This Row],[Corrected time]])</f>
        <v>4</v>
      </c>
      <c r="D1478" s="1">
        <v>0.50293964120370371</v>
      </c>
      <c r="E1478" s="1">
        <f>Table146[[#This Row],[Time]]-TIME(0,0,1)</f>
        <v>0.50292806712962967</v>
      </c>
      <c r="F1478" t="s">
        <v>9</v>
      </c>
      <c r="G1478">
        <v>-122</v>
      </c>
      <c r="H1478">
        <f>Table146[[#This Row],[RSSI]]</f>
        <v>-122</v>
      </c>
      <c r="I1478">
        <v>-8.3000000000000007</v>
      </c>
      <c r="L1478">
        <f>390+2*(Table257[[#This Row],[min value (corrected)]]-27)</f>
        <v>444</v>
      </c>
      <c r="M1478">
        <f>MINUTE(Table257[[#This Row],[Corrected time]])</f>
        <v>54</v>
      </c>
      <c r="N1478" s="1">
        <v>0.53757158564814811</v>
      </c>
      <c r="O1478" s="1">
        <f>Table257[[#This Row],[Time]]-TIME(0,0,3)</f>
        <v>0.53753686342592588</v>
      </c>
      <c r="P1478" t="s">
        <v>13</v>
      </c>
      <c r="Q1478">
        <f t="shared" si="205"/>
        <v>-122</v>
      </c>
      <c r="R1478">
        <f>Table257[[#This Row],[RSSI]]</f>
        <v>-122</v>
      </c>
      <c r="S1478">
        <f t="shared" si="206"/>
        <v>-8.5</v>
      </c>
    </row>
    <row r="1479" spans="2:19" x14ac:dyDescent="0.25">
      <c r="B1479">
        <f>436+2*(Table146[[#This Row],[min value (corrected)]])</f>
        <v>444</v>
      </c>
      <c r="C1479">
        <f>MINUTE(Table146[[#This Row],[Corrected time]])</f>
        <v>4</v>
      </c>
      <c r="D1479" s="1">
        <v>0.50295267361111107</v>
      </c>
      <c r="E1479" s="1">
        <f>Table146[[#This Row],[Time]]-TIME(0,0,1)</f>
        <v>0.50294109953703703</v>
      </c>
      <c r="F1479" t="s">
        <v>9</v>
      </c>
      <c r="G1479">
        <v>-123</v>
      </c>
      <c r="H1479">
        <f>Table146[[#This Row],[RSSI]]</f>
        <v>-123</v>
      </c>
      <c r="I1479">
        <v>-8.8000000000000007</v>
      </c>
      <c r="L1479">
        <f>390+2*(Table257[[#This Row],[min value (corrected)]]-27)</f>
        <v>444</v>
      </c>
      <c r="M1479">
        <f>MINUTE(Table257[[#This Row],[Corrected time]])</f>
        <v>54</v>
      </c>
      <c r="N1479" s="1">
        <v>0.53758461805555557</v>
      </c>
      <c r="O1479" s="1">
        <f>Table257[[#This Row],[Time]]-TIME(0,0,3)</f>
        <v>0.53754989583333335</v>
      </c>
      <c r="P1479" t="s">
        <v>13</v>
      </c>
      <c r="Q1479">
        <f t="shared" si="205"/>
        <v>-122</v>
      </c>
      <c r="R1479">
        <f>Table257[[#This Row],[RSSI]]</f>
        <v>-122</v>
      </c>
      <c r="S1479">
        <f t="shared" si="206"/>
        <v>-8.5</v>
      </c>
    </row>
    <row r="1480" spans="2:19" x14ac:dyDescent="0.25">
      <c r="B1480">
        <f>436+2*(Table146[[#This Row],[min value (corrected)]])</f>
        <v>444</v>
      </c>
      <c r="C1480">
        <f>MINUTE(Table146[[#This Row],[Corrected time]])</f>
        <v>4</v>
      </c>
      <c r="D1480" s="1">
        <v>0.50296570601851853</v>
      </c>
      <c r="E1480" s="1">
        <f>Table146[[#This Row],[Time]]-TIME(0,0,1)</f>
        <v>0.50295413194444449</v>
      </c>
      <c r="F1480" t="s">
        <v>13</v>
      </c>
      <c r="G1480">
        <f>G1479</f>
        <v>-123</v>
      </c>
      <c r="H1480">
        <f>Table146[[#This Row],[RSSI]]</f>
        <v>-123</v>
      </c>
      <c r="I1480">
        <f>I1479</f>
        <v>-8.8000000000000007</v>
      </c>
      <c r="L1480">
        <f>390+2*(Table257[[#This Row],[min value (corrected)]]-27)</f>
        <v>444</v>
      </c>
      <c r="M1480">
        <f>MINUTE(Table257[[#This Row],[Corrected time]])</f>
        <v>54</v>
      </c>
      <c r="N1480" s="1">
        <v>0.53759765046296293</v>
      </c>
      <c r="O1480" s="1">
        <f>Table257[[#This Row],[Time]]-TIME(0,0,3)</f>
        <v>0.5375629282407407</v>
      </c>
      <c r="P1480" t="s">
        <v>9</v>
      </c>
      <c r="Q1480">
        <v>-122</v>
      </c>
      <c r="R1480">
        <f>Table257[[#This Row],[RSSI]]</f>
        <v>-122</v>
      </c>
      <c r="S1480">
        <v>-8.8000000000000007</v>
      </c>
    </row>
    <row r="1481" spans="2:19" x14ac:dyDescent="0.25">
      <c r="B1481">
        <f>436+2*(Table146[[#This Row],[min value (corrected)]])</f>
        <v>444</v>
      </c>
      <c r="C1481">
        <f>MINUTE(Table146[[#This Row],[Corrected time]])</f>
        <v>4</v>
      </c>
      <c r="D1481" s="1">
        <v>0.50297873842592589</v>
      </c>
      <c r="E1481" s="1">
        <f>Table146[[#This Row],[Time]]-TIME(0,0,1)</f>
        <v>0.50296716435185185</v>
      </c>
      <c r="F1481" t="s">
        <v>9</v>
      </c>
      <c r="G1481">
        <v>-122</v>
      </c>
      <c r="H1481">
        <f>Table146[[#This Row],[RSSI]]</f>
        <v>-122</v>
      </c>
      <c r="I1481">
        <v>-8.5</v>
      </c>
      <c r="L1481">
        <f>390+2*(Table257[[#This Row],[min value (corrected)]]-27)</f>
        <v>444</v>
      </c>
      <c r="M1481">
        <f>MINUTE(Table257[[#This Row],[Corrected time]])</f>
        <v>54</v>
      </c>
      <c r="N1481" s="1">
        <v>0.53761067129629625</v>
      </c>
      <c r="O1481" s="1">
        <f>Table257[[#This Row],[Time]]-TIME(0,0,3)</f>
        <v>0.53757594907407402</v>
      </c>
      <c r="P1481" t="s">
        <v>13</v>
      </c>
      <c r="Q1481">
        <f t="shared" ref="Q1481:Q1482" si="207">Q1480</f>
        <v>-122</v>
      </c>
      <c r="R1481">
        <f>Table257[[#This Row],[RSSI]]</f>
        <v>-122</v>
      </c>
      <c r="S1481">
        <f t="shared" ref="S1481:S1482" si="208">S1480</f>
        <v>-8.8000000000000007</v>
      </c>
    </row>
    <row r="1482" spans="2:19" x14ac:dyDescent="0.25">
      <c r="B1482">
        <f>436+2*(Table146[[#This Row],[min value (corrected)]])</f>
        <v>444</v>
      </c>
      <c r="C1482">
        <f>MINUTE(Table146[[#This Row],[Corrected time]])</f>
        <v>4</v>
      </c>
      <c r="D1482" s="1">
        <v>0.50299177083333335</v>
      </c>
      <c r="E1482" s="1">
        <f>Table146[[#This Row],[Time]]-TIME(0,0,1)</f>
        <v>0.50298019675925931</v>
      </c>
      <c r="F1482" t="s">
        <v>13</v>
      </c>
      <c r="G1482">
        <f>G1481</f>
        <v>-122</v>
      </c>
      <c r="H1482">
        <f>Table146[[#This Row],[RSSI]]</f>
        <v>-122</v>
      </c>
      <c r="I1482">
        <f>I1481</f>
        <v>-8.5</v>
      </c>
      <c r="L1482">
        <f>390+2*(Table257[[#This Row],[min value (corrected)]]-27)</f>
        <v>444</v>
      </c>
      <c r="M1482">
        <f>MINUTE(Table257[[#This Row],[Corrected time]])</f>
        <v>54</v>
      </c>
      <c r="N1482" s="1">
        <v>0.53762371527777775</v>
      </c>
      <c r="O1482" s="1">
        <f>Table257[[#This Row],[Time]]-TIME(0,0,3)</f>
        <v>0.53758899305555552</v>
      </c>
      <c r="P1482" t="s">
        <v>13</v>
      </c>
      <c r="Q1482">
        <f t="shared" si="207"/>
        <v>-122</v>
      </c>
      <c r="R1482">
        <f>Table257[[#This Row],[RSSI]]</f>
        <v>-122</v>
      </c>
      <c r="S1482">
        <f t="shared" si="208"/>
        <v>-8.8000000000000007</v>
      </c>
    </row>
    <row r="1483" spans="2:19" x14ac:dyDescent="0.25">
      <c r="B1483">
        <f>436+2*(Table146[[#This Row],[min value (corrected)]])</f>
        <v>444</v>
      </c>
      <c r="C1483">
        <f>MINUTE(Table146[[#This Row],[Corrected time]])</f>
        <v>4</v>
      </c>
      <c r="D1483" s="1">
        <v>0.50300480324074071</v>
      </c>
      <c r="E1483" s="1">
        <f>Table146[[#This Row],[Time]]-TIME(0,0,1)</f>
        <v>0.50299322916666667</v>
      </c>
      <c r="F1483" t="s">
        <v>9</v>
      </c>
      <c r="G1483">
        <v>-122</v>
      </c>
      <c r="H1483">
        <f>Table146[[#This Row],[RSSI]]</f>
        <v>-122</v>
      </c>
      <c r="I1483">
        <v>-9</v>
      </c>
      <c r="L1483">
        <f>390+2*(Table257[[#This Row],[min value (corrected)]]-27)</f>
        <v>444</v>
      </c>
      <c r="M1483">
        <f>MINUTE(Table257[[#This Row],[Corrected time]])</f>
        <v>54</v>
      </c>
      <c r="N1483" s="1">
        <v>0.53763674768518521</v>
      </c>
      <c r="O1483" s="1">
        <f>Table257[[#This Row],[Time]]-TIME(0,0,3)</f>
        <v>0.53760202546296298</v>
      </c>
      <c r="P1483" t="s">
        <v>9</v>
      </c>
      <c r="Q1483">
        <v>-122</v>
      </c>
      <c r="R1483">
        <f>Table257[[#This Row],[RSSI]]</f>
        <v>-122</v>
      </c>
      <c r="S1483">
        <v>-8.8000000000000007</v>
      </c>
    </row>
    <row r="1484" spans="2:19" x14ac:dyDescent="0.25">
      <c r="B1484">
        <f>436+2*(Table146[[#This Row],[min value (corrected)]])</f>
        <v>444</v>
      </c>
      <c r="C1484">
        <f>MINUTE(Table146[[#This Row],[Corrected time]])</f>
        <v>4</v>
      </c>
      <c r="D1484" s="1">
        <v>0.50301783564814817</v>
      </c>
      <c r="E1484" s="1">
        <f>Table146[[#This Row],[Time]]-TIME(0,0,1)</f>
        <v>0.50300626157407413</v>
      </c>
      <c r="F1484" t="s">
        <v>13</v>
      </c>
      <c r="G1484">
        <f>G1483</f>
        <v>-122</v>
      </c>
      <c r="H1484">
        <f>Table146[[#This Row],[RSSI]]</f>
        <v>-122</v>
      </c>
      <c r="I1484">
        <f>I1483</f>
        <v>-9</v>
      </c>
      <c r="L1484">
        <f>390+2*(Table257[[#This Row],[min value (corrected)]]-27)</f>
        <v>444</v>
      </c>
      <c r="M1484">
        <f>MINUTE(Table257[[#This Row],[Corrected time]])</f>
        <v>54</v>
      </c>
      <c r="N1484" s="1">
        <v>0.53764976851851853</v>
      </c>
      <c r="O1484" s="1">
        <f>Table257[[#This Row],[Time]]-TIME(0,0,3)</f>
        <v>0.53761504629629631</v>
      </c>
      <c r="P1484" t="s">
        <v>9</v>
      </c>
      <c r="Q1484">
        <v>-122</v>
      </c>
      <c r="R1484">
        <f>Table257[[#This Row],[RSSI]]</f>
        <v>-122</v>
      </c>
      <c r="S1484">
        <v>-8.8000000000000007</v>
      </c>
    </row>
    <row r="1485" spans="2:19" x14ac:dyDescent="0.25">
      <c r="B1485">
        <f>436+2*(Table146[[#This Row],[min value (corrected)]])</f>
        <v>444</v>
      </c>
      <c r="C1485">
        <f>MINUTE(Table146[[#This Row],[Corrected time]])</f>
        <v>4</v>
      </c>
      <c r="D1485" s="1">
        <v>0.50303085648148149</v>
      </c>
      <c r="E1485" s="1">
        <f>Table146[[#This Row],[Time]]-TIME(0,0,1)</f>
        <v>0.50301928240740745</v>
      </c>
      <c r="F1485" t="s">
        <v>9</v>
      </c>
      <c r="G1485">
        <v>-122</v>
      </c>
      <c r="H1485">
        <f>Table146[[#This Row],[RSSI]]</f>
        <v>-122</v>
      </c>
      <c r="I1485">
        <v>-8.5</v>
      </c>
      <c r="L1485">
        <f>390+2*(Table257[[#This Row],[min value (corrected)]]-27)</f>
        <v>444</v>
      </c>
      <c r="M1485">
        <f>MINUTE(Table257[[#This Row],[Corrected time]])</f>
        <v>54</v>
      </c>
      <c r="N1485" s="1">
        <v>0.53766280092592589</v>
      </c>
      <c r="O1485" s="1">
        <f>Table257[[#This Row],[Time]]-TIME(0,0,3)</f>
        <v>0.53762807870370366</v>
      </c>
      <c r="P1485" t="s">
        <v>13</v>
      </c>
      <c r="Q1485">
        <f t="shared" ref="Q1485:Q1486" si="209">Q1484</f>
        <v>-122</v>
      </c>
      <c r="R1485">
        <f>Table257[[#This Row],[RSSI]]</f>
        <v>-122</v>
      </c>
      <c r="S1485">
        <f t="shared" ref="S1485:S1486" si="210">S1484</f>
        <v>-8.8000000000000007</v>
      </c>
    </row>
    <row r="1486" spans="2:19" x14ac:dyDescent="0.25">
      <c r="B1486">
        <f>436+2*(Table146[[#This Row],[min value (corrected)]])</f>
        <v>444</v>
      </c>
      <c r="C1486">
        <f>MINUTE(Table146[[#This Row],[Corrected time]])</f>
        <v>4</v>
      </c>
      <c r="D1486" s="1">
        <v>0.50304390046296299</v>
      </c>
      <c r="E1486" s="1">
        <f>Table146[[#This Row],[Time]]-TIME(0,0,1)</f>
        <v>0.50303232638888895</v>
      </c>
      <c r="F1486" t="s">
        <v>9</v>
      </c>
      <c r="G1486">
        <v>-122</v>
      </c>
      <c r="H1486">
        <f>Table146[[#This Row],[RSSI]]</f>
        <v>-122</v>
      </c>
      <c r="I1486">
        <v>-8.3000000000000007</v>
      </c>
      <c r="L1486">
        <f>390+2*(Table257[[#This Row],[min value (corrected)]]-27)</f>
        <v>444</v>
      </c>
      <c r="M1486">
        <f>MINUTE(Table257[[#This Row],[Corrected time]])</f>
        <v>54</v>
      </c>
      <c r="N1486" s="1">
        <v>0.53767584490740739</v>
      </c>
      <c r="O1486" s="1">
        <f>Table257[[#This Row],[Time]]-TIME(0,0,3)</f>
        <v>0.53764112268518516</v>
      </c>
      <c r="P1486" t="s">
        <v>13</v>
      </c>
      <c r="Q1486">
        <f t="shared" si="209"/>
        <v>-122</v>
      </c>
      <c r="R1486">
        <f>Table257[[#This Row],[RSSI]]</f>
        <v>-122</v>
      </c>
      <c r="S1486">
        <f t="shared" si="210"/>
        <v>-8.8000000000000007</v>
      </c>
    </row>
    <row r="1487" spans="2:19" x14ac:dyDescent="0.25">
      <c r="B1487">
        <f>436+2*(Table146[[#This Row],[min value (corrected)]])</f>
        <v>444</v>
      </c>
      <c r="C1487">
        <f>MINUTE(Table146[[#This Row],[Corrected time]])</f>
        <v>4</v>
      </c>
      <c r="D1487" s="1">
        <v>0.50305693287037034</v>
      </c>
      <c r="E1487" s="1">
        <f>Table146[[#This Row],[Time]]-TIME(0,0,1)</f>
        <v>0.5030453587962963</v>
      </c>
      <c r="F1487" t="s">
        <v>9</v>
      </c>
      <c r="G1487">
        <v>-122</v>
      </c>
      <c r="H1487">
        <f>Table146[[#This Row],[RSSI]]</f>
        <v>-122</v>
      </c>
      <c r="I1487">
        <v>-8.3000000000000007</v>
      </c>
      <c r="L1487">
        <f>390+2*(Table257[[#This Row],[min value (corrected)]]-27)</f>
        <v>444</v>
      </c>
      <c r="M1487">
        <f>MINUTE(Table257[[#This Row],[Corrected time]])</f>
        <v>54</v>
      </c>
      <c r="N1487" s="1">
        <v>0.53768887731481485</v>
      </c>
      <c r="O1487" s="1">
        <f>Table257[[#This Row],[Time]]-TIME(0,0,3)</f>
        <v>0.53765415509259262</v>
      </c>
      <c r="P1487" t="s">
        <v>9</v>
      </c>
      <c r="Q1487">
        <v>-122</v>
      </c>
      <c r="R1487">
        <f>Table257[[#This Row],[RSSI]]</f>
        <v>-122</v>
      </c>
      <c r="S1487">
        <v>-8.3000000000000007</v>
      </c>
    </row>
    <row r="1488" spans="2:19" x14ac:dyDescent="0.25">
      <c r="B1488">
        <f>436+2*(Table146[[#This Row],[min value (corrected)]])</f>
        <v>444</v>
      </c>
      <c r="C1488">
        <f>MINUTE(Table146[[#This Row],[Corrected time]])</f>
        <v>4</v>
      </c>
      <c r="D1488" s="1">
        <v>0.50306996527777781</v>
      </c>
      <c r="E1488" s="1">
        <f>Table146[[#This Row],[Time]]-TIME(0,0,1)</f>
        <v>0.50305839120370377</v>
      </c>
      <c r="F1488" t="s">
        <v>9</v>
      </c>
      <c r="G1488">
        <v>-122</v>
      </c>
      <c r="H1488">
        <f>Table146[[#This Row],[RSSI]]</f>
        <v>-122</v>
      </c>
      <c r="I1488">
        <v>-8.8000000000000007</v>
      </c>
      <c r="L1488">
        <f>390+2*(Table257[[#This Row],[min value (corrected)]]-27)</f>
        <v>444</v>
      </c>
      <c r="M1488">
        <f>MINUTE(Table257[[#This Row],[Corrected time]])</f>
        <v>54</v>
      </c>
      <c r="N1488" s="1">
        <v>0.5377019097222222</v>
      </c>
      <c r="O1488" s="1">
        <f>Table257[[#This Row],[Time]]-TIME(0,0,3)</f>
        <v>0.53766718749999998</v>
      </c>
      <c r="P1488" t="s">
        <v>9</v>
      </c>
      <c r="Q1488">
        <v>-122</v>
      </c>
      <c r="R1488">
        <f>Table257[[#This Row],[RSSI]]</f>
        <v>-122</v>
      </c>
      <c r="S1488">
        <v>-8.8000000000000007</v>
      </c>
    </row>
    <row r="1489" spans="2:19" x14ac:dyDescent="0.25">
      <c r="B1489">
        <f>436+2*(Table146[[#This Row],[min value (corrected)]])</f>
        <v>444</v>
      </c>
      <c r="C1489">
        <f>MINUTE(Table146[[#This Row],[Corrected time]])</f>
        <v>4</v>
      </c>
      <c r="D1489" s="1">
        <v>0.50308299768518516</v>
      </c>
      <c r="E1489" s="1">
        <f>Table146[[#This Row],[Time]]-TIME(0,0,1)</f>
        <v>0.50307142361111112</v>
      </c>
      <c r="F1489" t="s">
        <v>13</v>
      </c>
      <c r="G1489">
        <f>G1488</f>
        <v>-122</v>
      </c>
      <c r="H1489">
        <f>Table146[[#This Row],[RSSI]]</f>
        <v>-122</v>
      </c>
      <c r="I1489">
        <f>I1488</f>
        <v>-8.8000000000000007</v>
      </c>
      <c r="L1489">
        <f>390+2*(Table257[[#This Row],[min value (corrected)]]-27)</f>
        <v>444</v>
      </c>
      <c r="M1489">
        <f>MINUTE(Table257[[#This Row],[Corrected time]])</f>
        <v>54</v>
      </c>
      <c r="N1489" s="1">
        <v>0.53771494212962967</v>
      </c>
      <c r="O1489" s="1">
        <f>Table257[[#This Row],[Time]]-TIME(0,0,3)</f>
        <v>0.53768021990740744</v>
      </c>
      <c r="P1489" t="s">
        <v>9</v>
      </c>
      <c r="Q1489">
        <v>-122</v>
      </c>
      <c r="R1489">
        <f>Table257[[#This Row],[RSSI]]</f>
        <v>-122</v>
      </c>
      <c r="S1489">
        <v>-9</v>
      </c>
    </row>
    <row r="1490" spans="2:19" x14ac:dyDescent="0.25">
      <c r="B1490">
        <f>436+2*(Table146[[#This Row],[min value (corrected)]])</f>
        <v>444</v>
      </c>
      <c r="C1490">
        <f>MINUTE(Table146[[#This Row],[Corrected time]])</f>
        <v>4</v>
      </c>
      <c r="D1490" s="1">
        <v>0.50309603009259263</v>
      </c>
      <c r="E1490" s="1">
        <f>Table146[[#This Row],[Time]]-TIME(0,0,1)</f>
        <v>0.50308445601851859</v>
      </c>
      <c r="F1490" t="s">
        <v>9</v>
      </c>
      <c r="G1490">
        <v>-121</v>
      </c>
      <c r="H1490">
        <f>Table146[[#This Row],[RSSI]]</f>
        <v>-121</v>
      </c>
      <c r="I1490">
        <v>-8.3000000000000007</v>
      </c>
      <c r="L1490">
        <f>390+2*(Table257[[#This Row],[min value (corrected)]]-27)</f>
        <v>444</v>
      </c>
      <c r="M1490">
        <f>MINUTE(Table257[[#This Row],[Corrected time]])</f>
        <v>54</v>
      </c>
      <c r="N1490" s="1">
        <v>0.53772796296296299</v>
      </c>
      <c r="O1490" s="1">
        <f>Table257[[#This Row],[Time]]-TIME(0,0,3)</f>
        <v>0.53769324074074076</v>
      </c>
      <c r="P1490" t="s">
        <v>9</v>
      </c>
      <c r="Q1490">
        <v>-122</v>
      </c>
      <c r="R1490">
        <f>Table257[[#This Row],[RSSI]]</f>
        <v>-122</v>
      </c>
      <c r="S1490">
        <v>-8.8000000000000007</v>
      </c>
    </row>
    <row r="1491" spans="2:19" x14ac:dyDescent="0.25">
      <c r="B1491">
        <f>436+2*(Table146[[#This Row],[min value (corrected)]])</f>
        <v>444</v>
      </c>
      <c r="C1491">
        <f>MINUTE(Table146[[#This Row],[Corrected time]])</f>
        <v>4</v>
      </c>
      <c r="D1491" s="1">
        <v>0.50310905092592595</v>
      </c>
      <c r="E1491" s="1">
        <f>Table146[[#This Row],[Time]]-TIME(0,0,1)</f>
        <v>0.50309747685185191</v>
      </c>
      <c r="F1491" t="s">
        <v>13</v>
      </c>
      <c r="G1491">
        <f>G1490</f>
        <v>-121</v>
      </c>
      <c r="H1491">
        <f>Table146[[#This Row],[RSSI]]</f>
        <v>-121</v>
      </c>
      <c r="I1491">
        <f>I1490</f>
        <v>-8.3000000000000007</v>
      </c>
      <c r="L1491">
        <f>390+2*(Table257[[#This Row],[min value (corrected)]]-27)</f>
        <v>444</v>
      </c>
      <c r="M1491">
        <f>MINUTE(Table257[[#This Row],[Corrected time]])</f>
        <v>54</v>
      </c>
      <c r="N1491" s="1">
        <v>0.53774100694444438</v>
      </c>
      <c r="O1491" s="1">
        <f>Table257[[#This Row],[Time]]-TIME(0,0,3)</f>
        <v>0.53770628472222215</v>
      </c>
      <c r="P1491" t="s">
        <v>9</v>
      </c>
      <c r="Q1491">
        <v>-117</v>
      </c>
      <c r="R1491">
        <f>Table257[[#This Row],[RSSI]]</f>
        <v>-117</v>
      </c>
      <c r="S1491">
        <v>-8.8000000000000007</v>
      </c>
    </row>
    <row r="1492" spans="2:19" x14ac:dyDescent="0.25">
      <c r="B1492">
        <f>436+2*(Table146[[#This Row],[min value (corrected)]])</f>
        <v>444</v>
      </c>
      <c r="C1492">
        <f>MINUTE(Table146[[#This Row],[Corrected time]])</f>
        <v>4</v>
      </c>
      <c r="D1492" s="1">
        <v>0.50312209490740745</v>
      </c>
      <c r="E1492" s="1">
        <f>Table146[[#This Row],[Time]]-TIME(0,0,1)</f>
        <v>0.50311052083333341</v>
      </c>
      <c r="F1492" t="s">
        <v>9</v>
      </c>
      <c r="G1492">
        <v>-119</v>
      </c>
      <c r="H1492">
        <f>Table146[[#This Row],[RSSI]]</f>
        <v>-119</v>
      </c>
      <c r="I1492">
        <v>-8.5</v>
      </c>
      <c r="L1492">
        <f>390+2*(Table257[[#This Row],[min value (corrected)]]-27)</f>
        <v>444</v>
      </c>
      <c r="M1492">
        <f>MINUTE(Table257[[#This Row],[Corrected time]])</f>
        <v>54</v>
      </c>
      <c r="N1492" s="1">
        <v>0.53775403935185184</v>
      </c>
      <c r="O1492" s="1">
        <f>Table257[[#This Row],[Time]]-TIME(0,0,3)</f>
        <v>0.53771931712962961</v>
      </c>
      <c r="P1492" t="s">
        <v>9</v>
      </c>
      <c r="Q1492">
        <v>-121</v>
      </c>
      <c r="R1492">
        <f>Table257[[#This Row],[RSSI]]</f>
        <v>-121</v>
      </c>
      <c r="S1492">
        <v>-8</v>
      </c>
    </row>
    <row r="1493" spans="2:19" x14ac:dyDescent="0.25">
      <c r="B1493">
        <f>436+2*(Table146[[#This Row],[min value (corrected)]])</f>
        <v>444</v>
      </c>
      <c r="C1493">
        <f>MINUTE(Table146[[#This Row],[Corrected time]])</f>
        <v>4</v>
      </c>
      <c r="D1493" s="1">
        <v>0.5031351273148148</v>
      </c>
      <c r="E1493" s="1">
        <f>Table146[[#This Row],[Time]]-TIME(0,0,1)</f>
        <v>0.50312355324074076</v>
      </c>
      <c r="F1493" t="s">
        <v>13</v>
      </c>
      <c r="G1493">
        <f>G1492</f>
        <v>-119</v>
      </c>
      <c r="H1493">
        <f>Table146[[#This Row],[RSSI]]</f>
        <v>-119</v>
      </c>
      <c r="I1493">
        <f>I1492</f>
        <v>-8.5</v>
      </c>
      <c r="L1493">
        <f>390+2*(Table257[[#This Row],[min value (corrected)]]-27)</f>
        <v>444</v>
      </c>
      <c r="M1493">
        <f>MINUTE(Table257[[#This Row],[Corrected time]])</f>
        <v>54</v>
      </c>
      <c r="N1493" s="1">
        <v>0.5377670717592592</v>
      </c>
      <c r="O1493" s="1">
        <f>Table257[[#This Row],[Time]]-TIME(0,0,3)</f>
        <v>0.53773234953703697</v>
      </c>
      <c r="P1493" t="s">
        <v>9</v>
      </c>
      <c r="Q1493">
        <v>-122</v>
      </c>
      <c r="R1493">
        <f>Table257[[#This Row],[RSSI]]</f>
        <v>-122</v>
      </c>
      <c r="S1493">
        <v>-8</v>
      </c>
    </row>
    <row r="1494" spans="2:19" x14ac:dyDescent="0.25">
      <c r="B1494">
        <f>436+2*(Table146[[#This Row],[min value (corrected)]])</f>
        <v>444</v>
      </c>
      <c r="C1494">
        <f>MINUTE(Table146[[#This Row],[Corrected time]])</f>
        <v>4</v>
      </c>
      <c r="D1494" s="1">
        <v>0.50314815972222215</v>
      </c>
      <c r="E1494" s="1">
        <f>Table146[[#This Row],[Time]]-TIME(0,0,1)</f>
        <v>0.50313658564814812</v>
      </c>
      <c r="F1494" t="s">
        <v>9</v>
      </c>
      <c r="G1494">
        <v>-122</v>
      </c>
      <c r="H1494">
        <f>Table146[[#This Row],[RSSI]]</f>
        <v>-122</v>
      </c>
      <c r="I1494">
        <v>-8.5</v>
      </c>
      <c r="L1494">
        <f>390+2*(Table257[[#This Row],[min value (corrected)]]-27)</f>
        <v>444</v>
      </c>
      <c r="M1494">
        <f>MINUTE(Table257[[#This Row],[Corrected time]])</f>
        <v>54</v>
      </c>
      <c r="N1494" s="1">
        <v>0.53778010416666666</v>
      </c>
      <c r="O1494" s="1">
        <f>Table257[[#This Row],[Time]]-TIME(0,0,3)</f>
        <v>0.53774538194444443</v>
      </c>
      <c r="P1494" t="s">
        <v>9</v>
      </c>
      <c r="Q1494">
        <v>-122</v>
      </c>
      <c r="R1494">
        <f>Table257[[#This Row],[RSSI]]</f>
        <v>-122</v>
      </c>
      <c r="S1494">
        <v>-8.5</v>
      </c>
    </row>
    <row r="1495" spans="2:19" x14ac:dyDescent="0.25">
      <c r="B1495">
        <f>436+2*(Table146[[#This Row],[min value (corrected)]])</f>
        <v>444</v>
      </c>
      <c r="C1495">
        <f>MINUTE(Table146[[#This Row],[Corrected time]])</f>
        <v>4</v>
      </c>
      <c r="D1495" s="1">
        <v>0.50316119212962962</v>
      </c>
      <c r="E1495" s="1">
        <f>Table146[[#This Row],[Time]]-TIME(0,0,1)</f>
        <v>0.50314961805555558</v>
      </c>
      <c r="F1495" t="s">
        <v>9</v>
      </c>
      <c r="G1495">
        <v>-122</v>
      </c>
      <c r="H1495">
        <f>Table146[[#This Row],[RSSI]]</f>
        <v>-122</v>
      </c>
      <c r="I1495">
        <v>-9</v>
      </c>
      <c r="L1495">
        <f>390+2*(Table257[[#This Row],[min value (corrected)]]-27)</f>
        <v>444</v>
      </c>
      <c r="M1495">
        <f>MINUTE(Table257[[#This Row],[Corrected time]])</f>
        <v>54</v>
      </c>
      <c r="N1495" s="1">
        <v>0.53779313657407402</v>
      </c>
      <c r="O1495" s="1">
        <f>Table257[[#This Row],[Time]]-TIME(0,0,3)</f>
        <v>0.53775841435185179</v>
      </c>
      <c r="P1495" t="s">
        <v>9</v>
      </c>
      <c r="Q1495">
        <v>-122</v>
      </c>
      <c r="R1495">
        <f>Table257[[#This Row],[RSSI]]</f>
        <v>-122</v>
      </c>
      <c r="S1495">
        <v>-8.5</v>
      </c>
    </row>
    <row r="1496" spans="2:19" x14ac:dyDescent="0.25">
      <c r="B1496">
        <f>436+2*(Table146[[#This Row],[min value (corrected)]])</f>
        <v>444</v>
      </c>
      <c r="C1496">
        <f>MINUTE(Table146[[#This Row],[Corrected time]])</f>
        <v>4</v>
      </c>
      <c r="D1496" s="1">
        <v>0.50317422453703697</v>
      </c>
      <c r="E1496" s="1">
        <f>Table146[[#This Row],[Time]]-TIME(0,0,1)</f>
        <v>0.50316265046296293</v>
      </c>
      <c r="F1496" t="s">
        <v>9</v>
      </c>
      <c r="G1496">
        <v>-123</v>
      </c>
      <c r="H1496">
        <f>Table146[[#This Row],[RSSI]]</f>
        <v>-123</v>
      </c>
      <c r="I1496">
        <v>-8.8000000000000007</v>
      </c>
      <c r="L1496">
        <f>390+2*(Table257[[#This Row],[min value (corrected)]]-27)</f>
        <v>444</v>
      </c>
      <c r="M1496">
        <f>MINUTE(Table257[[#This Row],[Corrected time]])</f>
        <v>54</v>
      </c>
      <c r="N1496" s="1">
        <v>0.53780616898148148</v>
      </c>
      <c r="O1496" s="1">
        <f>Table257[[#This Row],[Time]]-TIME(0,0,3)</f>
        <v>0.53777144675925925</v>
      </c>
      <c r="P1496" t="s">
        <v>9</v>
      </c>
      <c r="Q1496">
        <v>-122</v>
      </c>
      <c r="R1496">
        <f>Table257[[#This Row],[RSSI]]</f>
        <v>-122</v>
      </c>
      <c r="S1496">
        <v>-9.3000000000000007</v>
      </c>
    </row>
    <row r="1497" spans="2:19" x14ac:dyDescent="0.25">
      <c r="B1497">
        <f>436+2*(Table146[[#This Row],[min value (corrected)]])</f>
        <v>444</v>
      </c>
      <c r="C1497">
        <f>MINUTE(Table146[[#This Row],[Corrected time]])</f>
        <v>4</v>
      </c>
      <c r="D1497" s="1">
        <v>0.5031872453703703</v>
      </c>
      <c r="E1497" s="1">
        <f>Table146[[#This Row],[Time]]-TIME(0,0,1)</f>
        <v>0.50317567129629626</v>
      </c>
      <c r="F1497" t="s">
        <v>9</v>
      </c>
      <c r="G1497">
        <v>-123</v>
      </c>
      <c r="H1497">
        <f>Table146[[#This Row],[RSSI]]</f>
        <v>-123</v>
      </c>
      <c r="I1497">
        <v>-9.8000000000000007</v>
      </c>
      <c r="L1497">
        <f>390+2*(Table257[[#This Row],[min value (corrected)]]-27)</f>
        <v>444</v>
      </c>
      <c r="M1497">
        <f>MINUTE(Table257[[#This Row],[Corrected time]])</f>
        <v>54</v>
      </c>
      <c r="N1497" s="1">
        <v>0.5378191898148148</v>
      </c>
      <c r="O1497" s="1">
        <f>Table257[[#This Row],[Time]]-TIME(0,0,3)</f>
        <v>0.53778446759259257</v>
      </c>
      <c r="P1497" t="s">
        <v>9</v>
      </c>
      <c r="Q1497">
        <v>-122</v>
      </c>
      <c r="R1497">
        <f>Table257[[#This Row],[RSSI]]</f>
        <v>-122</v>
      </c>
      <c r="S1497">
        <v>-8</v>
      </c>
    </row>
    <row r="1498" spans="2:19" x14ac:dyDescent="0.25">
      <c r="B1498">
        <f>436+2*(Table146[[#This Row],[min value (corrected)]])</f>
        <v>444</v>
      </c>
      <c r="C1498">
        <f>MINUTE(Table146[[#This Row],[Corrected time]])</f>
        <v>4</v>
      </c>
      <c r="D1498" s="1">
        <v>0.50320028935185179</v>
      </c>
      <c r="E1498" s="1">
        <f>Table146[[#This Row],[Time]]-TIME(0,0,1)</f>
        <v>0.50318871527777775</v>
      </c>
      <c r="F1498" t="s">
        <v>9</v>
      </c>
      <c r="G1498">
        <v>-123</v>
      </c>
      <c r="H1498">
        <f>Table146[[#This Row],[RSSI]]</f>
        <v>-123</v>
      </c>
      <c r="I1498">
        <v>-9.3000000000000007</v>
      </c>
      <c r="L1498">
        <f>390+2*(Table257[[#This Row],[min value (corrected)]]-27)</f>
        <v>444</v>
      </c>
      <c r="M1498">
        <f>MINUTE(Table257[[#This Row],[Corrected time]])</f>
        <v>54</v>
      </c>
      <c r="N1498" s="1">
        <v>0.5378322337962963</v>
      </c>
      <c r="O1498" s="1">
        <f>Table257[[#This Row],[Time]]-TIME(0,0,3)</f>
        <v>0.53779751157407407</v>
      </c>
      <c r="P1498" t="s">
        <v>9</v>
      </c>
      <c r="Q1498">
        <v>-122</v>
      </c>
      <c r="R1498">
        <f>Table257[[#This Row],[RSSI]]</f>
        <v>-122</v>
      </c>
      <c r="S1498">
        <v>-8.3000000000000007</v>
      </c>
    </row>
    <row r="1499" spans="2:19" x14ac:dyDescent="0.25">
      <c r="B1499">
        <f>436+2*(Table146[[#This Row],[min value (corrected)]])</f>
        <v>444</v>
      </c>
      <c r="C1499">
        <f>MINUTE(Table146[[#This Row],[Corrected time]])</f>
        <v>4</v>
      </c>
      <c r="D1499" s="1">
        <v>0.50321332175925926</v>
      </c>
      <c r="E1499" s="1">
        <f>Table146[[#This Row],[Time]]-TIME(0,0,1)</f>
        <v>0.50320174768518522</v>
      </c>
      <c r="F1499" t="s">
        <v>13</v>
      </c>
      <c r="G1499">
        <f>G1498</f>
        <v>-123</v>
      </c>
      <c r="H1499">
        <f>Table146[[#This Row],[RSSI]]</f>
        <v>-123</v>
      </c>
      <c r="I1499">
        <f>I1498</f>
        <v>-9.3000000000000007</v>
      </c>
      <c r="L1499">
        <f>390+2*(Table257[[#This Row],[min value (corrected)]]-27)</f>
        <v>444</v>
      </c>
      <c r="M1499">
        <f>MINUTE(Table257[[#This Row],[Corrected time]])</f>
        <v>54</v>
      </c>
      <c r="N1499" s="1">
        <v>0.53784526620370365</v>
      </c>
      <c r="O1499" s="1">
        <f>Table257[[#This Row],[Time]]-TIME(0,0,3)</f>
        <v>0.53781054398148143</v>
      </c>
      <c r="P1499" t="s">
        <v>9</v>
      </c>
      <c r="Q1499">
        <v>-122</v>
      </c>
      <c r="R1499">
        <f>Table257[[#This Row],[RSSI]]</f>
        <v>-122</v>
      </c>
      <c r="S1499">
        <v>-8</v>
      </c>
    </row>
    <row r="1500" spans="2:19" x14ac:dyDescent="0.25">
      <c r="B1500">
        <f>436+2*(Table146[[#This Row],[min value (corrected)]])</f>
        <v>444</v>
      </c>
      <c r="C1500">
        <f>MINUTE(Table146[[#This Row],[Corrected time]])</f>
        <v>4</v>
      </c>
      <c r="D1500" s="1">
        <v>0.50322635416666661</v>
      </c>
      <c r="E1500" s="1">
        <f>Table146[[#This Row],[Time]]-TIME(0,0,1)</f>
        <v>0.50321478009259257</v>
      </c>
      <c r="F1500" t="s">
        <v>9</v>
      </c>
      <c r="G1500">
        <v>-122</v>
      </c>
      <c r="H1500">
        <f>Table146[[#This Row],[RSSI]]</f>
        <v>-122</v>
      </c>
      <c r="I1500">
        <v>-8.5</v>
      </c>
      <c r="L1500">
        <f>390+2*(Table257[[#This Row],[min value (corrected)]]-27)</f>
        <v>444</v>
      </c>
      <c r="M1500">
        <f>MINUTE(Table257[[#This Row],[Corrected time]])</f>
        <v>54</v>
      </c>
      <c r="N1500" s="1">
        <v>0.53785829861111112</v>
      </c>
      <c r="O1500" s="1">
        <f>Table257[[#This Row],[Time]]-TIME(0,0,3)</f>
        <v>0.53782357638888889</v>
      </c>
      <c r="P1500" t="s">
        <v>9</v>
      </c>
      <c r="Q1500">
        <v>-121</v>
      </c>
      <c r="R1500">
        <f>Table257[[#This Row],[RSSI]]</f>
        <v>-121</v>
      </c>
      <c r="S1500">
        <v>-7.7</v>
      </c>
    </row>
    <row r="1501" spans="2:19" x14ac:dyDescent="0.25">
      <c r="B1501">
        <f>436+2*(Table146[[#This Row],[min value (corrected)]])</f>
        <v>444</v>
      </c>
      <c r="C1501">
        <f>MINUTE(Table146[[#This Row],[Corrected time]])</f>
        <v>4</v>
      </c>
      <c r="D1501" s="1">
        <v>0.50323938657407408</v>
      </c>
      <c r="E1501" s="1">
        <f>Table146[[#This Row],[Time]]-TIME(0,0,1)</f>
        <v>0.50322781250000004</v>
      </c>
      <c r="F1501" t="s">
        <v>9</v>
      </c>
      <c r="G1501">
        <v>-122</v>
      </c>
      <c r="H1501">
        <f>Table146[[#This Row],[RSSI]]</f>
        <v>-122</v>
      </c>
      <c r="I1501">
        <v>-8.8000000000000007</v>
      </c>
      <c r="L1501">
        <f>390+2*(Table257[[#This Row],[min value (corrected)]]-27)</f>
        <v>444</v>
      </c>
      <c r="M1501">
        <f>MINUTE(Table257[[#This Row],[Corrected time]])</f>
        <v>54</v>
      </c>
      <c r="N1501" s="1">
        <v>0.53787131944444444</v>
      </c>
      <c r="O1501" s="1">
        <f>Table257[[#This Row],[Time]]-TIME(0,0,3)</f>
        <v>0.53783659722222221</v>
      </c>
      <c r="P1501" t="s">
        <v>9</v>
      </c>
      <c r="Q1501">
        <v>-122</v>
      </c>
      <c r="R1501">
        <f>Table257[[#This Row],[RSSI]]</f>
        <v>-122</v>
      </c>
      <c r="S1501">
        <v>-8.5</v>
      </c>
    </row>
    <row r="1502" spans="2:19" x14ac:dyDescent="0.25">
      <c r="B1502">
        <f>436+2*(Table146[[#This Row],[min value (corrected)]])</f>
        <v>444</v>
      </c>
      <c r="C1502">
        <f>MINUTE(Table146[[#This Row],[Corrected time]])</f>
        <v>4</v>
      </c>
      <c r="D1502" s="1">
        <v>0.50325241898148143</v>
      </c>
      <c r="E1502" s="1">
        <f>Table146[[#This Row],[Time]]-TIME(0,0,1)</f>
        <v>0.50324084490740739</v>
      </c>
      <c r="F1502" t="s">
        <v>9</v>
      </c>
      <c r="G1502">
        <v>-122</v>
      </c>
      <c r="H1502">
        <f>Table146[[#This Row],[RSSI]]</f>
        <v>-122</v>
      </c>
      <c r="I1502">
        <v>-8.8000000000000007</v>
      </c>
      <c r="L1502">
        <f>390+2*(Table257[[#This Row],[min value (corrected)]]-27)</f>
        <v>444</v>
      </c>
      <c r="M1502">
        <f>MINUTE(Table257[[#This Row],[Corrected time]])</f>
        <v>54</v>
      </c>
      <c r="N1502" s="1">
        <v>0.53788436342592594</v>
      </c>
      <c r="O1502" s="1">
        <f>Table257[[#This Row],[Time]]-TIME(0,0,3)</f>
        <v>0.53784964120370371</v>
      </c>
      <c r="P1502" t="s">
        <v>9</v>
      </c>
      <c r="Q1502">
        <v>-122</v>
      </c>
      <c r="R1502">
        <f>Table257[[#This Row],[RSSI]]</f>
        <v>-122</v>
      </c>
      <c r="S1502">
        <v>-9</v>
      </c>
    </row>
    <row r="1503" spans="2:19" x14ac:dyDescent="0.25">
      <c r="B1503">
        <f>436+2*(Table146[[#This Row],[min value (corrected)]])</f>
        <v>444</v>
      </c>
      <c r="C1503">
        <f>MINUTE(Table146[[#This Row],[Corrected time]])</f>
        <v>4</v>
      </c>
      <c r="D1503" s="1">
        <v>0.5032654513888889</v>
      </c>
      <c r="E1503" s="1">
        <f>Table146[[#This Row],[Time]]-TIME(0,0,1)</f>
        <v>0.50325387731481486</v>
      </c>
      <c r="F1503" t="s">
        <v>9</v>
      </c>
      <c r="G1503">
        <v>-121</v>
      </c>
      <c r="H1503">
        <f>Table146[[#This Row],[RSSI]]</f>
        <v>-121</v>
      </c>
      <c r="I1503">
        <v>-8.3000000000000007</v>
      </c>
      <c r="L1503">
        <f>390+2*(Table257[[#This Row],[min value (corrected)]]-27)</f>
        <v>444</v>
      </c>
      <c r="M1503">
        <f>MINUTE(Table257[[#This Row],[Corrected time]])</f>
        <v>54</v>
      </c>
      <c r="N1503" s="1">
        <v>0.53789739583333329</v>
      </c>
      <c r="O1503" s="1">
        <f>Table257[[#This Row],[Time]]-TIME(0,0,3)</f>
        <v>0.53786267361111106</v>
      </c>
      <c r="P1503" t="s">
        <v>9</v>
      </c>
      <c r="Q1503">
        <v>-122</v>
      </c>
      <c r="R1503">
        <f>Table257[[#This Row],[RSSI]]</f>
        <v>-122</v>
      </c>
      <c r="S1503">
        <v>-8.3000000000000007</v>
      </c>
    </row>
    <row r="1504" spans="2:19" x14ac:dyDescent="0.25">
      <c r="B1504">
        <f>436+2*(Table146[[#This Row],[min value (corrected)]])</f>
        <v>444</v>
      </c>
      <c r="C1504">
        <f>MINUTE(Table146[[#This Row],[Corrected time]])</f>
        <v>4</v>
      </c>
      <c r="D1504" s="1">
        <v>0.50327848379629625</v>
      </c>
      <c r="E1504" s="1">
        <f>Table146[[#This Row],[Time]]-TIME(0,0,1)</f>
        <v>0.50326690972222221</v>
      </c>
      <c r="F1504" t="s">
        <v>9</v>
      </c>
      <c r="G1504">
        <v>-122</v>
      </c>
      <c r="H1504">
        <f>Table146[[#This Row],[RSSI]]</f>
        <v>-122</v>
      </c>
      <c r="I1504">
        <v>-8.3000000000000007</v>
      </c>
      <c r="L1504">
        <f>390+2*(Table257[[#This Row],[min value (corrected)]]-27)</f>
        <v>444</v>
      </c>
      <c r="M1504">
        <f>MINUTE(Table257[[#This Row],[Corrected time]])</f>
        <v>54</v>
      </c>
      <c r="N1504" s="1">
        <v>0.53791041666666661</v>
      </c>
      <c r="O1504" s="1">
        <f>Table257[[#This Row],[Time]]-TIME(0,0,3)</f>
        <v>0.53787569444444439</v>
      </c>
      <c r="P1504" t="s">
        <v>9</v>
      </c>
      <c r="Q1504">
        <v>-122</v>
      </c>
      <c r="R1504">
        <f>Table257[[#This Row],[RSSI]]</f>
        <v>-122</v>
      </c>
      <c r="S1504">
        <v>-8.8000000000000007</v>
      </c>
    </row>
    <row r="1505" spans="2:19" x14ac:dyDescent="0.25">
      <c r="B1505">
        <f>436+2*(Table146[[#This Row],[min value (corrected)]])</f>
        <v>444</v>
      </c>
      <c r="C1505">
        <f>MINUTE(Table146[[#This Row],[Corrected time]])</f>
        <v>4</v>
      </c>
      <c r="D1505" s="1">
        <v>0.50329151620370371</v>
      </c>
      <c r="E1505" s="1">
        <f>Table146[[#This Row],[Time]]-TIME(0,0,1)</f>
        <v>0.50327994212962968</v>
      </c>
      <c r="F1505" t="s">
        <v>9</v>
      </c>
      <c r="G1505">
        <v>-123</v>
      </c>
      <c r="H1505">
        <f>Table146[[#This Row],[RSSI]]</f>
        <v>-123</v>
      </c>
      <c r="I1505">
        <v>-9</v>
      </c>
      <c r="L1505">
        <f>390+2*(Table257[[#This Row],[min value (corrected)]]-27)</f>
        <v>444</v>
      </c>
      <c r="M1505">
        <f>MINUTE(Table257[[#This Row],[Corrected time]])</f>
        <v>54</v>
      </c>
      <c r="N1505" s="1">
        <v>0.53792346064814811</v>
      </c>
      <c r="O1505" s="1">
        <f>Table257[[#This Row],[Time]]-TIME(0,0,3)</f>
        <v>0.53788873842592588</v>
      </c>
      <c r="P1505" t="s">
        <v>9</v>
      </c>
      <c r="Q1505">
        <v>-122</v>
      </c>
      <c r="R1505">
        <f>Table257[[#This Row],[RSSI]]</f>
        <v>-122</v>
      </c>
      <c r="S1505">
        <v>-9.5</v>
      </c>
    </row>
    <row r="1506" spans="2:19" x14ac:dyDescent="0.25">
      <c r="B1506">
        <f>436+2*(Table146[[#This Row],[min value (corrected)]])</f>
        <v>444</v>
      </c>
      <c r="C1506">
        <f>MINUTE(Table146[[#This Row],[Corrected time]])</f>
        <v>4</v>
      </c>
      <c r="D1506" s="1">
        <v>0.50330454861111107</v>
      </c>
      <c r="E1506" s="1">
        <f>Table146[[#This Row],[Time]]-TIME(0,0,1)</f>
        <v>0.50329297453703703</v>
      </c>
      <c r="F1506" t="s">
        <v>9</v>
      </c>
      <c r="G1506">
        <v>-122</v>
      </c>
      <c r="H1506">
        <f>Table146[[#This Row],[RSSI]]</f>
        <v>-122</v>
      </c>
      <c r="I1506">
        <v>-8.5</v>
      </c>
      <c r="L1506">
        <f>390+2*(Table257[[#This Row],[min value (corrected)]]-27)</f>
        <v>444</v>
      </c>
      <c r="M1506">
        <f>MINUTE(Table257[[#This Row],[Corrected time]])</f>
        <v>54</v>
      </c>
      <c r="N1506" s="1">
        <v>0.53793649305555558</v>
      </c>
      <c r="O1506" s="1">
        <f>Table257[[#This Row],[Time]]-TIME(0,0,3)</f>
        <v>0.53790177083333335</v>
      </c>
      <c r="P1506" t="s">
        <v>9</v>
      </c>
      <c r="Q1506">
        <v>-123</v>
      </c>
      <c r="R1506">
        <f>Table257[[#This Row],[RSSI]]</f>
        <v>-123</v>
      </c>
      <c r="S1506">
        <v>-9</v>
      </c>
    </row>
    <row r="1507" spans="2:19" x14ac:dyDescent="0.25">
      <c r="B1507">
        <f>436+2*(Table146[[#This Row],[min value (corrected)]])</f>
        <v>444</v>
      </c>
      <c r="C1507">
        <f>MINUTE(Table146[[#This Row],[Corrected time]])</f>
        <v>4</v>
      </c>
      <c r="D1507" s="1">
        <v>0.50331758101851853</v>
      </c>
      <c r="E1507" s="1">
        <f>Table146[[#This Row],[Time]]-TIME(0,0,1)</f>
        <v>0.5033060069444445</v>
      </c>
      <c r="F1507" t="s">
        <v>9</v>
      </c>
      <c r="G1507">
        <v>-122</v>
      </c>
      <c r="H1507">
        <f>Table146[[#This Row],[RSSI]]</f>
        <v>-122</v>
      </c>
      <c r="I1507">
        <v>-8.3000000000000007</v>
      </c>
      <c r="L1507">
        <f>390+2*(Table257[[#This Row],[min value (corrected)]]-27)</f>
        <v>444</v>
      </c>
      <c r="M1507">
        <f>MINUTE(Table257[[#This Row],[Corrected time]])</f>
        <v>54</v>
      </c>
      <c r="N1507" s="1">
        <v>0.5379495138888889</v>
      </c>
      <c r="O1507" s="1">
        <f>Table257[[#This Row],[Time]]-TIME(0,0,3)</f>
        <v>0.53791479166666667</v>
      </c>
      <c r="P1507" t="s">
        <v>9</v>
      </c>
      <c r="Q1507">
        <v>-123</v>
      </c>
      <c r="R1507">
        <f>Table257[[#This Row],[RSSI]]</f>
        <v>-123</v>
      </c>
      <c r="S1507">
        <v>-9.3000000000000007</v>
      </c>
    </row>
    <row r="1508" spans="2:19" x14ac:dyDescent="0.25">
      <c r="B1508">
        <f>436+2*(Table146[[#This Row],[min value (corrected)]])</f>
        <v>444</v>
      </c>
      <c r="C1508">
        <f>MINUTE(Table146[[#This Row],[Corrected time]])</f>
        <v>4</v>
      </c>
      <c r="D1508" s="1">
        <v>0.50333061342592589</v>
      </c>
      <c r="E1508" s="1">
        <f>Table146[[#This Row],[Time]]-TIME(0,0,1)</f>
        <v>0.50331903935185185</v>
      </c>
      <c r="F1508" t="s">
        <v>13</v>
      </c>
      <c r="G1508">
        <f t="shared" ref="G1508:G1509" si="211">G1507</f>
        <v>-122</v>
      </c>
      <c r="H1508">
        <f>Table146[[#This Row],[RSSI]]</f>
        <v>-122</v>
      </c>
      <c r="I1508">
        <f t="shared" ref="I1508:I1509" si="212">I1507</f>
        <v>-8.3000000000000007</v>
      </c>
      <c r="L1508">
        <f>390+2*(Table257[[#This Row],[min value (corrected)]]-27)</f>
        <v>444</v>
      </c>
      <c r="M1508">
        <f>MINUTE(Table257[[#This Row],[Corrected time]])</f>
        <v>54</v>
      </c>
      <c r="N1508" s="1">
        <v>0.53796255787037028</v>
      </c>
      <c r="O1508" s="1">
        <f>Table257[[#This Row],[Time]]-TIME(0,0,3)</f>
        <v>0.53792783564814806</v>
      </c>
      <c r="P1508" t="s">
        <v>9</v>
      </c>
      <c r="Q1508">
        <v>-123</v>
      </c>
      <c r="R1508">
        <f>Table257[[#This Row],[RSSI]]</f>
        <v>-123</v>
      </c>
      <c r="S1508">
        <v>-9.3000000000000007</v>
      </c>
    </row>
    <row r="1509" spans="2:19" x14ac:dyDescent="0.25">
      <c r="B1509">
        <f>436+2*(Table146[[#This Row],[min value (corrected)]])</f>
        <v>444</v>
      </c>
      <c r="C1509">
        <f>MINUTE(Table146[[#This Row],[Corrected time]])</f>
        <v>4</v>
      </c>
      <c r="D1509" s="1">
        <v>0.50334364583333335</v>
      </c>
      <c r="E1509" s="1">
        <f>Table146[[#This Row],[Time]]-TIME(0,0,1)</f>
        <v>0.50333207175925931</v>
      </c>
      <c r="F1509" t="s">
        <v>13</v>
      </c>
      <c r="G1509">
        <f t="shared" si="211"/>
        <v>-122</v>
      </c>
      <c r="H1509">
        <f>Table146[[#This Row],[RSSI]]</f>
        <v>-122</v>
      </c>
      <c r="I1509">
        <f t="shared" si="212"/>
        <v>-8.3000000000000007</v>
      </c>
      <c r="L1509">
        <f>390+2*(Table257[[#This Row],[min value (corrected)]]-27)</f>
        <v>444</v>
      </c>
      <c r="M1509">
        <f>MINUTE(Table257[[#This Row],[Corrected time]])</f>
        <v>54</v>
      </c>
      <c r="N1509" s="1">
        <v>0.53797559027777775</v>
      </c>
      <c r="O1509" s="1">
        <f>Table257[[#This Row],[Time]]-TIME(0,0,3)</f>
        <v>0.53794086805555552</v>
      </c>
      <c r="P1509" t="s">
        <v>9</v>
      </c>
      <c r="Q1509">
        <v>-122</v>
      </c>
      <c r="R1509">
        <f>Table257[[#This Row],[RSSI]]</f>
        <v>-122</v>
      </c>
      <c r="S1509">
        <v>-8.3000000000000007</v>
      </c>
    </row>
    <row r="1510" spans="2:19" x14ac:dyDescent="0.25">
      <c r="B1510">
        <f>436+2*(Table146[[#This Row],[min value (corrected)]])</f>
        <v>444</v>
      </c>
      <c r="C1510">
        <f>MINUTE(Table146[[#This Row],[Corrected time]])</f>
        <v>4</v>
      </c>
      <c r="D1510" s="1">
        <v>0.50335667824074071</v>
      </c>
      <c r="E1510" s="1">
        <f>Table146[[#This Row],[Time]]-TIME(0,0,1)</f>
        <v>0.50334510416666667</v>
      </c>
      <c r="F1510" t="s">
        <v>9</v>
      </c>
      <c r="G1510">
        <v>-122</v>
      </c>
      <c r="H1510">
        <f>Table146[[#This Row],[RSSI]]</f>
        <v>-122</v>
      </c>
      <c r="I1510">
        <v>-8</v>
      </c>
      <c r="L1510">
        <f>390+2*(Table257[[#This Row],[min value (corrected)]]-27)</f>
        <v>444</v>
      </c>
      <c r="M1510">
        <f>MINUTE(Table257[[#This Row],[Corrected time]])</f>
        <v>54</v>
      </c>
      <c r="N1510" s="1">
        <v>0.5379886226851851</v>
      </c>
      <c r="O1510" s="1">
        <f>Table257[[#This Row],[Time]]-TIME(0,0,3)</f>
        <v>0.53795390046296288</v>
      </c>
      <c r="P1510" t="s">
        <v>13</v>
      </c>
      <c r="Q1510">
        <f>Q1509</f>
        <v>-122</v>
      </c>
      <c r="R1510">
        <f>Table257[[#This Row],[RSSI]]</f>
        <v>-122</v>
      </c>
      <c r="S1510">
        <f>S1509</f>
        <v>-8.3000000000000007</v>
      </c>
    </row>
    <row r="1511" spans="2:19" x14ac:dyDescent="0.25">
      <c r="B1511">
        <f>436+2*(Table146[[#This Row],[min value (corrected)]])</f>
        <v>444</v>
      </c>
      <c r="C1511">
        <f>MINUTE(Table146[[#This Row],[Corrected time]])</f>
        <v>4</v>
      </c>
      <c r="D1511" s="1">
        <v>0.50336971064814806</v>
      </c>
      <c r="E1511" s="1">
        <f>Table146[[#This Row],[Time]]-TIME(0,0,1)</f>
        <v>0.50335813657407402</v>
      </c>
      <c r="F1511" t="s">
        <v>9</v>
      </c>
      <c r="G1511">
        <v>-122</v>
      </c>
      <c r="H1511">
        <f>Table146[[#This Row],[RSSI]]</f>
        <v>-122</v>
      </c>
      <c r="I1511">
        <v>-8.3000000000000007</v>
      </c>
      <c r="L1511">
        <f>390+2*(Table257[[#This Row],[min value (corrected)]]-27)</f>
        <v>444</v>
      </c>
      <c r="M1511">
        <f>MINUTE(Table257[[#This Row],[Corrected time]])</f>
        <v>54</v>
      </c>
      <c r="N1511" s="1">
        <v>0.53800165509259257</v>
      </c>
      <c r="O1511" s="1">
        <f>Table257[[#This Row],[Time]]-TIME(0,0,3)</f>
        <v>0.53796693287037034</v>
      </c>
      <c r="P1511" t="s">
        <v>9</v>
      </c>
      <c r="Q1511">
        <v>-122</v>
      </c>
      <c r="R1511">
        <f>Table257[[#This Row],[RSSI]]</f>
        <v>-122</v>
      </c>
      <c r="S1511">
        <v>-8.5</v>
      </c>
    </row>
    <row r="1512" spans="2:19" x14ac:dyDescent="0.25">
      <c r="B1512">
        <f>436+2*(Table146[[#This Row],[min value (corrected)]])</f>
        <v>444</v>
      </c>
      <c r="C1512">
        <f>MINUTE(Table146[[#This Row],[Corrected time]])</f>
        <v>4</v>
      </c>
      <c r="D1512" s="1">
        <v>0.50338274305555553</v>
      </c>
      <c r="E1512" s="1">
        <f>Table146[[#This Row],[Time]]-TIME(0,0,1)</f>
        <v>0.50337116898148149</v>
      </c>
      <c r="F1512" t="s">
        <v>9</v>
      </c>
      <c r="G1512">
        <v>-122</v>
      </c>
      <c r="H1512">
        <f>Table146[[#This Row],[RSSI]]</f>
        <v>-122</v>
      </c>
      <c r="I1512">
        <v>-8.8000000000000007</v>
      </c>
      <c r="L1512">
        <f>390+2*(Table257[[#This Row],[min value (corrected)]]-27)</f>
        <v>444</v>
      </c>
      <c r="M1512">
        <f>MINUTE(Table257[[#This Row],[Corrected time]])</f>
        <v>54</v>
      </c>
      <c r="N1512" s="1">
        <v>0.53801467592592589</v>
      </c>
      <c r="O1512" s="1">
        <f>Table257[[#This Row],[Time]]-TIME(0,0,3)</f>
        <v>0.53797995370370366</v>
      </c>
      <c r="P1512" t="s">
        <v>9</v>
      </c>
      <c r="Q1512">
        <v>-122</v>
      </c>
      <c r="R1512">
        <f>Table257[[#This Row],[RSSI]]</f>
        <v>-122</v>
      </c>
      <c r="S1512">
        <v>-8.5</v>
      </c>
    </row>
    <row r="1513" spans="2:19" x14ac:dyDescent="0.25">
      <c r="B1513">
        <f>436+2*(Table146[[#This Row],[min value (corrected)]])</f>
        <v>444</v>
      </c>
      <c r="C1513">
        <f>MINUTE(Table146[[#This Row],[Corrected time]])</f>
        <v>4</v>
      </c>
      <c r="D1513" s="1">
        <v>0.50339576388888885</v>
      </c>
      <c r="E1513" s="1">
        <f>Table146[[#This Row],[Time]]-TIME(0,0,1)</f>
        <v>0.50338418981481481</v>
      </c>
      <c r="F1513" t="s">
        <v>13</v>
      </c>
      <c r="G1513">
        <f t="shared" ref="G1513:G1515" si="213">G1512</f>
        <v>-122</v>
      </c>
      <c r="H1513">
        <f>Table146[[#This Row],[RSSI]]</f>
        <v>-122</v>
      </c>
      <c r="I1513">
        <f t="shared" ref="I1513:I1515" si="214">I1512</f>
        <v>-8.8000000000000007</v>
      </c>
      <c r="L1513">
        <f>390+2*(Table257[[#This Row],[min value (corrected)]]-27)</f>
        <v>444</v>
      </c>
      <c r="M1513">
        <f>MINUTE(Table257[[#This Row],[Corrected time]])</f>
        <v>54</v>
      </c>
      <c r="N1513" s="1">
        <v>0.53802770833333335</v>
      </c>
      <c r="O1513" s="1">
        <f>Table257[[#This Row],[Time]]-TIME(0,0,3)</f>
        <v>0.53799298611111113</v>
      </c>
      <c r="P1513" t="s">
        <v>13</v>
      </c>
      <c r="Q1513">
        <f>Q1512</f>
        <v>-122</v>
      </c>
      <c r="R1513">
        <f>Table257[[#This Row],[RSSI]]</f>
        <v>-122</v>
      </c>
      <c r="S1513">
        <f>S1512</f>
        <v>-8.5</v>
      </c>
    </row>
    <row r="1514" spans="2:19" x14ac:dyDescent="0.25">
      <c r="B1514">
        <f>436+2*(Table146[[#This Row],[min value (corrected)]])</f>
        <v>444</v>
      </c>
      <c r="C1514">
        <f>MINUTE(Table146[[#This Row],[Corrected time]])</f>
        <v>4</v>
      </c>
      <c r="D1514" s="1">
        <v>0.50340880787037035</v>
      </c>
      <c r="E1514" s="1">
        <f>Table146[[#This Row],[Time]]-TIME(0,0,1)</f>
        <v>0.50339723379629631</v>
      </c>
      <c r="F1514" t="s">
        <v>13</v>
      </c>
      <c r="G1514">
        <f t="shared" si="213"/>
        <v>-122</v>
      </c>
      <c r="H1514">
        <f>Table146[[#This Row],[RSSI]]</f>
        <v>-122</v>
      </c>
      <c r="I1514">
        <f t="shared" si="214"/>
        <v>-8.8000000000000007</v>
      </c>
      <c r="L1514">
        <f>390+2*(Table257[[#This Row],[min value (corrected)]]-27)</f>
        <v>444</v>
      </c>
      <c r="M1514">
        <f>MINUTE(Table257[[#This Row],[Corrected time]])</f>
        <v>54</v>
      </c>
      <c r="N1514" s="1">
        <v>0.53804075231481474</v>
      </c>
      <c r="O1514" s="1">
        <f>Table257[[#This Row],[Time]]-TIME(0,0,3)</f>
        <v>0.53800603009259251</v>
      </c>
      <c r="P1514" t="s">
        <v>9</v>
      </c>
      <c r="Q1514">
        <v>-122</v>
      </c>
      <c r="R1514">
        <f>Table257[[#This Row],[RSSI]]</f>
        <v>-122</v>
      </c>
      <c r="S1514">
        <v>-9</v>
      </c>
    </row>
    <row r="1515" spans="2:19" x14ac:dyDescent="0.25">
      <c r="B1515">
        <f>436+2*(Table146[[#This Row],[min value (corrected)]])</f>
        <v>444</v>
      </c>
      <c r="C1515">
        <f>MINUTE(Table146[[#This Row],[Corrected time]])</f>
        <v>4</v>
      </c>
      <c r="D1515" s="1">
        <v>0.5034218402777777</v>
      </c>
      <c r="E1515" s="1">
        <f>Table146[[#This Row],[Time]]-TIME(0,0,1)</f>
        <v>0.50341026620370366</v>
      </c>
      <c r="F1515" t="s">
        <v>13</v>
      </c>
      <c r="G1515">
        <f t="shared" si="213"/>
        <v>-122</v>
      </c>
      <c r="H1515">
        <f>Table146[[#This Row],[RSSI]]</f>
        <v>-122</v>
      </c>
      <c r="I1515">
        <f t="shared" si="214"/>
        <v>-8.8000000000000007</v>
      </c>
      <c r="L1515">
        <f>390+2*(Table257[[#This Row],[min value (corrected)]]-27)</f>
        <v>444</v>
      </c>
      <c r="M1515">
        <f>MINUTE(Table257[[#This Row],[Corrected time]])</f>
        <v>54</v>
      </c>
      <c r="N1515" s="1">
        <v>0.53805378472222221</v>
      </c>
      <c r="O1515" s="1">
        <f>Table257[[#This Row],[Time]]-TIME(0,0,3)</f>
        <v>0.53801906249999998</v>
      </c>
      <c r="P1515" t="s">
        <v>9</v>
      </c>
      <c r="Q1515">
        <v>-122</v>
      </c>
      <c r="R1515">
        <f>Table257[[#This Row],[RSSI]]</f>
        <v>-122</v>
      </c>
      <c r="S1515">
        <v>-8.3000000000000007</v>
      </c>
    </row>
    <row r="1516" spans="2:19" x14ac:dyDescent="0.25">
      <c r="B1516">
        <f>436+2*(Table146[[#This Row],[min value (corrected)]])</f>
        <v>444</v>
      </c>
      <c r="C1516">
        <f>MINUTE(Table146[[#This Row],[Corrected time]])</f>
        <v>4</v>
      </c>
      <c r="D1516" s="1">
        <v>0.50343487268518516</v>
      </c>
      <c r="E1516" s="1">
        <f>Table146[[#This Row],[Time]]-TIME(0,0,1)</f>
        <v>0.50342329861111113</v>
      </c>
      <c r="F1516" t="s">
        <v>9</v>
      </c>
      <c r="G1516">
        <v>-122</v>
      </c>
      <c r="H1516">
        <f>Table146[[#This Row],[RSSI]]</f>
        <v>-122</v>
      </c>
      <c r="I1516">
        <v>-8.5</v>
      </c>
      <c r="L1516">
        <f>390+2*(Table257[[#This Row],[min value (corrected)]]-27)</f>
        <v>444</v>
      </c>
      <c r="M1516">
        <f>MINUTE(Table257[[#This Row],[Corrected time]])</f>
        <v>54</v>
      </c>
      <c r="N1516" s="1">
        <v>0.53806681712962956</v>
      </c>
      <c r="O1516" s="1">
        <f>Table257[[#This Row],[Time]]-TIME(0,0,3)</f>
        <v>0.53803209490740733</v>
      </c>
      <c r="P1516" t="s">
        <v>9</v>
      </c>
      <c r="Q1516">
        <v>-123</v>
      </c>
      <c r="R1516">
        <f>Table257[[#This Row],[RSSI]]</f>
        <v>-123</v>
      </c>
      <c r="S1516">
        <v>-9</v>
      </c>
    </row>
    <row r="1517" spans="2:19" x14ac:dyDescent="0.25">
      <c r="B1517">
        <f>436+2*(Table146[[#This Row],[min value (corrected)]])</f>
        <v>444</v>
      </c>
      <c r="C1517">
        <f>MINUTE(Table146[[#This Row],[Corrected time]])</f>
        <v>4</v>
      </c>
      <c r="D1517" s="1">
        <v>0.50344790509259252</v>
      </c>
      <c r="E1517" s="1">
        <f>Table146[[#This Row],[Time]]-TIME(0,0,1)</f>
        <v>0.50343633101851848</v>
      </c>
      <c r="F1517" t="s">
        <v>9</v>
      </c>
      <c r="G1517">
        <v>-122</v>
      </c>
      <c r="H1517">
        <f>Table146[[#This Row],[RSSI]]</f>
        <v>-122</v>
      </c>
      <c r="I1517">
        <v>-8.8000000000000007</v>
      </c>
      <c r="L1517">
        <f>390+2*(Table257[[#This Row],[min value (corrected)]]-27)</f>
        <v>444</v>
      </c>
      <c r="M1517">
        <f>MINUTE(Table257[[#This Row],[Corrected time]])</f>
        <v>54</v>
      </c>
      <c r="N1517" s="1">
        <v>0.53807984953703702</v>
      </c>
      <c r="O1517" s="1">
        <f>Table257[[#This Row],[Time]]-TIME(0,0,3)</f>
        <v>0.5380451273148148</v>
      </c>
      <c r="P1517" t="s">
        <v>13</v>
      </c>
      <c r="Q1517">
        <f t="shared" ref="Q1517:Q1518" si="215">Q1516</f>
        <v>-123</v>
      </c>
      <c r="R1517">
        <f>Table257[[#This Row],[RSSI]]</f>
        <v>-123</v>
      </c>
      <c r="S1517">
        <f t="shared" ref="S1517:S1518" si="216">S1516</f>
        <v>-9</v>
      </c>
    </row>
    <row r="1518" spans="2:19" x14ac:dyDescent="0.25">
      <c r="B1518">
        <f>436+2*(Table146[[#This Row],[min value (corrected)]])</f>
        <v>444</v>
      </c>
      <c r="C1518">
        <f>MINUTE(Table146[[#This Row],[Corrected time]])</f>
        <v>4</v>
      </c>
      <c r="D1518" s="1">
        <v>0.50346092592592595</v>
      </c>
      <c r="E1518" s="1">
        <f>Table146[[#This Row],[Time]]-TIME(0,0,1)</f>
        <v>0.50344935185185191</v>
      </c>
      <c r="F1518" t="s">
        <v>9</v>
      </c>
      <c r="G1518">
        <v>-122</v>
      </c>
      <c r="H1518">
        <f>Table146[[#This Row],[RSSI]]</f>
        <v>-122</v>
      </c>
      <c r="I1518">
        <v>-8.8000000000000007</v>
      </c>
      <c r="L1518">
        <f>390+2*(Table257[[#This Row],[min value (corrected)]]-27)</f>
        <v>444</v>
      </c>
      <c r="M1518">
        <f>MINUTE(Table257[[#This Row],[Corrected time]])</f>
        <v>54</v>
      </c>
      <c r="N1518" s="1">
        <v>0.53809288194444438</v>
      </c>
      <c r="O1518" s="1">
        <f>Table257[[#This Row],[Time]]-TIME(0,0,3)</f>
        <v>0.53805815972222215</v>
      </c>
      <c r="P1518" t="s">
        <v>13</v>
      </c>
      <c r="Q1518">
        <f t="shared" si="215"/>
        <v>-123</v>
      </c>
      <c r="R1518">
        <f>Table257[[#This Row],[RSSI]]</f>
        <v>-123</v>
      </c>
      <c r="S1518">
        <f t="shared" si="216"/>
        <v>-9</v>
      </c>
    </row>
    <row r="1519" spans="2:19" x14ac:dyDescent="0.25">
      <c r="B1519">
        <f>436+2*(Table146[[#This Row],[min value (corrected)]])</f>
        <v>444</v>
      </c>
      <c r="C1519">
        <f>MINUTE(Table146[[#This Row],[Corrected time]])</f>
        <v>4</v>
      </c>
      <c r="D1519" s="1">
        <v>0.50347396990740734</v>
      </c>
      <c r="E1519" s="1">
        <f>Table146[[#This Row],[Time]]-TIME(0,0,1)</f>
        <v>0.5034623958333333</v>
      </c>
      <c r="F1519" t="s">
        <v>13</v>
      </c>
      <c r="G1519">
        <f>G1518</f>
        <v>-122</v>
      </c>
      <c r="H1519">
        <f>Table146[[#This Row],[RSSI]]</f>
        <v>-122</v>
      </c>
      <c r="I1519">
        <f>I1518</f>
        <v>-8.8000000000000007</v>
      </c>
      <c r="L1519">
        <f>390+2*(Table257[[#This Row],[min value (corrected)]]-27)</f>
        <v>444</v>
      </c>
      <c r="M1519">
        <f>MINUTE(Table257[[#This Row],[Corrected time]])</f>
        <v>54</v>
      </c>
      <c r="N1519" s="1">
        <v>0.53810591435185184</v>
      </c>
      <c r="O1519" s="1">
        <f>Table257[[#This Row],[Time]]-TIME(0,0,3)</f>
        <v>0.53807119212962962</v>
      </c>
      <c r="P1519" t="s">
        <v>9</v>
      </c>
      <c r="Q1519">
        <v>-122</v>
      </c>
      <c r="R1519">
        <f>Table257[[#This Row],[RSSI]]</f>
        <v>-122</v>
      </c>
      <c r="S1519">
        <v>-9.3000000000000007</v>
      </c>
    </row>
    <row r="1520" spans="2:19" x14ac:dyDescent="0.25">
      <c r="B1520">
        <f>436+2*(Table146[[#This Row],[min value (corrected)]])</f>
        <v>446</v>
      </c>
      <c r="C1520">
        <f>MINUTE(Table146[[#This Row],[Corrected time]])</f>
        <v>5</v>
      </c>
      <c r="D1520" s="1">
        <v>0.5034870023148148</v>
      </c>
      <c r="E1520" s="1">
        <f>Table146[[#This Row],[Time]]-TIME(0,0,1)</f>
        <v>0.50347542824074076</v>
      </c>
      <c r="F1520" t="s">
        <v>9</v>
      </c>
      <c r="G1520">
        <v>-122</v>
      </c>
      <c r="H1520">
        <f>Table146[[#This Row],[RSSI]]</f>
        <v>-122</v>
      </c>
      <c r="I1520">
        <v>-8</v>
      </c>
      <c r="L1520">
        <f>390+2*(Table257[[#This Row],[min value (corrected)]]-27)</f>
        <v>444</v>
      </c>
      <c r="M1520">
        <f>MINUTE(Table257[[#This Row],[Corrected time]])</f>
        <v>54</v>
      </c>
      <c r="N1520" s="1">
        <v>0.5381189467592592</v>
      </c>
      <c r="O1520" s="1">
        <f>Table257[[#This Row],[Time]]-TIME(0,0,3)</f>
        <v>0.53808422453703697</v>
      </c>
      <c r="P1520" t="s">
        <v>9</v>
      </c>
      <c r="Q1520">
        <v>-122</v>
      </c>
      <c r="R1520">
        <f>Table257[[#This Row],[RSSI]]</f>
        <v>-122</v>
      </c>
      <c r="S1520">
        <v>-8.8000000000000007</v>
      </c>
    </row>
    <row r="1521" spans="2:19" x14ac:dyDescent="0.25">
      <c r="B1521">
        <f>436+2*(Table146[[#This Row],[min value (corrected)]])</f>
        <v>446</v>
      </c>
      <c r="C1521">
        <f>MINUTE(Table146[[#This Row],[Corrected time]])</f>
        <v>5</v>
      </c>
      <c r="D1521" s="1">
        <v>0.50350003472222216</v>
      </c>
      <c r="E1521" s="1">
        <f>Table146[[#This Row],[Time]]-TIME(0,0,1)</f>
        <v>0.50348846064814812</v>
      </c>
      <c r="F1521" t="s">
        <v>9</v>
      </c>
      <c r="G1521">
        <v>-123</v>
      </c>
      <c r="H1521">
        <f>Table146[[#This Row],[RSSI]]</f>
        <v>-123</v>
      </c>
      <c r="I1521">
        <v>-8.8000000000000007</v>
      </c>
      <c r="L1521">
        <f>390+2*(Table257[[#This Row],[min value (corrected)]]-27)</f>
        <v>444</v>
      </c>
      <c r="M1521">
        <f>MINUTE(Table257[[#This Row],[Corrected time]])</f>
        <v>54</v>
      </c>
      <c r="N1521" s="1">
        <v>0.53813197916666666</v>
      </c>
      <c r="O1521" s="1">
        <f>Table257[[#This Row],[Time]]-TIME(0,0,3)</f>
        <v>0.53809725694444444</v>
      </c>
      <c r="P1521" t="s">
        <v>9</v>
      </c>
      <c r="Q1521">
        <v>-122</v>
      </c>
      <c r="R1521">
        <f>Table257[[#This Row],[RSSI]]</f>
        <v>-122</v>
      </c>
      <c r="S1521">
        <v>-9</v>
      </c>
    </row>
    <row r="1522" spans="2:19" x14ac:dyDescent="0.25">
      <c r="B1522">
        <f>436+2*(Table146[[#This Row],[min value (corrected)]])</f>
        <v>446</v>
      </c>
      <c r="C1522">
        <f>MINUTE(Table146[[#This Row],[Corrected time]])</f>
        <v>5</v>
      </c>
      <c r="D1522" s="1">
        <v>0.50351306712962962</v>
      </c>
      <c r="E1522" s="1">
        <f>Table146[[#This Row],[Time]]-TIME(0,0,1)</f>
        <v>0.50350149305555558</v>
      </c>
      <c r="F1522" t="s">
        <v>13</v>
      </c>
      <c r="G1522">
        <f t="shared" ref="G1522:G1525" si="217">G1521</f>
        <v>-123</v>
      </c>
      <c r="H1522">
        <f>Table146[[#This Row],[RSSI]]</f>
        <v>-123</v>
      </c>
      <c r="I1522">
        <f t="shared" ref="I1522:I1525" si="218">I1521</f>
        <v>-8.8000000000000007</v>
      </c>
      <c r="L1522">
        <f>390+2*(Table257[[#This Row],[min value (corrected)]]-27)</f>
        <v>444</v>
      </c>
      <c r="M1522">
        <f>MINUTE(Table257[[#This Row],[Corrected time]])</f>
        <v>54</v>
      </c>
      <c r="N1522" s="1">
        <v>0.53814501157407402</v>
      </c>
      <c r="O1522" s="1">
        <f>Table257[[#This Row],[Time]]-TIME(0,0,3)</f>
        <v>0.53811028935185179</v>
      </c>
      <c r="P1522" t="s">
        <v>9</v>
      </c>
      <c r="Q1522">
        <v>-122</v>
      </c>
      <c r="R1522">
        <f>Table257[[#This Row],[RSSI]]</f>
        <v>-122</v>
      </c>
      <c r="S1522">
        <v>-8.3000000000000007</v>
      </c>
    </row>
    <row r="1523" spans="2:19" x14ac:dyDescent="0.25">
      <c r="B1523">
        <f>436+2*(Table146[[#This Row],[min value (corrected)]])</f>
        <v>446</v>
      </c>
      <c r="C1523">
        <f>MINUTE(Table146[[#This Row],[Corrected time]])</f>
        <v>5</v>
      </c>
      <c r="D1523" s="1">
        <v>0.50352609953703698</v>
      </c>
      <c r="E1523" s="1">
        <f>Table146[[#This Row],[Time]]-TIME(0,0,1)</f>
        <v>0.50351452546296294</v>
      </c>
      <c r="F1523" t="s">
        <v>13</v>
      </c>
      <c r="G1523">
        <f t="shared" si="217"/>
        <v>-123</v>
      </c>
      <c r="H1523">
        <f>Table146[[#This Row],[RSSI]]</f>
        <v>-123</v>
      </c>
      <c r="I1523">
        <f t="shared" si="218"/>
        <v>-8.8000000000000007</v>
      </c>
      <c r="L1523">
        <f>390+2*(Table257[[#This Row],[min value (corrected)]]-27)</f>
        <v>444</v>
      </c>
      <c r="M1523">
        <f>MINUTE(Table257[[#This Row],[Corrected time]])</f>
        <v>54</v>
      </c>
      <c r="N1523" s="1">
        <v>0.53815804398148148</v>
      </c>
      <c r="O1523" s="1">
        <f>Table257[[#This Row],[Time]]-TIME(0,0,3)</f>
        <v>0.53812332175925925</v>
      </c>
      <c r="P1523" t="s">
        <v>9</v>
      </c>
      <c r="Q1523">
        <v>-122</v>
      </c>
      <c r="R1523">
        <f>Table257[[#This Row],[RSSI]]</f>
        <v>-122</v>
      </c>
      <c r="S1523">
        <v>-8.8000000000000007</v>
      </c>
    </row>
    <row r="1524" spans="2:19" x14ac:dyDescent="0.25">
      <c r="B1524">
        <f>436+2*(Table146[[#This Row],[min value (corrected)]])</f>
        <v>446</v>
      </c>
      <c r="C1524">
        <f>MINUTE(Table146[[#This Row],[Corrected time]])</f>
        <v>5</v>
      </c>
      <c r="D1524" s="1">
        <v>0.50353913194444444</v>
      </c>
      <c r="E1524" s="1">
        <f>Table146[[#This Row],[Time]]-TIME(0,0,1)</f>
        <v>0.5035275578703704</v>
      </c>
      <c r="F1524" t="s">
        <v>13</v>
      </c>
      <c r="G1524">
        <f t="shared" si="217"/>
        <v>-123</v>
      </c>
      <c r="H1524">
        <f>Table146[[#This Row],[RSSI]]</f>
        <v>-123</v>
      </c>
      <c r="I1524">
        <f t="shared" si="218"/>
        <v>-8.8000000000000007</v>
      </c>
      <c r="L1524">
        <f>390+2*(Table257[[#This Row],[min value (corrected)]]-27)</f>
        <v>444</v>
      </c>
      <c r="M1524">
        <f>MINUTE(Table257[[#This Row],[Corrected time]])</f>
        <v>54</v>
      </c>
      <c r="N1524" s="1">
        <v>0.53817107638888884</v>
      </c>
      <c r="O1524" s="1">
        <f>Table257[[#This Row],[Time]]-TIME(0,0,3)</f>
        <v>0.53813635416666661</v>
      </c>
      <c r="P1524" t="s">
        <v>9</v>
      </c>
      <c r="Q1524">
        <v>-122</v>
      </c>
      <c r="R1524">
        <f>Table257[[#This Row],[RSSI]]</f>
        <v>-122</v>
      </c>
      <c r="S1524">
        <v>-8.8000000000000007</v>
      </c>
    </row>
    <row r="1525" spans="2:19" x14ac:dyDescent="0.25">
      <c r="B1525">
        <f>436+2*(Table146[[#This Row],[min value (corrected)]])</f>
        <v>446</v>
      </c>
      <c r="C1525">
        <f>MINUTE(Table146[[#This Row],[Corrected time]])</f>
        <v>5</v>
      </c>
      <c r="D1525" s="1">
        <v>0.50355216435185179</v>
      </c>
      <c r="E1525" s="1">
        <f>Table146[[#This Row],[Time]]-TIME(0,0,1)</f>
        <v>0.50354059027777776</v>
      </c>
      <c r="F1525" t="s">
        <v>13</v>
      </c>
      <c r="G1525">
        <f t="shared" si="217"/>
        <v>-123</v>
      </c>
      <c r="H1525">
        <f>Table146[[#This Row],[RSSI]]</f>
        <v>-123</v>
      </c>
      <c r="I1525">
        <f t="shared" si="218"/>
        <v>-8.8000000000000007</v>
      </c>
      <c r="L1525">
        <f>390+2*(Table257[[#This Row],[min value (corrected)]]-27)</f>
        <v>444</v>
      </c>
      <c r="M1525">
        <f>MINUTE(Table257[[#This Row],[Corrected time]])</f>
        <v>54</v>
      </c>
      <c r="N1525" s="1">
        <v>0.53818409722222227</v>
      </c>
      <c r="O1525" s="1">
        <f>Table257[[#This Row],[Time]]-TIME(0,0,3)</f>
        <v>0.53814937500000004</v>
      </c>
      <c r="P1525" t="s">
        <v>13</v>
      </c>
      <c r="Q1525">
        <f>Q1524</f>
        <v>-122</v>
      </c>
      <c r="R1525">
        <f>Table257[[#This Row],[RSSI]]</f>
        <v>-122</v>
      </c>
      <c r="S1525">
        <f>S1524</f>
        <v>-8.8000000000000007</v>
      </c>
    </row>
    <row r="1526" spans="2:19" x14ac:dyDescent="0.25">
      <c r="B1526">
        <f>436+2*(Table146[[#This Row],[min value (corrected)]])</f>
        <v>446</v>
      </c>
      <c r="C1526">
        <f>MINUTE(Table146[[#This Row],[Corrected time]])</f>
        <v>5</v>
      </c>
      <c r="D1526" s="1">
        <v>0.50356519675925926</v>
      </c>
      <c r="E1526" s="1">
        <f>Table146[[#This Row],[Time]]-TIME(0,0,1)</f>
        <v>0.50355362268518522</v>
      </c>
      <c r="F1526" t="s">
        <v>9</v>
      </c>
      <c r="G1526">
        <v>-123</v>
      </c>
      <c r="H1526">
        <f>Table146[[#This Row],[RSSI]]</f>
        <v>-123</v>
      </c>
      <c r="I1526">
        <v>-9.3000000000000007</v>
      </c>
      <c r="L1526">
        <f>390+2*(Table257[[#This Row],[min value (corrected)]]-27)</f>
        <v>444</v>
      </c>
      <c r="M1526">
        <f>MINUTE(Table257[[#This Row],[Corrected time]])</f>
        <v>54</v>
      </c>
      <c r="N1526" s="1">
        <v>0.53819714120370366</v>
      </c>
      <c r="O1526" s="1">
        <f>Table257[[#This Row],[Time]]-TIME(0,0,3)</f>
        <v>0.53816241898148143</v>
      </c>
      <c r="P1526" t="s">
        <v>9</v>
      </c>
      <c r="Q1526">
        <v>-122</v>
      </c>
      <c r="R1526">
        <f>Table257[[#This Row],[RSSI]]</f>
        <v>-122</v>
      </c>
      <c r="S1526">
        <v>-8.8000000000000007</v>
      </c>
    </row>
    <row r="1527" spans="2:19" x14ac:dyDescent="0.25">
      <c r="B1527">
        <f>436+2*(Table146[[#This Row],[min value (corrected)]])</f>
        <v>446</v>
      </c>
      <c r="C1527">
        <f>MINUTE(Table146[[#This Row],[Corrected time]])</f>
        <v>5</v>
      </c>
      <c r="D1527" s="1">
        <v>0.50357822916666661</v>
      </c>
      <c r="E1527" s="1">
        <f>Table146[[#This Row],[Time]]-TIME(0,0,1)</f>
        <v>0.50356665509259257</v>
      </c>
      <c r="F1527" t="s">
        <v>13</v>
      </c>
      <c r="G1527">
        <f t="shared" ref="G1527:G1531" si="219">G1526</f>
        <v>-123</v>
      </c>
      <c r="H1527">
        <f>Table146[[#This Row],[RSSI]]</f>
        <v>-123</v>
      </c>
      <c r="I1527">
        <f t="shared" ref="I1527:I1531" si="220">I1526</f>
        <v>-9.3000000000000007</v>
      </c>
      <c r="L1527">
        <f>390+2*(Table257[[#This Row],[min value (corrected)]]-27)</f>
        <v>444</v>
      </c>
      <c r="M1527">
        <f>MINUTE(Table257[[#This Row],[Corrected time]])</f>
        <v>54</v>
      </c>
      <c r="N1527" s="1">
        <v>0.53821017361111112</v>
      </c>
      <c r="O1527" s="1">
        <f>Table257[[#This Row],[Time]]-TIME(0,0,3)</f>
        <v>0.53817545138888889</v>
      </c>
      <c r="P1527" t="s">
        <v>9</v>
      </c>
      <c r="Q1527">
        <v>-122</v>
      </c>
      <c r="R1527">
        <f>Table257[[#This Row],[RSSI]]</f>
        <v>-122</v>
      </c>
      <c r="S1527">
        <v>-8.5</v>
      </c>
    </row>
    <row r="1528" spans="2:19" x14ac:dyDescent="0.25">
      <c r="B1528">
        <f>436+2*(Table146[[#This Row],[min value (corrected)]])</f>
        <v>446</v>
      </c>
      <c r="C1528">
        <f>MINUTE(Table146[[#This Row],[Corrected time]])</f>
        <v>5</v>
      </c>
      <c r="D1528" s="1">
        <v>0.50359126157407408</v>
      </c>
      <c r="E1528" s="1">
        <f>Table146[[#This Row],[Time]]-TIME(0,0,1)</f>
        <v>0.50357968750000004</v>
      </c>
      <c r="F1528" t="s">
        <v>27</v>
      </c>
      <c r="G1528">
        <f t="shared" si="219"/>
        <v>-123</v>
      </c>
      <c r="H1528">
        <f>Table146[[#This Row],[RSSI]]</f>
        <v>-123</v>
      </c>
      <c r="I1528">
        <f t="shared" si="220"/>
        <v>-9.3000000000000007</v>
      </c>
      <c r="L1528">
        <f>390+2*(Table257[[#This Row],[min value (corrected)]]-27)</f>
        <v>444</v>
      </c>
      <c r="M1528">
        <f>MINUTE(Table257[[#This Row],[Corrected time]])</f>
        <v>54</v>
      </c>
      <c r="N1528" s="1">
        <v>0.53822320601851847</v>
      </c>
      <c r="O1528" s="1">
        <f>Table257[[#This Row],[Time]]-TIME(0,0,3)</f>
        <v>0.53818848379629625</v>
      </c>
      <c r="P1528" t="s">
        <v>9</v>
      </c>
      <c r="Q1528">
        <v>-122</v>
      </c>
      <c r="R1528">
        <f>Table257[[#This Row],[RSSI]]</f>
        <v>-122</v>
      </c>
      <c r="S1528">
        <v>-8.5</v>
      </c>
    </row>
    <row r="1529" spans="2:19" x14ac:dyDescent="0.25">
      <c r="B1529">
        <f>436+2*(Table146[[#This Row],[min value (corrected)]])</f>
        <v>446</v>
      </c>
      <c r="C1529">
        <f>MINUTE(Table146[[#This Row],[Corrected time]])</f>
        <v>5</v>
      </c>
      <c r="D1529" s="1">
        <v>0.50360429398148143</v>
      </c>
      <c r="E1529" s="1">
        <f>Table146[[#This Row],[Time]]-TIME(0,0,1)</f>
        <v>0.50359271990740739</v>
      </c>
      <c r="F1529" t="s">
        <v>13</v>
      </c>
      <c r="G1529">
        <f t="shared" si="219"/>
        <v>-123</v>
      </c>
      <c r="H1529">
        <f>Table146[[#This Row],[RSSI]]</f>
        <v>-123</v>
      </c>
      <c r="I1529">
        <f t="shared" si="220"/>
        <v>-9.3000000000000007</v>
      </c>
      <c r="L1529">
        <f>390+2*(Table257[[#This Row],[min value (corrected)]]-27)</f>
        <v>446</v>
      </c>
      <c r="M1529">
        <f>MINUTE(Table257[[#This Row],[Corrected time]])</f>
        <v>55</v>
      </c>
      <c r="N1529" s="1">
        <v>0.53823623842592594</v>
      </c>
      <c r="O1529" s="1">
        <f>Table257[[#This Row],[Time]]-TIME(0,0,3)</f>
        <v>0.53820151620370371</v>
      </c>
      <c r="P1529" t="s">
        <v>13</v>
      </c>
      <c r="Q1529">
        <f t="shared" ref="Q1529:Q1533" si="221">Q1528</f>
        <v>-122</v>
      </c>
      <c r="R1529">
        <f>Table257[[#This Row],[RSSI]]</f>
        <v>-122</v>
      </c>
      <c r="S1529">
        <f t="shared" ref="S1529:S1533" si="222">S1528</f>
        <v>-8.5</v>
      </c>
    </row>
    <row r="1530" spans="2:19" x14ac:dyDescent="0.25">
      <c r="B1530">
        <f>436+2*(Table146[[#This Row],[min value (corrected)]])</f>
        <v>446</v>
      </c>
      <c r="C1530">
        <f>MINUTE(Table146[[#This Row],[Corrected time]])</f>
        <v>5</v>
      </c>
      <c r="D1530" s="1">
        <v>0.5036173263888889</v>
      </c>
      <c r="E1530" s="1">
        <f>Table146[[#This Row],[Time]]-TIME(0,0,1)</f>
        <v>0.50360575231481486</v>
      </c>
      <c r="F1530" t="s">
        <v>13</v>
      </c>
      <c r="G1530">
        <f t="shared" si="219"/>
        <v>-123</v>
      </c>
      <c r="H1530">
        <f>Table146[[#This Row],[RSSI]]</f>
        <v>-123</v>
      </c>
      <c r="I1530">
        <f t="shared" si="220"/>
        <v>-9.3000000000000007</v>
      </c>
      <c r="L1530">
        <f>390+2*(Table257[[#This Row],[min value (corrected)]]-27)</f>
        <v>446</v>
      </c>
      <c r="M1530">
        <f>MINUTE(Table257[[#This Row],[Corrected time]])</f>
        <v>55</v>
      </c>
      <c r="N1530" s="1">
        <v>0.53824927083333329</v>
      </c>
      <c r="O1530" s="1">
        <f>Table257[[#This Row],[Time]]-TIME(0,0,3)</f>
        <v>0.53821454861111107</v>
      </c>
      <c r="P1530" t="s">
        <v>13</v>
      </c>
      <c r="Q1530">
        <f t="shared" si="221"/>
        <v>-122</v>
      </c>
      <c r="R1530">
        <f>Table257[[#This Row],[RSSI]]</f>
        <v>-122</v>
      </c>
      <c r="S1530">
        <f t="shared" si="222"/>
        <v>-8.5</v>
      </c>
    </row>
    <row r="1531" spans="2:19" x14ac:dyDescent="0.25">
      <c r="B1531">
        <f>436+2*(Table146[[#This Row],[min value (corrected)]])</f>
        <v>446</v>
      </c>
      <c r="C1531">
        <f>MINUTE(Table146[[#This Row],[Corrected time]])</f>
        <v>5</v>
      </c>
      <c r="D1531" s="1">
        <v>0.50363035879629625</v>
      </c>
      <c r="E1531" s="1">
        <f>Table146[[#This Row],[Time]]-TIME(0,0,1)</f>
        <v>0.50361878472222221</v>
      </c>
      <c r="F1531" t="s">
        <v>13</v>
      </c>
      <c r="G1531">
        <f t="shared" si="219"/>
        <v>-123</v>
      </c>
      <c r="H1531">
        <f>Table146[[#This Row],[RSSI]]</f>
        <v>-123</v>
      </c>
      <c r="I1531">
        <f t="shared" si="220"/>
        <v>-9.3000000000000007</v>
      </c>
      <c r="L1531">
        <f>390+2*(Table257[[#This Row],[min value (corrected)]]-27)</f>
        <v>446</v>
      </c>
      <c r="M1531">
        <f>MINUTE(Table257[[#This Row],[Corrected time]])</f>
        <v>55</v>
      </c>
      <c r="N1531" s="1">
        <v>0.53826230324074076</v>
      </c>
      <c r="O1531" s="1">
        <f>Table257[[#This Row],[Time]]-TIME(0,0,3)</f>
        <v>0.53822758101851853</v>
      </c>
      <c r="P1531" t="s">
        <v>13</v>
      </c>
      <c r="Q1531">
        <f t="shared" si="221"/>
        <v>-122</v>
      </c>
      <c r="R1531">
        <f>Table257[[#This Row],[RSSI]]</f>
        <v>-122</v>
      </c>
      <c r="S1531">
        <f t="shared" si="222"/>
        <v>-8.5</v>
      </c>
    </row>
    <row r="1532" spans="2:19" x14ac:dyDescent="0.25">
      <c r="B1532">
        <f>436+2*(Table146[[#This Row],[min value (corrected)]])</f>
        <v>446</v>
      </c>
      <c r="C1532">
        <f>MINUTE(Table146[[#This Row],[Corrected time]])</f>
        <v>5</v>
      </c>
      <c r="D1532" s="1">
        <v>0.50364339120370372</v>
      </c>
      <c r="E1532" s="1">
        <f>Table146[[#This Row],[Time]]-TIME(0,0,1)</f>
        <v>0.50363181712962968</v>
      </c>
      <c r="F1532" t="s">
        <v>9</v>
      </c>
      <c r="G1532">
        <v>-122</v>
      </c>
      <c r="H1532">
        <f>Table146[[#This Row],[RSSI]]</f>
        <v>-122</v>
      </c>
      <c r="I1532">
        <v>-8</v>
      </c>
      <c r="L1532">
        <f>390+2*(Table257[[#This Row],[min value (corrected)]]-27)</f>
        <v>446</v>
      </c>
      <c r="M1532">
        <f>MINUTE(Table257[[#This Row],[Corrected time]])</f>
        <v>55</v>
      </c>
      <c r="N1532" s="1">
        <v>0.53827533564814811</v>
      </c>
      <c r="O1532" s="1">
        <f>Table257[[#This Row],[Time]]-TIME(0,0,3)</f>
        <v>0.53824061342592588</v>
      </c>
      <c r="P1532" t="s">
        <v>13</v>
      </c>
      <c r="Q1532">
        <f t="shared" si="221"/>
        <v>-122</v>
      </c>
      <c r="R1532">
        <f>Table257[[#This Row],[RSSI]]</f>
        <v>-122</v>
      </c>
      <c r="S1532">
        <f t="shared" si="222"/>
        <v>-8.5</v>
      </c>
    </row>
    <row r="1533" spans="2:19" x14ac:dyDescent="0.25">
      <c r="B1533">
        <f>436+2*(Table146[[#This Row],[min value (corrected)]])</f>
        <v>446</v>
      </c>
      <c r="C1533">
        <f>MINUTE(Table146[[#This Row],[Corrected time]])</f>
        <v>5</v>
      </c>
      <c r="D1533" s="1">
        <v>0.50365641203703704</v>
      </c>
      <c r="E1533" s="1">
        <f>Table146[[#This Row],[Time]]-TIME(0,0,1)</f>
        <v>0.503644837962963</v>
      </c>
      <c r="F1533" t="s">
        <v>9</v>
      </c>
      <c r="G1533">
        <v>-123</v>
      </c>
      <c r="H1533">
        <f>Table146[[#This Row],[RSSI]]</f>
        <v>-123</v>
      </c>
      <c r="I1533">
        <v>-9</v>
      </c>
      <c r="L1533">
        <f>390+2*(Table257[[#This Row],[min value (corrected)]]-27)</f>
        <v>446</v>
      </c>
      <c r="M1533">
        <f>MINUTE(Table257[[#This Row],[Corrected time]])</f>
        <v>55</v>
      </c>
      <c r="N1533" s="1">
        <v>0.53828836805555558</v>
      </c>
      <c r="O1533" s="1">
        <f>Table257[[#This Row],[Time]]-TIME(0,0,3)</f>
        <v>0.53825364583333335</v>
      </c>
      <c r="P1533" t="s">
        <v>13</v>
      </c>
      <c r="Q1533">
        <f t="shared" si="221"/>
        <v>-122</v>
      </c>
      <c r="R1533">
        <f>Table257[[#This Row],[RSSI]]</f>
        <v>-122</v>
      </c>
      <c r="S1533">
        <f t="shared" si="222"/>
        <v>-8.5</v>
      </c>
    </row>
    <row r="1534" spans="2:19" x14ac:dyDescent="0.25">
      <c r="B1534">
        <f>436+2*(Table146[[#This Row],[min value (corrected)]])</f>
        <v>446</v>
      </c>
      <c r="C1534">
        <f>MINUTE(Table146[[#This Row],[Corrected time]])</f>
        <v>5</v>
      </c>
      <c r="D1534" s="1">
        <v>0.50366945601851854</v>
      </c>
      <c r="E1534" s="1">
        <f>Table146[[#This Row],[Time]]-TIME(0,0,1)</f>
        <v>0.5036578819444445</v>
      </c>
      <c r="F1534" t="s">
        <v>9</v>
      </c>
      <c r="G1534">
        <v>-123</v>
      </c>
      <c r="H1534">
        <f>Table146[[#This Row],[RSSI]]</f>
        <v>-123</v>
      </c>
      <c r="I1534">
        <v>-9</v>
      </c>
      <c r="L1534">
        <f>390+2*(Table257[[#This Row],[min value (corrected)]]-27)</f>
        <v>446</v>
      </c>
      <c r="M1534">
        <f>MINUTE(Table257[[#This Row],[Corrected time]])</f>
        <v>55</v>
      </c>
      <c r="N1534" s="1">
        <v>0.53830140046296293</v>
      </c>
      <c r="O1534" s="1">
        <f>Table257[[#This Row],[Time]]-TIME(0,0,3)</f>
        <v>0.5382666782407407</v>
      </c>
      <c r="P1534" t="s">
        <v>9</v>
      </c>
      <c r="Q1534">
        <v>-123</v>
      </c>
      <c r="R1534">
        <f>Table257[[#This Row],[RSSI]]</f>
        <v>-123</v>
      </c>
      <c r="S1534">
        <v>-9</v>
      </c>
    </row>
    <row r="1535" spans="2:19" x14ac:dyDescent="0.25">
      <c r="B1535">
        <f>436+2*(Table146[[#This Row],[min value (corrected)]])</f>
        <v>446</v>
      </c>
      <c r="C1535">
        <f>MINUTE(Table146[[#This Row],[Corrected time]])</f>
        <v>5</v>
      </c>
      <c r="D1535" s="1">
        <v>0.50368248842592589</v>
      </c>
      <c r="E1535" s="1">
        <f>Table146[[#This Row],[Time]]-TIME(0,0,1)</f>
        <v>0.50367091435185185</v>
      </c>
      <c r="F1535" t="s">
        <v>9</v>
      </c>
      <c r="G1535">
        <v>-122</v>
      </c>
      <c r="H1535">
        <f>Table146[[#This Row],[RSSI]]</f>
        <v>-122</v>
      </c>
      <c r="I1535">
        <v>-9</v>
      </c>
      <c r="L1535">
        <f>390+2*(Table257[[#This Row],[min value (corrected)]]-27)</f>
        <v>446</v>
      </c>
      <c r="M1535">
        <f>MINUTE(Table257[[#This Row],[Corrected time]])</f>
        <v>55</v>
      </c>
      <c r="N1535" s="1">
        <v>0.5383144328703704</v>
      </c>
      <c r="O1535" s="1">
        <f>Table257[[#This Row],[Time]]-TIME(0,0,3)</f>
        <v>0.53827971064814817</v>
      </c>
      <c r="P1535" t="s">
        <v>13</v>
      </c>
      <c r="Q1535">
        <f t="shared" ref="Q1535:Q1537" si="223">Q1534</f>
        <v>-123</v>
      </c>
      <c r="R1535">
        <f>Table257[[#This Row],[RSSI]]</f>
        <v>-123</v>
      </c>
      <c r="S1535">
        <f t="shared" ref="S1535:S1537" si="224">S1534</f>
        <v>-9</v>
      </c>
    </row>
    <row r="1536" spans="2:19" x14ac:dyDescent="0.25">
      <c r="B1536">
        <f>436+2*(Table146[[#This Row],[min value (corrected)]])</f>
        <v>446</v>
      </c>
      <c r="C1536">
        <f>MINUTE(Table146[[#This Row],[Corrected time]])</f>
        <v>5</v>
      </c>
      <c r="D1536" s="1">
        <v>0.50369550925925932</v>
      </c>
      <c r="E1536" s="1">
        <f>Table146[[#This Row],[Time]]-TIME(0,0,1)</f>
        <v>0.50368393518518528</v>
      </c>
      <c r="F1536" t="s">
        <v>9</v>
      </c>
      <c r="G1536">
        <v>-122</v>
      </c>
      <c r="H1536">
        <f>Table146[[#This Row],[RSSI]]</f>
        <v>-122</v>
      </c>
      <c r="I1536">
        <v>-8.3000000000000007</v>
      </c>
      <c r="L1536">
        <f>390+2*(Table257[[#This Row],[min value (corrected)]]-27)</f>
        <v>446</v>
      </c>
      <c r="M1536">
        <f>MINUTE(Table257[[#This Row],[Corrected time]])</f>
        <v>55</v>
      </c>
      <c r="N1536" s="1">
        <v>0.53832745370370372</v>
      </c>
      <c r="O1536" s="1">
        <f>Table257[[#This Row],[Time]]-TIME(0,0,3)</f>
        <v>0.53829273148148149</v>
      </c>
      <c r="P1536" t="s">
        <v>13</v>
      </c>
      <c r="Q1536">
        <f t="shared" si="223"/>
        <v>-123</v>
      </c>
      <c r="R1536">
        <f>Table257[[#This Row],[RSSI]]</f>
        <v>-123</v>
      </c>
      <c r="S1536">
        <f t="shared" si="224"/>
        <v>-9</v>
      </c>
    </row>
    <row r="1537" spans="2:19" x14ac:dyDescent="0.25">
      <c r="B1537">
        <f>436+2*(Table146[[#This Row],[min value (corrected)]])</f>
        <v>446</v>
      </c>
      <c r="C1537">
        <f>MINUTE(Table146[[#This Row],[Corrected time]])</f>
        <v>5</v>
      </c>
      <c r="D1537" s="1">
        <v>0.50370855324074071</v>
      </c>
      <c r="E1537" s="1">
        <f>Table146[[#This Row],[Time]]-TIME(0,0,1)</f>
        <v>0.50369697916666667</v>
      </c>
      <c r="F1537" t="s">
        <v>9</v>
      </c>
      <c r="G1537">
        <v>-122</v>
      </c>
      <c r="H1537">
        <f>Table146[[#This Row],[RSSI]]</f>
        <v>-122</v>
      </c>
      <c r="I1537">
        <v>-8.5</v>
      </c>
      <c r="L1537">
        <f>390+2*(Table257[[#This Row],[min value (corrected)]]-27)</f>
        <v>446</v>
      </c>
      <c r="M1537">
        <f>MINUTE(Table257[[#This Row],[Corrected time]])</f>
        <v>55</v>
      </c>
      <c r="N1537" s="1">
        <v>0.53834049768518522</v>
      </c>
      <c r="O1537" s="1">
        <f>Table257[[#This Row],[Time]]-TIME(0,0,3)</f>
        <v>0.53830577546296299</v>
      </c>
      <c r="P1537" t="s">
        <v>13</v>
      </c>
      <c r="Q1537">
        <f t="shared" si="223"/>
        <v>-123</v>
      </c>
      <c r="R1537">
        <f>Table257[[#This Row],[RSSI]]</f>
        <v>-123</v>
      </c>
      <c r="S1537">
        <f t="shared" si="224"/>
        <v>-9</v>
      </c>
    </row>
    <row r="1538" spans="2:19" x14ac:dyDescent="0.25">
      <c r="B1538">
        <f>436+2*(Table146[[#This Row],[min value (corrected)]])</f>
        <v>446</v>
      </c>
      <c r="C1538">
        <f>MINUTE(Table146[[#This Row],[Corrected time]])</f>
        <v>5</v>
      </c>
      <c r="D1538" s="1">
        <v>0.50372158564814817</v>
      </c>
      <c r="E1538" s="1">
        <f>Table146[[#This Row],[Time]]-TIME(0,0,1)</f>
        <v>0.50371001157407413</v>
      </c>
      <c r="F1538" t="s">
        <v>9</v>
      </c>
      <c r="G1538">
        <v>-122</v>
      </c>
      <c r="H1538">
        <f>Table146[[#This Row],[RSSI]]</f>
        <v>-122</v>
      </c>
      <c r="I1538">
        <v>-8.5</v>
      </c>
      <c r="L1538">
        <f>390+2*(Table257[[#This Row],[min value (corrected)]]-27)</f>
        <v>446</v>
      </c>
      <c r="M1538">
        <f>MINUTE(Table257[[#This Row],[Corrected time]])</f>
        <v>55</v>
      </c>
      <c r="N1538" s="1">
        <v>0.53835353009259257</v>
      </c>
      <c r="O1538" s="1">
        <f>Table257[[#This Row],[Time]]-TIME(0,0,3)</f>
        <v>0.53831880787037034</v>
      </c>
      <c r="P1538" t="s">
        <v>9</v>
      </c>
      <c r="Q1538">
        <v>-122</v>
      </c>
      <c r="R1538">
        <f>Table257[[#This Row],[RSSI]]</f>
        <v>-122</v>
      </c>
      <c r="S1538">
        <v>-8.5</v>
      </c>
    </row>
    <row r="1539" spans="2:19" x14ac:dyDescent="0.25">
      <c r="B1539">
        <f>436+2*(Table146[[#This Row],[min value (corrected)]])</f>
        <v>446</v>
      </c>
      <c r="C1539">
        <f>MINUTE(Table146[[#This Row],[Corrected time]])</f>
        <v>5</v>
      </c>
      <c r="D1539" s="1">
        <v>0.50373461805555553</v>
      </c>
      <c r="E1539" s="1">
        <f>Table146[[#This Row],[Time]]-TIME(0,0,1)</f>
        <v>0.50372304398148149</v>
      </c>
      <c r="F1539" t="s">
        <v>9</v>
      </c>
      <c r="G1539">
        <v>-123</v>
      </c>
      <c r="H1539">
        <f>Table146[[#This Row],[RSSI]]</f>
        <v>-123</v>
      </c>
      <c r="I1539">
        <v>-9.8000000000000007</v>
      </c>
      <c r="L1539">
        <f>390+2*(Table257[[#This Row],[min value (corrected)]]-27)</f>
        <v>446</v>
      </c>
      <c r="M1539">
        <f>MINUTE(Table257[[#This Row],[Corrected time]])</f>
        <v>55</v>
      </c>
      <c r="N1539" s="1">
        <v>0.53836656250000003</v>
      </c>
      <c r="O1539" s="1">
        <f>Table257[[#This Row],[Time]]-TIME(0,0,3)</f>
        <v>0.53833184027777781</v>
      </c>
      <c r="P1539" t="s">
        <v>13</v>
      </c>
      <c r="Q1539">
        <f>Q1538</f>
        <v>-122</v>
      </c>
      <c r="R1539">
        <f>Table257[[#This Row],[RSSI]]</f>
        <v>-122</v>
      </c>
      <c r="S1539">
        <f>S1538</f>
        <v>-8.5</v>
      </c>
    </row>
    <row r="1540" spans="2:19" x14ac:dyDescent="0.25">
      <c r="B1540">
        <f>436+2*(Table146[[#This Row],[min value (corrected)]])</f>
        <v>446</v>
      </c>
      <c r="C1540">
        <f>MINUTE(Table146[[#This Row],[Corrected time]])</f>
        <v>5</v>
      </c>
      <c r="D1540" s="1">
        <v>0.50374765046296299</v>
      </c>
      <c r="E1540" s="1">
        <f>Table146[[#This Row],[Time]]-TIME(0,0,1)</f>
        <v>0.50373607638888895</v>
      </c>
      <c r="F1540" t="s">
        <v>9</v>
      </c>
      <c r="G1540">
        <v>-122</v>
      </c>
      <c r="H1540">
        <f>Table146[[#This Row],[RSSI]]</f>
        <v>-122</v>
      </c>
      <c r="I1540">
        <v>-9.3000000000000007</v>
      </c>
      <c r="L1540">
        <f>390+2*(Table257[[#This Row],[min value (corrected)]]-27)</f>
        <v>446</v>
      </c>
      <c r="M1540">
        <f>MINUTE(Table257[[#This Row],[Corrected time]])</f>
        <v>55</v>
      </c>
      <c r="N1540" s="1">
        <v>0.53837959490740739</v>
      </c>
      <c r="O1540" s="1">
        <f>Table257[[#This Row],[Time]]-TIME(0,0,3)</f>
        <v>0.53834487268518516</v>
      </c>
      <c r="P1540" t="s">
        <v>9</v>
      </c>
      <c r="Q1540">
        <v>-123</v>
      </c>
      <c r="R1540">
        <f>Table257[[#This Row],[RSSI]]</f>
        <v>-123</v>
      </c>
      <c r="S1540">
        <v>-8.8000000000000007</v>
      </c>
    </row>
    <row r="1541" spans="2:19" x14ac:dyDescent="0.25">
      <c r="B1541">
        <f>436+2*(Table146[[#This Row],[min value (corrected)]])</f>
        <v>446</v>
      </c>
      <c r="C1541">
        <f>MINUTE(Table146[[#This Row],[Corrected time]])</f>
        <v>5</v>
      </c>
      <c r="D1541" s="1">
        <v>0.50376068287037035</v>
      </c>
      <c r="E1541" s="1">
        <f>Table146[[#This Row],[Time]]-TIME(0,0,1)</f>
        <v>0.50374910879629631</v>
      </c>
      <c r="F1541" t="s">
        <v>9</v>
      </c>
      <c r="G1541">
        <v>-122</v>
      </c>
      <c r="H1541">
        <f>Table146[[#This Row],[RSSI]]</f>
        <v>-122</v>
      </c>
      <c r="I1541">
        <v>-8.5</v>
      </c>
      <c r="L1541">
        <f>390+2*(Table257[[#This Row],[min value (corrected)]]-27)</f>
        <v>446</v>
      </c>
      <c r="M1541">
        <f>MINUTE(Table257[[#This Row],[Corrected time]])</f>
        <v>55</v>
      </c>
      <c r="N1541" s="1">
        <v>0.53839262731481485</v>
      </c>
      <c r="O1541" s="1">
        <f>Table257[[#This Row],[Time]]-TIME(0,0,3)</f>
        <v>0.53835790509259263</v>
      </c>
      <c r="P1541" t="s">
        <v>9</v>
      </c>
      <c r="Q1541">
        <v>-122</v>
      </c>
      <c r="R1541">
        <f>Table257[[#This Row],[RSSI]]</f>
        <v>-122</v>
      </c>
      <c r="S1541">
        <v>-9</v>
      </c>
    </row>
    <row r="1542" spans="2:19" x14ac:dyDescent="0.25">
      <c r="B1542">
        <f>436+2*(Table146[[#This Row],[min value (corrected)]])</f>
        <v>446</v>
      </c>
      <c r="C1542">
        <f>MINUTE(Table146[[#This Row],[Corrected time]])</f>
        <v>5</v>
      </c>
      <c r="D1542" s="1">
        <v>0.50377370370370378</v>
      </c>
      <c r="E1542" s="1">
        <f>Table146[[#This Row],[Time]]-TIME(0,0,1)</f>
        <v>0.50376212962962974</v>
      </c>
      <c r="F1542" t="s">
        <v>13</v>
      </c>
      <c r="G1542">
        <f t="shared" ref="G1542:G1543" si="225">G1541</f>
        <v>-122</v>
      </c>
      <c r="H1542">
        <f>Table146[[#This Row],[RSSI]]</f>
        <v>-122</v>
      </c>
      <c r="I1542">
        <f t="shared" ref="I1542:I1543" si="226">I1541</f>
        <v>-8.5</v>
      </c>
      <c r="L1542">
        <f>390+2*(Table257[[#This Row],[min value (corrected)]]-27)</f>
        <v>446</v>
      </c>
      <c r="M1542">
        <f>MINUTE(Table257[[#This Row],[Corrected time]])</f>
        <v>55</v>
      </c>
      <c r="N1542" s="1">
        <v>0.53840565972222221</v>
      </c>
      <c r="O1542" s="1">
        <f>Table257[[#This Row],[Time]]-TIME(0,0,3)</f>
        <v>0.53837093749999998</v>
      </c>
      <c r="P1542" t="s">
        <v>13</v>
      </c>
      <c r="Q1542">
        <f>Q1541</f>
        <v>-122</v>
      </c>
      <c r="R1542">
        <f>Table257[[#This Row],[RSSI]]</f>
        <v>-122</v>
      </c>
      <c r="S1542">
        <f>S1541</f>
        <v>-9</v>
      </c>
    </row>
    <row r="1543" spans="2:19" x14ac:dyDescent="0.25">
      <c r="B1543">
        <f>436+2*(Table146[[#This Row],[min value (corrected)]])</f>
        <v>446</v>
      </c>
      <c r="C1543">
        <f>MINUTE(Table146[[#This Row],[Corrected time]])</f>
        <v>5</v>
      </c>
      <c r="D1543" s="1">
        <v>0.50378674768518517</v>
      </c>
      <c r="E1543" s="1">
        <f>Table146[[#This Row],[Time]]-TIME(0,0,1)</f>
        <v>0.50377517361111113</v>
      </c>
      <c r="F1543" t="s">
        <v>13</v>
      </c>
      <c r="G1543">
        <f t="shared" si="225"/>
        <v>-122</v>
      </c>
      <c r="H1543">
        <f>Table146[[#This Row],[RSSI]]</f>
        <v>-122</v>
      </c>
      <c r="I1543">
        <f t="shared" si="226"/>
        <v>-8.5</v>
      </c>
      <c r="L1543">
        <f>390+2*(Table257[[#This Row],[min value (corrected)]]-27)</f>
        <v>446</v>
      </c>
      <c r="M1543">
        <f>MINUTE(Table257[[#This Row],[Corrected time]])</f>
        <v>55</v>
      </c>
      <c r="N1543" s="1">
        <v>0.53841869212962967</v>
      </c>
      <c r="O1543" s="1">
        <f>Table257[[#This Row],[Time]]-TIME(0,0,3)</f>
        <v>0.53838396990740744</v>
      </c>
      <c r="P1543" t="s">
        <v>9</v>
      </c>
      <c r="Q1543">
        <v>-122</v>
      </c>
      <c r="R1543">
        <f>Table257[[#This Row],[RSSI]]</f>
        <v>-122</v>
      </c>
      <c r="S1543">
        <v>-8.3000000000000007</v>
      </c>
    </row>
    <row r="1544" spans="2:19" x14ac:dyDescent="0.25">
      <c r="B1544">
        <f>436+2*(Table146[[#This Row],[min value (corrected)]])</f>
        <v>446</v>
      </c>
      <c r="C1544">
        <f>MINUTE(Table146[[#This Row],[Corrected time]])</f>
        <v>5</v>
      </c>
      <c r="D1544" s="1">
        <v>0.50379978009259263</v>
      </c>
      <c r="E1544" s="1">
        <f>Table146[[#This Row],[Time]]-TIME(0,0,1)</f>
        <v>0.50378820601851859</v>
      </c>
      <c r="F1544" t="s">
        <v>9</v>
      </c>
      <c r="G1544">
        <v>-122</v>
      </c>
      <c r="H1544">
        <f>Table146[[#This Row],[RSSI]]</f>
        <v>-122</v>
      </c>
      <c r="I1544">
        <v>-8.8000000000000007</v>
      </c>
      <c r="L1544">
        <f>390+2*(Table257[[#This Row],[min value (corrected)]]-27)</f>
        <v>446</v>
      </c>
      <c r="M1544">
        <f>MINUTE(Table257[[#This Row],[Corrected time]])</f>
        <v>55</v>
      </c>
      <c r="N1544" s="1">
        <v>0.53843172453703703</v>
      </c>
      <c r="O1544" s="1">
        <f>Table257[[#This Row],[Time]]-TIME(0,0,3)</f>
        <v>0.5383970023148148</v>
      </c>
      <c r="P1544" t="s">
        <v>9</v>
      </c>
      <c r="Q1544">
        <v>-122</v>
      </c>
      <c r="R1544">
        <f>Table257[[#This Row],[RSSI]]</f>
        <v>-122</v>
      </c>
      <c r="S1544">
        <v>-8.5</v>
      </c>
    </row>
    <row r="1545" spans="2:19" x14ac:dyDescent="0.25">
      <c r="B1545">
        <f>436+2*(Table146[[#This Row],[min value (corrected)]])</f>
        <v>446</v>
      </c>
      <c r="C1545">
        <f>MINUTE(Table146[[#This Row],[Corrected time]])</f>
        <v>5</v>
      </c>
      <c r="D1545" s="1">
        <v>0.50381281249999998</v>
      </c>
      <c r="E1545" s="1">
        <f>Table146[[#This Row],[Time]]-TIME(0,0,1)</f>
        <v>0.50380123842592595</v>
      </c>
      <c r="F1545" t="s">
        <v>9</v>
      </c>
      <c r="G1545">
        <v>-123</v>
      </c>
      <c r="H1545">
        <f>Table146[[#This Row],[RSSI]]</f>
        <v>-123</v>
      </c>
      <c r="I1545">
        <v>-9.5</v>
      </c>
      <c r="L1545">
        <f>390+2*(Table257[[#This Row],[min value (corrected)]]-27)</f>
        <v>446</v>
      </c>
      <c r="M1545">
        <f>MINUTE(Table257[[#This Row],[Corrected time]])</f>
        <v>55</v>
      </c>
      <c r="N1545" s="1">
        <v>0.53844475694444449</v>
      </c>
      <c r="O1545" s="1">
        <f>Table257[[#This Row],[Time]]-TIME(0,0,3)</f>
        <v>0.53841003472222226</v>
      </c>
      <c r="P1545" t="s">
        <v>13</v>
      </c>
      <c r="Q1545">
        <f>Q1544</f>
        <v>-122</v>
      </c>
      <c r="R1545">
        <f>Table257[[#This Row],[RSSI]]</f>
        <v>-122</v>
      </c>
      <c r="S1545">
        <f>S1544</f>
        <v>-8.5</v>
      </c>
    </row>
    <row r="1546" spans="2:19" x14ac:dyDescent="0.25">
      <c r="B1546">
        <f>436+2*(Table146[[#This Row],[min value (corrected)]])</f>
        <v>446</v>
      </c>
      <c r="C1546">
        <f>MINUTE(Table146[[#This Row],[Corrected time]])</f>
        <v>5</v>
      </c>
      <c r="D1546" s="1">
        <v>0.50382584490740745</v>
      </c>
      <c r="E1546" s="1">
        <f>Table146[[#This Row],[Time]]-TIME(0,0,1)</f>
        <v>0.50381427083333341</v>
      </c>
      <c r="F1546" t="s">
        <v>9</v>
      </c>
      <c r="G1546">
        <v>-123</v>
      </c>
      <c r="H1546">
        <f>Table146[[#This Row],[RSSI]]</f>
        <v>-123</v>
      </c>
      <c r="I1546">
        <v>-9.3000000000000007</v>
      </c>
      <c r="L1546">
        <f>390+2*(Table257[[#This Row],[min value (corrected)]]-27)</f>
        <v>446</v>
      </c>
      <c r="M1546">
        <f>MINUTE(Table257[[#This Row],[Corrected time]])</f>
        <v>55</v>
      </c>
      <c r="N1546" s="1">
        <v>0.53845778935185185</v>
      </c>
      <c r="O1546" s="1">
        <f>Table257[[#This Row],[Time]]-TIME(0,0,3)</f>
        <v>0.53842306712962962</v>
      </c>
      <c r="P1546" t="s">
        <v>9</v>
      </c>
      <c r="Q1546">
        <v>-122</v>
      </c>
      <c r="R1546">
        <f>Table257[[#This Row],[RSSI]]</f>
        <v>-122</v>
      </c>
      <c r="S1546">
        <v>-8.3000000000000007</v>
      </c>
    </row>
    <row r="1547" spans="2:19" x14ac:dyDescent="0.25">
      <c r="B1547">
        <f>436+2*(Table146[[#This Row],[min value (corrected)]])</f>
        <v>446</v>
      </c>
      <c r="C1547">
        <f>MINUTE(Table146[[#This Row],[Corrected time]])</f>
        <v>5</v>
      </c>
      <c r="D1547" s="1">
        <v>0.5038388773148148</v>
      </c>
      <c r="E1547" s="1">
        <f>Table146[[#This Row],[Time]]-TIME(0,0,1)</f>
        <v>0.50382730324074076</v>
      </c>
      <c r="F1547" t="s">
        <v>13</v>
      </c>
      <c r="G1547">
        <f>G1546</f>
        <v>-123</v>
      </c>
      <c r="H1547">
        <f>Table146[[#This Row],[RSSI]]</f>
        <v>-123</v>
      </c>
      <c r="I1547">
        <f>I1546</f>
        <v>-9.3000000000000007</v>
      </c>
      <c r="L1547">
        <f>390+2*(Table257[[#This Row],[min value (corrected)]]-27)</f>
        <v>446</v>
      </c>
      <c r="M1547">
        <f>MINUTE(Table257[[#This Row],[Corrected time]])</f>
        <v>55</v>
      </c>
      <c r="N1547" s="1">
        <v>0.53847082175925931</v>
      </c>
      <c r="O1547" s="1">
        <f>Table257[[#This Row],[Time]]-TIME(0,0,3)</f>
        <v>0.53843609953703708</v>
      </c>
      <c r="P1547" t="s">
        <v>9</v>
      </c>
      <c r="Q1547">
        <v>-122</v>
      </c>
      <c r="R1547">
        <f>Table257[[#This Row],[RSSI]]</f>
        <v>-122</v>
      </c>
      <c r="S1547">
        <v>-8.5</v>
      </c>
    </row>
    <row r="1548" spans="2:19" x14ac:dyDescent="0.25">
      <c r="B1548">
        <f>436+2*(Table146[[#This Row],[min value (corrected)]])</f>
        <v>446</v>
      </c>
      <c r="C1548">
        <f>MINUTE(Table146[[#This Row],[Corrected time]])</f>
        <v>5</v>
      </c>
      <c r="D1548" s="1">
        <v>0.50385190972222227</v>
      </c>
      <c r="E1548" s="1">
        <f>Table146[[#This Row],[Time]]-TIME(0,0,1)</f>
        <v>0.50384033564814823</v>
      </c>
      <c r="F1548" t="s">
        <v>9</v>
      </c>
      <c r="G1548">
        <v>-122</v>
      </c>
      <c r="H1548">
        <f>Table146[[#This Row],[RSSI]]</f>
        <v>-122</v>
      </c>
      <c r="I1548">
        <v>-8.3000000000000007</v>
      </c>
      <c r="L1548">
        <f>390+2*(Table257[[#This Row],[min value (corrected)]]-27)</f>
        <v>446</v>
      </c>
      <c r="M1548">
        <f>MINUTE(Table257[[#This Row],[Corrected time]])</f>
        <v>55</v>
      </c>
      <c r="N1548" s="1">
        <v>0.53848385416666666</v>
      </c>
      <c r="O1548" s="1">
        <f>Table257[[#This Row],[Time]]-TIME(0,0,3)</f>
        <v>0.53844913194444444</v>
      </c>
      <c r="P1548" t="s">
        <v>9</v>
      </c>
      <c r="Q1548">
        <v>-122</v>
      </c>
      <c r="R1548">
        <f>Table257[[#This Row],[RSSI]]</f>
        <v>-122</v>
      </c>
      <c r="S1548">
        <v>-8.5</v>
      </c>
    </row>
    <row r="1549" spans="2:19" x14ac:dyDescent="0.25">
      <c r="B1549">
        <f>436+2*(Table146[[#This Row],[min value (corrected)]])</f>
        <v>446</v>
      </c>
      <c r="C1549">
        <f>MINUTE(Table146[[#This Row],[Corrected time]])</f>
        <v>5</v>
      </c>
      <c r="D1549" s="1">
        <v>0.50386494212962962</v>
      </c>
      <c r="E1549" s="1">
        <f>Table146[[#This Row],[Time]]-TIME(0,0,1)</f>
        <v>0.50385336805555558</v>
      </c>
      <c r="F1549" t="s">
        <v>13</v>
      </c>
      <c r="G1549">
        <f>G1548</f>
        <v>-122</v>
      </c>
      <c r="H1549">
        <f>Table146[[#This Row],[RSSI]]</f>
        <v>-122</v>
      </c>
      <c r="I1549">
        <f>I1548</f>
        <v>-8.3000000000000007</v>
      </c>
      <c r="L1549">
        <f>390+2*(Table257[[#This Row],[min value (corrected)]]-27)</f>
        <v>446</v>
      </c>
      <c r="M1549">
        <f>MINUTE(Table257[[#This Row],[Corrected time]])</f>
        <v>55</v>
      </c>
      <c r="N1549" s="1">
        <v>0.53849688657407413</v>
      </c>
      <c r="O1549" s="1">
        <f>Table257[[#This Row],[Time]]-TIME(0,0,3)</f>
        <v>0.5384621643518519</v>
      </c>
      <c r="P1549" t="s">
        <v>13</v>
      </c>
      <c r="Q1549">
        <f>Q1548</f>
        <v>-122</v>
      </c>
      <c r="R1549">
        <f>Table257[[#This Row],[RSSI]]</f>
        <v>-122</v>
      </c>
      <c r="S1549">
        <f>S1548</f>
        <v>-8.5</v>
      </c>
    </row>
    <row r="1550" spans="2:19" x14ac:dyDescent="0.25">
      <c r="B1550">
        <f>436+2*(Table146[[#This Row],[min value (corrected)]])</f>
        <v>446</v>
      </c>
      <c r="C1550">
        <f>MINUTE(Table146[[#This Row],[Corrected time]])</f>
        <v>5</v>
      </c>
      <c r="D1550" s="1">
        <v>0.50387796296296294</v>
      </c>
      <c r="E1550" s="1">
        <f>Table146[[#This Row],[Time]]-TIME(0,0,1)</f>
        <v>0.50386638888888891</v>
      </c>
      <c r="F1550" t="s">
        <v>9</v>
      </c>
      <c r="G1550">
        <v>-122</v>
      </c>
      <c r="H1550">
        <f>Table146[[#This Row],[RSSI]]</f>
        <v>-122</v>
      </c>
      <c r="I1550">
        <v>-8.8000000000000007</v>
      </c>
      <c r="L1550">
        <f>390+2*(Table257[[#This Row],[min value (corrected)]]-27)</f>
        <v>446</v>
      </c>
      <c r="M1550">
        <f>MINUTE(Table257[[#This Row],[Corrected time]])</f>
        <v>55</v>
      </c>
      <c r="N1550" s="1">
        <v>0.53850990740740745</v>
      </c>
      <c r="O1550" s="1">
        <f>Table257[[#This Row],[Time]]-TIME(0,0,3)</f>
        <v>0.53847518518518522</v>
      </c>
      <c r="P1550" t="s">
        <v>9</v>
      </c>
      <c r="Q1550">
        <v>-122</v>
      </c>
      <c r="R1550">
        <f>Table257[[#This Row],[RSSI]]</f>
        <v>-122</v>
      </c>
      <c r="S1550">
        <v>-8.3000000000000007</v>
      </c>
    </row>
    <row r="1551" spans="2:19" x14ac:dyDescent="0.25">
      <c r="B1551">
        <f>436+2*(Table146[[#This Row],[min value (corrected)]])</f>
        <v>446</v>
      </c>
      <c r="C1551">
        <f>MINUTE(Table146[[#This Row],[Corrected time]])</f>
        <v>5</v>
      </c>
      <c r="D1551" s="1">
        <v>0.50389099537037041</v>
      </c>
      <c r="E1551" s="1">
        <f>Table146[[#This Row],[Time]]-TIME(0,0,1)</f>
        <v>0.50387942129629637</v>
      </c>
      <c r="F1551" t="s">
        <v>9</v>
      </c>
      <c r="G1551">
        <v>-122</v>
      </c>
      <c r="H1551">
        <f>Table146[[#This Row],[RSSI]]</f>
        <v>-122</v>
      </c>
      <c r="I1551">
        <v>-8.5</v>
      </c>
      <c r="L1551">
        <f>390+2*(Table257[[#This Row],[min value (corrected)]]-27)</f>
        <v>446</v>
      </c>
      <c r="M1551">
        <f>MINUTE(Table257[[#This Row],[Corrected time]])</f>
        <v>55</v>
      </c>
      <c r="N1551" s="1">
        <v>0.53852293981481481</v>
      </c>
      <c r="O1551" s="1">
        <f>Table257[[#This Row],[Time]]-TIME(0,0,3)</f>
        <v>0.53848821759259258</v>
      </c>
      <c r="P1551" t="s">
        <v>9</v>
      </c>
      <c r="Q1551">
        <v>-122</v>
      </c>
      <c r="R1551">
        <f>Table257[[#This Row],[RSSI]]</f>
        <v>-122</v>
      </c>
      <c r="S1551">
        <v>-8</v>
      </c>
    </row>
    <row r="1552" spans="2:19" x14ac:dyDescent="0.25">
      <c r="B1552">
        <f>436+2*(Table146[[#This Row],[min value (corrected)]])</f>
        <v>446</v>
      </c>
      <c r="C1552">
        <f>MINUTE(Table146[[#This Row],[Corrected time]])</f>
        <v>5</v>
      </c>
      <c r="D1552" s="1">
        <v>0.50390403935185191</v>
      </c>
      <c r="E1552" s="1">
        <f>Table146[[#This Row],[Time]]-TIME(0,0,1)</f>
        <v>0.50389246527777787</v>
      </c>
      <c r="F1552" t="s">
        <v>9</v>
      </c>
      <c r="G1552">
        <v>-123</v>
      </c>
      <c r="H1552">
        <f>Table146[[#This Row],[RSSI]]</f>
        <v>-123</v>
      </c>
      <c r="I1552">
        <v>-8.5</v>
      </c>
      <c r="L1552">
        <f>390+2*(Table257[[#This Row],[min value (corrected)]]-27)</f>
        <v>446</v>
      </c>
      <c r="M1552">
        <f>MINUTE(Table257[[#This Row],[Corrected time]])</f>
        <v>55</v>
      </c>
      <c r="N1552" s="1">
        <v>0.5385359837962963</v>
      </c>
      <c r="O1552" s="1">
        <f>Table257[[#This Row],[Time]]-TIME(0,0,3)</f>
        <v>0.53850126157407407</v>
      </c>
      <c r="P1552" t="s">
        <v>13</v>
      </c>
      <c r="Q1552">
        <f>Q1551</f>
        <v>-122</v>
      </c>
      <c r="R1552">
        <f>Table257[[#This Row],[RSSI]]</f>
        <v>-122</v>
      </c>
      <c r="S1552">
        <f>S1551</f>
        <v>-8</v>
      </c>
    </row>
    <row r="1553" spans="2:19" x14ac:dyDescent="0.25">
      <c r="B1553">
        <f>436+2*(Table146[[#This Row],[min value (corrected)]])</f>
        <v>446</v>
      </c>
      <c r="C1553">
        <f>MINUTE(Table146[[#This Row],[Corrected time]])</f>
        <v>5</v>
      </c>
      <c r="D1553" s="1">
        <v>0.50391707175925926</v>
      </c>
      <c r="E1553" s="1">
        <f>Table146[[#This Row],[Time]]-TIME(0,0,1)</f>
        <v>0.50390549768518522</v>
      </c>
      <c r="F1553" t="s">
        <v>9</v>
      </c>
      <c r="G1553">
        <v>-122</v>
      </c>
      <c r="H1553">
        <f>Table146[[#This Row],[RSSI]]</f>
        <v>-122</v>
      </c>
      <c r="I1553">
        <v>-8.8000000000000007</v>
      </c>
      <c r="L1553">
        <f>390+2*(Table257[[#This Row],[min value (corrected)]]-27)</f>
        <v>446</v>
      </c>
      <c r="M1553">
        <f>MINUTE(Table257[[#This Row],[Corrected time]])</f>
        <v>55</v>
      </c>
      <c r="N1553" s="1">
        <v>0.53854901620370377</v>
      </c>
      <c r="O1553" s="1">
        <f>Table257[[#This Row],[Time]]-TIME(0,0,3)</f>
        <v>0.53851429398148154</v>
      </c>
      <c r="P1553" t="s">
        <v>9</v>
      </c>
      <c r="Q1553">
        <v>-122</v>
      </c>
      <c r="R1553">
        <f>Table257[[#This Row],[RSSI]]</f>
        <v>-122</v>
      </c>
      <c r="S1553">
        <v>-8.3000000000000007</v>
      </c>
    </row>
    <row r="1554" spans="2:19" x14ac:dyDescent="0.25">
      <c r="B1554">
        <f>436+2*(Table146[[#This Row],[min value (corrected)]])</f>
        <v>446</v>
      </c>
      <c r="C1554">
        <f>MINUTE(Table146[[#This Row],[Corrected time]])</f>
        <v>5</v>
      </c>
      <c r="D1554" s="1">
        <v>0.50393010416666673</v>
      </c>
      <c r="E1554" s="1">
        <f>Table146[[#This Row],[Time]]-TIME(0,0,1)</f>
        <v>0.50391853009259269</v>
      </c>
      <c r="F1554" t="s">
        <v>9</v>
      </c>
      <c r="G1554">
        <v>-122</v>
      </c>
      <c r="H1554">
        <f>Table146[[#This Row],[RSSI]]</f>
        <v>-122</v>
      </c>
      <c r="I1554">
        <v>-8.5</v>
      </c>
      <c r="L1554">
        <f>390+2*(Table257[[#This Row],[min value (corrected)]]-27)</f>
        <v>446</v>
      </c>
      <c r="M1554">
        <f>MINUTE(Table257[[#This Row],[Corrected time]])</f>
        <v>55</v>
      </c>
      <c r="N1554" s="1">
        <v>0.53856203703703709</v>
      </c>
      <c r="O1554" s="1">
        <f>Table257[[#This Row],[Time]]-TIME(0,0,3)</f>
        <v>0.53852731481481486</v>
      </c>
      <c r="P1554" t="s">
        <v>9</v>
      </c>
      <c r="Q1554">
        <v>-122</v>
      </c>
      <c r="R1554">
        <f>Table257[[#This Row],[RSSI]]</f>
        <v>-122</v>
      </c>
      <c r="S1554">
        <v>-8.5</v>
      </c>
    </row>
    <row r="1555" spans="2:19" x14ac:dyDescent="0.25">
      <c r="B1555">
        <f>436+2*(Table146[[#This Row],[min value (corrected)]])</f>
        <v>446</v>
      </c>
      <c r="C1555">
        <f>MINUTE(Table146[[#This Row],[Corrected time]])</f>
        <v>5</v>
      </c>
      <c r="D1555" s="1">
        <v>0.50394313657407408</v>
      </c>
      <c r="E1555" s="1">
        <f>Table146[[#This Row],[Time]]-TIME(0,0,1)</f>
        <v>0.50393156250000004</v>
      </c>
      <c r="F1555" t="s">
        <v>9</v>
      </c>
      <c r="G1555">
        <v>-122</v>
      </c>
      <c r="H1555">
        <f>Table146[[#This Row],[RSSI]]</f>
        <v>-122</v>
      </c>
      <c r="I1555">
        <v>-8.5</v>
      </c>
      <c r="L1555">
        <f>390+2*(Table257[[#This Row],[min value (corrected)]]-27)</f>
        <v>446</v>
      </c>
      <c r="M1555">
        <f>MINUTE(Table257[[#This Row],[Corrected time]])</f>
        <v>55</v>
      </c>
      <c r="N1555" s="1">
        <v>0.53857508101851859</v>
      </c>
      <c r="O1555" s="1">
        <f>Table257[[#This Row],[Time]]-TIME(0,0,3)</f>
        <v>0.53854035879629636</v>
      </c>
      <c r="P1555" t="s">
        <v>9</v>
      </c>
      <c r="Q1555">
        <v>-122</v>
      </c>
      <c r="R1555">
        <f>Table257[[#This Row],[RSSI]]</f>
        <v>-122</v>
      </c>
      <c r="S1555">
        <v>-9.3000000000000007</v>
      </c>
    </row>
    <row r="1556" spans="2:19" x14ac:dyDescent="0.25">
      <c r="B1556">
        <f>436+2*(Table146[[#This Row],[min value (corrected)]])</f>
        <v>446</v>
      </c>
      <c r="C1556">
        <f>MINUTE(Table146[[#This Row],[Corrected time]])</f>
        <v>5</v>
      </c>
      <c r="D1556" s="1">
        <v>0.50395616898148154</v>
      </c>
      <c r="E1556" s="1">
        <f>Table146[[#This Row],[Time]]-TIME(0,0,1)</f>
        <v>0.50394459490740751</v>
      </c>
      <c r="F1556" t="s">
        <v>9</v>
      </c>
      <c r="G1556">
        <v>-123</v>
      </c>
      <c r="H1556">
        <f>Table146[[#This Row],[RSSI]]</f>
        <v>-123</v>
      </c>
      <c r="I1556">
        <v>-9.3000000000000007</v>
      </c>
      <c r="L1556">
        <f>390+2*(Table257[[#This Row],[min value (corrected)]]-27)</f>
        <v>446</v>
      </c>
      <c r="M1556">
        <f>MINUTE(Table257[[#This Row],[Corrected time]])</f>
        <v>55</v>
      </c>
      <c r="N1556" s="1">
        <v>0.53858811342592594</v>
      </c>
      <c r="O1556" s="1">
        <f>Table257[[#This Row],[Time]]-TIME(0,0,3)</f>
        <v>0.53855339120370371</v>
      </c>
      <c r="P1556" t="s">
        <v>9</v>
      </c>
      <c r="Q1556">
        <v>-122</v>
      </c>
      <c r="R1556">
        <f>Table257[[#This Row],[RSSI]]</f>
        <v>-122</v>
      </c>
      <c r="S1556">
        <v>-8.3000000000000007</v>
      </c>
    </row>
    <row r="1557" spans="2:19" x14ac:dyDescent="0.25">
      <c r="B1557">
        <f>436+2*(Table146[[#This Row],[min value (corrected)]])</f>
        <v>446</v>
      </c>
      <c r="C1557">
        <f>MINUTE(Table146[[#This Row],[Corrected time]])</f>
        <v>5</v>
      </c>
      <c r="D1557" s="1">
        <v>0.5039692013888889</v>
      </c>
      <c r="E1557" s="1">
        <f>Table146[[#This Row],[Time]]-TIME(0,0,1)</f>
        <v>0.50395762731481486</v>
      </c>
      <c r="F1557" t="s">
        <v>13</v>
      </c>
      <c r="G1557">
        <f>G1556</f>
        <v>-123</v>
      </c>
      <c r="H1557">
        <f>Table146[[#This Row],[RSSI]]</f>
        <v>-123</v>
      </c>
      <c r="I1557">
        <f>I1556</f>
        <v>-9.3000000000000007</v>
      </c>
      <c r="L1557">
        <f>390+2*(Table257[[#This Row],[min value (corrected)]]-27)</f>
        <v>446</v>
      </c>
      <c r="M1557">
        <f>MINUTE(Table257[[#This Row],[Corrected time]])</f>
        <v>55</v>
      </c>
      <c r="N1557" s="1">
        <v>0.53860114583333341</v>
      </c>
      <c r="O1557" s="1">
        <f>Table257[[#This Row],[Time]]-TIME(0,0,3)</f>
        <v>0.53856642361111118</v>
      </c>
      <c r="P1557" t="s">
        <v>9</v>
      </c>
      <c r="Q1557">
        <v>-122</v>
      </c>
      <c r="R1557">
        <f>Table257[[#This Row],[RSSI]]</f>
        <v>-122</v>
      </c>
      <c r="S1557">
        <v>-8.5</v>
      </c>
    </row>
    <row r="1558" spans="2:19" x14ac:dyDescent="0.25">
      <c r="B1558">
        <f>436+2*(Table146[[#This Row],[min value (corrected)]])</f>
        <v>446</v>
      </c>
      <c r="C1558">
        <f>MINUTE(Table146[[#This Row],[Corrected time]])</f>
        <v>5</v>
      </c>
      <c r="D1558" s="1">
        <v>0.50398223379629636</v>
      </c>
      <c r="E1558" s="1">
        <f>Table146[[#This Row],[Time]]-TIME(0,0,1)</f>
        <v>0.50397065972222232</v>
      </c>
      <c r="F1558" t="s">
        <v>9</v>
      </c>
      <c r="G1558">
        <v>-122</v>
      </c>
      <c r="H1558">
        <f>Table146[[#This Row],[RSSI]]</f>
        <v>-122</v>
      </c>
      <c r="I1558">
        <v>-8.8000000000000007</v>
      </c>
      <c r="L1558">
        <f>390+2*(Table257[[#This Row],[min value (corrected)]]-27)</f>
        <v>446</v>
      </c>
      <c r="M1558">
        <f>MINUTE(Table257[[#This Row],[Corrected time]])</f>
        <v>55</v>
      </c>
      <c r="N1558" s="1">
        <v>0.53861417824074076</v>
      </c>
      <c r="O1558" s="1">
        <f>Table257[[#This Row],[Time]]-TIME(0,0,3)</f>
        <v>0.53857945601851853</v>
      </c>
      <c r="P1558" t="s">
        <v>13</v>
      </c>
      <c r="Q1558">
        <f t="shared" ref="Q1558:Q1561" si="227">Q1557</f>
        <v>-122</v>
      </c>
      <c r="R1558">
        <f>Table257[[#This Row],[RSSI]]</f>
        <v>-122</v>
      </c>
      <c r="S1558">
        <f t="shared" ref="S1558:S1561" si="228">S1557</f>
        <v>-8.5</v>
      </c>
    </row>
    <row r="1559" spans="2:19" x14ac:dyDescent="0.25">
      <c r="B1559">
        <f>436+2*(Table146[[#This Row],[min value (corrected)]])</f>
        <v>446</v>
      </c>
      <c r="C1559">
        <f>MINUTE(Table146[[#This Row],[Corrected time]])</f>
        <v>5</v>
      </c>
      <c r="D1559" s="1">
        <v>0.50399526620370372</v>
      </c>
      <c r="E1559" s="1">
        <f>Table146[[#This Row],[Time]]-TIME(0,0,1)</f>
        <v>0.50398369212962968</v>
      </c>
      <c r="F1559" t="s">
        <v>13</v>
      </c>
      <c r="G1559">
        <f>G1558</f>
        <v>-122</v>
      </c>
      <c r="H1559">
        <f>Table146[[#This Row],[RSSI]]</f>
        <v>-122</v>
      </c>
      <c r="I1559">
        <f>I1558</f>
        <v>-8.8000000000000007</v>
      </c>
      <c r="L1559">
        <f>390+2*(Table257[[#This Row],[min value (corrected)]]-27)</f>
        <v>446</v>
      </c>
      <c r="M1559">
        <f>MINUTE(Table257[[#This Row],[Corrected time]])</f>
        <v>55</v>
      </c>
      <c r="N1559" s="1">
        <v>0.53862719907407408</v>
      </c>
      <c r="O1559" s="1">
        <f>Table257[[#This Row],[Time]]-TIME(0,0,3)</f>
        <v>0.53859247685185185</v>
      </c>
      <c r="P1559" t="s">
        <v>13</v>
      </c>
      <c r="Q1559">
        <f t="shared" si="227"/>
        <v>-122</v>
      </c>
      <c r="R1559">
        <f>Table257[[#This Row],[RSSI]]</f>
        <v>-122</v>
      </c>
      <c r="S1559">
        <f t="shared" si="228"/>
        <v>-8.5</v>
      </c>
    </row>
    <row r="1560" spans="2:19" x14ac:dyDescent="0.25">
      <c r="B1560">
        <f>436+2*(Table146[[#This Row],[min value (corrected)]])</f>
        <v>446</v>
      </c>
      <c r="C1560">
        <f>MINUTE(Table146[[#This Row],[Corrected time]])</f>
        <v>5</v>
      </c>
      <c r="D1560" s="1">
        <v>0.50400829861111118</v>
      </c>
      <c r="E1560" s="1">
        <f>Table146[[#This Row],[Time]]-TIME(0,0,1)</f>
        <v>0.50399672453703714</v>
      </c>
      <c r="F1560" t="s">
        <v>9</v>
      </c>
      <c r="G1560">
        <v>-122</v>
      </c>
      <c r="H1560">
        <f>Table146[[#This Row],[RSSI]]</f>
        <v>-122</v>
      </c>
      <c r="I1560">
        <v>-8.5</v>
      </c>
      <c r="L1560">
        <f>390+2*(Table257[[#This Row],[min value (corrected)]]-27)</f>
        <v>446</v>
      </c>
      <c r="M1560">
        <f>MINUTE(Table257[[#This Row],[Corrected time]])</f>
        <v>55</v>
      </c>
      <c r="N1560" s="1">
        <v>0.53864023148148155</v>
      </c>
      <c r="O1560" s="1">
        <f>Table257[[#This Row],[Time]]-TIME(0,0,3)</f>
        <v>0.53860550925925932</v>
      </c>
      <c r="P1560" t="s">
        <v>13</v>
      </c>
      <c r="Q1560">
        <f t="shared" si="227"/>
        <v>-122</v>
      </c>
      <c r="R1560">
        <f>Table257[[#This Row],[RSSI]]</f>
        <v>-122</v>
      </c>
      <c r="S1560">
        <f t="shared" si="228"/>
        <v>-8.5</v>
      </c>
    </row>
    <row r="1561" spans="2:19" x14ac:dyDescent="0.25">
      <c r="B1561">
        <f>436+2*(Table146[[#This Row],[min value (corrected)]])</f>
        <v>446</v>
      </c>
      <c r="C1561">
        <f>MINUTE(Table146[[#This Row],[Corrected time]])</f>
        <v>5</v>
      </c>
      <c r="D1561" s="1">
        <v>0.5040213194444445</v>
      </c>
      <c r="E1561" s="1">
        <f>Table146[[#This Row],[Time]]-TIME(0,0,1)</f>
        <v>0.50400974537037047</v>
      </c>
      <c r="F1561" t="s">
        <v>9</v>
      </c>
      <c r="G1561">
        <v>-123</v>
      </c>
      <c r="H1561">
        <f>Table146[[#This Row],[RSSI]]</f>
        <v>-123</v>
      </c>
      <c r="I1561">
        <v>-9.3000000000000007</v>
      </c>
      <c r="L1561">
        <f>390+2*(Table257[[#This Row],[min value (corrected)]]-27)</f>
        <v>446</v>
      </c>
      <c r="M1561">
        <f>MINUTE(Table257[[#This Row],[Corrected time]])</f>
        <v>55</v>
      </c>
      <c r="N1561" s="1">
        <v>0.53865327546296293</v>
      </c>
      <c r="O1561" s="1">
        <f>Table257[[#This Row],[Time]]-TIME(0,0,3)</f>
        <v>0.53861855324074071</v>
      </c>
      <c r="P1561" t="s">
        <v>13</v>
      </c>
      <c r="Q1561">
        <f t="shared" si="227"/>
        <v>-122</v>
      </c>
      <c r="R1561">
        <f>Table257[[#This Row],[RSSI]]</f>
        <v>-122</v>
      </c>
      <c r="S1561">
        <f t="shared" si="228"/>
        <v>-8.5</v>
      </c>
    </row>
    <row r="1562" spans="2:19" x14ac:dyDescent="0.25">
      <c r="B1562">
        <f>436+2*(Table146[[#This Row],[min value (corrected)]])</f>
        <v>446</v>
      </c>
      <c r="C1562">
        <f>MINUTE(Table146[[#This Row],[Corrected time]])</f>
        <v>5</v>
      </c>
      <c r="D1562" s="1">
        <v>0.504034363425926</v>
      </c>
      <c r="E1562" s="1">
        <f>Table146[[#This Row],[Time]]-TIME(0,0,1)</f>
        <v>0.50402278935185196</v>
      </c>
      <c r="F1562" t="s">
        <v>9</v>
      </c>
      <c r="G1562">
        <v>-122</v>
      </c>
      <c r="H1562">
        <f>Table146[[#This Row],[RSSI]]</f>
        <v>-122</v>
      </c>
      <c r="I1562">
        <v>-8.3000000000000007</v>
      </c>
      <c r="L1562">
        <f>390+2*(Table257[[#This Row],[min value (corrected)]]-27)</f>
        <v>446</v>
      </c>
      <c r="M1562">
        <f>MINUTE(Table257[[#This Row],[Corrected time]])</f>
        <v>55</v>
      </c>
      <c r="N1562" s="1">
        <v>0.5386663078703704</v>
      </c>
      <c r="O1562" s="1">
        <f>Table257[[#This Row],[Time]]-TIME(0,0,3)</f>
        <v>0.53863158564814817</v>
      </c>
      <c r="P1562" t="s">
        <v>9</v>
      </c>
      <c r="Q1562">
        <v>-122</v>
      </c>
      <c r="R1562">
        <f>Table257[[#This Row],[RSSI]]</f>
        <v>-122</v>
      </c>
      <c r="S1562">
        <v>-8.8000000000000007</v>
      </c>
    </row>
    <row r="1563" spans="2:19" x14ac:dyDescent="0.25">
      <c r="B1563">
        <f>436+2*(Table146[[#This Row],[min value (corrected)]])</f>
        <v>446</v>
      </c>
      <c r="C1563">
        <f>MINUTE(Table146[[#This Row],[Corrected time]])</f>
        <v>5</v>
      </c>
      <c r="D1563" s="1">
        <v>0.50404739583333336</v>
      </c>
      <c r="E1563" s="1">
        <f>Table146[[#This Row],[Time]]-TIME(0,0,1)</f>
        <v>0.50403582175925932</v>
      </c>
      <c r="F1563" t="s">
        <v>13</v>
      </c>
      <c r="G1563">
        <f>G1562</f>
        <v>-122</v>
      </c>
      <c r="H1563">
        <f>Table146[[#This Row],[RSSI]]</f>
        <v>-122</v>
      </c>
      <c r="I1563">
        <f>I1562</f>
        <v>-8.3000000000000007</v>
      </c>
      <c r="L1563">
        <f>390+2*(Table257[[#This Row],[min value (corrected)]]-27)</f>
        <v>446</v>
      </c>
      <c r="M1563">
        <f>MINUTE(Table257[[#This Row],[Corrected time]])</f>
        <v>55</v>
      </c>
      <c r="N1563" s="1">
        <v>0.53867934027777775</v>
      </c>
      <c r="O1563" s="1">
        <f>Table257[[#This Row],[Time]]-TIME(0,0,3)</f>
        <v>0.53864461805555552</v>
      </c>
      <c r="P1563" t="s">
        <v>9</v>
      </c>
      <c r="Q1563">
        <v>-122</v>
      </c>
      <c r="R1563">
        <f>Table257[[#This Row],[RSSI]]</f>
        <v>-122</v>
      </c>
      <c r="S1563">
        <v>-8.8000000000000007</v>
      </c>
    </row>
    <row r="1564" spans="2:19" x14ac:dyDescent="0.25">
      <c r="B1564">
        <f>436+2*(Table146[[#This Row],[min value (corrected)]])</f>
        <v>446</v>
      </c>
      <c r="C1564">
        <f>MINUTE(Table146[[#This Row],[Corrected time]])</f>
        <v>5</v>
      </c>
      <c r="D1564" s="1">
        <v>0.50406042824074082</v>
      </c>
      <c r="E1564" s="1">
        <f>Table146[[#This Row],[Time]]-TIME(0,0,1)</f>
        <v>0.50404885416666678</v>
      </c>
      <c r="F1564" t="s">
        <v>9</v>
      </c>
      <c r="G1564">
        <v>-122</v>
      </c>
      <c r="H1564">
        <f>Table146[[#This Row],[RSSI]]</f>
        <v>-122</v>
      </c>
      <c r="I1564">
        <v>-8.8000000000000007</v>
      </c>
      <c r="L1564">
        <f>390+2*(Table257[[#This Row],[min value (corrected)]]-27)</f>
        <v>446</v>
      </c>
      <c r="M1564">
        <f>MINUTE(Table257[[#This Row],[Corrected time]])</f>
        <v>55</v>
      </c>
      <c r="N1564" s="1">
        <v>0.53869237268518522</v>
      </c>
      <c r="O1564" s="1">
        <f>Table257[[#This Row],[Time]]-TIME(0,0,3)</f>
        <v>0.53865765046296299</v>
      </c>
      <c r="P1564" t="s">
        <v>9</v>
      </c>
      <c r="Q1564">
        <v>-122</v>
      </c>
      <c r="R1564">
        <f>Table257[[#This Row],[RSSI]]</f>
        <v>-122</v>
      </c>
      <c r="S1564">
        <v>-9</v>
      </c>
    </row>
    <row r="1565" spans="2:19" x14ac:dyDescent="0.25">
      <c r="B1565">
        <f>436+2*(Table146[[#This Row],[min value (corrected)]])</f>
        <v>446</v>
      </c>
      <c r="C1565">
        <f>MINUTE(Table146[[#This Row],[Corrected time]])</f>
        <v>5</v>
      </c>
      <c r="D1565" s="1">
        <v>0.50407346064814817</v>
      </c>
      <c r="E1565" s="1">
        <f>Table146[[#This Row],[Time]]-TIME(0,0,1)</f>
        <v>0.50406188657407414</v>
      </c>
      <c r="F1565" t="s">
        <v>9</v>
      </c>
      <c r="G1565">
        <v>-123</v>
      </c>
      <c r="H1565">
        <f>Table146[[#This Row],[RSSI]]</f>
        <v>-123</v>
      </c>
      <c r="I1565">
        <v>-8.8000000000000007</v>
      </c>
      <c r="L1565">
        <f>390+2*(Table257[[#This Row],[min value (corrected)]]-27)</f>
        <v>446</v>
      </c>
      <c r="M1565">
        <f>MINUTE(Table257[[#This Row],[Corrected time]])</f>
        <v>55</v>
      </c>
      <c r="N1565" s="1">
        <v>0.53870540509259257</v>
      </c>
      <c r="O1565" s="1">
        <f>Table257[[#This Row],[Time]]-TIME(0,0,3)</f>
        <v>0.53867068287037034</v>
      </c>
      <c r="P1565" t="s">
        <v>9</v>
      </c>
      <c r="Q1565">
        <v>-122</v>
      </c>
      <c r="R1565">
        <f>Table257[[#This Row],[RSSI]]</f>
        <v>-122</v>
      </c>
      <c r="S1565">
        <v>-8.3000000000000007</v>
      </c>
    </row>
    <row r="1566" spans="2:19" x14ac:dyDescent="0.25">
      <c r="B1566">
        <f>436+2*(Table146[[#This Row],[min value (corrected)]])</f>
        <v>446</v>
      </c>
      <c r="C1566">
        <f>MINUTE(Table146[[#This Row],[Corrected time]])</f>
        <v>5</v>
      </c>
      <c r="D1566" s="1">
        <v>0.50408649305555553</v>
      </c>
      <c r="E1566" s="1">
        <f>Table146[[#This Row],[Time]]-TIME(0,0,1)</f>
        <v>0.50407491898148149</v>
      </c>
      <c r="F1566" t="s">
        <v>9</v>
      </c>
      <c r="G1566">
        <v>-123</v>
      </c>
      <c r="H1566">
        <f>Table146[[#This Row],[RSSI]]</f>
        <v>-123</v>
      </c>
      <c r="I1566">
        <v>-8.8000000000000007</v>
      </c>
      <c r="L1566">
        <f>390+2*(Table257[[#This Row],[min value (corrected)]]-27)</f>
        <v>446</v>
      </c>
      <c r="M1566">
        <f>MINUTE(Table257[[#This Row],[Corrected time]])</f>
        <v>55</v>
      </c>
      <c r="N1566" s="1">
        <v>0.53871843750000004</v>
      </c>
      <c r="O1566" s="1">
        <f>Table257[[#This Row],[Time]]-TIME(0,0,3)</f>
        <v>0.53868371527777781</v>
      </c>
      <c r="P1566" t="s">
        <v>9</v>
      </c>
      <c r="Q1566">
        <v>-122</v>
      </c>
      <c r="R1566">
        <f>Table257[[#This Row],[RSSI]]</f>
        <v>-122</v>
      </c>
      <c r="S1566">
        <v>-8.5</v>
      </c>
    </row>
    <row r="1567" spans="2:19" x14ac:dyDescent="0.25">
      <c r="B1567">
        <f>436+2*(Table146[[#This Row],[min value (corrected)]])</f>
        <v>446</v>
      </c>
      <c r="C1567">
        <f>MINUTE(Table146[[#This Row],[Corrected time]])</f>
        <v>5</v>
      </c>
      <c r="D1567" s="1">
        <v>0.50409952546296299</v>
      </c>
      <c r="E1567" s="1">
        <f>Table146[[#This Row],[Time]]-TIME(0,0,1)</f>
        <v>0.50408795138888896</v>
      </c>
      <c r="F1567" t="s">
        <v>9</v>
      </c>
      <c r="G1567">
        <v>-123</v>
      </c>
      <c r="H1567">
        <f>Table146[[#This Row],[RSSI]]</f>
        <v>-123</v>
      </c>
      <c r="I1567">
        <v>-9</v>
      </c>
      <c r="L1567">
        <f>390+2*(Table257[[#This Row],[min value (corrected)]]-27)</f>
        <v>446</v>
      </c>
      <c r="M1567">
        <f>MINUTE(Table257[[#This Row],[Corrected time]])</f>
        <v>55</v>
      </c>
      <c r="N1567" s="1">
        <v>0.53873146990740739</v>
      </c>
      <c r="O1567" s="1">
        <f>Table257[[#This Row],[Time]]-TIME(0,0,3)</f>
        <v>0.53869674768518516</v>
      </c>
      <c r="P1567" t="s">
        <v>9</v>
      </c>
      <c r="Q1567">
        <v>-122</v>
      </c>
      <c r="R1567">
        <f>Table257[[#This Row],[RSSI]]</f>
        <v>-122</v>
      </c>
      <c r="S1567">
        <v>-8.5</v>
      </c>
    </row>
    <row r="1568" spans="2:19" x14ac:dyDescent="0.25">
      <c r="B1568">
        <f>436+2*(Table146[[#This Row],[min value (corrected)]])</f>
        <v>446</v>
      </c>
      <c r="C1568">
        <f>MINUTE(Table146[[#This Row],[Corrected time]])</f>
        <v>5</v>
      </c>
      <c r="D1568" s="1">
        <v>0.50411255787037035</v>
      </c>
      <c r="E1568" s="1">
        <f>Table146[[#This Row],[Time]]-TIME(0,0,1)</f>
        <v>0.50410098379629631</v>
      </c>
      <c r="F1568" t="s">
        <v>13</v>
      </c>
      <c r="G1568">
        <f>G1567</f>
        <v>-123</v>
      </c>
      <c r="H1568">
        <f>Table146[[#This Row],[RSSI]]</f>
        <v>-123</v>
      </c>
      <c r="I1568">
        <f>I1567</f>
        <v>-9</v>
      </c>
      <c r="L1568">
        <f>390+2*(Table257[[#This Row],[min value (corrected)]]-27)</f>
        <v>446</v>
      </c>
      <c r="M1568">
        <f>MINUTE(Table257[[#This Row],[Corrected time]])</f>
        <v>55</v>
      </c>
      <c r="N1568" s="1">
        <v>0.53874447916666668</v>
      </c>
      <c r="O1568" s="1">
        <f>Table257[[#This Row],[Time]]-TIME(0,0,3)</f>
        <v>0.53870975694444445</v>
      </c>
      <c r="P1568" t="s">
        <v>13</v>
      </c>
      <c r="Q1568">
        <f t="shared" ref="Q1568:Q1569" si="229">Q1567</f>
        <v>-122</v>
      </c>
      <c r="R1568">
        <f>Table257[[#This Row],[RSSI]]</f>
        <v>-122</v>
      </c>
      <c r="S1568">
        <f t="shared" ref="S1568:S1569" si="230">S1567</f>
        <v>-8.5</v>
      </c>
    </row>
    <row r="1569" spans="2:19" x14ac:dyDescent="0.25">
      <c r="B1569">
        <f>436+2*(Table146[[#This Row],[min value (corrected)]])</f>
        <v>446</v>
      </c>
      <c r="C1569">
        <f>MINUTE(Table146[[#This Row],[Corrected time]])</f>
        <v>5</v>
      </c>
      <c r="D1569" s="1">
        <v>0.50412559027777781</v>
      </c>
      <c r="E1569" s="1">
        <f>Table146[[#This Row],[Time]]-TIME(0,0,1)</f>
        <v>0.50411401620370377</v>
      </c>
      <c r="F1569" t="s">
        <v>9</v>
      </c>
      <c r="G1569">
        <v>-121</v>
      </c>
      <c r="H1569">
        <f>Table146[[#This Row],[RSSI]]</f>
        <v>-121</v>
      </c>
      <c r="I1569">
        <v>-7.7</v>
      </c>
      <c r="L1569">
        <f>390+2*(Table257[[#This Row],[min value (corrected)]]-27)</f>
        <v>446</v>
      </c>
      <c r="M1569">
        <f>MINUTE(Table257[[#This Row],[Corrected time]])</f>
        <v>55</v>
      </c>
      <c r="N1569" s="1">
        <v>0.53875752314814818</v>
      </c>
      <c r="O1569" s="1">
        <f>Table257[[#This Row],[Time]]-TIME(0,0,3)</f>
        <v>0.53872280092592595</v>
      </c>
      <c r="P1569" t="s">
        <v>13</v>
      </c>
      <c r="Q1569">
        <f t="shared" si="229"/>
        <v>-122</v>
      </c>
      <c r="R1569">
        <f>Table257[[#This Row],[RSSI]]</f>
        <v>-122</v>
      </c>
      <c r="S1569">
        <f t="shared" si="230"/>
        <v>-8.5</v>
      </c>
    </row>
    <row r="1570" spans="2:19" x14ac:dyDescent="0.25">
      <c r="B1570">
        <f>436+2*(Table146[[#This Row],[min value (corrected)]])</f>
        <v>446</v>
      </c>
      <c r="C1570">
        <f>MINUTE(Table146[[#This Row],[Corrected time]])</f>
        <v>5</v>
      </c>
      <c r="D1570" s="1">
        <v>0.50413862268518517</v>
      </c>
      <c r="E1570" s="1">
        <f>Table146[[#This Row],[Time]]-TIME(0,0,1)</f>
        <v>0.50412704861111113</v>
      </c>
      <c r="F1570" t="s">
        <v>13</v>
      </c>
      <c r="G1570">
        <f>G1569</f>
        <v>-121</v>
      </c>
      <c r="H1570">
        <f>Table146[[#This Row],[RSSI]]</f>
        <v>-121</v>
      </c>
      <c r="I1570">
        <f>I1569</f>
        <v>-7.7</v>
      </c>
      <c r="L1570">
        <f>390+2*(Table257[[#This Row],[min value (corrected)]]-27)</f>
        <v>446</v>
      </c>
      <c r="M1570">
        <f>MINUTE(Table257[[#This Row],[Corrected time]])</f>
        <v>55</v>
      </c>
      <c r="N1570" s="1">
        <v>0.53877056712962967</v>
      </c>
      <c r="O1570" s="1">
        <f>Table257[[#This Row],[Time]]-TIME(0,0,3)</f>
        <v>0.53873584490740745</v>
      </c>
      <c r="P1570" t="s">
        <v>9</v>
      </c>
      <c r="Q1570">
        <v>-122</v>
      </c>
      <c r="R1570">
        <f>Table257[[#This Row],[RSSI]]</f>
        <v>-122</v>
      </c>
      <c r="S1570">
        <v>-9</v>
      </c>
    </row>
    <row r="1571" spans="2:19" x14ac:dyDescent="0.25">
      <c r="B1571">
        <f>436+2*(Table146[[#This Row],[min value (corrected)]])</f>
        <v>446</v>
      </c>
      <c r="C1571">
        <f>MINUTE(Table146[[#This Row],[Corrected time]])</f>
        <v>5</v>
      </c>
      <c r="D1571" s="1">
        <v>0.50415165509259263</v>
      </c>
      <c r="E1571" s="1">
        <f>Table146[[#This Row],[Time]]-TIME(0,0,1)</f>
        <v>0.50414008101851859</v>
      </c>
      <c r="F1571" t="s">
        <v>9</v>
      </c>
      <c r="G1571">
        <v>-122</v>
      </c>
      <c r="H1571">
        <f>Table146[[#This Row],[RSSI]]</f>
        <v>-122</v>
      </c>
      <c r="I1571">
        <v>-8.5</v>
      </c>
      <c r="L1571">
        <f>390+2*(Table257[[#This Row],[min value (corrected)]]-27)</f>
        <v>446</v>
      </c>
      <c r="M1571">
        <f>MINUTE(Table257[[#This Row],[Corrected time]])</f>
        <v>55</v>
      </c>
      <c r="N1571" s="1">
        <v>0.538783587962963</v>
      </c>
      <c r="O1571" s="1">
        <f>Table257[[#This Row],[Time]]-TIME(0,0,3)</f>
        <v>0.53874886574074077</v>
      </c>
      <c r="P1571" t="s">
        <v>9</v>
      </c>
      <c r="Q1571">
        <v>-122</v>
      </c>
      <c r="R1571">
        <f>Table257[[#This Row],[RSSI]]</f>
        <v>-122</v>
      </c>
      <c r="S1571">
        <v>-8.3000000000000007</v>
      </c>
    </row>
    <row r="1572" spans="2:19" x14ac:dyDescent="0.25">
      <c r="B1572">
        <f>436+2*(Table146[[#This Row],[min value (corrected)]])</f>
        <v>446</v>
      </c>
      <c r="C1572">
        <f>MINUTE(Table146[[#This Row],[Corrected time]])</f>
        <v>5</v>
      </c>
      <c r="D1572" s="1">
        <v>0.50416468749999999</v>
      </c>
      <c r="E1572" s="1">
        <f>Table146[[#This Row],[Time]]-TIME(0,0,1)</f>
        <v>0.50415311342592595</v>
      </c>
      <c r="F1572" t="s">
        <v>9</v>
      </c>
      <c r="G1572">
        <v>-122</v>
      </c>
      <c r="H1572">
        <f>Table146[[#This Row],[RSSI]]</f>
        <v>-122</v>
      </c>
      <c r="I1572">
        <v>-8.5</v>
      </c>
      <c r="L1572">
        <f>390+2*(Table257[[#This Row],[min value (corrected)]]-27)</f>
        <v>446</v>
      </c>
      <c r="M1572">
        <f>MINUTE(Table257[[#This Row],[Corrected time]])</f>
        <v>55</v>
      </c>
      <c r="N1572" s="1">
        <v>0.53879663194444449</v>
      </c>
      <c r="O1572" s="1">
        <f>Table257[[#This Row],[Time]]-TIME(0,0,3)</f>
        <v>0.53876190972222227</v>
      </c>
      <c r="P1572" t="s">
        <v>9</v>
      </c>
      <c r="Q1572">
        <v>-122</v>
      </c>
      <c r="R1572">
        <f>Table257[[#This Row],[RSSI]]</f>
        <v>-122</v>
      </c>
      <c r="S1572">
        <v>-8.5</v>
      </c>
    </row>
    <row r="1573" spans="2:19" x14ac:dyDescent="0.25">
      <c r="B1573">
        <f>436+2*(Table146[[#This Row],[min value (corrected)]])</f>
        <v>448</v>
      </c>
      <c r="C1573">
        <f>MINUTE(Table146[[#This Row],[Corrected time]])</f>
        <v>6</v>
      </c>
      <c r="D1573" s="1">
        <v>0.50417771990740745</v>
      </c>
      <c r="E1573" s="1">
        <f>Table146[[#This Row],[Time]]-TIME(0,0,1)</f>
        <v>0.50416614583333341</v>
      </c>
      <c r="F1573" t="s">
        <v>9</v>
      </c>
      <c r="G1573">
        <v>-122</v>
      </c>
      <c r="H1573">
        <f>Table146[[#This Row],[RSSI]]</f>
        <v>-122</v>
      </c>
      <c r="I1573">
        <v>-8.5</v>
      </c>
      <c r="L1573">
        <f>390+2*(Table257[[#This Row],[min value (corrected)]]-27)</f>
        <v>446</v>
      </c>
      <c r="M1573">
        <f>MINUTE(Table257[[#This Row],[Corrected time]])</f>
        <v>55</v>
      </c>
      <c r="N1573" s="1">
        <v>0.53880966435185185</v>
      </c>
      <c r="O1573" s="1">
        <f>Table257[[#This Row],[Time]]-TIME(0,0,3)</f>
        <v>0.53877494212962962</v>
      </c>
      <c r="P1573" t="s">
        <v>9</v>
      </c>
      <c r="Q1573">
        <v>-121</v>
      </c>
      <c r="R1573">
        <f>Table257[[#This Row],[RSSI]]</f>
        <v>-121</v>
      </c>
      <c r="S1573">
        <v>-8</v>
      </c>
    </row>
    <row r="1574" spans="2:19" x14ac:dyDescent="0.25">
      <c r="B1574">
        <f>436+2*(Table146[[#This Row],[min value (corrected)]])</f>
        <v>448</v>
      </c>
      <c r="C1574">
        <f>MINUTE(Table146[[#This Row],[Corrected time]])</f>
        <v>6</v>
      </c>
      <c r="D1574" s="1">
        <v>0.50419075231481481</v>
      </c>
      <c r="E1574" s="1">
        <f>Table146[[#This Row],[Time]]-TIME(0,0,1)</f>
        <v>0.50417917824074077</v>
      </c>
      <c r="F1574" t="s">
        <v>9</v>
      </c>
      <c r="G1574">
        <v>-122</v>
      </c>
      <c r="H1574">
        <f>Table146[[#This Row],[RSSI]]</f>
        <v>-122</v>
      </c>
      <c r="I1574">
        <v>-8.5</v>
      </c>
      <c r="L1574">
        <f>390+2*(Table257[[#This Row],[min value (corrected)]]-27)</f>
        <v>446</v>
      </c>
      <c r="M1574">
        <f>MINUTE(Table257[[#This Row],[Corrected time]])</f>
        <v>55</v>
      </c>
      <c r="N1574" s="1">
        <v>0.53882268518518517</v>
      </c>
      <c r="O1574" s="1">
        <f>Table257[[#This Row],[Time]]-TIME(0,0,3)</f>
        <v>0.53878796296296294</v>
      </c>
      <c r="P1574" t="s">
        <v>9</v>
      </c>
      <c r="Q1574">
        <v>-122</v>
      </c>
      <c r="R1574">
        <f>Table257[[#This Row],[RSSI]]</f>
        <v>-122</v>
      </c>
      <c r="S1574">
        <v>-8.5</v>
      </c>
    </row>
    <row r="1575" spans="2:19" x14ac:dyDescent="0.25">
      <c r="B1575">
        <f>436+2*(Table146[[#This Row],[min value (corrected)]])</f>
        <v>448</v>
      </c>
      <c r="C1575">
        <f>MINUTE(Table146[[#This Row],[Corrected time]])</f>
        <v>6</v>
      </c>
      <c r="D1575" s="1">
        <v>0.50420378472222227</v>
      </c>
      <c r="E1575" s="1">
        <f>Table146[[#This Row],[Time]]-TIME(0,0,1)</f>
        <v>0.50419221064814823</v>
      </c>
      <c r="F1575" t="s">
        <v>13</v>
      </c>
      <c r="G1575">
        <f>G1574</f>
        <v>-122</v>
      </c>
      <c r="H1575">
        <f>Table146[[#This Row],[RSSI]]</f>
        <v>-122</v>
      </c>
      <c r="I1575">
        <f>I1574</f>
        <v>-8.5</v>
      </c>
      <c r="L1575">
        <f>390+2*(Table257[[#This Row],[min value (corrected)]]-27)</f>
        <v>446</v>
      </c>
      <c r="M1575">
        <f>MINUTE(Table257[[#This Row],[Corrected time]])</f>
        <v>55</v>
      </c>
      <c r="N1575" s="1">
        <v>0.53883572916666667</v>
      </c>
      <c r="O1575" s="1">
        <f>Table257[[#This Row],[Time]]-TIME(0,0,3)</f>
        <v>0.53880100694444444</v>
      </c>
      <c r="P1575" t="s">
        <v>9</v>
      </c>
      <c r="Q1575">
        <v>-121</v>
      </c>
      <c r="R1575">
        <f>Table257[[#This Row],[RSSI]]</f>
        <v>-121</v>
      </c>
      <c r="S1575">
        <v>-8</v>
      </c>
    </row>
    <row r="1576" spans="2:19" x14ac:dyDescent="0.25">
      <c r="B1576">
        <f>436+2*(Table146[[#This Row],[min value (corrected)]])</f>
        <v>448</v>
      </c>
      <c r="C1576">
        <f>MINUTE(Table146[[#This Row],[Corrected time]])</f>
        <v>6</v>
      </c>
      <c r="D1576" s="1">
        <v>0.50421681712962962</v>
      </c>
      <c r="E1576" s="1">
        <f>Table146[[#This Row],[Time]]-TIME(0,0,1)</f>
        <v>0.50420524305555559</v>
      </c>
      <c r="F1576" t="s">
        <v>9</v>
      </c>
      <c r="G1576">
        <v>-122</v>
      </c>
      <c r="H1576">
        <f>Table146[[#This Row],[RSSI]]</f>
        <v>-122</v>
      </c>
      <c r="I1576">
        <v>-8.5</v>
      </c>
      <c r="L1576">
        <f>390+2*(Table257[[#This Row],[min value (corrected)]]-27)</f>
        <v>446</v>
      </c>
      <c r="M1576">
        <f>MINUTE(Table257[[#This Row],[Corrected time]])</f>
        <v>55</v>
      </c>
      <c r="N1576" s="1">
        <v>0.53884874999999999</v>
      </c>
      <c r="O1576" s="1">
        <f>Table257[[#This Row],[Time]]-TIME(0,0,3)</f>
        <v>0.53881402777777776</v>
      </c>
      <c r="P1576" t="s">
        <v>9</v>
      </c>
      <c r="Q1576">
        <v>-122</v>
      </c>
      <c r="R1576">
        <f>Table257[[#This Row],[RSSI]]</f>
        <v>-122</v>
      </c>
      <c r="S1576">
        <v>-7.7</v>
      </c>
    </row>
    <row r="1577" spans="2:19" x14ac:dyDescent="0.25">
      <c r="B1577">
        <f>436+2*(Table146[[#This Row],[min value (corrected)]])</f>
        <v>448</v>
      </c>
      <c r="C1577">
        <f>MINUTE(Table146[[#This Row],[Corrected time]])</f>
        <v>6</v>
      </c>
      <c r="D1577" s="1">
        <v>0.50422984953703709</v>
      </c>
      <c r="E1577" s="1">
        <f>Table146[[#This Row],[Time]]-TIME(0,0,1)</f>
        <v>0.50421827546296305</v>
      </c>
      <c r="F1577" t="s">
        <v>9</v>
      </c>
      <c r="G1577">
        <v>-122</v>
      </c>
      <c r="H1577">
        <f>Table146[[#This Row],[RSSI]]</f>
        <v>-122</v>
      </c>
      <c r="I1577">
        <v>-8.8000000000000007</v>
      </c>
      <c r="L1577">
        <f>390+2*(Table257[[#This Row],[min value (corrected)]]-27)</f>
        <v>446</v>
      </c>
      <c r="M1577">
        <f>MINUTE(Table257[[#This Row],[Corrected time]])</f>
        <v>55</v>
      </c>
      <c r="N1577" s="1">
        <v>0.53886178240740745</v>
      </c>
      <c r="O1577" s="1">
        <f>Table257[[#This Row],[Time]]-TIME(0,0,3)</f>
        <v>0.53882706018518522</v>
      </c>
      <c r="P1577" t="s">
        <v>9</v>
      </c>
      <c r="Q1577">
        <v>-121</v>
      </c>
      <c r="R1577">
        <f>Table257[[#This Row],[RSSI]]</f>
        <v>-121</v>
      </c>
      <c r="S1577">
        <v>-8</v>
      </c>
    </row>
    <row r="1578" spans="2:19" x14ac:dyDescent="0.25">
      <c r="B1578">
        <f>436+2*(Table146[[#This Row],[min value (corrected)]])</f>
        <v>448</v>
      </c>
      <c r="C1578">
        <f>MINUTE(Table146[[#This Row],[Corrected time]])</f>
        <v>6</v>
      </c>
      <c r="D1578" s="1">
        <v>0.50424288194444444</v>
      </c>
      <c r="E1578" s="1">
        <f>Table146[[#This Row],[Time]]-TIME(0,0,1)</f>
        <v>0.5042313078703704</v>
      </c>
      <c r="F1578" t="s">
        <v>13</v>
      </c>
      <c r="G1578">
        <f>G1577</f>
        <v>-122</v>
      </c>
      <c r="H1578">
        <f>Table146[[#This Row],[RSSI]]</f>
        <v>-122</v>
      </c>
      <c r="I1578">
        <f>I1577</f>
        <v>-8.8000000000000007</v>
      </c>
      <c r="L1578">
        <f>390+2*(Table257[[#This Row],[min value (corrected)]]-27)</f>
        <v>446</v>
      </c>
      <c r="M1578">
        <f>MINUTE(Table257[[#This Row],[Corrected time]])</f>
        <v>55</v>
      </c>
      <c r="N1578" s="1">
        <v>0.53887482638888895</v>
      </c>
      <c r="O1578" s="1">
        <f>Table257[[#This Row],[Time]]-TIME(0,0,3)</f>
        <v>0.53884010416666672</v>
      </c>
      <c r="P1578" t="s">
        <v>9</v>
      </c>
      <c r="Q1578">
        <v>-122</v>
      </c>
      <c r="R1578">
        <f>Table257[[#This Row],[RSSI]]</f>
        <v>-122</v>
      </c>
      <c r="S1578">
        <v>-8.8000000000000007</v>
      </c>
    </row>
    <row r="1579" spans="2:19" x14ac:dyDescent="0.25">
      <c r="B1579">
        <f>436+2*(Table146[[#This Row],[min value (corrected)]])</f>
        <v>448</v>
      </c>
      <c r="C1579">
        <f>MINUTE(Table146[[#This Row],[Corrected time]])</f>
        <v>6</v>
      </c>
      <c r="D1579" s="1">
        <v>0.50425591435185191</v>
      </c>
      <c r="E1579" s="1">
        <f>Table146[[#This Row],[Time]]-TIME(0,0,1)</f>
        <v>0.50424434027777787</v>
      </c>
      <c r="F1579" t="s">
        <v>9</v>
      </c>
      <c r="G1579">
        <v>-122</v>
      </c>
      <c r="H1579">
        <f>Table146[[#This Row],[RSSI]]</f>
        <v>-122</v>
      </c>
      <c r="I1579">
        <v>-8.5</v>
      </c>
      <c r="L1579">
        <f>390+2*(Table257[[#This Row],[min value (corrected)]]-27)</f>
        <v>446</v>
      </c>
      <c r="M1579">
        <f>MINUTE(Table257[[#This Row],[Corrected time]])</f>
        <v>55</v>
      </c>
      <c r="N1579" s="1">
        <v>0.53888784722222227</v>
      </c>
      <c r="O1579" s="1">
        <f>Table257[[#This Row],[Time]]-TIME(0,0,3)</f>
        <v>0.53885312500000004</v>
      </c>
      <c r="P1579" t="s">
        <v>9</v>
      </c>
      <c r="Q1579">
        <v>-121</v>
      </c>
      <c r="R1579">
        <f>Table257[[#This Row],[RSSI]]</f>
        <v>-121</v>
      </c>
      <c r="S1579">
        <v>-8</v>
      </c>
    </row>
    <row r="1580" spans="2:19" x14ac:dyDescent="0.25">
      <c r="B1580">
        <f>436+2*(Table146[[#This Row],[min value (corrected)]])</f>
        <v>448</v>
      </c>
      <c r="C1580">
        <f>MINUTE(Table146[[#This Row],[Corrected time]])</f>
        <v>6</v>
      </c>
      <c r="D1580" s="1">
        <v>0.50426894675925926</v>
      </c>
      <c r="E1580" s="1">
        <f>Table146[[#This Row],[Time]]-TIME(0,0,1)</f>
        <v>0.50425737268518522</v>
      </c>
      <c r="F1580" t="s">
        <v>13</v>
      </c>
      <c r="G1580">
        <f t="shared" ref="G1580:G1582" si="231">G1579</f>
        <v>-122</v>
      </c>
      <c r="H1580">
        <f>Table146[[#This Row],[RSSI]]</f>
        <v>-122</v>
      </c>
      <c r="I1580">
        <f t="shared" ref="I1580:I1582" si="232">I1579</f>
        <v>-8.5</v>
      </c>
      <c r="L1580">
        <f>390+2*(Table257[[#This Row],[min value (corrected)]]-27)</f>
        <v>446</v>
      </c>
      <c r="M1580">
        <f>MINUTE(Table257[[#This Row],[Corrected time]])</f>
        <v>55</v>
      </c>
      <c r="N1580" s="1">
        <v>0.53890087962962963</v>
      </c>
      <c r="O1580" s="1">
        <f>Table257[[#This Row],[Time]]-TIME(0,0,3)</f>
        <v>0.5388661574074074</v>
      </c>
      <c r="P1580" t="s">
        <v>9</v>
      </c>
      <c r="Q1580">
        <v>-122</v>
      </c>
      <c r="R1580">
        <f>Table257[[#This Row],[RSSI]]</f>
        <v>-122</v>
      </c>
      <c r="S1580">
        <v>-8.8000000000000007</v>
      </c>
    </row>
    <row r="1581" spans="2:19" x14ac:dyDescent="0.25">
      <c r="B1581">
        <f>436+2*(Table146[[#This Row],[min value (corrected)]])</f>
        <v>448</v>
      </c>
      <c r="C1581">
        <f>MINUTE(Table146[[#This Row],[Corrected time]])</f>
        <v>6</v>
      </c>
      <c r="D1581" s="1">
        <v>0.50428197916666673</v>
      </c>
      <c r="E1581" s="1">
        <f>Table146[[#This Row],[Time]]-TIME(0,0,1)</f>
        <v>0.50427040509259269</v>
      </c>
      <c r="F1581" t="s">
        <v>13</v>
      </c>
      <c r="G1581">
        <f t="shared" si="231"/>
        <v>-122</v>
      </c>
      <c r="H1581">
        <f>Table146[[#This Row],[RSSI]]</f>
        <v>-122</v>
      </c>
      <c r="I1581">
        <f t="shared" si="232"/>
        <v>-8.5</v>
      </c>
      <c r="L1581">
        <f>390+2*(Table257[[#This Row],[min value (corrected)]]-27)</f>
        <v>446</v>
      </c>
      <c r="M1581">
        <f>MINUTE(Table257[[#This Row],[Corrected time]])</f>
        <v>55</v>
      </c>
      <c r="N1581" s="1">
        <v>0.53891392361111112</v>
      </c>
      <c r="O1581" s="1">
        <f>Table257[[#This Row],[Time]]-TIME(0,0,3)</f>
        <v>0.5388792013888889</v>
      </c>
      <c r="P1581" t="s">
        <v>13</v>
      </c>
      <c r="Q1581">
        <f t="shared" ref="Q1581:Q1584" si="233">Q1580</f>
        <v>-122</v>
      </c>
      <c r="R1581">
        <f>Table257[[#This Row],[RSSI]]</f>
        <v>-122</v>
      </c>
      <c r="S1581">
        <f t="shared" ref="S1581:S1584" si="234">S1580</f>
        <v>-8.8000000000000007</v>
      </c>
    </row>
    <row r="1582" spans="2:19" x14ac:dyDescent="0.25">
      <c r="B1582">
        <f>436+2*(Table146[[#This Row],[min value (corrected)]])</f>
        <v>448</v>
      </c>
      <c r="C1582">
        <f>MINUTE(Table146[[#This Row],[Corrected time]])</f>
        <v>6</v>
      </c>
      <c r="D1582" s="1">
        <v>0.50429501157407408</v>
      </c>
      <c r="E1582" s="1">
        <f>Table146[[#This Row],[Time]]-TIME(0,0,1)</f>
        <v>0.50428343750000004</v>
      </c>
      <c r="F1582" t="s">
        <v>13</v>
      </c>
      <c r="G1582">
        <f t="shared" si="231"/>
        <v>-122</v>
      </c>
      <c r="H1582">
        <f>Table146[[#This Row],[RSSI]]</f>
        <v>-122</v>
      </c>
      <c r="I1582">
        <f t="shared" si="232"/>
        <v>-8.5</v>
      </c>
      <c r="L1582">
        <f>390+2*(Table257[[#This Row],[min value (corrected)]]-27)</f>
        <v>448</v>
      </c>
      <c r="M1582">
        <f>MINUTE(Table257[[#This Row],[Corrected time]])</f>
        <v>56</v>
      </c>
      <c r="N1582" s="1">
        <v>0.53892694444444444</v>
      </c>
      <c r="O1582" s="1">
        <f>Table257[[#This Row],[Time]]-TIME(0,0,3)</f>
        <v>0.53889222222222222</v>
      </c>
      <c r="P1582" t="s">
        <v>13</v>
      </c>
      <c r="Q1582">
        <f t="shared" si="233"/>
        <v>-122</v>
      </c>
      <c r="R1582">
        <f>Table257[[#This Row],[RSSI]]</f>
        <v>-122</v>
      </c>
      <c r="S1582">
        <f t="shared" si="234"/>
        <v>-8.8000000000000007</v>
      </c>
    </row>
    <row r="1583" spans="2:19" x14ac:dyDescent="0.25">
      <c r="B1583">
        <f>436+2*(Table146[[#This Row],[min value (corrected)]])</f>
        <v>448</v>
      </c>
      <c r="C1583">
        <f>MINUTE(Table146[[#This Row],[Corrected time]])</f>
        <v>6</v>
      </c>
      <c r="D1583" s="1">
        <v>0.50430804398148144</v>
      </c>
      <c r="E1583" s="1">
        <f>Table146[[#This Row],[Time]]-TIME(0,0,1)</f>
        <v>0.5042964699074074</v>
      </c>
      <c r="F1583" t="s">
        <v>9</v>
      </c>
      <c r="G1583">
        <v>-123</v>
      </c>
      <c r="H1583">
        <f>Table146[[#This Row],[RSSI]]</f>
        <v>-123</v>
      </c>
      <c r="I1583">
        <v>-9.3000000000000007</v>
      </c>
      <c r="L1583">
        <f>390+2*(Table257[[#This Row],[min value (corrected)]]-27)</f>
        <v>448</v>
      </c>
      <c r="M1583">
        <f>MINUTE(Table257[[#This Row],[Corrected time]])</f>
        <v>56</v>
      </c>
      <c r="N1583" s="1">
        <v>0.5389399768518518</v>
      </c>
      <c r="O1583" s="1">
        <f>Table257[[#This Row],[Time]]-TIME(0,0,3)</f>
        <v>0.53890525462962957</v>
      </c>
      <c r="P1583" t="s">
        <v>13</v>
      </c>
      <c r="Q1583">
        <f t="shared" si="233"/>
        <v>-122</v>
      </c>
      <c r="R1583">
        <f>Table257[[#This Row],[RSSI]]</f>
        <v>-122</v>
      </c>
      <c r="S1583">
        <f t="shared" si="234"/>
        <v>-8.8000000000000007</v>
      </c>
    </row>
    <row r="1584" spans="2:19" x14ac:dyDescent="0.25">
      <c r="B1584">
        <f>436+2*(Table146[[#This Row],[min value (corrected)]])</f>
        <v>448</v>
      </c>
      <c r="C1584">
        <f>MINUTE(Table146[[#This Row],[Corrected time]])</f>
        <v>6</v>
      </c>
      <c r="D1584" s="1">
        <v>0.5043210763888889</v>
      </c>
      <c r="E1584" s="1">
        <f>Table146[[#This Row],[Time]]-TIME(0,0,1)</f>
        <v>0.50430950231481486</v>
      </c>
      <c r="F1584" t="s">
        <v>9</v>
      </c>
      <c r="G1584">
        <v>-122</v>
      </c>
      <c r="H1584">
        <f>Table146[[#This Row],[RSSI]]</f>
        <v>-122</v>
      </c>
      <c r="I1584">
        <v>-8.3000000000000007</v>
      </c>
      <c r="L1584">
        <f>390+2*(Table257[[#This Row],[min value (corrected)]]-27)</f>
        <v>448</v>
      </c>
      <c r="M1584">
        <f>MINUTE(Table257[[#This Row],[Corrected time]])</f>
        <v>56</v>
      </c>
      <c r="N1584" s="1">
        <v>0.5389530208333333</v>
      </c>
      <c r="O1584" s="1">
        <f>Table257[[#This Row],[Time]]-TIME(0,0,3)</f>
        <v>0.53891829861111107</v>
      </c>
      <c r="P1584" t="s">
        <v>13</v>
      </c>
      <c r="Q1584">
        <f t="shared" si="233"/>
        <v>-122</v>
      </c>
      <c r="R1584">
        <f>Table257[[#This Row],[RSSI]]</f>
        <v>-122</v>
      </c>
      <c r="S1584">
        <f t="shared" si="234"/>
        <v>-8.8000000000000007</v>
      </c>
    </row>
    <row r="1585" spans="2:19" x14ac:dyDescent="0.25">
      <c r="B1585">
        <f>436+2*(Table146[[#This Row],[min value (corrected)]])</f>
        <v>448</v>
      </c>
      <c r="C1585">
        <f>MINUTE(Table146[[#This Row],[Corrected time]])</f>
        <v>6</v>
      </c>
      <c r="D1585" s="1">
        <v>0.50433410879629625</v>
      </c>
      <c r="E1585" s="1">
        <f>Table146[[#This Row],[Time]]-TIME(0,0,1)</f>
        <v>0.50432253472222222</v>
      </c>
      <c r="F1585" t="s">
        <v>9</v>
      </c>
      <c r="G1585">
        <v>-122</v>
      </c>
      <c r="H1585">
        <f>Table146[[#This Row],[RSSI]]</f>
        <v>-122</v>
      </c>
      <c r="I1585">
        <v>-8.8000000000000007</v>
      </c>
      <c r="L1585">
        <f>390+2*(Table257[[#This Row],[min value (corrected)]]-27)</f>
        <v>448</v>
      </c>
      <c r="M1585">
        <f>MINUTE(Table257[[#This Row],[Corrected time]])</f>
        <v>56</v>
      </c>
      <c r="N1585" s="1">
        <v>0.53896605324074076</v>
      </c>
      <c r="O1585" s="1">
        <f>Table257[[#This Row],[Time]]-TIME(0,0,3)</f>
        <v>0.53893133101851853</v>
      </c>
      <c r="P1585" t="s">
        <v>9</v>
      </c>
      <c r="Q1585">
        <v>-121</v>
      </c>
      <c r="R1585">
        <f>Table257[[#This Row],[RSSI]]</f>
        <v>-121</v>
      </c>
      <c r="S1585">
        <v>-8</v>
      </c>
    </row>
    <row r="1586" spans="2:19" x14ac:dyDescent="0.25">
      <c r="B1586">
        <f>436+2*(Table146[[#This Row],[min value (corrected)]])</f>
        <v>448</v>
      </c>
      <c r="C1586">
        <f>MINUTE(Table146[[#This Row],[Corrected time]])</f>
        <v>6</v>
      </c>
      <c r="D1586" s="1">
        <v>0.50434714120370372</v>
      </c>
      <c r="E1586" s="1">
        <f>Table146[[#This Row],[Time]]-TIME(0,0,1)</f>
        <v>0.50433556712962968</v>
      </c>
      <c r="F1586" t="s">
        <v>9</v>
      </c>
      <c r="G1586">
        <v>-123</v>
      </c>
      <c r="H1586">
        <f>Table146[[#This Row],[RSSI]]</f>
        <v>-123</v>
      </c>
      <c r="I1586">
        <v>-9</v>
      </c>
      <c r="L1586">
        <f>390+2*(Table257[[#This Row],[min value (corrected)]]-27)</f>
        <v>448</v>
      </c>
      <c r="M1586">
        <f>MINUTE(Table257[[#This Row],[Corrected time]])</f>
        <v>56</v>
      </c>
      <c r="N1586" s="1">
        <v>0.53897908564814812</v>
      </c>
      <c r="O1586" s="1">
        <f>Table257[[#This Row],[Time]]-TIME(0,0,3)</f>
        <v>0.53894436342592589</v>
      </c>
      <c r="P1586" t="s">
        <v>13</v>
      </c>
      <c r="Q1586">
        <f>Q1585</f>
        <v>-121</v>
      </c>
      <c r="R1586">
        <f>Table257[[#This Row],[RSSI]]</f>
        <v>-121</v>
      </c>
      <c r="S1586">
        <f>S1585</f>
        <v>-8</v>
      </c>
    </row>
    <row r="1587" spans="2:19" x14ac:dyDescent="0.25">
      <c r="B1587">
        <f>436+2*(Table146[[#This Row],[min value (corrected)]])</f>
        <v>448</v>
      </c>
      <c r="C1587">
        <f>MINUTE(Table146[[#This Row],[Corrected time]])</f>
        <v>6</v>
      </c>
      <c r="D1587" s="1">
        <v>0.50436017361111107</v>
      </c>
      <c r="E1587" s="1">
        <f>Table146[[#This Row],[Time]]-TIME(0,0,1)</f>
        <v>0.50434859953703703</v>
      </c>
      <c r="F1587" t="s">
        <v>9</v>
      </c>
      <c r="G1587">
        <v>-123</v>
      </c>
      <c r="H1587">
        <f>Table146[[#This Row],[RSSI]]</f>
        <v>-123</v>
      </c>
      <c r="I1587">
        <v>-9.3000000000000007</v>
      </c>
      <c r="L1587">
        <f>390+2*(Table257[[#This Row],[min value (corrected)]]-27)</f>
        <v>448</v>
      </c>
      <c r="M1587">
        <f>MINUTE(Table257[[#This Row],[Corrected time]])</f>
        <v>56</v>
      </c>
      <c r="N1587" s="1">
        <v>0.53899211805555558</v>
      </c>
      <c r="O1587" s="1">
        <f>Table257[[#This Row],[Time]]-TIME(0,0,3)</f>
        <v>0.53895739583333335</v>
      </c>
      <c r="P1587" t="s">
        <v>9</v>
      </c>
      <c r="Q1587">
        <v>-122</v>
      </c>
      <c r="R1587">
        <f>Table257[[#This Row],[RSSI]]</f>
        <v>-122</v>
      </c>
      <c r="S1587">
        <v>-8.8000000000000007</v>
      </c>
    </row>
    <row r="1588" spans="2:19" x14ac:dyDescent="0.25">
      <c r="B1588">
        <f>436+2*(Table146[[#This Row],[min value (corrected)]])</f>
        <v>448</v>
      </c>
      <c r="C1588">
        <f>MINUTE(Table146[[#This Row],[Corrected time]])</f>
        <v>6</v>
      </c>
      <c r="D1588" s="1">
        <v>0.50437319444444439</v>
      </c>
      <c r="E1588" s="1">
        <f>Table146[[#This Row],[Time]]-TIME(0,0,1)</f>
        <v>0.50436162037037036</v>
      </c>
      <c r="F1588" t="s">
        <v>9</v>
      </c>
      <c r="G1588">
        <v>-122</v>
      </c>
      <c r="H1588">
        <f>Table146[[#This Row],[RSSI]]</f>
        <v>-122</v>
      </c>
      <c r="I1588">
        <v>-8.8000000000000007</v>
      </c>
      <c r="L1588">
        <f>390+2*(Table257[[#This Row],[min value (corrected)]]-27)</f>
        <v>448</v>
      </c>
      <c r="M1588">
        <f>MINUTE(Table257[[#This Row],[Corrected time]])</f>
        <v>56</v>
      </c>
      <c r="N1588" s="1">
        <v>0.53900515046296293</v>
      </c>
      <c r="O1588" s="1">
        <f>Table257[[#This Row],[Time]]-TIME(0,0,3)</f>
        <v>0.53897042824074071</v>
      </c>
      <c r="P1588" t="s">
        <v>13</v>
      </c>
      <c r="Q1588">
        <f t="shared" ref="Q1588:Q1589" si="235">Q1587</f>
        <v>-122</v>
      </c>
      <c r="R1588">
        <f>Table257[[#This Row],[RSSI]]</f>
        <v>-122</v>
      </c>
      <c r="S1588">
        <f t="shared" ref="S1588:S1589" si="236">S1587</f>
        <v>-8.8000000000000007</v>
      </c>
    </row>
    <row r="1589" spans="2:19" x14ac:dyDescent="0.25">
      <c r="B1589">
        <f>436+2*(Table146[[#This Row],[min value (corrected)]])</f>
        <v>448</v>
      </c>
      <c r="C1589">
        <f>MINUTE(Table146[[#This Row],[Corrected time]])</f>
        <v>6</v>
      </c>
      <c r="D1589" s="1">
        <v>0.50438623842592589</v>
      </c>
      <c r="E1589" s="1">
        <f>Table146[[#This Row],[Time]]-TIME(0,0,1)</f>
        <v>0.50437466435185185</v>
      </c>
      <c r="F1589" t="s">
        <v>9</v>
      </c>
      <c r="G1589">
        <v>-123</v>
      </c>
      <c r="H1589">
        <f>Table146[[#This Row],[RSSI]]</f>
        <v>-123</v>
      </c>
      <c r="I1589">
        <v>-9.3000000000000007</v>
      </c>
      <c r="L1589">
        <f>390+2*(Table257[[#This Row],[min value (corrected)]]-27)</f>
        <v>448</v>
      </c>
      <c r="M1589">
        <f>MINUTE(Table257[[#This Row],[Corrected time]])</f>
        <v>56</v>
      </c>
      <c r="N1589" s="1">
        <v>0.53901817129629626</v>
      </c>
      <c r="O1589" s="1">
        <f>Table257[[#This Row],[Time]]-TIME(0,0,3)</f>
        <v>0.53898344907407403</v>
      </c>
      <c r="P1589" t="s">
        <v>13</v>
      </c>
      <c r="Q1589">
        <f t="shared" si="235"/>
        <v>-122</v>
      </c>
      <c r="R1589">
        <f>Table257[[#This Row],[RSSI]]</f>
        <v>-122</v>
      </c>
      <c r="S1589">
        <f t="shared" si="236"/>
        <v>-8.8000000000000007</v>
      </c>
    </row>
    <row r="1590" spans="2:19" x14ac:dyDescent="0.25">
      <c r="B1590">
        <f>436+2*(Table146[[#This Row],[min value (corrected)]])</f>
        <v>448</v>
      </c>
      <c r="C1590">
        <f>MINUTE(Table146[[#This Row],[Corrected time]])</f>
        <v>6</v>
      </c>
      <c r="D1590" s="1">
        <v>0.50439927083333336</v>
      </c>
      <c r="E1590" s="1">
        <f>Table146[[#This Row],[Time]]-TIME(0,0,1)</f>
        <v>0.50438769675925932</v>
      </c>
      <c r="F1590" t="s">
        <v>9</v>
      </c>
      <c r="G1590">
        <v>-122</v>
      </c>
      <c r="H1590">
        <f>Table146[[#This Row],[RSSI]]</f>
        <v>-122</v>
      </c>
      <c r="I1590">
        <v>-8.3000000000000007</v>
      </c>
      <c r="L1590">
        <f>390+2*(Table257[[#This Row],[min value (corrected)]]-27)</f>
        <v>448</v>
      </c>
      <c r="M1590">
        <f>MINUTE(Table257[[#This Row],[Corrected time]])</f>
        <v>56</v>
      </c>
      <c r="N1590" s="1">
        <v>0.53903121527777775</v>
      </c>
      <c r="O1590" s="1">
        <f>Table257[[#This Row],[Time]]-TIME(0,0,3)</f>
        <v>0.53899649305555553</v>
      </c>
      <c r="P1590" t="s">
        <v>9</v>
      </c>
      <c r="Q1590">
        <v>-122</v>
      </c>
      <c r="R1590">
        <f>Table257[[#This Row],[RSSI]]</f>
        <v>-122</v>
      </c>
      <c r="S1590">
        <v>-8.8000000000000007</v>
      </c>
    </row>
    <row r="1591" spans="2:19" x14ac:dyDescent="0.25">
      <c r="B1591">
        <f>436+2*(Table146[[#This Row],[min value (corrected)]])</f>
        <v>448</v>
      </c>
      <c r="C1591">
        <f>MINUTE(Table146[[#This Row],[Corrected time]])</f>
        <v>6</v>
      </c>
      <c r="D1591" s="1">
        <v>0.50441230324074071</v>
      </c>
      <c r="E1591" s="1">
        <f>Table146[[#This Row],[Time]]-TIME(0,0,1)</f>
        <v>0.50440072916666667</v>
      </c>
      <c r="F1591" t="s">
        <v>9</v>
      </c>
      <c r="G1591">
        <v>-122</v>
      </c>
      <c r="H1591">
        <f>Table146[[#This Row],[RSSI]]</f>
        <v>-122</v>
      </c>
      <c r="I1591">
        <v>-8.5</v>
      </c>
      <c r="L1591">
        <f>390+2*(Table257[[#This Row],[min value (corrected)]]-27)</f>
        <v>448</v>
      </c>
      <c r="M1591">
        <f>MINUTE(Table257[[#This Row],[Corrected time]])</f>
        <v>56</v>
      </c>
      <c r="N1591" s="1">
        <v>0.53904424768518522</v>
      </c>
      <c r="O1591" s="1">
        <f>Table257[[#This Row],[Time]]-TIME(0,0,3)</f>
        <v>0.53900952546296299</v>
      </c>
      <c r="P1591" t="s">
        <v>9</v>
      </c>
      <c r="Q1591">
        <v>-123</v>
      </c>
      <c r="R1591">
        <f>Table257[[#This Row],[RSSI]]</f>
        <v>-123</v>
      </c>
      <c r="S1591">
        <v>-9</v>
      </c>
    </row>
    <row r="1592" spans="2:19" x14ac:dyDescent="0.25">
      <c r="B1592">
        <f>436+2*(Table146[[#This Row],[min value (corrected)]])</f>
        <v>448</v>
      </c>
      <c r="C1592">
        <f>MINUTE(Table146[[#This Row],[Corrected time]])</f>
        <v>6</v>
      </c>
      <c r="D1592" s="1">
        <v>0.50442533564814818</v>
      </c>
      <c r="E1592" s="1">
        <f>Table146[[#This Row],[Time]]-TIME(0,0,1)</f>
        <v>0.50441376157407414</v>
      </c>
      <c r="F1592" t="s">
        <v>13</v>
      </c>
      <c r="G1592">
        <f t="shared" ref="G1592:G1593" si="237">G1591</f>
        <v>-122</v>
      </c>
      <c r="H1592">
        <f>Table146[[#This Row],[RSSI]]</f>
        <v>-122</v>
      </c>
      <c r="I1592">
        <f t="shared" ref="I1592:I1593" si="238">I1591</f>
        <v>-8.5</v>
      </c>
      <c r="L1592">
        <f>390+2*(Table257[[#This Row],[min value (corrected)]]-27)</f>
        <v>448</v>
      </c>
      <c r="M1592">
        <f>MINUTE(Table257[[#This Row],[Corrected time]])</f>
        <v>56</v>
      </c>
      <c r="N1592" s="1">
        <v>0.53905728009259257</v>
      </c>
      <c r="O1592" s="1">
        <f>Table257[[#This Row],[Time]]-TIME(0,0,3)</f>
        <v>0.53902255787037034</v>
      </c>
      <c r="P1592" t="s">
        <v>9</v>
      </c>
      <c r="Q1592">
        <v>-121</v>
      </c>
      <c r="R1592">
        <f>Table257[[#This Row],[RSSI]]</f>
        <v>-121</v>
      </c>
      <c r="S1592">
        <v>-8</v>
      </c>
    </row>
    <row r="1593" spans="2:19" x14ac:dyDescent="0.25">
      <c r="B1593">
        <f>436+2*(Table146[[#This Row],[min value (corrected)]])</f>
        <v>448</v>
      </c>
      <c r="C1593">
        <f>MINUTE(Table146[[#This Row],[Corrected time]])</f>
        <v>6</v>
      </c>
      <c r="D1593" s="1">
        <v>0.50443836805555553</v>
      </c>
      <c r="E1593" s="1">
        <f>Table146[[#This Row],[Time]]-TIME(0,0,1)</f>
        <v>0.50442679398148149</v>
      </c>
      <c r="F1593" t="s">
        <v>13</v>
      </c>
      <c r="G1593">
        <f t="shared" si="237"/>
        <v>-122</v>
      </c>
      <c r="H1593">
        <f>Table146[[#This Row],[RSSI]]</f>
        <v>-122</v>
      </c>
      <c r="I1593">
        <f t="shared" si="238"/>
        <v>-8.5</v>
      </c>
      <c r="L1593">
        <f>390+2*(Table257[[#This Row],[min value (corrected)]]-27)</f>
        <v>448</v>
      </c>
      <c r="M1593">
        <f>MINUTE(Table257[[#This Row],[Corrected time]])</f>
        <v>56</v>
      </c>
      <c r="N1593" s="1">
        <v>0.53907030092592589</v>
      </c>
      <c r="O1593" s="1">
        <f>Table257[[#This Row],[Time]]-TIME(0,0,3)</f>
        <v>0.53903557870370367</v>
      </c>
      <c r="P1593" t="s">
        <v>9</v>
      </c>
      <c r="Q1593">
        <v>-122</v>
      </c>
      <c r="R1593">
        <f>Table257[[#This Row],[RSSI]]</f>
        <v>-122</v>
      </c>
      <c r="S1593">
        <v>-8</v>
      </c>
    </row>
    <row r="1594" spans="2:19" x14ac:dyDescent="0.25">
      <c r="B1594">
        <f>436+2*(Table146[[#This Row],[min value (corrected)]])</f>
        <v>448</v>
      </c>
      <c r="C1594">
        <f>MINUTE(Table146[[#This Row],[Corrected time]])</f>
        <v>6</v>
      </c>
      <c r="D1594" s="1">
        <v>0.504451400462963</v>
      </c>
      <c r="E1594" s="1">
        <f>Table146[[#This Row],[Time]]-TIME(0,0,1)</f>
        <v>0.50443982638888896</v>
      </c>
      <c r="F1594" t="s">
        <v>9</v>
      </c>
      <c r="G1594">
        <v>-123</v>
      </c>
      <c r="H1594">
        <f>Table146[[#This Row],[RSSI]]</f>
        <v>-123</v>
      </c>
      <c r="I1594">
        <v>-9.3000000000000007</v>
      </c>
      <c r="L1594">
        <f>390+2*(Table257[[#This Row],[min value (corrected)]]-27)</f>
        <v>448</v>
      </c>
      <c r="M1594">
        <f>MINUTE(Table257[[#This Row],[Corrected time]])</f>
        <v>56</v>
      </c>
      <c r="N1594" s="1">
        <v>0.53908334490740739</v>
      </c>
      <c r="O1594" s="1">
        <f>Table257[[#This Row],[Time]]-TIME(0,0,3)</f>
        <v>0.53904862268518516</v>
      </c>
      <c r="P1594" t="s">
        <v>9</v>
      </c>
      <c r="Q1594">
        <v>-122</v>
      </c>
      <c r="R1594">
        <f>Table257[[#This Row],[RSSI]]</f>
        <v>-122</v>
      </c>
      <c r="S1594">
        <v>-8.8000000000000007</v>
      </c>
    </row>
    <row r="1595" spans="2:19" x14ac:dyDescent="0.25">
      <c r="B1595">
        <f>436+2*(Table146[[#This Row],[min value (corrected)]])</f>
        <v>448</v>
      </c>
      <c r="C1595">
        <f>MINUTE(Table146[[#This Row],[Corrected time]])</f>
        <v>6</v>
      </c>
      <c r="D1595" s="1">
        <v>0.50446443287037035</v>
      </c>
      <c r="E1595" s="1">
        <f>Table146[[#This Row],[Time]]-TIME(0,0,1)</f>
        <v>0.50445285879629631</v>
      </c>
      <c r="F1595" t="s">
        <v>13</v>
      </c>
      <c r="G1595">
        <f>G1594</f>
        <v>-123</v>
      </c>
      <c r="H1595">
        <f>Table146[[#This Row],[RSSI]]</f>
        <v>-123</v>
      </c>
      <c r="I1595">
        <f>I1594</f>
        <v>-9.3000000000000007</v>
      </c>
      <c r="L1595">
        <f>390+2*(Table257[[#This Row],[min value (corrected)]]-27)</f>
        <v>448</v>
      </c>
      <c r="M1595">
        <f>MINUTE(Table257[[#This Row],[Corrected time]])</f>
        <v>56</v>
      </c>
      <c r="N1595" s="1">
        <v>0.53909636574074071</v>
      </c>
      <c r="O1595" s="1">
        <f>Table257[[#This Row],[Time]]-TIME(0,0,3)</f>
        <v>0.53906164351851849</v>
      </c>
      <c r="P1595" t="s">
        <v>9</v>
      </c>
      <c r="Q1595">
        <v>-122</v>
      </c>
      <c r="R1595">
        <f>Table257[[#This Row],[RSSI]]</f>
        <v>-122</v>
      </c>
      <c r="S1595">
        <v>-9</v>
      </c>
    </row>
    <row r="1596" spans="2:19" x14ac:dyDescent="0.25">
      <c r="B1596">
        <f>436+2*(Table146[[#This Row],[min value (corrected)]])</f>
        <v>448</v>
      </c>
      <c r="C1596">
        <f>MINUTE(Table146[[#This Row],[Corrected time]])</f>
        <v>6</v>
      </c>
      <c r="D1596" s="1">
        <v>0.50447745370370367</v>
      </c>
      <c r="E1596" s="1">
        <f>Table146[[#This Row],[Time]]-TIME(0,0,1)</f>
        <v>0.50446587962962963</v>
      </c>
      <c r="F1596" t="s">
        <v>9</v>
      </c>
      <c r="G1596">
        <v>-123</v>
      </c>
      <c r="H1596">
        <f>Table146[[#This Row],[RSSI]]</f>
        <v>-123</v>
      </c>
      <c r="I1596">
        <v>-9.3000000000000007</v>
      </c>
      <c r="L1596">
        <f>390+2*(Table257[[#This Row],[min value (corrected)]]-27)</f>
        <v>448</v>
      </c>
      <c r="M1596">
        <f>MINUTE(Table257[[#This Row],[Corrected time]])</f>
        <v>56</v>
      </c>
      <c r="N1596" s="1">
        <v>0.53910940972222221</v>
      </c>
      <c r="O1596" s="1">
        <f>Table257[[#This Row],[Time]]-TIME(0,0,3)</f>
        <v>0.53907468749999998</v>
      </c>
      <c r="P1596" t="s">
        <v>9</v>
      </c>
      <c r="Q1596">
        <v>-122</v>
      </c>
      <c r="R1596">
        <f>Table257[[#This Row],[RSSI]]</f>
        <v>-122</v>
      </c>
      <c r="S1596">
        <v>-8.3000000000000007</v>
      </c>
    </row>
    <row r="1597" spans="2:19" x14ac:dyDescent="0.25">
      <c r="B1597">
        <f>436+2*(Table146[[#This Row],[min value (corrected)]])</f>
        <v>448</v>
      </c>
      <c r="C1597">
        <f>MINUTE(Table146[[#This Row],[Corrected time]])</f>
        <v>6</v>
      </c>
      <c r="D1597" s="1">
        <v>0.50449049768518517</v>
      </c>
      <c r="E1597" s="1">
        <f>Table146[[#This Row],[Time]]-TIME(0,0,1)</f>
        <v>0.50447892361111113</v>
      </c>
      <c r="F1597" t="s">
        <v>9</v>
      </c>
      <c r="G1597">
        <v>-122</v>
      </c>
      <c r="H1597">
        <f>Table146[[#This Row],[RSSI]]</f>
        <v>-122</v>
      </c>
      <c r="I1597">
        <v>-8.5</v>
      </c>
      <c r="L1597">
        <f>390+2*(Table257[[#This Row],[min value (corrected)]]-27)</f>
        <v>448</v>
      </c>
      <c r="M1597">
        <f>MINUTE(Table257[[#This Row],[Corrected time]])</f>
        <v>56</v>
      </c>
      <c r="N1597" s="1">
        <v>0.53912244212962956</v>
      </c>
      <c r="O1597" s="1">
        <f>Table257[[#This Row],[Time]]-TIME(0,0,3)</f>
        <v>0.53908771990740734</v>
      </c>
      <c r="P1597" t="s">
        <v>9</v>
      </c>
      <c r="Q1597">
        <v>-122</v>
      </c>
      <c r="R1597">
        <f>Table257[[#This Row],[RSSI]]</f>
        <v>-122</v>
      </c>
      <c r="S1597">
        <v>-8.3000000000000007</v>
      </c>
    </row>
    <row r="1598" spans="2:19" x14ac:dyDescent="0.25">
      <c r="B1598">
        <f>436+2*(Table146[[#This Row],[min value (corrected)]])</f>
        <v>448</v>
      </c>
      <c r="C1598">
        <f>MINUTE(Table146[[#This Row],[Corrected time]])</f>
        <v>6</v>
      </c>
      <c r="D1598" s="1">
        <v>0.50450351851851849</v>
      </c>
      <c r="E1598" s="1">
        <f>Table146[[#This Row],[Time]]-TIME(0,0,1)</f>
        <v>0.50449194444444445</v>
      </c>
      <c r="F1598" t="s">
        <v>9</v>
      </c>
      <c r="G1598">
        <v>-122</v>
      </c>
      <c r="H1598">
        <f>Table146[[#This Row],[RSSI]]</f>
        <v>-122</v>
      </c>
      <c r="I1598">
        <v>-8.5</v>
      </c>
      <c r="L1598">
        <f>390+2*(Table257[[#This Row],[min value (corrected)]]-27)</f>
        <v>448</v>
      </c>
      <c r="M1598">
        <f>MINUTE(Table257[[#This Row],[Corrected time]])</f>
        <v>56</v>
      </c>
      <c r="N1598" s="1">
        <v>0.53913547453703703</v>
      </c>
      <c r="O1598" s="1">
        <f>Table257[[#This Row],[Time]]-TIME(0,0,3)</f>
        <v>0.5391007523148148</v>
      </c>
      <c r="P1598" t="s">
        <v>13</v>
      </c>
      <c r="Q1598">
        <f>Q1597</f>
        <v>-122</v>
      </c>
      <c r="R1598">
        <f>Table257[[#This Row],[RSSI]]</f>
        <v>-122</v>
      </c>
      <c r="S1598">
        <f>S1597</f>
        <v>-8.3000000000000007</v>
      </c>
    </row>
    <row r="1599" spans="2:19" x14ac:dyDescent="0.25">
      <c r="B1599">
        <f>436+2*(Table146[[#This Row],[min value (corrected)]])</f>
        <v>448</v>
      </c>
      <c r="C1599">
        <f>MINUTE(Table146[[#This Row],[Corrected time]])</f>
        <v>6</v>
      </c>
      <c r="D1599" s="1">
        <v>0.50451656249999999</v>
      </c>
      <c r="E1599" s="1">
        <f>Table146[[#This Row],[Time]]-TIME(0,0,1)</f>
        <v>0.50450498842592595</v>
      </c>
      <c r="F1599" t="s">
        <v>9</v>
      </c>
      <c r="G1599">
        <v>-122</v>
      </c>
      <c r="H1599">
        <f>Table146[[#This Row],[RSSI]]</f>
        <v>-122</v>
      </c>
      <c r="I1599">
        <v>-8.5</v>
      </c>
      <c r="L1599">
        <f>390+2*(Table257[[#This Row],[min value (corrected)]]-27)</f>
        <v>448</v>
      </c>
      <c r="M1599">
        <f>MINUTE(Table257[[#This Row],[Corrected time]])</f>
        <v>56</v>
      </c>
      <c r="N1599" s="1">
        <v>0.53914849537037035</v>
      </c>
      <c r="O1599" s="1">
        <f>Table257[[#This Row],[Time]]-TIME(0,0,3)</f>
        <v>0.53911377314814812</v>
      </c>
      <c r="P1599" t="s">
        <v>9</v>
      </c>
      <c r="Q1599">
        <v>-122</v>
      </c>
      <c r="R1599">
        <f>Table257[[#This Row],[RSSI]]</f>
        <v>-122</v>
      </c>
      <c r="S1599">
        <v>-8.5</v>
      </c>
    </row>
    <row r="1600" spans="2:19" x14ac:dyDescent="0.25">
      <c r="B1600">
        <f>436+2*(Table146[[#This Row],[min value (corrected)]])</f>
        <v>448</v>
      </c>
      <c r="C1600">
        <f>MINUTE(Table146[[#This Row],[Corrected time]])</f>
        <v>6</v>
      </c>
      <c r="D1600" s="1">
        <v>0.50452959490740745</v>
      </c>
      <c r="E1600" s="1">
        <f>Table146[[#This Row],[Time]]-TIME(0,0,1)</f>
        <v>0.50451802083333341</v>
      </c>
      <c r="F1600" t="s">
        <v>13</v>
      </c>
      <c r="G1600">
        <f>G1599</f>
        <v>-122</v>
      </c>
      <c r="H1600">
        <f>Table146[[#This Row],[RSSI]]</f>
        <v>-122</v>
      </c>
      <c r="I1600">
        <f>I1599</f>
        <v>-8.5</v>
      </c>
      <c r="L1600">
        <f>390+2*(Table257[[#This Row],[min value (corrected)]]-27)</f>
        <v>448</v>
      </c>
      <c r="M1600">
        <f>MINUTE(Table257[[#This Row],[Corrected time]])</f>
        <v>56</v>
      </c>
      <c r="N1600" s="1">
        <v>0.53916153935185185</v>
      </c>
      <c r="O1600" s="1">
        <f>Table257[[#This Row],[Time]]-TIME(0,0,3)</f>
        <v>0.53912681712962962</v>
      </c>
      <c r="P1600" t="s">
        <v>9</v>
      </c>
      <c r="Q1600">
        <v>-122</v>
      </c>
      <c r="R1600">
        <f>Table257[[#This Row],[RSSI]]</f>
        <v>-122</v>
      </c>
      <c r="S1600">
        <v>-8.8000000000000007</v>
      </c>
    </row>
    <row r="1601" spans="2:19" x14ac:dyDescent="0.25">
      <c r="B1601">
        <f>436+2*(Table146[[#This Row],[min value (corrected)]])</f>
        <v>448</v>
      </c>
      <c r="C1601">
        <f>MINUTE(Table146[[#This Row],[Corrected time]])</f>
        <v>6</v>
      </c>
      <c r="D1601" s="1">
        <v>0.50454262731481481</v>
      </c>
      <c r="E1601" s="1">
        <f>Table146[[#This Row],[Time]]-TIME(0,0,1)</f>
        <v>0.50453105324074077</v>
      </c>
      <c r="F1601" t="s">
        <v>9</v>
      </c>
      <c r="G1601">
        <v>-123</v>
      </c>
      <c r="H1601">
        <f>Table146[[#This Row],[RSSI]]</f>
        <v>-123</v>
      </c>
      <c r="I1601">
        <v>-9.3000000000000007</v>
      </c>
      <c r="L1601">
        <f>390+2*(Table257[[#This Row],[min value (corrected)]]-27)</f>
        <v>448</v>
      </c>
      <c r="M1601">
        <f>MINUTE(Table257[[#This Row],[Corrected time]])</f>
        <v>56</v>
      </c>
      <c r="N1601" s="1">
        <v>0.5391745717592592</v>
      </c>
      <c r="O1601" s="1">
        <f>Table257[[#This Row],[Time]]-TIME(0,0,3)</f>
        <v>0.53913984953703697</v>
      </c>
      <c r="P1601" t="s">
        <v>9</v>
      </c>
      <c r="Q1601">
        <v>-122</v>
      </c>
      <c r="R1601">
        <f>Table257[[#This Row],[RSSI]]</f>
        <v>-122</v>
      </c>
      <c r="S1601">
        <v>-8.5</v>
      </c>
    </row>
    <row r="1602" spans="2:19" x14ac:dyDescent="0.25">
      <c r="B1602">
        <f>436+2*(Table146[[#This Row],[min value (corrected)]])</f>
        <v>448</v>
      </c>
      <c r="C1602">
        <f>MINUTE(Table146[[#This Row],[Corrected time]])</f>
        <v>6</v>
      </c>
      <c r="D1602" s="1">
        <v>0.50455565972222216</v>
      </c>
      <c r="E1602" s="1">
        <f>Table146[[#This Row],[Time]]-TIME(0,0,1)</f>
        <v>0.50454408564814812</v>
      </c>
      <c r="F1602" t="s">
        <v>9</v>
      </c>
      <c r="G1602">
        <v>-122</v>
      </c>
      <c r="H1602">
        <f>Table146[[#This Row],[RSSI]]</f>
        <v>-122</v>
      </c>
      <c r="I1602">
        <v>-8.5</v>
      </c>
      <c r="L1602">
        <f>390+2*(Table257[[#This Row],[min value (corrected)]]-27)</f>
        <v>448</v>
      </c>
      <c r="M1602">
        <f>MINUTE(Table257[[#This Row],[Corrected time]])</f>
        <v>56</v>
      </c>
      <c r="N1602" s="1">
        <v>0.53918759259259252</v>
      </c>
      <c r="O1602" s="1">
        <f>Table257[[#This Row],[Time]]-TIME(0,0,3)</f>
        <v>0.5391528703703703</v>
      </c>
      <c r="P1602" t="s">
        <v>9</v>
      </c>
      <c r="Q1602">
        <v>-122</v>
      </c>
      <c r="R1602">
        <f>Table257[[#This Row],[RSSI]]</f>
        <v>-122</v>
      </c>
      <c r="S1602">
        <v>-8.5</v>
      </c>
    </row>
    <row r="1603" spans="2:19" x14ac:dyDescent="0.25">
      <c r="B1603">
        <f>436+2*(Table146[[#This Row],[min value (corrected)]])</f>
        <v>448</v>
      </c>
      <c r="C1603">
        <f>MINUTE(Table146[[#This Row],[Corrected time]])</f>
        <v>6</v>
      </c>
      <c r="D1603" s="1">
        <v>0.50456869212962963</v>
      </c>
      <c r="E1603" s="1">
        <f>Table146[[#This Row],[Time]]-TIME(0,0,1)</f>
        <v>0.50455711805555559</v>
      </c>
      <c r="F1603" t="s">
        <v>13</v>
      </c>
      <c r="G1603">
        <f t="shared" ref="G1603:G1604" si="239">G1602</f>
        <v>-122</v>
      </c>
      <c r="H1603">
        <f>Table146[[#This Row],[RSSI]]</f>
        <v>-122</v>
      </c>
      <c r="I1603">
        <f t="shared" ref="I1603:I1604" si="240">I1602</f>
        <v>-8.5</v>
      </c>
      <c r="L1603">
        <f>390+2*(Table257[[#This Row],[min value (corrected)]]-27)</f>
        <v>448</v>
      </c>
      <c r="M1603">
        <f>MINUTE(Table257[[#This Row],[Corrected time]])</f>
        <v>56</v>
      </c>
      <c r="N1603" s="1">
        <v>0.53920062499999999</v>
      </c>
      <c r="O1603" s="1">
        <f>Table257[[#This Row],[Time]]-TIME(0,0,3)</f>
        <v>0.53916590277777776</v>
      </c>
      <c r="P1603" t="s">
        <v>9</v>
      </c>
      <c r="Q1603">
        <v>-123</v>
      </c>
      <c r="R1603">
        <f>Table257[[#This Row],[RSSI]]</f>
        <v>-123</v>
      </c>
      <c r="S1603">
        <v>-8.8000000000000007</v>
      </c>
    </row>
    <row r="1604" spans="2:19" x14ac:dyDescent="0.25">
      <c r="B1604">
        <f>436+2*(Table146[[#This Row],[min value (corrected)]])</f>
        <v>448</v>
      </c>
      <c r="C1604">
        <f>MINUTE(Table146[[#This Row],[Corrected time]])</f>
        <v>6</v>
      </c>
      <c r="D1604" s="1">
        <v>0.50458172453703698</v>
      </c>
      <c r="E1604" s="1">
        <f>Table146[[#This Row],[Time]]-TIME(0,0,1)</f>
        <v>0.50457015046296294</v>
      </c>
      <c r="F1604" t="s">
        <v>13</v>
      </c>
      <c r="G1604">
        <f t="shared" si="239"/>
        <v>-122</v>
      </c>
      <c r="H1604">
        <f>Table146[[#This Row],[RSSI]]</f>
        <v>-122</v>
      </c>
      <c r="I1604">
        <f t="shared" si="240"/>
        <v>-8.5</v>
      </c>
      <c r="L1604">
        <f>390+2*(Table257[[#This Row],[min value (corrected)]]-27)</f>
        <v>448</v>
      </c>
      <c r="M1604">
        <f>MINUTE(Table257[[#This Row],[Corrected time]])</f>
        <v>56</v>
      </c>
      <c r="N1604" s="1">
        <v>0.53921366898148149</v>
      </c>
      <c r="O1604" s="1">
        <f>Table257[[#This Row],[Time]]-TIME(0,0,3)</f>
        <v>0.53917894675925926</v>
      </c>
      <c r="P1604" t="s">
        <v>13</v>
      </c>
      <c r="Q1604">
        <f>Q1603</f>
        <v>-123</v>
      </c>
      <c r="R1604">
        <f>Table257[[#This Row],[RSSI]]</f>
        <v>-123</v>
      </c>
      <c r="S1604">
        <f>S1603</f>
        <v>-8.8000000000000007</v>
      </c>
    </row>
    <row r="1605" spans="2:19" x14ac:dyDescent="0.25">
      <c r="B1605">
        <f>436+2*(Table146[[#This Row],[min value (corrected)]])</f>
        <v>448</v>
      </c>
      <c r="C1605">
        <f>MINUTE(Table146[[#This Row],[Corrected time]])</f>
        <v>6</v>
      </c>
      <c r="D1605" s="1">
        <v>0.50459475694444444</v>
      </c>
      <c r="E1605" s="1">
        <f>Table146[[#This Row],[Time]]-TIME(0,0,1)</f>
        <v>0.50458318287037041</v>
      </c>
      <c r="F1605" t="s">
        <v>9</v>
      </c>
      <c r="G1605">
        <v>-122</v>
      </c>
      <c r="H1605">
        <f>Table146[[#This Row],[RSSI]]</f>
        <v>-122</v>
      </c>
      <c r="I1605">
        <v>-9</v>
      </c>
      <c r="L1605">
        <f>390+2*(Table257[[#This Row],[min value (corrected)]]-27)</f>
        <v>448</v>
      </c>
      <c r="M1605">
        <f>MINUTE(Table257[[#This Row],[Corrected time]])</f>
        <v>56</v>
      </c>
      <c r="N1605" s="1">
        <v>0.53922668981481481</v>
      </c>
      <c r="O1605" s="1">
        <f>Table257[[#This Row],[Time]]-TIME(0,0,3)</f>
        <v>0.53919196759259258</v>
      </c>
      <c r="P1605" t="s">
        <v>9</v>
      </c>
      <c r="Q1605">
        <v>-122</v>
      </c>
      <c r="R1605">
        <f>Table257[[#This Row],[RSSI]]</f>
        <v>-122</v>
      </c>
      <c r="S1605">
        <v>-8.8000000000000007</v>
      </c>
    </row>
    <row r="1606" spans="2:19" x14ac:dyDescent="0.25">
      <c r="B1606">
        <f>436+2*(Table146[[#This Row],[min value (corrected)]])</f>
        <v>448</v>
      </c>
      <c r="C1606">
        <f>MINUTE(Table146[[#This Row],[Corrected time]])</f>
        <v>6</v>
      </c>
      <c r="D1606" s="1">
        <v>0.5046077893518518</v>
      </c>
      <c r="E1606" s="1">
        <f>Table146[[#This Row],[Time]]-TIME(0,0,1)</f>
        <v>0.50459621527777776</v>
      </c>
      <c r="F1606" t="s">
        <v>13</v>
      </c>
      <c r="G1606">
        <f>G1605</f>
        <v>-122</v>
      </c>
      <c r="H1606">
        <f>Table146[[#This Row],[RSSI]]</f>
        <v>-122</v>
      </c>
      <c r="I1606">
        <f>I1605</f>
        <v>-9</v>
      </c>
      <c r="L1606">
        <f>390+2*(Table257[[#This Row],[min value (corrected)]]-27)</f>
        <v>448</v>
      </c>
      <c r="M1606">
        <f>MINUTE(Table257[[#This Row],[Corrected time]])</f>
        <v>56</v>
      </c>
      <c r="N1606" s="1">
        <v>0.53923972222222216</v>
      </c>
      <c r="O1606" s="1">
        <f>Table257[[#This Row],[Time]]-TIME(0,0,3)</f>
        <v>0.53920499999999993</v>
      </c>
      <c r="P1606" t="s">
        <v>9</v>
      </c>
      <c r="Q1606">
        <v>-123</v>
      </c>
      <c r="R1606">
        <f>Table257[[#This Row],[RSSI]]</f>
        <v>-123</v>
      </c>
      <c r="S1606">
        <v>-9</v>
      </c>
    </row>
    <row r="1607" spans="2:19" x14ac:dyDescent="0.25">
      <c r="B1607">
        <f>436+2*(Table146[[#This Row],[min value (corrected)]])</f>
        <v>448</v>
      </c>
      <c r="C1607">
        <f>MINUTE(Table146[[#This Row],[Corrected time]])</f>
        <v>6</v>
      </c>
      <c r="D1607" s="1">
        <v>0.50462082175925926</v>
      </c>
      <c r="E1607" s="1">
        <f>Table146[[#This Row],[Time]]-TIME(0,0,1)</f>
        <v>0.50460924768518522</v>
      </c>
      <c r="F1607" t="s">
        <v>9</v>
      </c>
      <c r="G1607">
        <v>-122</v>
      </c>
      <c r="H1607">
        <f>Table146[[#This Row],[RSSI]]</f>
        <v>-122</v>
      </c>
      <c r="I1607">
        <v>-9.3000000000000007</v>
      </c>
      <c r="L1607">
        <f>390+2*(Table257[[#This Row],[min value (corrected)]]-27)</f>
        <v>448</v>
      </c>
      <c r="M1607">
        <f>MINUTE(Table257[[#This Row],[Corrected time]])</f>
        <v>56</v>
      </c>
      <c r="N1607" s="1">
        <v>0.53925276620370366</v>
      </c>
      <c r="O1607" s="1">
        <f>Table257[[#This Row],[Time]]-TIME(0,0,3)</f>
        <v>0.53921804398148143</v>
      </c>
      <c r="P1607" t="s">
        <v>9</v>
      </c>
      <c r="Q1607">
        <v>-122</v>
      </c>
      <c r="R1607">
        <f>Table257[[#This Row],[RSSI]]</f>
        <v>-122</v>
      </c>
      <c r="S1607">
        <v>-8.8000000000000007</v>
      </c>
    </row>
    <row r="1608" spans="2:19" x14ac:dyDescent="0.25">
      <c r="B1608">
        <f>436+2*(Table146[[#This Row],[min value (corrected)]])</f>
        <v>448</v>
      </c>
      <c r="C1608">
        <f>MINUTE(Table146[[#This Row],[Corrected time]])</f>
        <v>6</v>
      </c>
      <c r="D1608" s="1">
        <v>0.50463384259259259</v>
      </c>
      <c r="E1608" s="1">
        <f>Table146[[#This Row],[Time]]-TIME(0,0,1)</f>
        <v>0.50462226851851855</v>
      </c>
      <c r="F1608" t="s">
        <v>9</v>
      </c>
      <c r="G1608">
        <v>-122</v>
      </c>
      <c r="H1608">
        <f>Table146[[#This Row],[RSSI]]</f>
        <v>-122</v>
      </c>
      <c r="I1608">
        <v>-8</v>
      </c>
      <c r="L1608">
        <f>390+2*(Table257[[#This Row],[min value (corrected)]]-27)</f>
        <v>448</v>
      </c>
      <c r="M1608">
        <f>MINUTE(Table257[[#This Row],[Corrected time]])</f>
        <v>56</v>
      </c>
      <c r="N1608" s="1">
        <v>0.53926579861111112</v>
      </c>
      <c r="O1608" s="1">
        <f>Table257[[#This Row],[Time]]-TIME(0,0,3)</f>
        <v>0.5392310763888889</v>
      </c>
      <c r="P1608" t="s">
        <v>9</v>
      </c>
      <c r="Q1608">
        <v>-122</v>
      </c>
      <c r="R1608">
        <f>Table257[[#This Row],[RSSI]]</f>
        <v>-122</v>
      </c>
      <c r="S1608">
        <v>-8.3000000000000007</v>
      </c>
    </row>
    <row r="1609" spans="2:19" x14ac:dyDescent="0.25">
      <c r="B1609">
        <f>436+2*(Table146[[#This Row],[min value (corrected)]])</f>
        <v>448</v>
      </c>
      <c r="C1609">
        <f>MINUTE(Table146[[#This Row],[Corrected time]])</f>
        <v>6</v>
      </c>
      <c r="D1609" s="1">
        <v>0.50464687499999994</v>
      </c>
      <c r="E1609" s="1">
        <f>Table146[[#This Row],[Time]]-TIME(0,0,1)</f>
        <v>0.5046353009259259</v>
      </c>
      <c r="F1609" t="s">
        <v>9</v>
      </c>
      <c r="G1609">
        <v>-122</v>
      </c>
      <c r="H1609">
        <f>Table146[[#This Row],[RSSI]]</f>
        <v>-122</v>
      </c>
      <c r="I1609">
        <v>-8.8000000000000007</v>
      </c>
      <c r="L1609">
        <f>390+2*(Table257[[#This Row],[min value (corrected)]]-27)</f>
        <v>448</v>
      </c>
      <c r="M1609">
        <f>MINUTE(Table257[[#This Row],[Corrected time]])</f>
        <v>56</v>
      </c>
      <c r="N1609" s="1">
        <v>0.53927881944444445</v>
      </c>
      <c r="O1609" s="1">
        <f>Table257[[#This Row],[Time]]-TIME(0,0,3)</f>
        <v>0.53924409722222222</v>
      </c>
      <c r="P1609" t="s">
        <v>13</v>
      </c>
      <c r="Q1609">
        <f>Q1608</f>
        <v>-122</v>
      </c>
      <c r="R1609">
        <f>Table257[[#This Row],[RSSI]]</f>
        <v>-122</v>
      </c>
      <c r="S1609">
        <f>S1608</f>
        <v>-8.3000000000000007</v>
      </c>
    </row>
    <row r="1610" spans="2:19" x14ac:dyDescent="0.25">
      <c r="B1610">
        <f>436+2*(Table146[[#This Row],[min value (corrected)]])</f>
        <v>448</v>
      </c>
      <c r="C1610">
        <f>MINUTE(Table146[[#This Row],[Corrected time]])</f>
        <v>6</v>
      </c>
      <c r="D1610" s="1">
        <v>0.5046599074074074</v>
      </c>
      <c r="E1610" s="1">
        <f>Table146[[#This Row],[Time]]-TIME(0,0,1)</f>
        <v>0.50464833333333337</v>
      </c>
      <c r="F1610" t="s">
        <v>13</v>
      </c>
      <c r="G1610">
        <f>G1609</f>
        <v>-122</v>
      </c>
      <c r="H1610">
        <f>Table146[[#This Row],[RSSI]]</f>
        <v>-122</v>
      </c>
      <c r="I1610">
        <f>I1609</f>
        <v>-8.8000000000000007</v>
      </c>
      <c r="L1610">
        <f>390+2*(Table257[[#This Row],[min value (corrected)]]-27)</f>
        <v>448</v>
      </c>
      <c r="M1610">
        <f>MINUTE(Table257[[#This Row],[Corrected time]])</f>
        <v>56</v>
      </c>
      <c r="N1610" s="1">
        <v>0.53929186342592594</v>
      </c>
      <c r="O1610" s="1">
        <f>Table257[[#This Row],[Time]]-TIME(0,0,3)</f>
        <v>0.53925714120370372</v>
      </c>
      <c r="P1610" t="s">
        <v>9</v>
      </c>
      <c r="Q1610">
        <v>-122</v>
      </c>
      <c r="R1610">
        <f>Table257[[#This Row],[RSSI]]</f>
        <v>-122</v>
      </c>
      <c r="S1610">
        <v>-8.8000000000000007</v>
      </c>
    </row>
    <row r="1611" spans="2:19" x14ac:dyDescent="0.25">
      <c r="B1611">
        <f>436+2*(Table146[[#This Row],[min value (corrected)]])</f>
        <v>448</v>
      </c>
      <c r="C1611">
        <f>MINUTE(Table146[[#This Row],[Corrected time]])</f>
        <v>6</v>
      </c>
      <c r="D1611" s="1">
        <v>0.5046729513888889</v>
      </c>
      <c r="E1611" s="1">
        <f>Table146[[#This Row],[Time]]-TIME(0,0,1)</f>
        <v>0.50466137731481486</v>
      </c>
      <c r="F1611" t="s">
        <v>9</v>
      </c>
      <c r="G1611">
        <v>-122</v>
      </c>
      <c r="H1611">
        <f>Table146[[#This Row],[RSSI]]</f>
        <v>-122</v>
      </c>
      <c r="I1611">
        <v>-8.8000000000000007</v>
      </c>
      <c r="L1611">
        <f>390+2*(Table257[[#This Row],[min value (corrected)]]-27)</f>
        <v>448</v>
      </c>
      <c r="M1611">
        <f>MINUTE(Table257[[#This Row],[Corrected time]])</f>
        <v>56</v>
      </c>
      <c r="N1611" s="1">
        <v>0.5393048958333333</v>
      </c>
      <c r="O1611" s="1">
        <f>Table257[[#This Row],[Time]]-TIME(0,0,3)</f>
        <v>0.53927017361111107</v>
      </c>
      <c r="P1611" t="s">
        <v>9</v>
      </c>
      <c r="Q1611">
        <v>-122</v>
      </c>
      <c r="R1611">
        <f>Table257[[#This Row],[RSSI]]</f>
        <v>-122</v>
      </c>
      <c r="S1611">
        <v>-9</v>
      </c>
    </row>
    <row r="1612" spans="2:19" x14ac:dyDescent="0.25">
      <c r="B1612">
        <f>436+2*(Table146[[#This Row],[min value (corrected)]])</f>
        <v>448</v>
      </c>
      <c r="C1612">
        <f>MINUTE(Table146[[#This Row],[Corrected time]])</f>
        <v>6</v>
      </c>
      <c r="D1612" s="1">
        <v>0.50468598379629626</v>
      </c>
      <c r="E1612" s="1">
        <f>Table146[[#This Row],[Time]]-TIME(0,0,1)</f>
        <v>0.50467440972222222</v>
      </c>
      <c r="F1612" t="s">
        <v>9</v>
      </c>
      <c r="G1612">
        <v>-123</v>
      </c>
      <c r="H1612">
        <f>Table146[[#This Row],[RSSI]]</f>
        <v>-123</v>
      </c>
      <c r="I1612">
        <v>-8.8000000000000007</v>
      </c>
      <c r="L1612">
        <f>390+2*(Table257[[#This Row],[min value (corrected)]]-27)</f>
        <v>448</v>
      </c>
      <c r="M1612">
        <f>MINUTE(Table257[[#This Row],[Corrected time]])</f>
        <v>56</v>
      </c>
      <c r="N1612" s="1">
        <v>0.53931792824074076</v>
      </c>
      <c r="O1612" s="1">
        <f>Table257[[#This Row],[Time]]-TIME(0,0,3)</f>
        <v>0.53928320601851853</v>
      </c>
      <c r="P1612" t="s">
        <v>9</v>
      </c>
      <c r="Q1612">
        <v>-122</v>
      </c>
      <c r="R1612">
        <f>Table257[[#This Row],[RSSI]]</f>
        <v>-122</v>
      </c>
      <c r="S1612">
        <v>-8.3000000000000007</v>
      </c>
    </row>
    <row r="1613" spans="2:19" x14ac:dyDescent="0.25">
      <c r="B1613">
        <f>436+2*(Table146[[#This Row],[min value (corrected)]])</f>
        <v>448</v>
      </c>
      <c r="C1613">
        <f>MINUTE(Table146[[#This Row],[Corrected time]])</f>
        <v>6</v>
      </c>
      <c r="D1613" s="1">
        <v>0.50469901620370372</v>
      </c>
      <c r="E1613" s="1">
        <f>Table146[[#This Row],[Time]]-TIME(0,0,1)</f>
        <v>0.50468744212962968</v>
      </c>
      <c r="F1613" t="s">
        <v>9</v>
      </c>
      <c r="G1613">
        <v>-122</v>
      </c>
      <c r="H1613">
        <f>Table146[[#This Row],[RSSI]]</f>
        <v>-122</v>
      </c>
      <c r="I1613">
        <v>-9</v>
      </c>
      <c r="L1613">
        <f>390+2*(Table257[[#This Row],[min value (corrected)]]-27)</f>
        <v>448</v>
      </c>
      <c r="M1613">
        <f>MINUTE(Table257[[#This Row],[Corrected time]])</f>
        <v>56</v>
      </c>
      <c r="N1613" s="1">
        <v>0.53933096064814812</v>
      </c>
      <c r="O1613" s="1">
        <f>Table257[[#This Row],[Time]]-TIME(0,0,3)</f>
        <v>0.53929623842592589</v>
      </c>
      <c r="P1613" t="s">
        <v>13</v>
      </c>
      <c r="Q1613">
        <f>Q1612</f>
        <v>-122</v>
      </c>
      <c r="R1613">
        <f>Table257[[#This Row],[RSSI]]</f>
        <v>-122</v>
      </c>
      <c r="S1613">
        <f>S1612</f>
        <v>-8.3000000000000007</v>
      </c>
    </row>
    <row r="1614" spans="2:19" x14ac:dyDescent="0.25">
      <c r="B1614">
        <f>436+2*(Table146[[#This Row],[min value (corrected)]])</f>
        <v>448</v>
      </c>
      <c r="C1614">
        <f>MINUTE(Table146[[#This Row],[Corrected time]])</f>
        <v>6</v>
      </c>
      <c r="D1614" s="1">
        <v>0.50471204861111107</v>
      </c>
      <c r="E1614" s="1">
        <f>Table146[[#This Row],[Time]]-TIME(0,0,1)</f>
        <v>0.50470047453703704</v>
      </c>
      <c r="F1614" t="s">
        <v>9</v>
      </c>
      <c r="G1614">
        <v>-122</v>
      </c>
      <c r="H1614">
        <f>Table146[[#This Row],[RSSI]]</f>
        <v>-122</v>
      </c>
      <c r="I1614">
        <v>-8.8000000000000007</v>
      </c>
      <c r="L1614">
        <f>390+2*(Table257[[#This Row],[min value (corrected)]]-27)</f>
        <v>448</v>
      </c>
      <c r="M1614">
        <f>MINUTE(Table257[[#This Row],[Corrected time]])</f>
        <v>56</v>
      </c>
      <c r="N1614" s="1">
        <v>0.53934398148148144</v>
      </c>
      <c r="O1614" s="1">
        <f>Table257[[#This Row],[Time]]-TIME(0,0,3)</f>
        <v>0.53930925925925921</v>
      </c>
      <c r="P1614" t="s">
        <v>9</v>
      </c>
      <c r="Q1614">
        <v>-122</v>
      </c>
      <c r="R1614">
        <f>Table257[[#This Row],[RSSI]]</f>
        <v>-122</v>
      </c>
      <c r="S1614">
        <v>-8.8000000000000007</v>
      </c>
    </row>
    <row r="1615" spans="2:19" x14ac:dyDescent="0.25">
      <c r="B1615">
        <f>436+2*(Table146[[#This Row],[min value (corrected)]])</f>
        <v>448</v>
      </c>
      <c r="C1615">
        <f>MINUTE(Table146[[#This Row],[Corrected time]])</f>
        <v>6</v>
      </c>
      <c r="D1615" s="1">
        <v>0.50472508101851854</v>
      </c>
      <c r="E1615" s="1">
        <f>Table146[[#This Row],[Time]]-TIME(0,0,1)</f>
        <v>0.5047135069444445</v>
      </c>
      <c r="F1615" t="s">
        <v>9</v>
      </c>
      <c r="G1615">
        <v>-123</v>
      </c>
      <c r="H1615">
        <f>Table146[[#This Row],[RSSI]]</f>
        <v>-123</v>
      </c>
      <c r="I1615">
        <v>-9</v>
      </c>
      <c r="L1615">
        <f>390+2*(Table257[[#This Row],[min value (corrected)]]-27)</f>
        <v>448</v>
      </c>
      <c r="M1615">
        <f>MINUTE(Table257[[#This Row],[Corrected time]])</f>
        <v>56</v>
      </c>
      <c r="N1615" s="1">
        <v>0.5393570138888889</v>
      </c>
      <c r="O1615" s="1">
        <f>Table257[[#This Row],[Time]]-TIME(0,0,3)</f>
        <v>0.53932229166666668</v>
      </c>
      <c r="P1615" t="s">
        <v>9</v>
      </c>
      <c r="Q1615">
        <v>-122</v>
      </c>
      <c r="R1615">
        <f>Table257[[#This Row],[RSSI]]</f>
        <v>-122</v>
      </c>
      <c r="S1615">
        <v>-8.5</v>
      </c>
    </row>
    <row r="1616" spans="2:19" x14ac:dyDescent="0.25">
      <c r="B1616">
        <f>436+2*(Table146[[#This Row],[min value (corrected)]])</f>
        <v>448</v>
      </c>
      <c r="C1616">
        <f>MINUTE(Table146[[#This Row],[Corrected time]])</f>
        <v>6</v>
      </c>
      <c r="D1616" s="1">
        <v>0.50473811342592589</v>
      </c>
      <c r="E1616" s="1">
        <f>Table146[[#This Row],[Time]]-TIME(0,0,1)</f>
        <v>0.50472653935185186</v>
      </c>
      <c r="F1616" t="s">
        <v>9</v>
      </c>
      <c r="G1616">
        <v>-122</v>
      </c>
      <c r="H1616">
        <f>Table146[[#This Row],[RSSI]]</f>
        <v>-122</v>
      </c>
      <c r="I1616">
        <v>-8.5</v>
      </c>
      <c r="L1616">
        <f>390+2*(Table257[[#This Row],[min value (corrected)]]-27)</f>
        <v>448</v>
      </c>
      <c r="M1616">
        <f>MINUTE(Table257[[#This Row],[Corrected time]])</f>
        <v>56</v>
      </c>
      <c r="N1616" s="1">
        <v>0.53937005787037029</v>
      </c>
      <c r="O1616" s="1">
        <f>Table257[[#This Row],[Time]]-TIME(0,0,3)</f>
        <v>0.53933533564814806</v>
      </c>
      <c r="P1616" t="s">
        <v>9</v>
      </c>
      <c r="Q1616">
        <v>-122</v>
      </c>
      <c r="R1616">
        <f>Table257[[#This Row],[RSSI]]</f>
        <v>-122</v>
      </c>
      <c r="S1616">
        <v>-8.3000000000000007</v>
      </c>
    </row>
    <row r="1617" spans="2:19" x14ac:dyDescent="0.25">
      <c r="B1617">
        <f>436+2*(Table146[[#This Row],[min value (corrected)]])</f>
        <v>448</v>
      </c>
      <c r="C1617">
        <f>MINUTE(Table146[[#This Row],[Corrected time]])</f>
        <v>6</v>
      </c>
      <c r="D1617" s="1">
        <v>0.50475114583333336</v>
      </c>
      <c r="E1617" s="1">
        <f>Table146[[#This Row],[Time]]-TIME(0,0,1)</f>
        <v>0.50473957175925932</v>
      </c>
      <c r="F1617" t="s">
        <v>13</v>
      </c>
      <c r="G1617">
        <f t="shared" ref="G1617:G1618" si="241">G1616</f>
        <v>-122</v>
      </c>
      <c r="H1617">
        <f>Table146[[#This Row],[RSSI]]</f>
        <v>-122</v>
      </c>
      <c r="I1617">
        <f t="shared" ref="I1617:I1618" si="242">I1616</f>
        <v>-8.5</v>
      </c>
      <c r="L1617">
        <f>390+2*(Table257[[#This Row],[min value (corrected)]]-27)</f>
        <v>448</v>
      </c>
      <c r="M1617">
        <f>MINUTE(Table257[[#This Row],[Corrected time]])</f>
        <v>56</v>
      </c>
      <c r="N1617" s="1">
        <v>0.53938307870370361</v>
      </c>
      <c r="O1617" s="1">
        <f>Table257[[#This Row],[Time]]-TIME(0,0,3)</f>
        <v>0.53934835648148138</v>
      </c>
      <c r="P1617" t="s">
        <v>9</v>
      </c>
      <c r="Q1617">
        <v>-123</v>
      </c>
      <c r="R1617">
        <f>Table257[[#This Row],[RSSI]]</f>
        <v>-123</v>
      </c>
      <c r="S1617">
        <v>-9.5</v>
      </c>
    </row>
    <row r="1618" spans="2:19" x14ac:dyDescent="0.25">
      <c r="B1618">
        <f>436+2*(Table146[[#This Row],[min value (corrected)]])</f>
        <v>448</v>
      </c>
      <c r="C1618">
        <f>MINUTE(Table146[[#This Row],[Corrected time]])</f>
        <v>6</v>
      </c>
      <c r="D1618" s="1">
        <v>0.50476417824074071</v>
      </c>
      <c r="E1618" s="1">
        <f>Table146[[#This Row],[Time]]-TIME(0,0,1)</f>
        <v>0.50475260416666667</v>
      </c>
      <c r="F1618" t="s">
        <v>13</v>
      </c>
      <c r="G1618">
        <f t="shared" si="241"/>
        <v>-122</v>
      </c>
      <c r="H1618">
        <f>Table146[[#This Row],[RSSI]]</f>
        <v>-122</v>
      </c>
      <c r="I1618">
        <f t="shared" si="242"/>
        <v>-8.5</v>
      </c>
      <c r="L1618">
        <f>390+2*(Table257[[#This Row],[min value (corrected)]]-27)</f>
        <v>448</v>
      </c>
      <c r="M1618">
        <f>MINUTE(Table257[[#This Row],[Corrected time]])</f>
        <v>56</v>
      </c>
      <c r="N1618" s="1">
        <v>0.53939612268518511</v>
      </c>
      <c r="O1618" s="1">
        <f>Table257[[#This Row],[Time]]-TIME(0,0,3)</f>
        <v>0.53936140046296288</v>
      </c>
      <c r="P1618" t="s">
        <v>9</v>
      </c>
      <c r="Q1618">
        <v>-122</v>
      </c>
      <c r="R1618">
        <f>Table257[[#This Row],[RSSI]]</f>
        <v>-122</v>
      </c>
      <c r="S1618">
        <v>-8.5</v>
      </c>
    </row>
    <row r="1619" spans="2:19" x14ac:dyDescent="0.25">
      <c r="B1619">
        <f>436+2*(Table146[[#This Row],[min value (corrected)]])</f>
        <v>448</v>
      </c>
      <c r="C1619">
        <f>MINUTE(Table146[[#This Row],[Corrected time]])</f>
        <v>6</v>
      </c>
      <c r="D1619" s="1">
        <v>0.50477721064814807</v>
      </c>
      <c r="E1619" s="1">
        <f>Table146[[#This Row],[Time]]-TIME(0,0,1)</f>
        <v>0.50476563657407403</v>
      </c>
      <c r="F1619" t="s">
        <v>9</v>
      </c>
      <c r="G1619">
        <v>-123</v>
      </c>
      <c r="H1619">
        <f>Table146[[#This Row],[RSSI]]</f>
        <v>-123</v>
      </c>
      <c r="I1619">
        <v>-8.8000000000000007</v>
      </c>
      <c r="L1619">
        <f>390+2*(Table257[[#This Row],[min value (corrected)]]-27)</f>
        <v>448</v>
      </c>
      <c r="M1619">
        <f>MINUTE(Table257[[#This Row],[Corrected time]])</f>
        <v>56</v>
      </c>
      <c r="N1619" s="1">
        <v>0.53940914351851843</v>
      </c>
      <c r="O1619" s="1">
        <f>Table257[[#This Row],[Time]]-TIME(0,0,3)</f>
        <v>0.5393744212962962</v>
      </c>
      <c r="P1619" t="s">
        <v>9</v>
      </c>
      <c r="Q1619">
        <v>-122</v>
      </c>
      <c r="R1619">
        <f>Table257[[#This Row],[RSSI]]</f>
        <v>-122</v>
      </c>
      <c r="S1619">
        <v>-8.3000000000000007</v>
      </c>
    </row>
    <row r="1620" spans="2:19" x14ac:dyDescent="0.25">
      <c r="B1620">
        <f>436+2*(Table146[[#This Row],[min value (corrected)]])</f>
        <v>448</v>
      </c>
      <c r="C1620">
        <f>MINUTE(Table146[[#This Row],[Corrected time]])</f>
        <v>6</v>
      </c>
      <c r="D1620" s="1">
        <v>0.50479024305555553</v>
      </c>
      <c r="E1620" s="1">
        <f>Table146[[#This Row],[Time]]-TIME(0,0,1)</f>
        <v>0.50477866898148149</v>
      </c>
      <c r="F1620" t="s">
        <v>9</v>
      </c>
      <c r="G1620">
        <v>-122</v>
      </c>
      <c r="H1620">
        <f>Table146[[#This Row],[RSSI]]</f>
        <v>-122</v>
      </c>
      <c r="I1620">
        <v>-9</v>
      </c>
      <c r="L1620">
        <f>390+2*(Table257[[#This Row],[min value (corrected)]]-27)</f>
        <v>448</v>
      </c>
      <c r="M1620">
        <f>MINUTE(Table257[[#This Row],[Corrected time]])</f>
        <v>56</v>
      </c>
      <c r="N1620" s="1">
        <v>0.53942218749999993</v>
      </c>
      <c r="O1620" s="1">
        <f>Table257[[#This Row],[Time]]-TIME(0,0,3)</f>
        <v>0.5393874652777777</v>
      </c>
      <c r="P1620" t="s">
        <v>9</v>
      </c>
      <c r="Q1620">
        <v>-122</v>
      </c>
      <c r="R1620">
        <f>Table257[[#This Row],[RSSI]]</f>
        <v>-122</v>
      </c>
      <c r="S1620">
        <v>-8.5</v>
      </c>
    </row>
    <row r="1621" spans="2:19" x14ac:dyDescent="0.25">
      <c r="B1621">
        <f>436+2*(Table146[[#This Row],[min value (corrected)]])</f>
        <v>448</v>
      </c>
      <c r="C1621">
        <f>MINUTE(Table146[[#This Row],[Corrected time]])</f>
        <v>6</v>
      </c>
      <c r="D1621" s="1">
        <v>0.50480327546296289</v>
      </c>
      <c r="E1621" s="1">
        <f>Table146[[#This Row],[Time]]-TIME(0,0,1)</f>
        <v>0.50479170138888885</v>
      </c>
      <c r="F1621" t="s">
        <v>9</v>
      </c>
      <c r="G1621">
        <v>-122</v>
      </c>
      <c r="H1621">
        <f>Table146[[#This Row],[RSSI]]</f>
        <v>-122</v>
      </c>
      <c r="I1621">
        <v>-8.8000000000000007</v>
      </c>
      <c r="L1621">
        <f>390+2*(Table257[[#This Row],[min value (corrected)]]-27)</f>
        <v>448</v>
      </c>
      <c r="M1621">
        <f>MINUTE(Table257[[#This Row],[Corrected time]])</f>
        <v>56</v>
      </c>
      <c r="N1621" s="1">
        <v>0.53943521990740739</v>
      </c>
      <c r="O1621" s="1">
        <f>Table257[[#This Row],[Time]]-TIME(0,0,3)</f>
        <v>0.53940049768518517</v>
      </c>
      <c r="P1621" t="s">
        <v>9</v>
      </c>
      <c r="Q1621">
        <v>-123</v>
      </c>
      <c r="R1621">
        <f>Table257[[#This Row],[RSSI]]</f>
        <v>-123</v>
      </c>
      <c r="S1621">
        <v>-9</v>
      </c>
    </row>
    <row r="1622" spans="2:19" x14ac:dyDescent="0.25">
      <c r="B1622">
        <f>436+2*(Table146[[#This Row],[min value (corrected)]])</f>
        <v>448</v>
      </c>
      <c r="C1622">
        <f>MINUTE(Table146[[#This Row],[Corrected time]])</f>
        <v>6</v>
      </c>
      <c r="D1622" s="1">
        <v>0.50481630787037035</v>
      </c>
      <c r="E1622" s="1">
        <f>Table146[[#This Row],[Time]]-TIME(0,0,1)</f>
        <v>0.50480473379629631</v>
      </c>
      <c r="F1622" t="s">
        <v>9</v>
      </c>
      <c r="G1622">
        <v>-122</v>
      </c>
      <c r="H1622">
        <f>Table146[[#This Row],[RSSI]]</f>
        <v>-122</v>
      </c>
      <c r="I1622">
        <v>-8.5</v>
      </c>
      <c r="L1622">
        <f>390+2*(Table257[[#This Row],[min value (corrected)]]-27)</f>
        <v>448</v>
      </c>
      <c r="M1622">
        <f>MINUTE(Table257[[#This Row],[Corrected time]])</f>
        <v>56</v>
      </c>
      <c r="N1622" s="1">
        <v>0.53944824074074071</v>
      </c>
      <c r="O1622" s="1">
        <f>Table257[[#This Row],[Time]]-TIME(0,0,3)</f>
        <v>0.53941351851851849</v>
      </c>
      <c r="P1622" t="s">
        <v>9</v>
      </c>
      <c r="Q1622">
        <v>-122</v>
      </c>
      <c r="R1622">
        <f>Table257[[#This Row],[RSSI]]</f>
        <v>-122</v>
      </c>
      <c r="S1622">
        <v>-8.8000000000000007</v>
      </c>
    </row>
    <row r="1623" spans="2:19" x14ac:dyDescent="0.25">
      <c r="B1623">
        <f>436+2*(Table146[[#This Row],[min value (corrected)]])</f>
        <v>448</v>
      </c>
      <c r="C1623">
        <f>MINUTE(Table146[[#This Row],[Corrected time]])</f>
        <v>6</v>
      </c>
      <c r="D1623" s="1">
        <v>0.50482934027777771</v>
      </c>
      <c r="E1623" s="1">
        <f>Table146[[#This Row],[Time]]-TIME(0,0,1)</f>
        <v>0.50481776620370367</v>
      </c>
      <c r="F1623" t="s">
        <v>13</v>
      </c>
      <c r="G1623">
        <f>G1622</f>
        <v>-122</v>
      </c>
      <c r="H1623">
        <f>Table146[[#This Row],[RSSI]]</f>
        <v>-122</v>
      </c>
      <c r="I1623">
        <f>I1622</f>
        <v>-8.5</v>
      </c>
      <c r="L1623">
        <f>390+2*(Table257[[#This Row],[min value (corrected)]]-27)</f>
        <v>448</v>
      </c>
      <c r="M1623">
        <f>MINUTE(Table257[[#This Row],[Corrected time]])</f>
        <v>56</v>
      </c>
      <c r="N1623" s="1">
        <v>0.53946128472222221</v>
      </c>
      <c r="O1623" s="1">
        <f>Table257[[#This Row],[Time]]-TIME(0,0,3)</f>
        <v>0.53942656249999998</v>
      </c>
      <c r="P1623" t="s">
        <v>9</v>
      </c>
      <c r="Q1623">
        <v>-123</v>
      </c>
      <c r="R1623">
        <f>Table257[[#This Row],[RSSI]]</f>
        <v>-123</v>
      </c>
      <c r="S1623">
        <v>-9.3000000000000007</v>
      </c>
    </row>
    <row r="1624" spans="2:19" x14ac:dyDescent="0.25">
      <c r="B1624">
        <f>436+2*(Table146[[#This Row],[min value (corrected)]])</f>
        <v>448</v>
      </c>
      <c r="C1624">
        <f>MINUTE(Table146[[#This Row],[Corrected time]])</f>
        <v>6</v>
      </c>
      <c r="D1624" s="1">
        <v>0.50484237268518517</v>
      </c>
      <c r="E1624" s="1">
        <f>Table146[[#This Row],[Time]]-TIME(0,0,1)</f>
        <v>0.50483079861111113</v>
      </c>
      <c r="F1624" t="s">
        <v>9</v>
      </c>
      <c r="G1624">
        <v>-122</v>
      </c>
      <c r="H1624">
        <f>Table146[[#This Row],[RSSI]]</f>
        <v>-122</v>
      </c>
      <c r="I1624">
        <v>-8.8000000000000007</v>
      </c>
      <c r="L1624">
        <f>390+2*(Table257[[#This Row],[min value (corrected)]]-27)</f>
        <v>448</v>
      </c>
      <c r="M1624">
        <f>MINUTE(Table257[[#This Row],[Corrected time]])</f>
        <v>56</v>
      </c>
      <c r="N1624" s="1">
        <v>0.53947431712962957</v>
      </c>
      <c r="O1624" s="1">
        <f>Table257[[#This Row],[Time]]-TIME(0,0,3)</f>
        <v>0.53943959490740734</v>
      </c>
      <c r="P1624" t="s">
        <v>9</v>
      </c>
      <c r="Q1624">
        <v>-123</v>
      </c>
      <c r="R1624">
        <f>Table257[[#This Row],[RSSI]]</f>
        <v>-123</v>
      </c>
      <c r="S1624">
        <v>-9</v>
      </c>
    </row>
    <row r="1625" spans="2:19" x14ac:dyDescent="0.25">
      <c r="B1625">
        <f>436+2*(Table146[[#This Row],[min value (corrected)]])</f>
        <v>448</v>
      </c>
      <c r="C1625">
        <f>MINUTE(Table146[[#This Row],[Corrected time]])</f>
        <v>6</v>
      </c>
      <c r="D1625" s="1">
        <v>0.50485540509259252</v>
      </c>
      <c r="E1625" s="1">
        <f>Table146[[#This Row],[Time]]-TIME(0,0,1)</f>
        <v>0.50484383101851849</v>
      </c>
      <c r="F1625" t="s">
        <v>13</v>
      </c>
      <c r="G1625">
        <f>G1624</f>
        <v>-122</v>
      </c>
      <c r="H1625">
        <f>Table146[[#This Row],[RSSI]]</f>
        <v>-122</v>
      </c>
      <c r="I1625">
        <f>I1624</f>
        <v>-8.8000000000000007</v>
      </c>
      <c r="L1625">
        <f>390+2*(Table257[[#This Row],[min value (corrected)]]-27)</f>
        <v>448</v>
      </c>
      <c r="M1625">
        <f>MINUTE(Table257[[#This Row],[Corrected time]])</f>
        <v>56</v>
      </c>
      <c r="N1625" s="1">
        <v>0.53948734953703703</v>
      </c>
      <c r="O1625" s="1">
        <f>Table257[[#This Row],[Time]]-TIME(0,0,3)</f>
        <v>0.5394526273148148</v>
      </c>
      <c r="P1625" t="s">
        <v>9</v>
      </c>
      <c r="Q1625">
        <v>-122</v>
      </c>
      <c r="R1625">
        <f>Table257[[#This Row],[RSSI]]</f>
        <v>-122</v>
      </c>
      <c r="S1625">
        <v>-8.5</v>
      </c>
    </row>
    <row r="1626" spans="2:19" x14ac:dyDescent="0.25">
      <c r="B1626">
        <f>436+2*(Table146[[#This Row],[min value (corrected)]])</f>
        <v>450</v>
      </c>
      <c r="C1626">
        <f>MINUTE(Table146[[#This Row],[Corrected time]])</f>
        <v>7</v>
      </c>
      <c r="D1626" s="1">
        <v>0.50486843749999999</v>
      </c>
      <c r="E1626" s="1">
        <f>Table146[[#This Row],[Time]]-TIME(0,0,1)</f>
        <v>0.50485686342592595</v>
      </c>
      <c r="F1626" t="s">
        <v>9</v>
      </c>
      <c r="G1626">
        <v>-122</v>
      </c>
      <c r="H1626">
        <f>Table146[[#This Row],[RSSI]]</f>
        <v>-122</v>
      </c>
      <c r="I1626">
        <v>-8.8000000000000007</v>
      </c>
      <c r="L1626">
        <f>390+2*(Table257[[#This Row],[min value (corrected)]]-27)</f>
        <v>448</v>
      </c>
      <c r="M1626">
        <f>MINUTE(Table257[[#This Row],[Corrected time]])</f>
        <v>56</v>
      </c>
      <c r="N1626" s="1">
        <v>0.53950035879629632</v>
      </c>
      <c r="O1626" s="1">
        <f>Table257[[#This Row],[Time]]-TIME(0,0,3)</f>
        <v>0.53946563657407409</v>
      </c>
      <c r="P1626" t="s">
        <v>9</v>
      </c>
      <c r="Q1626">
        <v>-122</v>
      </c>
      <c r="R1626">
        <f>Table257[[#This Row],[RSSI]]</f>
        <v>-122</v>
      </c>
      <c r="S1626">
        <v>-8.3000000000000007</v>
      </c>
    </row>
    <row r="1627" spans="2:19" x14ac:dyDescent="0.25">
      <c r="B1627">
        <f>436+2*(Table146[[#This Row],[min value (corrected)]])</f>
        <v>450</v>
      </c>
      <c r="C1627">
        <f>MINUTE(Table146[[#This Row],[Corrected time]])</f>
        <v>7</v>
      </c>
      <c r="D1627" s="1">
        <v>0.50488146990740734</v>
      </c>
      <c r="E1627" s="1">
        <f>Table146[[#This Row],[Time]]-TIME(0,0,1)</f>
        <v>0.5048698958333333</v>
      </c>
      <c r="F1627" t="s">
        <v>9</v>
      </c>
      <c r="G1627">
        <v>-122</v>
      </c>
      <c r="H1627">
        <f>Table146[[#This Row],[RSSI]]</f>
        <v>-122</v>
      </c>
      <c r="I1627">
        <v>-8.8000000000000007</v>
      </c>
      <c r="L1627">
        <f>390+2*(Table257[[#This Row],[min value (corrected)]]-27)</f>
        <v>448</v>
      </c>
      <c r="M1627">
        <f>MINUTE(Table257[[#This Row],[Corrected time]])</f>
        <v>56</v>
      </c>
      <c r="N1627" s="1">
        <v>0.53951341435185185</v>
      </c>
      <c r="O1627" s="1">
        <f>Table257[[#This Row],[Time]]-TIME(0,0,3)</f>
        <v>0.53947869212962962</v>
      </c>
      <c r="P1627" t="s">
        <v>9</v>
      </c>
      <c r="Q1627">
        <v>-122</v>
      </c>
      <c r="R1627">
        <f>Table257[[#This Row],[RSSI]]</f>
        <v>-122</v>
      </c>
      <c r="S1627">
        <v>-8</v>
      </c>
    </row>
    <row r="1628" spans="2:19" x14ac:dyDescent="0.25">
      <c r="B1628">
        <f>436+2*(Table146[[#This Row],[min value (corrected)]])</f>
        <v>450</v>
      </c>
      <c r="C1628">
        <f>MINUTE(Table146[[#This Row],[Corrected time]])</f>
        <v>7</v>
      </c>
      <c r="D1628" s="1">
        <v>0.50489450231481481</v>
      </c>
      <c r="E1628" s="1">
        <f>Table146[[#This Row],[Time]]-TIME(0,0,1)</f>
        <v>0.50488292824074077</v>
      </c>
      <c r="F1628" t="s">
        <v>13</v>
      </c>
      <c r="G1628">
        <f t="shared" ref="G1628:G1632" si="243">G1627</f>
        <v>-122</v>
      </c>
      <c r="H1628">
        <f>Table146[[#This Row],[RSSI]]</f>
        <v>-122</v>
      </c>
      <c r="I1628">
        <f t="shared" ref="I1628:I1632" si="244">I1627</f>
        <v>-8.8000000000000007</v>
      </c>
      <c r="L1628">
        <f>390+2*(Table257[[#This Row],[min value (corrected)]]-27)</f>
        <v>448</v>
      </c>
      <c r="M1628">
        <f>MINUTE(Table257[[#This Row],[Corrected time]])</f>
        <v>56</v>
      </c>
      <c r="N1628" s="1">
        <v>0.53952643518518517</v>
      </c>
      <c r="O1628" s="1">
        <f>Table257[[#This Row],[Time]]-TIME(0,0,3)</f>
        <v>0.53949171296296294</v>
      </c>
      <c r="P1628" t="s">
        <v>9</v>
      </c>
      <c r="Q1628">
        <v>-121</v>
      </c>
      <c r="R1628">
        <f>Table257[[#This Row],[RSSI]]</f>
        <v>-121</v>
      </c>
      <c r="S1628">
        <v>-8</v>
      </c>
    </row>
    <row r="1629" spans="2:19" x14ac:dyDescent="0.25">
      <c r="B1629">
        <f>436+2*(Table146[[#This Row],[min value (corrected)]])</f>
        <v>450</v>
      </c>
      <c r="C1629">
        <f>MINUTE(Table146[[#This Row],[Corrected time]])</f>
        <v>7</v>
      </c>
      <c r="D1629" s="1">
        <v>0.50490752314814813</v>
      </c>
      <c r="E1629" s="1">
        <f>Table146[[#This Row],[Time]]-TIME(0,0,1)</f>
        <v>0.50489594907407409</v>
      </c>
      <c r="F1629" t="s">
        <v>13</v>
      </c>
      <c r="G1629">
        <f t="shared" si="243"/>
        <v>-122</v>
      </c>
      <c r="H1629">
        <f>Table146[[#This Row],[RSSI]]</f>
        <v>-122</v>
      </c>
      <c r="I1629">
        <f t="shared" si="244"/>
        <v>-8.8000000000000007</v>
      </c>
      <c r="L1629">
        <f>390+2*(Table257[[#This Row],[min value (corrected)]]-27)</f>
        <v>448</v>
      </c>
      <c r="M1629">
        <f>MINUTE(Table257[[#This Row],[Corrected time]])</f>
        <v>56</v>
      </c>
      <c r="N1629" s="1">
        <v>0.53953945601851849</v>
      </c>
      <c r="O1629" s="1">
        <f>Table257[[#This Row],[Time]]-TIME(0,0,3)</f>
        <v>0.53950473379629627</v>
      </c>
      <c r="P1629" t="s">
        <v>9</v>
      </c>
      <c r="Q1629">
        <v>-122</v>
      </c>
      <c r="R1629">
        <f>Table257[[#This Row],[RSSI]]</f>
        <v>-122</v>
      </c>
      <c r="S1629">
        <v>-8.3000000000000007</v>
      </c>
    </row>
    <row r="1630" spans="2:19" x14ac:dyDescent="0.25">
      <c r="B1630">
        <f>436+2*(Table146[[#This Row],[min value (corrected)]])</f>
        <v>450</v>
      </c>
      <c r="C1630">
        <f>MINUTE(Table146[[#This Row],[Corrected time]])</f>
        <v>7</v>
      </c>
      <c r="D1630" s="1">
        <v>0.50492056712962963</v>
      </c>
      <c r="E1630" s="1">
        <f>Table146[[#This Row],[Time]]-TIME(0,0,1)</f>
        <v>0.50490899305555559</v>
      </c>
      <c r="F1630" t="s">
        <v>13</v>
      </c>
      <c r="G1630">
        <f t="shared" si="243"/>
        <v>-122</v>
      </c>
      <c r="H1630">
        <f>Table146[[#This Row],[RSSI]]</f>
        <v>-122</v>
      </c>
      <c r="I1630">
        <f t="shared" si="244"/>
        <v>-8.8000000000000007</v>
      </c>
      <c r="L1630">
        <f>390+2*(Table257[[#This Row],[min value (corrected)]]-27)</f>
        <v>448</v>
      </c>
      <c r="M1630">
        <f>MINUTE(Table257[[#This Row],[Corrected time]])</f>
        <v>56</v>
      </c>
      <c r="N1630" s="1">
        <v>0.53955251157407402</v>
      </c>
      <c r="O1630" s="1">
        <f>Table257[[#This Row],[Time]]-TIME(0,0,3)</f>
        <v>0.5395177893518518</v>
      </c>
      <c r="P1630" t="s">
        <v>9</v>
      </c>
      <c r="Q1630">
        <v>-122</v>
      </c>
      <c r="R1630">
        <f>Table257[[#This Row],[RSSI]]</f>
        <v>-122</v>
      </c>
      <c r="S1630">
        <v>-8.5</v>
      </c>
    </row>
    <row r="1631" spans="2:19" x14ac:dyDescent="0.25">
      <c r="B1631">
        <f>436+2*(Table146[[#This Row],[min value (corrected)]])</f>
        <v>450</v>
      </c>
      <c r="C1631">
        <f>MINUTE(Table146[[#This Row],[Corrected time]])</f>
        <v>7</v>
      </c>
      <c r="D1631" s="1">
        <v>0.50493359953703698</v>
      </c>
      <c r="E1631" s="1">
        <f>Table146[[#This Row],[Time]]-TIME(0,0,1)</f>
        <v>0.50492202546296294</v>
      </c>
      <c r="F1631" t="s">
        <v>13</v>
      </c>
      <c r="G1631">
        <f t="shared" si="243"/>
        <v>-122</v>
      </c>
      <c r="H1631">
        <f>Table146[[#This Row],[RSSI]]</f>
        <v>-122</v>
      </c>
      <c r="I1631">
        <f t="shared" si="244"/>
        <v>-8.8000000000000007</v>
      </c>
      <c r="L1631">
        <f>390+2*(Table257[[#This Row],[min value (corrected)]]-27)</f>
        <v>448</v>
      </c>
      <c r="M1631">
        <f>MINUTE(Table257[[#This Row],[Corrected time]])</f>
        <v>56</v>
      </c>
      <c r="N1631" s="1">
        <v>0.53956553240740746</v>
      </c>
      <c r="O1631" s="1">
        <f>Table257[[#This Row],[Time]]-TIME(0,0,3)</f>
        <v>0.53953081018518523</v>
      </c>
      <c r="P1631" t="s">
        <v>9</v>
      </c>
      <c r="Q1631">
        <v>-122</v>
      </c>
      <c r="R1631">
        <f>Table257[[#This Row],[RSSI]]</f>
        <v>-122</v>
      </c>
      <c r="S1631">
        <v>-8</v>
      </c>
    </row>
    <row r="1632" spans="2:19" x14ac:dyDescent="0.25">
      <c r="B1632">
        <f>436+2*(Table146[[#This Row],[min value (corrected)]])</f>
        <v>450</v>
      </c>
      <c r="C1632">
        <f>MINUTE(Table146[[#This Row],[Corrected time]])</f>
        <v>7</v>
      </c>
      <c r="D1632" s="1">
        <v>0.50494662037037041</v>
      </c>
      <c r="E1632" s="1">
        <f>Table146[[#This Row],[Time]]-TIME(0,0,1)</f>
        <v>0.50493504629629637</v>
      </c>
      <c r="F1632" t="s">
        <v>13</v>
      </c>
      <c r="G1632">
        <f t="shared" si="243"/>
        <v>-122</v>
      </c>
      <c r="H1632">
        <f>Table146[[#This Row],[RSSI]]</f>
        <v>-122</v>
      </c>
      <c r="I1632">
        <f t="shared" si="244"/>
        <v>-8.8000000000000007</v>
      </c>
      <c r="L1632">
        <f>390+2*(Table257[[#This Row],[min value (corrected)]]-27)</f>
        <v>448</v>
      </c>
      <c r="M1632">
        <f>MINUTE(Table257[[#This Row],[Corrected time]])</f>
        <v>56</v>
      </c>
      <c r="N1632" s="1">
        <v>0.53957857638888884</v>
      </c>
      <c r="O1632" s="1">
        <f>Table257[[#This Row],[Time]]-TIME(0,0,3)</f>
        <v>0.53954385416666661</v>
      </c>
      <c r="P1632" t="s">
        <v>9</v>
      </c>
      <c r="Q1632">
        <v>-121</v>
      </c>
      <c r="R1632">
        <f>Table257[[#This Row],[RSSI]]</f>
        <v>-121</v>
      </c>
      <c r="S1632">
        <v>-7.7</v>
      </c>
    </row>
    <row r="1633" spans="2:19" x14ac:dyDescent="0.25">
      <c r="B1633">
        <f>436+2*(Table146[[#This Row],[min value (corrected)]])</f>
        <v>450</v>
      </c>
      <c r="C1633">
        <f>MINUTE(Table146[[#This Row],[Corrected time]])</f>
        <v>7</v>
      </c>
      <c r="D1633" s="1">
        <v>0.5049596643518518</v>
      </c>
      <c r="E1633" s="1">
        <f>Table146[[#This Row],[Time]]-TIME(0,0,1)</f>
        <v>0.50494809027777776</v>
      </c>
      <c r="F1633" t="s">
        <v>9</v>
      </c>
      <c r="G1633">
        <v>-122</v>
      </c>
      <c r="H1633">
        <f>Table146[[#This Row],[RSSI]]</f>
        <v>-122</v>
      </c>
      <c r="I1633">
        <v>-8.8000000000000007</v>
      </c>
      <c r="L1633">
        <f>390+2*(Table257[[#This Row],[min value (corrected)]]-27)</f>
        <v>448</v>
      </c>
      <c r="M1633">
        <f>MINUTE(Table257[[#This Row],[Corrected time]])</f>
        <v>56</v>
      </c>
      <c r="N1633" s="1">
        <v>0.53959160879629631</v>
      </c>
      <c r="O1633" s="1">
        <f>Table257[[#This Row],[Time]]-TIME(0,0,3)</f>
        <v>0.53955688657407408</v>
      </c>
      <c r="P1633" t="s">
        <v>9</v>
      </c>
      <c r="Q1633">
        <v>-122</v>
      </c>
      <c r="R1633">
        <f>Table257[[#This Row],[RSSI]]</f>
        <v>-122</v>
      </c>
      <c r="S1633">
        <v>-8.5</v>
      </c>
    </row>
    <row r="1634" spans="2:19" x14ac:dyDescent="0.25">
      <c r="B1634">
        <f>436+2*(Table146[[#This Row],[min value (corrected)]])</f>
        <v>450</v>
      </c>
      <c r="C1634">
        <f>MINUTE(Table146[[#This Row],[Corrected time]])</f>
        <v>7</v>
      </c>
      <c r="D1634" s="1">
        <v>0.50497268518518523</v>
      </c>
      <c r="E1634" s="1">
        <f>Table146[[#This Row],[Time]]-TIME(0,0,1)</f>
        <v>0.50496111111111119</v>
      </c>
      <c r="F1634" t="s">
        <v>13</v>
      </c>
      <c r="G1634">
        <f t="shared" ref="G1634:G1637" si="245">G1633</f>
        <v>-122</v>
      </c>
      <c r="H1634">
        <f>Table146[[#This Row],[RSSI]]</f>
        <v>-122</v>
      </c>
      <c r="I1634">
        <f t="shared" ref="I1634:I1637" si="246">I1633</f>
        <v>-8.8000000000000007</v>
      </c>
      <c r="L1634">
        <f>390+2*(Table257[[#This Row],[min value (corrected)]]-27)</f>
        <v>448</v>
      </c>
      <c r="M1634">
        <f>MINUTE(Table257[[#This Row],[Corrected time]])</f>
        <v>56</v>
      </c>
      <c r="N1634" s="1">
        <v>0.53960464120370366</v>
      </c>
      <c r="O1634" s="1">
        <f>Table257[[#This Row],[Time]]-TIME(0,0,3)</f>
        <v>0.53956991898148143</v>
      </c>
      <c r="P1634" t="s">
        <v>9</v>
      </c>
      <c r="Q1634">
        <v>-122</v>
      </c>
      <c r="R1634">
        <f>Table257[[#This Row],[RSSI]]</f>
        <v>-122</v>
      </c>
      <c r="S1634">
        <v>-8</v>
      </c>
    </row>
    <row r="1635" spans="2:19" x14ac:dyDescent="0.25">
      <c r="B1635">
        <f>436+2*(Table146[[#This Row],[min value (corrected)]])</f>
        <v>450</v>
      </c>
      <c r="C1635">
        <f>MINUTE(Table146[[#This Row],[Corrected time]])</f>
        <v>7</v>
      </c>
      <c r="D1635" s="1">
        <v>0.50498572916666662</v>
      </c>
      <c r="E1635" s="1">
        <f>Table146[[#This Row],[Time]]-TIME(0,0,1)</f>
        <v>0.50497415509259258</v>
      </c>
      <c r="F1635" t="s">
        <v>13</v>
      </c>
      <c r="G1635">
        <f t="shared" si="245"/>
        <v>-122</v>
      </c>
      <c r="H1635">
        <f>Table146[[#This Row],[RSSI]]</f>
        <v>-122</v>
      </c>
      <c r="I1635">
        <f t="shared" si="246"/>
        <v>-8.8000000000000007</v>
      </c>
      <c r="L1635">
        <f>390+2*(Table257[[#This Row],[min value (corrected)]]-27)</f>
        <v>450</v>
      </c>
      <c r="M1635">
        <f>MINUTE(Table257[[#This Row],[Corrected time]])</f>
        <v>57</v>
      </c>
      <c r="N1635" s="1">
        <v>0.53961766203703709</v>
      </c>
      <c r="O1635" s="1">
        <f>Table257[[#This Row],[Time]]-TIME(0,0,3)</f>
        <v>0.53958293981481487</v>
      </c>
      <c r="P1635" t="s">
        <v>9</v>
      </c>
      <c r="Q1635">
        <v>-122</v>
      </c>
      <c r="R1635">
        <f>Table257[[#This Row],[RSSI]]</f>
        <v>-122</v>
      </c>
      <c r="S1635">
        <v>-8.3000000000000007</v>
      </c>
    </row>
    <row r="1636" spans="2:19" x14ac:dyDescent="0.25">
      <c r="B1636">
        <f>436+2*(Table146[[#This Row],[min value (corrected)]])</f>
        <v>450</v>
      </c>
      <c r="C1636">
        <f>MINUTE(Table146[[#This Row],[Corrected time]])</f>
        <v>7</v>
      </c>
      <c r="D1636" s="1">
        <v>0.50499875000000005</v>
      </c>
      <c r="E1636" s="1">
        <f>Table146[[#This Row],[Time]]-TIME(0,0,1)</f>
        <v>0.50498717592592601</v>
      </c>
      <c r="F1636" t="s">
        <v>13</v>
      </c>
      <c r="G1636">
        <f t="shared" si="245"/>
        <v>-122</v>
      </c>
      <c r="H1636">
        <f>Table146[[#This Row],[RSSI]]</f>
        <v>-122</v>
      </c>
      <c r="I1636">
        <f t="shared" si="246"/>
        <v>-8.8000000000000007</v>
      </c>
      <c r="L1636">
        <f>390+2*(Table257[[#This Row],[min value (corrected)]]-27)</f>
        <v>450</v>
      </c>
      <c r="M1636">
        <f>MINUTE(Table257[[#This Row],[Corrected time]])</f>
        <v>57</v>
      </c>
      <c r="N1636" s="1">
        <v>0.53963069444444445</v>
      </c>
      <c r="O1636" s="1">
        <f>Table257[[#This Row],[Time]]-TIME(0,0,3)</f>
        <v>0.53959597222222222</v>
      </c>
      <c r="P1636" t="s">
        <v>9</v>
      </c>
      <c r="Q1636">
        <v>-122</v>
      </c>
      <c r="R1636">
        <f>Table257[[#This Row],[RSSI]]</f>
        <v>-122</v>
      </c>
      <c r="S1636">
        <v>-8.5</v>
      </c>
    </row>
    <row r="1637" spans="2:19" x14ac:dyDescent="0.25">
      <c r="B1637">
        <f>436+2*(Table146[[#This Row],[min value (corrected)]])</f>
        <v>450</v>
      </c>
      <c r="C1637">
        <f>MINUTE(Table146[[#This Row],[Corrected time]])</f>
        <v>7</v>
      </c>
      <c r="D1637" s="1">
        <v>0.50501179398148144</v>
      </c>
      <c r="E1637" s="1">
        <f>Table146[[#This Row],[Time]]-TIME(0,0,1)</f>
        <v>0.5050002199074074</v>
      </c>
      <c r="F1637" t="s">
        <v>13</v>
      </c>
      <c r="G1637">
        <f t="shared" si="245"/>
        <v>-122</v>
      </c>
      <c r="H1637">
        <f>Table146[[#This Row],[RSSI]]</f>
        <v>-122</v>
      </c>
      <c r="I1637">
        <f t="shared" si="246"/>
        <v>-8.8000000000000007</v>
      </c>
      <c r="L1637">
        <f>390+2*(Table257[[#This Row],[min value (corrected)]]-27)</f>
        <v>450</v>
      </c>
      <c r="M1637">
        <f>MINUTE(Table257[[#This Row],[Corrected time]])</f>
        <v>57</v>
      </c>
      <c r="N1637" s="1">
        <v>0.53964372685185191</v>
      </c>
      <c r="O1637" s="1">
        <f>Table257[[#This Row],[Time]]-TIME(0,0,3)</f>
        <v>0.53960900462962968</v>
      </c>
      <c r="P1637" t="s">
        <v>13</v>
      </c>
      <c r="Q1637">
        <f>Q1636</f>
        <v>-122</v>
      </c>
      <c r="R1637">
        <f>Table257[[#This Row],[RSSI]]</f>
        <v>-122</v>
      </c>
      <c r="S1637">
        <f>S1636</f>
        <v>-8.5</v>
      </c>
    </row>
    <row r="1638" spans="2:19" x14ac:dyDescent="0.25">
      <c r="B1638">
        <f>436+2*(Table146[[#This Row],[min value (corrected)]])</f>
        <v>450</v>
      </c>
      <c r="C1638">
        <f>MINUTE(Table146[[#This Row],[Corrected time]])</f>
        <v>7</v>
      </c>
      <c r="D1638" s="1">
        <v>0.5050248263888889</v>
      </c>
      <c r="E1638" s="1">
        <f>Table146[[#This Row],[Time]]-TIME(0,0,1)</f>
        <v>0.50501325231481486</v>
      </c>
      <c r="F1638" t="s">
        <v>9</v>
      </c>
      <c r="G1638">
        <v>-122</v>
      </c>
      <c r="H1638">
        <f>Table146[[#This Row],[RSSI]]</f>
        <v>-122</v>
      </c>
      <c r="I1638">
        <v>-9</v>
      </c>
      <c r="L1638">
        <f>390+2*(Table257[[#This Row],[min value (corrected)]]-27)</f>
        <v>450</v>
      </c>
      <c r="M1638">
        <f>MINUTE(Table257[[#This Row],[Corrected time]])</f>
        <v>57</v>
      </c>
      <c r="N1638" s="1">
        <v>0.5396567708333333</v>
      </c>
      <c r="O1638" s="1">
        <f>Table257[[#This Row],[Time]]-TIME(0,0,3)</f>
        <v>0.53962204861111107</v>
      </c>
      <c r="P1638" t="s">
        <v>9</v>
      </c>
      <c r="Q1638">
        <v>-122</v>
      </c>
      <c r="R1638">
        <f>Table257[[#This Row],[RSSI]]</f>
        <v>-122</v>
      </c>
      <c r="S1638">
        <v>-9</v>
      </c>
    </row>
    <row r="1639" spans="2:19" x14ac:dyDescent="0.25">
      <c r="B1639">
        <f>436+2*(Table146[[#This Row],[min value (corrected)]])</f>
        <v>450</v>
      </c>
      <c r="C1639">
        <f>MINUTE(Table146[[#This Row],[Corrected time]])</f>
        <v>7</v>
      </c>
      <c r="D1639" s="1">
        <v>0.50503785879629626</v>
      </c>
      <c r="E1639" s="1">
        <f>Table146[[#This Row],[Time]]-TIME(0,0,1)</f>
        <v>0.50502628472222222</v>
      </c>
      <c r="F1639" t="s">
        <v>9</v>
      </c>
      <c r="G1639">
        <v>-122</v>
      </c>
      <c r="H1639">
        <f>Table146[[#This Row],[RSSI]]</f>
        <v>-122</v>
      </c>
      <c r="I1639">
        <v>-8.5</v>
      </c>
      <c r="L1639">
        <f>390+2*(Table257[[#This Row],[min value (corrected)]]-27)</f>
        <v>450</v>
      </c>
      <c r="M1639">
        <f>MINUTE(Table257[[#This Row],[Corrected time]])</f>
        <v>57</v>
      </c>
      <c r="N1639" s="1">
        <v>0.53966979166666673</v>
      </c>
      <c r="O1639" s="1">
        <f>Table257[[#This Row],[Time]]-TIME(0,0,3)</f>
        <v>0.5396350694444445</v>
      </c>
      <c r="P1639" t="s">
        <v>13</v>
      </c>
      <c r="Q1639">
        <f t="shared" ref="Q1639:Q1645" si="247">Q1638</f>
        <v>-122</v>
      </c>
      <c r="R1639">
        <f>Table257[[#This Row],[RSSI]]</f>
        <v>-122</v>
      </c>
      <c r="S1639">
        <f t="shared" ref="S1639:S1645" si="248">S1638</f>
        <v>-9</v>
      </c>
    </row>
    <row r="1640" spans="2:19" x14ac:dyDescent="0.25">
      <c r="B1640">
        <f>436+2*(Table146[[#This Row],[min value (corrected)]])</f>
        <v>450</v>
      </c>
      <c r="C1640">
        <f>MINUTE(Table146[[#This Row],[Corrected time]])</f>
        <v>7</v>
      </c>
      <c r="D1640" s="1">
        <v>0.50505089120370372</v>
      </c>
      <c r="E1640" s="1">
        <f>Table146[[#This Row],[Time]]-TIME(0,0,1)</f>
        <v>0.50503931712962968</v>
      </c>
      <c r="F1640" t="s">
        <v>9</v>
      </c>
      <c r="G1640">
        <v>-122</v>
      </c>
      <c r="H1640">
        <f>Table146[[#This Row],[RSSI]]</f>
        <v>-122</v>
      </c>
      <c r="I1640">
        <v>-8.5</v>
      </c>
      <c r="L1640">
        <f>390+2*(Table257[[#This Row],[min value (corrected)]]-27)</f>
        <v>450</v>
      </c>
      <c r="M1640">
        <f>MINUTE(Table257[[#This Row],[Corrected time]])</f>
        <v>57</v>
      </c>
      <c r="N1640" s="1">
        <v>0.53968283564814812</v>
      </c>
      <c r="O1640" s="1">
        <f>Table257[[#This Row],[Time]]-TIME(0,0,3)</f>
        <v>0.53964811342592589</v>
      </c>
      <c r="P1640" t="s">
        <v>27</v>
      </c>
      <c r="Q1640">
        <f t="shared" si="247"/>
        <v>-122</v>
      </c>
      <c r="R1640">
        <f>Table257[[#This Row],[RSSI]]</f>
        <v>-122</v>
      </c>
      <c r="S1640">
        <f t="shared" si="248"/>
        <v>-9</v>
      </c>
    </row>
    <row r="1641" spans="2:19" x14ac:dyDescent="0.25">
      <c r="B1641">
        <f>436+2*(Table146[[#This Row],[min value (corrected)]])</f>
        <v>450</v>
      </c>
      <c r="C1641">
        <f>MINUTE(Table146[[#This Row],[Corrected time]])</f>
        <v>7</v>
      </c>
      <c r="D1641" s="1">
        <v>0.50506392361111108</v>
      </c>
      <c r="E1641" s="1">
        <f>Table146[[#This Row],[Time]]-TIME(0,0,1)</f>
        <v>0.50505234953703704</v>
      </c>
      <c r="F1641" t="s">
        <v>13</v>
      </c>
      <c r="G1641">
        <f>G1640</f>
        <v>-122</v>
      </c>
      <c r="H1641">
        <f>Table146[[#This Row],[RSSI]]</f>
        <v>-122</v>
      </c>
      <c r="I1641">
        <f>I1640</f>
        <v>-8.5</v>
      </c>
      <c r="L1641">
        <f>390+2*(Table257[[#This Row],[min value (corrected)]]-27)</f>
        <v>450</v>
      </c>
      <c r="M1641">
        <f>MINUTE(Table257[[#This Row],[Corrected time]])</f>
        <v>57</v>
      </c>
      <c r="N1641" s="1">
        <v>0.53969585648148155</v>
      </c>
      <c r="O1641" s="1">
        <f>Table257[[#This Row],[Time]]-TIME(0,0,3)</f>
        <v>0.53966113425925932</v>
      </c>
      <c r="P1641" t="s">
        <v>13</v>
      </c>
      <c r="Q1641">
        <f t="shared" si="247"/>
        <v>-122</v>
      </c>
      <c r="R1641">
        <f>Table257[[#This Row],[RSSI]]</f>
        <v>-122</v>
      </c>
      <c r="S1641">
        <f t="shared" si="248"/>
        <v>-9</v>
      </c>
    </row>
    <row r="1642" spans="2:19" x14ac:dyDescent="0.25">
      <c r="B1642">
        <f>436+2*(Table146[[#This Row],[min value (corrected)]])</f>
        <v>450</v>
      </c>
      <c r="C1642">
        <f>MINUTE(Table146[[#This Row],[Corrected time]])</f>
        <v>7</v>
      </c>
      <c r="D1642" s="1">
        <v>0.50507695601851854</v>
      </c>
      <c r="E1642" s="1">
        <f>Table146[[#This Row],[Time]]-TIME(0,0,1)</f>
        <v>0.5050653819444445</v>
      </c>
      <c r="F1642" t="s">
        <v>9</v>
      </c>
      <c r="G1642">
        <v>-123</v>
      </c>
      <c r="H1642">
        <f>Table146[[#This Row],[RSSI]]</f>
        <v>-123</v>
      </c>
      <c r="I1642">
        <v>-9</v>
      </c>
      <c r="L1642">
        <f>390+2*(Table257[[#This Row],[min value (corrected)]]-27)</f>
        <v>450</v>
      </c>
      <c r="M1642">
        <f>MINUTE(Table257[[#This Row],[Corrected time]])</f>
        <v>57</v>
      </c>
      <c r="N1642" s="1">
        <v>0.53970890046296294</v>
      </c>
      <c r="O1642" s="1">
        <f>Table257[[#This Row],[Time]]-TIME(0,0,3)</f>
        <v>0.53967417824074071</v>
      </c>
      <c r="P1642" t="s">
        <v>27</v>
      </c>
      <c r="Q1642">
        <f t="shared" si="247"/>
        <v>-122</v>
      </c>
      <c r="R1642">
        <f>Table257[[#This Row],[RSSI]]</f>
        <v>-122</v>
      </c>
      <c r="S1642">
        <f t="shared" si="248"/>
        <v>-9</v>
      </c>
    </row>
    <row r="1643" spans="2:19" x14ac:dyDescent="0.25">
      <c r="B1643">
        <f>436+2*(Table146[[#This Row],[min value (corrected)]])</f>
        <v>450</v>
      </c>
      <c r="C1643">
        <f>MINUTE(Table146[[#This Row],[Corrected time]])</f>
        <v>7</v>
      </c>
      <c r="D1643" s="1">
        <v>0.5050899884259259</v>
      </c>
      <c r="E1643" s="1">
        <f>Table146[[#This Row],[Time]]-TIME(0,0,1)</f>
        <v>0.50507841435185186</v>
      </c>
      <c r="F1643" t="s">
        <v>9</v>
      </c>
      <c r="G1643">
        <v>-122</v>
      </c>
      <c r="H1643">
        <f>Table146[[#This Row],[RSSI]]</f>
        <v>-122</v>
      </c>
      <c r="I1643">
        <v>-9</v>
      </c>
      <c r="L1643">
        <f>390+2*(Table257[[#This Row],[min value (corrected)]]-27)</f>
        <v>450</v>
      </c>
      <c r="M1643">
        <f>MINUTE(Table257[[#This Row],[Corrected time]])</f>
        <v>57</v>
      </c>
      <c r="N1643" s="1">
        <v>0.53972192129629637</v>
      </c>
      <c r="O1643" s="1">
        <f>Table257[[#This Row],[Time]]-TIME(0,0,3)</f>
        <v>0.53968719907407414</v>
      </c>
      <c r="P1643" t="s">
        <v>13</v>
      </c>
      <c r="Q1643">
        <f t="shared" si="247"/>
        <v>-122</v>
      </c>
      <c r="R1643">
        <f>Table257[[#This Row],[RSSI]]</f>
        <v>-122</v>
      </c>
      <c r="S1643">
        <f t="shared" si="248"/>
        <v>-9</v>
      </c>
    </row>
    <row r="1644" spans="2:19" x14ac:dyDescent="0.25">
      <c r="B1644">
        <f>436+2*(Table146[[#This Row],[min value (corrected)]])</f>
        <v>450</v>
      </c>
      <c r="C1644">
        <f>MINUTE(Table146[[#This Row],[Corrected time]])</f>
        <v>7</v>
      </c>
      <c r="D1644" s="1">
        <v>0.50510302083333336</v>
      </c>
      <c r="E1644" s="1">
        <f>Table146[[#This Row],[Time]]-TIME(0,0,1)</f>
        <v>0.50509144675925932</v>
      </c>
      <c r="F1644" t="s">
        <v>9</v>
      </c>
      <c r="G1644">
        <v>-122</v>
      </c>
      <c r="H1644">
        <f>Table146[[#This Row],[RSSI]]</f>
        <v>-122</v>
      </c>
      <c r="I1644">
        <v>-8.8000000000000007</v>
      </c>
      <c r="L1644">
        <f>390+2*(Table257[[#This Row],[min value (corrected)]]-27)</f>
        <v>450</v>
      </c>
      <c r="M1644">
        <f>MINUTE(Table257[[#This Row],[Corrected time]])</f>
        <v>57</v>
      </c>
      <c r="N1644" s="1">
        <v>0.53973495370370372</v>
      </c>
      <c r="O1644" s="1">
        <f>Table257[[#This Row],[Time]]-TIME(0,0,3)</f>
        <v>0.5397002314814815</v>
      </c>
      <c r="P1644" t="s">
        <v>13</v>
      </c>
      <c r="Q1644">
        <f t="shared" si="247"/>
        <v>-122</v>
      </c>
      <c r="R1644">
        <f>Table257[[#This Row],[RSSI]]</f>
        <v>-122</v>
      </c>
      <c r="S1644">
        <f t="shared" si="248"/>
        <v>-9</v>
      </c>
    </row>
    <row r="1645" spans="2:19" x14ac:dyDescent="0.25">
      <c r="B1645">
        <f>436+2*(Table146[[#This Row],[min value (corrected)]])</f>
        <v>450</v>
      </c>
      <c r="C1645">
        <f>MINUTE(Table146[[#This Row],[Corrected time]])</f>
        <v>7</v>
      </c>
      <c r="D1645" s="1">
        <v>0.50511605324074071</v>
      </c>
      <c r="E1645" s="1">
        <f>Table146[[#This Row],[Time]]-TIME(0,0,1)</f>
        <v>0.50510447916666668</v>
      </c>
      <c r="F1645" t="s">
        <v>9</v>
      </c>
      <c r="G1645">
        <v>-122</v>
      </c>
      <c r="H1645">
        <f>Table146[[#This Row],[RSSI]]</f>
        <v>-122</v>
      </c>
      <c r="I1645">
        <v>-8.8000000000000007</v>
      </c>
      <c r="L1645">
        <f>390+2*(Table257[[#This Row],[min value (corrected)]]-27)</f>
        <v>450</v>
      </c>
      <c r="M1645">
        <f>MINUTE(Table257[[#This Row],[Corrected time]])</f>
        <v>57</v>
      </c>
      <c r="N1645" s="1">
        <v>0.53974798611111119</v>
      </c>
      <c r="O1645" s="1">
        <f>Table257[[#This Row],[Time]]-TIME(0,0,3)</f>
        <v>0.53971326388888896</v>
      </c>
      <c r="P1645" t="s">
        <v>13</v>
      </c>
      <c r="Q1645">
        <f t="shared" si="247"/>
        <v>-122</v>
      </c>
      <c r="R1645">
        <f>Table257[[#This Row],[RSSI]]</f>
        <v>-122</v>
      </c>
      <c r="S1645">
        <f t="shared" si="248"/>
        <v>-9</v>
      </c>
    </row>
    <row r="1646" spans="2:19" x14ac:dyDescent="0.25">
      <c r="B1646">
        <f>436+2*(Table146[[#This Row],[min value (corrected)]])</f>
        <v>450</v>
      </c>
      <c r="C1646">
        <f>MINUTE(Table146[[#This Row],[Corrected time]])</f>
        <v>7</v>
      </c>
      <c r="D1646" s="1">
        <v>0.50512908564814818</v>
      </c>
      <c r="E1646" s="1">
        <f>Table146[[#This Row],[Time]]-TIME(0,0,1)</f>
        <v>0.50511751157407414</v>
      </c>
      <c r="F1646" t="s">
        <v>9</v>
      </c>
      <c r="G1646">
        <v>-122</v>
      </c>
      <c r="H1646">
        <f>Table146[[#This Row],[RSSI]]</f>
        <v>-122</v>
      </c>
      <c r="I1646">
        <v>-8.8000000000000007</v>
      </c>
      <c r="L1646">
        <f>390+2*(Table257[[#This Row],[min value (corrected)]]-27)</f>
        <v>450</v>
      </c>
      <c r="M1646">
        <f>MINUTE(Table257[[#This Row],[Corrected time]])</f>
        <v>57</v>
      </c>
      <c r="N1646" s="1">
        <v>0.53976103009259258</v>
      </c>
      <c r="O1646" s="1">
        <f>Table257[[#This Row],[Time]]-TIME(0,0,3)</f>
        <v>0.53972630787037035</v>
      </c>
      <c r="P1646" t="s">
        <v>9</v>
      </c>
      <c r="Q1646">
        <v>-123</v>
      </c>
      <c r="R1646">
        <f>Table257[[#This Row],[RSSI]]</f>
        <v>-123</v>
      </c>
      <c r="S1646">
        <v>-8.8000000000000007</v>
      </c>
    </row>
    <row r="1647" spans="2:19" x14ac:dyDescent="0.25">
      <c r="B1647">
        <f>436+2*(Table146[[#This Row],[min value (corrected)]])</f>
        <v>450</v>
      </c>
      <c r="C1647">
        <f>MINUTE(Table146[[#This Row],[Corrected time]])</f>
        <v>7</v>
      </c>
      <c r="D1647" s="1">
        <v>0.5051421064814815</v>
      </c>
      <c r="E1647" s="1">
        <f>Table146[[#This Row],[Time]]-TIME(0,0,1)</f>
        <v>0.50513053240740746</v>
      </c>
      <c r="F1647" t="s">
        <v>9</v>
      </c>
      <c r="G1647">
        <v>-122</v>
      </c>
      <c r="H1647">
        <f>Table146[[#This Row],[RSSI]]</f>
        <v>-122</v>
      </c>
      <c r="I1647">
        <v>-8.8000000000000007</v>
      </c>
      <c r="L1647">
        <f>390+2*(Table257[[#This Row],[min value (corrected)]]-27)</f>
        <v>450</v>
      </c>
      <c r="M1647">
        <f>MINUTE(Table257[[#This Row],[Corrected time]])</f>
        <v>57</v>
      </c>
      <c r="N1647" s="1">
        <v>0.53977406250000004</v>
      </c>
      <c r="O1647" s="1">
        <f>Table257[[#This Row],[Time]]-TIME(0,0,3)</f>
        <v>0.53973934027777781</v>
      </c>
      <c r="P1647" t="s">
        <v>9</v>
      </c>
      <c r="Q1647">
        <v>-122</v>
      </c>
      <c r="R1647">
        <f>Table257[[#This Row],[RSSI]]</f>
        <v>-122</v>
      </c>
      <c r="S1647">
        <v>-8.5</v>
      </c>
    </row>
    <row r="1648" spans="2:19" x14ac:dyDescent="0.25">
      <c r="B1648">
        <f>436+2*(Table146[[#This Row],[min value (corrected)]])</f>
        <v>450</v>
      </c>
      <c r="C1648">
        <f>MINUTE(Table146[[#This Row],[Corrected time]])</f>
        <v>7</v>
      </c>
      <c r="D1648" s="1">
        <v>0.505155150462963</v>
      </c>
      <c r="E1648" s="1">
        <f>Table146[[#This Row],[Time]]-TIME(0,0,1)</f>
        <v>0.50514357638888896</v>
      </c>
      <c r="F1648" t="s">
        <v>9</v>
      </c>
      <c r="G1648">
        <v>-123</v>
      </c>
      <c r="H1648">
        <f>Table146[[#This Row],[RSSI]]</f>
        <v>-123</v>
      </c>
      <c r="I1648">
        <v>-9</v>
      </c>
      <c r="L1648">
        <f>390+2*(Table257[[#This Row],[min value (corrected)]]-27)</f>
        <v>450</v>
      </c>
      <c r="M1648">
        <f>MINUTE(Table257[[#This Row],[Corrected time]])</f>
        <v>57</v>
      </c>
      <c r="N1648" s="1">
        <v>0.53978708333333336</v>
      </c>
      <c r="O1648" s="1">
        <f>Table257[[#This Row],[Time]]-TIME(0,0,3)</f>
        <v>0.53975236111111113</v>
      </c>
      <c r="P1648" t="s">
        <v>9</v>
      </c>
      <c r="Q1648">
        <v>-122</v>
      </c>
      <c r="R1648">
        <f>Table257[[#This Row],[RSSI]]</f>
        <v>-122</v>
      </c>
      <c r="S1648">
        <v>-8.3000000000000007</v>
      </c>
    </row>
    <row r="1649" spans="12:19" x14ac:dyDescent="0.25">
      <c r="L1649">
        <f>390+2*(Table257[[#This Row],[min value (corrected)]]-27)</f>
        <v>450</v>
      </c>
      <c r="M1649">
        <f>MINUTE(Table257[[#This Row],[Corrected time]])</f>
        <v>57</v>
      </c>
      <c r="N1649" s="1">
        <v>0.53980012731481486</v>
      </c>
      <c r="O1649" s="1">
        <f>Table257[[#This Row],[Time]]-TIME(0,0,3)</f>
        <v>0.53976540509259263</v>
      </c>
      <c r="P1649" t="s">
        <v>9</v>
      </c>
      <c r="Q1649">
        <v>-121</v>
      </c>
      <c r="R1649">
        <f>Table257[[#This Row],[RSSI]]</f>
        <v>-121</v>
      </c>
      <c r="S1649">
        <v>-7.7</v>
      </c>
    </row>
    <row r="1650" spans="12:19" x14ac:dyDescent="0.25">
      <c r="L1650">
        <f>390+2*(Table257[[#This Row],[min value (corrected)]]-27)</f>
        <v>450</v>
      </c>
      <c r="M1650">
        <f>MINUTE(Table257[[#This Row],[Corrected time]])</f>
        <v>57</v>
      </c>
      <c r="N1650" s="1">
        <v>0.53981315972222221</v>
      </c>
      <c r="O1650" s="1">
        <f>Table257[[#This Row],[Time]]-TIME(0,0,3)</f>
        <v>0.53977843749999999</v>
      </c>
      <c r="P1650" t="s">
        <v>9</v>
      </c>
      <c r="Q1650">
        <v>-122</v>
      </c>
      <c r="R1650">
        <f>Table257[[#This Row],[RSSI]]</f>
        <v>-122</v>
      </c>
      <c r="S1650">
        <v>-8.3000000000000007</v>
      </c>
    </row>
    <row r="1651" spans="12:19" x14ac:dyDescent="0.25">
      <c r="L1651">
        <f>390+2*(Table257[[#This Row],[min value (corrected)]]-27)</f>
        <v>450</v>
      </c>
      <c r="M1651">
        <f>MINUTE(Table257[[#This Row],[Corrected time]])</f>
        <v>57</v>
      </c>
      <c r="N1651" s="1">
        <v>0.53982618055555565</v>
      </c>
      <c r="O1651" s="1">
        <f>Table257[[#This Row],[Time]]-TIME(0,0,3)</f>
        <v>0.53979145833333342</v>
      </c>
      <c r="P1651" t="s">
        <v>9</v>
      </c>
      <c r="Q1651">
        <v>-122</v>
      </c>
      <c r="R1651">
        <f>Table257[[#This Row],[RSSI]]</f>
        <v>-122</v>
      </c>
      <c r="S1651">
        <v>-8.8000000000000007</v>
      </c>
    </row>
    <row r="1652" spans="12:19" x14ac:dyDescent="0.25">
      <c r="L1652">
        <f>390+2*(Table257[[#This Row],[min value (corrected)]]-27)</f>
        <v>450</v>
      </c>
      <c r="M1652">
        <f>MINUTE(Table257[[#This Row],[Corrected time]])</f>
        <v>57</v>
      </c>
      <c r="N1652" s="1">
        <v>0.53983922453703703</v>
      </c>
      <c r="O1652" s="1">
        <f>Table257[[#This Row],[Time]]-TIME(0,0,3)</f>
        <v>0.5398045023148148</v>
      </c>
      <c r="P1652" t="s">
        <v>9</v>
      </c>
      <c r="Q1652">
        <v>-123</v>
      </c>
      <c r="R1652">
        <f>Table257[[#This Row],[RSSI]]</f>
        <v>-123</v>
      </c>
      <c r="S1652">
        <v>-9</v>
      </c>
    </row>
    <row r="1653" spans="12:19" x14ac:dyDescent="0.25">
      <c r="L1653">
        <f>390+2*(Table257[[#This Row],[min value (corrected)]]-27)</f>
        <v>450</v>
      </c>
      <c r="M1653">
        <f>MINUTE(Table257[[#This Row],[Corrected time]])</f>
        <v>57</v>
      </c>
      <c r="N1653" s="1">
        <v>0.5398522569444445</v>
      </c>
      <c r="O1653" s="1">
        <f>Table257[[#This Row],[Time]]-TIME(0,0,3)</f>
        <v>0.53981753472222227</v>
      </c>
      <c r="P1653" t="s">
        <v>13</v>
      </c>
      <c r="Q1653">
        <f>Q1652</f>
        <v>-123</v>
      </c>
      <c r="R1653">
        <f>Table257[[#This Row],[RSSI]]</f>
        <v>-123</v>
      </c>
      <c r="S1653">
        <f>S1652</f>
        <v>-9</v>
      </c>
    </row>
    <row r="1654" spans="12:19" x14ac:dyDescent="0.25">
      <c r="L1654">
        <f>390+2*(Table257[[#This Row],[min value (corrected)]]-27)</f>
        <v>450</v>
      </c>
      <c r="M1654">
        <f>MINUTE(Table257[[#This Row],[Corrected time]])</f>
        <v>57</v>
      </c>
      <c r="N1654" s="1">
        <v>0.53986528935185185</v>
      </c>
      <c r="O1654" s="1">
        <f>Table257[[#This Row],[Time]]-TIME(0,0,3)</f>
        <v>0.53983056712962962</v>
      </c>
      <c r="P1654" t="s">
        <v>9</v>
      </c>
      <c r="Q1654">
        <v>-122</v>
      </c>
      <c r="R1654">
        <f>Table257[[#This Row],[RSSI]]</f>
        <v>-122</v>
      </c>
      <c r="S1654">
        <v>-8</v>
      </c>
    </row>
    <row r="1655" spans="12:19" x14ac:dyDescent="0.25">
      <c r="L1655">
        <f>390+2*(Table257[[#This Row],[min value (corrected)]]-27)</f>
        <v>450</v>
      </c>
      <c r="M1655">
        <f>MINUTE(Table257[[#This Row],[Corrected time]])</f>
        <v>57</v>
      </c>
      <c r="N1655" s="1">
        <v>0.53987832175925932</v>
      </c>
      <c r="O1655" s="1">
        <f>Table257[[#This Row],[Time]]-TIME(0,0,3)</f>
        <v>0.53984359953703709</v>
      </c>
      <c r="P1655" t="s">
        <v>27</v>
      </c>
      <c r="Q1655">
        <f>Q1654</f>
        <v>-122</v>
      </c>
      <c r="R1655">
        <f>Table257[[#This Row],[RSSI]]</f>
        <v>-122</v>
      </c>
      <c r="S1655">
        <f>S1654</f>
        <v>-8</v>
      </c>
    </row>
    <row r="1656" spans="12:19" x14ac:dyDescent="0.25">
      <c r="L1656">
        <f>390+2*(Table257[[#This Row],[min value (corrected)]]-27)</f>
        <v>450</v>
      </c>
      <c r="M1656">
        <f>MINUTE(Table257[[#This Row],[Corrected time]])</f>
        <v>57</v>
      </c>
      <c r="N1656" s="1">
        <v>0.53989135416666667</v>
      </c>
      <c r="O1656" s="1">
        <f>Table257[[#This Row],[Time]]-TIME(0,0,3)</f>
        <v>0.53985663194444444</v>
      </c>
      <c r="P1656" t="s">
        <v>9</v>
      </c>
      <c r="Q1656">
        <v>-122</v>
      </c>
      <c r="R1656">
        <f>Table257[[#This Row],[RSSI]]</f>
        <v>-122</v>
      </c>
      <c r="S1656">
        <v>-8.5</v>
      </c>
    </row>
    <row r="1657" spans="12:19" x14ac:dyDescent="0.25">
      <c r="L1657">
        <f>390+2*(Table257[[#This Row],[min value (corrected)]]-27)</f>
        <v>450</v>
      </c>
      <c r="M1657">
        <f>MINUTE(Table257[[#This Row],[Corrected time]])</f>
        <v>57</v>
      </c>
      <c r="N1657" s="1">
        <v>0.53990436342592596</v>
      </c>
      <c r="O1657" s="1">
        <f>Table257[[#This Row],[Time]]-TIME(0,0,3)</f>
        <v>0.53986964120370373</v>
      </c>
      <c r="P1657" t="s">
        <v>9</v>
      </c>
      <c r="Q1657">
        <v>-122</v>
      </c>
      <c r="R1657">
        <f>Table257[[#This Row],[RSSI]]</f>
        <v>-122</v>
      </c>
      <c r="S1657">
        <v>-8.8000000000000007</v>
      </c>
    </row>
    <row r="1658" spans="12:19" x14ac:dyDescent="0.25">
      <c r="L1658">
        <f>390+2*(Table257[[#This Row],[min value (corrected)]]-27)</f>
        <v>450</v>
      </c>
      <c r="M1658">
        <f>MINUTE(Table257[[#This Row],[Corrected time]])</f>
        <v>57</v>
      </c>
      <c r="N1658" s="1">
        <v>0.53991741898148149</v>
      </c>
      <c r="O1658" s="1">
        <f>Table257[[#This Row],[Time]]-TIME(0,0,3)</f>
        <v>0.53988269675925926</v>
      </c>
      <c r="P1658" t="s">
        <v>9</v>
      </c>
      <c r="Q1658">
        <v>-121</v>
      </c>
      <c r="R1658">
        <f>Table257[[#This Row],[RSSI]]</f>
        <v>-121</v>
      </c>
      <c r="S1658">
        <v>-8.3000000000000007</v>
      </c>
    </row>
    <row r="1659" spans="12:19" x14ac:dyDescent="0.25">
      <c r="L1659">
        <f>390+2*(Table257[[#This Row],[min value (corrected)]]-27)</f>
        <v>450</v>
      </c>
      <c r="M1659">
        <f>MINUTE(Table257[[#This Row],[Corrected time]])</f>
        <v>57</v>
      </c>
      <c r="N1659" s="1">
        <v>0.53993043981481481</v>
      </c>
      <c r="O1659" s="1">
        <f>Table257[[#This Row],[Time]]-TIME(0,0,3)</f>
        <v>0.53989571759259258</v>
      </c>
      <c r="P1659" t="s">
        <v>9</v>
      </c>
      <c r="Q1659">
        <v>-122</v>
      </c>
      <c r="R1659">
        <f>Table257[[#This Row],[RSSI]]</f>
        <v>-122</v>
      </c>
      <c r="S1659">
        <v>-8.5</v>
      </c>
    </row>
    <row r="1660" spans="12:19" x14ac:dyDescent="0.25">
      <c r="L1660">
        <f>390+2*(Table257[[#This Row],[min value (corrected)]]-27)</f>
        <v>450</v>
      </c>
      <c r="M1660">
        <f>MINUTE(Table257[[#This Row],[Corrected time]])</f>
        <v>57</v>
      </c>
      <c r="N1660" s="1">
        <v>0.53994347222222228</v>
      </c>
      <c r="O1660" s="1">
        <f>Table257[[#This Row],[Time]]-TIME(0,0,3)</f>
        <v>0.53990875000000005</v>
      </c>
      <c r="P1660" t="s">
        <v>9</v>
      </c>
      <c r="Q1660">
        <v>-122</v>
      </c>
      <c r="R1660">
        <f>Table257[[#This Row],[RSSI]]</f>
        <v>-122</v>
      </c>
      <c r="S1660">
        <v>-7.7</v>
      </c>
    </row>
    <row r="1661" spans="12:19" x14ac:dyDescent="0.25">
      <c r="L1661">
        <f>390+2*(Table257[[#This Row],[min value (corrected)]]-27)</f>
        <v>450</v>
      </c>
      <c r="M1661">
        <f>MINUTE(Table257[[#This Row],[Corrected time]])</f>
        <v>57</v>
      </c>
      <c r="N1661" s="1">
        <v>0.53995650462962963</v>
      </c>
      <c r="O1661" s="1">
        <f>Table257[[#This Row],[Time]]-TIME(0,0,3)</f>
        <v>0.5399217824074074</v>
      </c>
      <c r="P1661" t="s">
        <v>9</v>
      </c>
      <c r="Q1661">
        <v>-122</v>
      </c>
      <c r="R1661">
        <f>Table257[[#This Row],[RSSI]]</f>
        <v>-122</v>
      </c>
      <c r="S1661">
        <v>-9.3000000000000007</v>
      </c>
    </row>
    <row r="1662" spans="12:19" x14ac:dyDescent="0.25">
      <c r="L1662">
        <f>390+2*(Table257[[#This Row],[min value (corrected)]]-27)</f>
        <v>450</v>
      </c>
      <c r="M1662">
        <f>MINUTE(Table257[[#This Row],[Corrected time]])</f>
        <v>57</v>
      </c>
      <c r="N1662" s="1">
        <v>0.5399695370370371</v>
      </c>
      <c r="O1662" s="1">
        <f>Table257[[#This Row],[Time]]-TIME(0,0,3)</f>
        <v>0.53993481481481487</v>
      </c>
      <c r="P1662" t="s">
        <v>13</v>
      </c>
      <c r="Q1662">
        <f>Q1661</f>
        <v>-122</v>
      </c>
      <c r="R1662">
        <f>Table257[[#This Row],[RSSI]]</f>
        <v>-122</v>
      </c>
      <c r="S1662">
        <f>S1661</f>
        <v>-9.3000000000000007</v>
      </c>
    </row>
    <row r="1663" spans="12:19" x14ac:dyDescent="0.25">
      <c r="L1663">
        <f>390+2*(Table257[[#This Row],[min value (corrected)]]-27)</f>
        <v>450</v>
      </c>
      <c r="M1663">
        <f>MINUTE(Table257[[#This Row],[Corrected time]])</f>
        <v>57</v>
      </c>
      <c r="N1663" s="1">
        <v>0.53998258101851859</v>
      </c>
      <c r="O1663" s="1">
        <f>Table257[[#This Row],[Time]]-TIME(0,0,3)</f>
        <v>0.53994785879629636</v>
      </c>
      <c r="P1663" t="s">
        <v>9</v>
      </c>
      <c r="Q1663">
        <v>-122</v>
      </c>
      <c r="R1663">
        <f>Table257[[#This Row],[RSSI]]</f>
        <v>-122</v>
      </c>
      <c r="S1663">
        <v>-8.5</v>
      </c>
    </row>
    <row r="1664" spans="12:19" x14ac:dyDescent="0.25">
      <c r="L1664">
        <f>390+2*(Table257[[#This Row],[min value (corrected)]]-27)</f>
        <v>450</v>
      </c>
      <c r="M1664">
        <f>MINUTE(Table257[[#This Row],[Corrected time]])</f>
        <v>57</v>
      </c>
      <c r="N1664" s="1">
        <v>0.53999561342592595</v>
      </c>
      <c r="O1664" s="1">
        <f>Table257[[#This Row],[Time]]-TIME(0,0,3)</f>
        <v>0.53996089120370372</v>
      </c>
      <c r="P1664" t="s">
        <v>9</v>
      </c>
      <c r="Q1664">
        <v>-122</v>
      </c>
      <c r="R1664">
        <f>Table257[[#This Row],[RSSI]]</f>
        <v>-122</v>
      </c>
      <c r="S1664">
        <v>-8.5</v>
      </c>
    </row>
    <row r="1665" spans="12:19" x14ac:dyDescent="0.25">
      <c r="L1665">
        <f>390+2*(Table257[[#This Row],[min value (corrected)]]-27)</f>
        <v>450</v>
      </c>
      <c r="M1665">
        <f>MINUTE(Table257[[#This Row],[Corrected time]])</f>
        <v>57</v>
      </c>
      <c r="N1665" s="1">
        <v>0.54000863425925927</v>
      </c>
      <c r="O1665" s="1">
        <f>Table257[[#This Row],[Time]]-TIME(0,0,3)</f>
        <v>0.53997391203703704</v>
      </c>
      <c r="P1665" t="s">
        <v>9</v>
      </c>
      <c r="Q1665">
        <v>-121</v>
      </c>
      <c r="R1665">
        <f>Table257[[#This Row],[RSSI]]</f>
        <v>-121</v>
      </c>
      <c r="S1665">
        <v>-7.5</v>
      </c>
    </row>
    <row r="1666" spans="12:19" x14ac:dyDescent="0.25">
      <c r="L1666">
        <f>390+2*(Table257[[#This Row],[min value (corrected)]]-27)</f>
        <v>450</v>
      </c>
      <c r="M1666">
        <f>MINUTE(Table257[[#This Row],[Corrected time]])</f>
        <v>57</v>
      </c>
      <c r="N1666" s="1">
        <v>0.54002166666666673</v>
      </c>
      <c r="O1666" s="1">
        <f>Table257[[#This Row],[Time]]-TIME(0,0,3)</f>
        <v>0.53998694444444451</v>
      </c>
      <c r="P1666" t="s">
        <v>9</v>
      </c>
      <c r="Q1666">
        <v>-123</v>
      </c>
      <c r="R1666">
        <f>Table257[[#This Row],[RSSI]]</f>
        <v>-123</v>
      </c>
      <c r="S1666">
        <v>-8.8000000000000007</v>
      </c>
    </row>
    <row r="1667" spans="12:19" x14ac:dyDescent="0.25">
      <c r="L1667">
        <f>390+2*(Table257[[#This Row],[min value (corrected)]]-27)</f>
        <v>450</v>
      </c>
      <c r="M1667">
        <f>MINUTE(Table257[[#This Row],[Corrected time]])</f>
        <v>57</v>
      </c>
      <c r="N1667" s="1">
        <v>0.54003469907407409</v>
      </c>
      <c r="O1667" s="1">
        <f>Table257[[#This Row],[Time]]-TIME(0,0,3)</f>
        <v>0.53999997685185186</v>
      </c>
      <c r="P1667" t="s">
        <v>9</v>
      </c>
      <c r="Q1667">
        <v>-119</v>
      </c>
      <c r="R1667">
        <f>Table257[[#This Row],[RSSI]]</f>
        <v>-119</v>
      </c>
      <c r="S1667">
        <v>-8.8000000000000007</v>
      </c>
    </row>
    <row r="1668" spans="12:19" x14ac:dyDescent="0.25">
      <c r="L1668">
        <f>390+2*(Table257[[#This Row],[min value (corrected)]]-27)</f>
        <v>450</v>
      </c>
      <c r="M1668">
        <f>MINUTE(Table257[[#This Row],[Corrected time]])</f>
        <v>57</v>
      </c>
      <c r="N1668" s="1">
        <v>0.54004773148148155</v>
      </c>
      <c r="O1668" s="1">
        <f>Table257[[#This Row],[Time]]-TIME(0,0,3)</f>
        <v>0.54001300925925932</v>
      </c>
      <c r="P1668" t="s">
        <v>9</v>
      </c>
      <c r="Q1668">
        <v>-122</v>
      </c>
      <c r="R1668">
        <f>Table257[[#This Row],[RSSI]]</f>
        <v>-122</v>
      </c>
      <c r="S1668">
        <v>-8.3000000000000007</v>
      </c>
    </row>
    <row r="1669" spans="12:19" x14ac:dyDescent="0.25">
      <c r="L1669">
        <f>390+2*(Table257[[#This Row],[min value (corrected)]]-27)</f>
        <v>450</v>
      </c>
      <c r="M1669">
        <f>MINUTE(Table257[[#This Row],[Corrected time]])</f>
        <v>57</v>
      </c>
      <c r="N1669" s="1">
        <v>0.54006076388888891</v>
      </c>
      <c r="O1669" s="1">
        <f>Table257[[#This Row],[Time]]-TIME(0,0,3)</f>
        <v>0.54002604166666668</v>
      </c>
      <c r="P1669" t="s">
        <v>9</v>
      </c>
      <c r="Q1669">
        <v>-122</v>
      </c>
      <c r="R1669">
        <f>Table257[[#This Row],[RSSI]]</f>
        <v>-122</v>
      </c>
      <c r="S1669">
        <v>-8.3000000000000007</v>
      </c>
    </row>
    <row r="1670" spans="12:19" x14ac:dyDescent="0.25">
      <c r="L1670">
        <f>390+2*(Table257[[#This Row],[min value (corrected)]]-27)</f>
        <v>450</v>
      </c>
      <c r="M1670">
        <f>MINUTE(Table257[[#This Row],[Corrected time]])</f>
        <v>57</v>
      </c>
      <c r="N1670" s="1">
        <v>0.54007379629629626</v>
      </c>
      <c r="O1670" s="1">
        <f>Table257[[#This Row],[Time]]-TIME(0,0,3)</f>
        <v>0.54003907407407403</v>
      </c>
      <c r="P1670" t="s">
        <v>9</v>
      </c>
      <c r="Q1670">
        <v>-122</v>
      </c>
      <c r="R1670">
        <f>Table257[[#This Row],[RSSI]]</f>
        <v>-122</v>
      </c>
      <c r="S1670">
        <v>-8.8000000000000007</v>
      </c>
    </row>
    <row r="1671" spans="12:19" x14ac:dyDescent="0.25">
      <c r="L1671">
        <f>390+2*(Table257[[#This Row],[min value (corrected)]]-27)</f>
        <v>450</v>
      </c>
      <c r="M1671">
        <f>MINUTE(Table257[[#This Row],[Corrected time]])</f>
        <v>57</v>
      </c>
      <c r="N1671" s="1">
        <v>0.54008684027777776</v>
      </c>
      <c r="O1671" s="1">
        <f>Table257[[#This Row],[Time]]-TIME(0,0,3)</f>
        <v>0.54005211805555553</v>
      </c>
      <c r="P1671" t="s">
        <v>9</v>
      </c>
      <c r="Q1671">
        <v>-122</v>
      </c>
      <c r="R1671">
        <f>Table257[[#This Row],[RSSI]]</f>
        <v>-122</v>
      </c>
      <c r="S1671">
        <v>-8.3000000000000007</v>
      </c>
    </row>
    <row r="1672" spans="12:19" x14ac:dyDescent="0.25">
      <c r="L1672">
        <f>390+2*(Table257[[#This Row],[min value (corrected)]]-27)</f>
        <v>450</v>
      </c>
      <c r="M1672">
        <f>MINUTE(Table257[[#This Row],[Corrected time]])</f>
        <v>57</v>
      </c>
      <c r="N1672" s="1">
        <v>0.54009987268518522</v>
      </c>
      <c r="O1672" s="1">
        <f>Table257[[#This Row],[Time]]-TIME(0,0,3)</f>
        <v>0.540065150462963</v>
      </c>
      <c r="P1672" t="s">
        <v>9</v>
      </c>
      <c r="Q1672">
        <v>-122</v>
      </c>
      <c r="R1672">
        <f>Table257[[#This Row],[RSSI]]</f>
        <v>-122</v>
      </c>
      <c r="S1672">
        <v>-8.8000000000000007</v>
      </c>
    </row>
    <row r="1673" spans="12:19" x14ac:dyDescent="0.25">
      <c r="L1673">
        <f>390+2*(Table257[[#This Row],[min value (corrected)]]-27)</f>
        <v>450</v>
      </c>
      <c r="M1673">
        <f>MINUTE(Table257[[#This Row],[Corrected time]])</f>
        <v>57</v>
      </c>
      <c r="N1673" s="1">
        <v>0.54011289351851854</v>
      </c>
      <c r="O1673" s="1">
        <f>Table257[[#This Row],[Time]]-TIME(0,0,3)</f>
        <v>0.54007817129629632</v>
      </c>
      <c r="P1673" t="s">
        <v>9</v>
      </c>
      <c r="Q1673">
        <v>-122</v>
      </c>
      <c r="R1673">
        <f>Table257[[#This Row],[RSSI]]</f>
        <v>-122</v>
      </c>
      <c r="S1673">
        <v>-8.3000000000000007</v>
      </c>
    </row>
    <row r="1674" spans="12:19" x14ac:dyDescent="0.25">
      <c r="L1674">
        <f>390+2*(Table257[[#This Row],[min value (corrected)]]-27)</f>
        <v>450</v>
      </c>
      <c r="M1674">
        <f>MINUTE(Table257[[#This Row],[Corrected time]])</f>
        <v>57</v>
      </c>
      <c r="N1674" s="1">
        <v>0.5401259259259259</v>
      </c>
      <c r="O1674" s="1">
        <f>Table257[[#This Row],[Time]]-TIME(0,0,3)</f>
        <v>0.54009120370370367</v>
      </c>
      <c r="P1674" t="s">
        <v>13</v>
      </c>
      <c r="Q1674">
        <f>Q1673</f>
        <v>-122</v>
      </c>
      <c r="R1674">
        <f>Table257[[#This Row],[RSSI]]</f>
        <v>-122</v>
      </c>
      <c r="S1674">
        <f>S1673</f>
        <v>-8.3000000000000007</v>
      </c>
    </row>
    <row r="1675" spans="12:19" x14ac:dyDescent="0.25">
      <c r="L1675">
        <f>390+2*(Table257[[#This Row],[min value (corrected)]]-27)</f>
        <v>450</v>
      </c>
      <c r="M1675">
        <f>MINUTE(Table257[[#This Row],[Corrected time]])</f>
        <v>57</v>
      </c>
      <c r="N1675" s="1">
        <v>0.54013895833333336</v>
      </c>
      <c r="O1675" s="1">
        <f>Table257[[#This Row],[Time]]-TIME(0,0,3)</f>
        <v>0.54010423611111114</v>
      </c>
      <c r="P1675" t="s">
        <v>9</v>
      </c>
      <c r="Q1675">
        <v>-123</v>
      </c>
      <c r="R1675">
        <f>Table257[[#This Row],[RSSI]]</f>
        <v>-123</v>
      </c>
      <c r="S1675">
        <v>-9</v>
      </c>
    </row>
    <row r="1676" spans="12:19" x14ac:dyDescent="0.25">
      <c r="L1676">
        <f>390+2*(Table257[[#This Row],[min value (corrected)]]-27)</f>
        <v>450</v>
      </c>
      <c r="M1676">
        <f>MINUTE(Table257[[#This Row],[Corrected time]])</f>
        <v>57</v>
      </c>
      <c r="N1676" s="1">
        <v>0.54015199074074072</v>
      </c>
      <c r="O1676" s="1">
        <f>Table257[[#This Row],[Time]]-TIME(0,0,3)</f>
        <v>0.54011726851851849</v>
      </c>
      <c r="P1676" t="s">
        <v>9</v>
      </c>
      <c r="Q1676">
        <v>-122</v>
      </c>
      <c r="R1676">
        <f>Table257[[#This Row],[RSSI]]</f>
        <v>-122</v>
      </c>
      <c r="S1676">
        <v>-8.8000000000000007</v>
      </c>
    </row>
    <row r="1677" spans="12:19" x14ac:dyDescent="0.25">
      <c r="L1677">
        <f>390+2*(Table257[[#This Row],[min value (corrected)]]-27)</f>
        <v>450</v>
      </c>
      <c r="M1677">
        <f>MINUTE(Table257[[#This Row],[Corrected time]])</f>
        <v>57</v>
      </c>
      <c r="N1677" s="1">
        <v>0.54016502314814818</v>
      </c>
      <c r="O1677" s="1">
        <f>Table257[[#This Row],[Time]]-TIME(0,0,3)</f>
        <v>0.54013030092592595</v>
      </c>
      <c r="P1677" t="s">
        <v>9</v>
      </c>
      <c r="Q1677">
        <v>-122</v>
      </c>
      <c r="R1677">
        <f>Table257[[#This Row],[RSSI]]</f>
        <v>-122</v>
      </c>
      <c r="S1677">
        <v>-8.5</v>
      </c>
    </row>
    <row r="1678" spans="12:19" x14ac:dyDescent="0.25">
      <c r="L1678">
        <f>390+2*(Table257[[#This Row],[min value (corrected)]]-27)</f>
        <v>450</v>
      </c>
      <c r="M1678">
        <f>MINUTE(Table257[[#This Row],[Corrected time]])</f>
        <v>57</v>
      </c>
      <c r="N1678" s="1">
        <v>0.54017805555555554</v>
      </c>
      <c r="O1678" s="1">
        <f>Table257[[#This Row],[Time]]-TIME(0,0,3)</f>
        <v>0.54014333333333331</v>
      </c>
      <c r="P1678" t="s">
        <v>9</v>
      </c>
      <c r="Q1678">
        <v>-122</v>
      </c>
      <c r="R1678">
        <f>Table257[[#This Row],[RSSI]]</f>
        <v>-122</v>
      </c>
      <c r="S1678">
        <v>-8.3000000000000007</v>
      </c>
    </row>
    <row r="1679" spans="12:19" x14ac:dyDescent="0.25">
      <c r="L1679">
        <f>390+2*(Table257[[#This Row],[min value (corrected)]]-27)</f>
        <v>450</v>
      </c>
      <c r="M1679">
        <f>MINUTE(Table257[[#This Row],[Corrected time]])</f>
        <v>57</v>
      </c>
      <c r="N1679" s="1">
        <v>0.540191087962963</v>
      </c>
      <c r="O1679" s="1">
        <f>Table257[[#This Row],[Time]]-TIME(0,0,3)</f>
        <v>0.54015636574074077</v>
      </c>
      <c r="P1679" t="s">
        <v>27</v>
      </c>
      <c r="Q1679">
        <f>Q1678</f>
        <v>-122</v>
      </c>
      <c r="R1679">
        <f>Table257[[#This Row],[RSSI]]</f>
        <v>-122</v>
      </c>
      <c r="S1679">
        <f>S1678</f>
        <v>-8.3000000000000007</v>
      </c>
    </row>
    <row r="1680" spans="12:19" x14ac:dyDescent="0.25">
      <c r="L1680">
        <f>390+2*(Table257[[#This Row],[min value (corrected)]]-27)</f>
        <v>450</v>
      </c>
      <c r="M1680">
        <f>MINUTE(Table257[[#This Row],[Corrected time]])</f>
        <v>57</v>
      </c>
      <c r="N1680" s="1">
        <v>0.54020412037037036</v>
      </c>
      <c r="O1680" s="1">
        <f>Table257[[#This Row],[Time]]-TIME(0,0,3)</f>
        <v>0.54016939814814813</v>
      </c>
      <c r="P1680" t="s">
        <v>9</v>
      </c>
      <c r="Q1680">
        <v>-122</v>
      </c>
      <c r="R1680">
        <f>Table257[[#This Row],[RSSI]]</f>
        <v>-122</v>
      </c>
      <c r="S1680">
        <v>-8.5</v>
      </c>
    </row>
    <row r="1681" spans="12:19" x14ac:dyDescent="0.25">
      <c r="L1681">
        <f>390+2*(Table257[[#This Row],[min value (corrected)]]-27)</f>
        <v>450</v>
      </c>
      <c r="M1681">
        <f>MINUTE(Table257[[#This Row],[Corrected time]])</f>
        <v>57</v>
      </c>
      <c r="N1681" s="1">
        <v>0.54021715277777782</v>
      </c>
      <c r="O1681" s="1">
        <f>Table257[[#This Row],[Time]]-TIME(0,0,3)</f>
        <v>0.54018243055555559</v>
      </c>
      <c r="P1681" t="s">
        <v>9</v>
      </c>
      <c r="Q1681">
        <v>-122</v>
      </c>
      <c r="R1681">
        <f>Table257[[#This Row],[RSSI]]</f>
        <v>-122</v>
      </c>
      <c r="S1681">
        <v>-8</v>
      </c>
    </row>
    <row r="1682" spans="12:19" x14ac:dyDescent="0.25">
      <c r="L1682">
        <f>390+2*(Table257[[#This Row],[min value (corrected)]]-27)</f>
        <v>450</v>
      </c>
      <c r="M1682">
        <f>MINUTE(Table257[[#This Row],[Corrected time]])</f>
        <v>57</v>
      </c>
      <c r="N1682" s="1">
        <v>0.54023018518518517</v>
      </c>
      <c r="O1682" s="1">
        <f>Table257[[#This Row],[Time]]-TIME(0,0,3)</f>
        <v>0.54019546296296295</v>
      </c>
      <c r="P1682" t="s">
        <v>9</v>
      </c>
      <c r="Q1682">
        <v>-122</v>
      </c>
      <c r="R1682">
        <f>Table257[[#This Row],[RSSI]]</f>
        <v>-122</v>
      </c>
      <c r="S1682">
        <v>-8.3000000000000007</v>
      </c>
    </row>
    <row r="1683" spans="12:19" x14ac:dyDescent="0.25">
      <c r="L1683">
        <f>390+2*(Table257[[#This Row],[min value (corrected)]]-27)</f>
        <v>450</v>
      </c>
      <c r="M1683">
        <f>MINUTE(Table257[[#This Row],[Corrected time]])</f>
        <v>57</v>
      </c>
      <c r="N1683" s="1">
        <v>0.54024321759259264</v>
      </c>
      <c r="O1683" s="1">
        <f>Table257[[#This Row],[Time]]-TIME(0,0,3)</f>
        <v>0.54020849537037041</v>
      </c>
      <c r="P1683" t="s">
        <v>13</v>
      </c>
      <c r="Q1683">
        <f>Q1682</f>
        <v>-122</v>
      </c>
      <c r="R1683">
        <f>Table257[[#This Row],[RSSI]]</f>
        <v>-122</v>
      </c>
      <c r="S1683">
        <f>S1682</f>
        <v>-8.3000000000000007</v>
      </c>
    </row>
    <row r="1684" spans="12:19" x14ac:dyDescent="0.25">
      <c r="L1684">
        <f>390+2*(Table257[[#This Row],[min value (corrected)]]-27)</f>
        <v>450</v>
      </c>
      <c r="M1684">
        <f>MINUTE(Table257[[#This Row],[Corrected time]])</f>
        <v>57</v>
      </c>
      <c r="N1684" s="1">
        <v>0.54025624999999999</v>
      </c>
      <c r="O1684" s="1">
        <f>Table257[[#This Row],[Time]]-TIME(0,0,3)</f>
        <v>0.54022152777777777</v>
      </c>
      <c r="P1684" t="s">
        <v>9</v>
      </c>
      <c r="Q1684">
        <v>-122</v>
      </c>
      <c r="R1684">
        <f>Table257[[#This Row],[RSSI]]</f>
        <v>-122</v>
      </c>
      <c r="S1684">
        <v>-8</v>
      </c>
    </row>
    <row r="1685" spans="12:19" x14ac:dyDescent="0.25">
      <c r="L1685">
        <f>390+2*(Table257[[#This Row],[min value (corrected)]]-27)</f>
        <v>450</v>
      </c>
      <c r="M1685">
        <f>MINUTE(Table257[[#This Row],[Corrected time]])</f>
        <v>57</v>
      </c>
      <c r="N1685" s="1">
        <v>0.54026928240740746</v>
      </c>
      <c r="O1685" s="1">
        <f>Table257[[#This Row],[Time]]-TIME(0,0,3)</f>
        <v>0.54023456018518523</v>
      </c>
      <c r="P1685" t="s">
        <v>9</v>
      </c>
      <c r="Q1685">
        <v>-122</v>
      </c>
      <c r="R1685">
        <f>Table257[[#This Row],[RSSI]]</f>
        <v>-122</v>
      </c>
      <c r="S1685">
        <v>-8</v>
      </c>
    </row>
    <row r="1686" spans="12:19" x14ac:dyDescent="0.25">
      <c r="L1686">
        <f>390+2*(Table257[[#This Row],[min value (corrected)]]-27)</f>
        <v>450</v>
      </c>
      <c r="M1686">
        <f>MINUTE(Table257[[#This Row],[Corrected time]])</f>
        <v>57</v>
      </c>
      <c r="N1686" s="1">
        <v>0.54028231481481481</v>
      </c>
      <c r="O1686" s="1">
        <f>Table257[[#This Row],[Time]]-TIME(0,0,3)</f>
        <v>0.54024759259259258</v>
      </c>
      <c r="P1686" t="s">
        <v>13</v>
      </c>
      <c r="Q1686">
        <f>Q1685</f>
        <v>-122</v>
      </c>
      <c r="R1686">
        <f>Table257[[#This Row],[RSSI]]</f>
        <v>-122</v>
      </c>
      <c r="S1686">
        <f>S1685</f>
        <v>-8</v>
      </c>
    </row>
    <row r="1687" spans="12:19" x14ac:dyDescent="0.25">
      <c r="L1687">
        <f>390+2*(Table257[[#This Row],[min value (corrected)]]-27)</f>
        <v>450</v>
      </c>
      <c r="M1687">
        <f>MINUTE(Table257[[#This Row],[Corrected time]])</f>
        <v>57</v>
      </c>
      <c r="N1687" s="1">
        <v>0.54029534722222217</v>
      </c>
      <c r="O1687" s="1">
        <f>Table257[[#This Row],[Time]]-TIME(0,0,3)</f>
        <v>0.54026062499999994</v>
      </c>
      <c r="P1687" t="s">
        <v>9</v>
      </c>
      <c r="Q1687">
        <v>-122</v>
      </c>
      <c r="R1687">
        <f>Table257[[#This Row],[RSSI]]</f>
        <v>-122</v>
      </c>
      <c r="S1687">
        <v>-8.5</v>
      </c>
    </row>
    <row r="1688" spans="12:19" x14ac:dyDescent="0.25">
      <c r="L1688">
        <f>390+2*(Table257[[#This Row],[min value (corrected)]]-27)</f>
        <v>452</v>
      </c>
      <c r="M1688">
        <f>MINUTE(Table257[[#This Row],[Corrected time]])</f>
        <v>58</v>
      </c>
      <c r="N1688" s="1">
        <v>0.54030837962962963</v>
      </c>
      <c r="O1688" s="1">
        <f>Table257[[#This Row],[Time]]-TIME(0,0,3)</f>
        <v>0.5402736574074074</v>
      </c>
      <c r="P1688" t="s">
        <v>9</v>
      </c>
      <c r="Q1688">
        <v>-122</v>
      </c>
      <c r="R1688">
        <f>Table257[[#This Row],[RSSI]]</f>
        <v>-122</v>
      </c>
      <c r="S1688">
        <v>-8.5</v>
      </c>
    </row>
    <row r="1689" spans="12:19" x14ac:dyDescent="0.25">
      <c r="L1689">
        <f>390+2*(Table257[[#This Row],[min value (corrected)]]-27)</f>
        <v>452</v>
      </c>
      <c r="M1689">
        <f>MINUTE(Table257[[#This Row],[Corrected time]])</f>
        <v>58</v>
      </c>
      <c r="N1689" s="1">
        <v>0.54032141203703699</v>
      </c>
      <c r="O1689" s="1">
        <f>Table257[[#This Row],[Time]]-TIME(0,0,3)</f>
        <v>0.54028668981481476</v>
      </c>
      <c r="P1689" t="s">
        <v>9</v>
      </c>
      <c r="Q1689">
        <v>-122</v>
      </c>
      <c r="R1689">
        <f>Table257[[#This Row],[RSSI]]</f>
        <v>-122</v>
      </c>
      <c r="S1689">
        <v>-8.3000000000000007</v>
      </c>
    </row>
    <row r="1690" spans="12:19" x14ac:dyDescent="0.25">
      <c r="L1690">
        <f>390+2*(Table257[[#This Row],[min value (corrected)]]-27)</f>
        <v>452</v>
      </c>
      <c r="M1690">
        <f>MINUTE(Table257[[#This Row],[Corrected time]])</f>
        <v>58</v>
      </c>
      <c r="N1690" s="1">
        <v>0.54033443287037031</v>
      </c>
      <c r="O1690" s="1">
        <f>Table257[[#This Row],[Time]]-TIME(0,0,3)</f>
        <v>0.54029971064814808</v>
      </c>
      <c r="P1690" t="s">
        <v>9</v>
      </c>
      <c r="Q1690">
        <v>-122</v>
      </c>
      <c r="R1690">
        <f>Table257[[#This Row],[RSSI]]</f>
        <v>-122</v>
      </c>
      <c r="S1690">
        <v>-8.3000000000000007</v>
      </c>
    </row>
  </sheetData>
  <mergeCells count="2">
    <mergeCell ref="W2:Z2"/>
    <mergeCell ref="AA2:AD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8608-BC86-469C-B9BF-EEB6E7E46ACD}">
  <dimension ref="B1:AD963"/>
  <sheetViews>
    <sheetView topLeftCell="T33" workbookViewId="0">
      <selection activeCell="AW34" sqref="AW34"/>
    </sheetView>
  </sheetViews>
  <sheetFormatPr defaultRowHeight="15" x14ac:dyDescent="0.25"/>
  <cols>
    <col min="2" max="2" width="13" customWidth="1"/>
    <col min="3" max="3" width="22.85546875" bestFit="1" customWidth="1"/>
    <col min="5" max="5" width="17.140625" bestFit="1" customWidth="1"/>
    <col min="8" max="8" width="17.140625" bestFit="1" customWidth="1"/>
    <col min="12" max="12" width="13" customWidth="1"/>
    <col min="13" max="13" width="22.85546875" bestFit="1" customWidth="1"/>
    <col min="15" max="15" width="17.140625" bestFit="1" customWidth="1"/>
    <col min="18" max="18" width="17.140625" bestFit="1" customWidth="1"/>
    <col min="23" max="23" width="10.85546875" bestFit="1" customWidth="1"/>
    <col min="27" max="27" width="10.85546875" bestFit="1" customWidth="1"/>
  </cols>
  <sheetData>
    <row r="1" spans="2:30" ht="15.75" thickBot="1" x14ac:dyDescent="0.3"/>
    <row r="2" spans="2:30" ht="15.75" thickBot="1" x14ac:dyDescent="0.3">
      <c r="B2" t="s">
        <v>0</v>
      </c>
      <c r="E2" s="16"/>
      <c r="L2" t="s">
        <v>8</v>
      </c>
      <c r="O2" s="16">
        <v>-10</v>
      </c>
      <c r="V2" s="12" t="s">
        <v>21</v>
      </c>
      <c r="W2" s="18" t="s">
        <v>23</v>
      </c>
      <c r="X2" s="19"/>
      <c r="Y2" s="19"/>
      <c r="Z2" s="20"/>
      <c r="AA2" s="18" t="s">
        <v>22</v>
      </c>
      <c r="AB2" s="19"/>
      <c r="AC2" s="19"/>
      <c r="AD2" s="20"/>
    </row>
    <row r="3" spans="2:30" ht="15.75" thickBot="1" x14ac:dyDescent="0.3">
      <c r="B3" t="s">
        <v>7</v>
      </c>
      <c r="C3" t="s">
        <v>35</v>
      </c>
      <c r="D3" t="s">
        <v>2</v>
      </c>
      <c r="E3" t="s">
        <v>32</v>
      </c>
      <c r="F3" t="s">
        <v>3</v>
      </c>
      <c r="G3" t="s">
        <v>4</v>
      </c>
      <c r="H3" t="s">
        <v>33</v>
      </c>
      <c r="I3" t="s">
        <v>5</v>
      </c>
      <c r="L3" t="s">
        <v>7</v>
      </c>
      <c r="M3" t="s">
        <v>35</v>
      </c>
      <c r="N3" t="s">
        <v>2</v>
      </c>
      <c r="O3" t="s">
        <v>32</v>
      </c>
      <c r="P3" t="s">
        <v>3</v>
      </c>
      <c r="Q3" t="s">
        <v>4</v>
      </c>
      <c r="R3" t="s">
        <v>33</v>
      </c>
      <c r="S3" t="s">
        <v>5</v>
      </c>
      <c r="V3" s="12" t="s">
        <v>1</v>
      </c>
      <c r="W3" s="13" t="s">
        <v>25</v>
      </c>
      <c r="X3" s="14" t="s">
        <v>26</v>
      </c>
      <c r="Y3" s="14" t="s">
        <v>4</v>
      </c>
      <c r="Z3" s="15" t="s">
        <v>5</v>
      </c>
      <c r="AA3" s="13" t="s">
        <v>25</v>
      </c>
      <c r="AB3" s="14" t="s">
        <v>26</v>
      </c>
      <c r="AC3" s="14" t="s">
        <v>4</v>
      </c>
      <c r="AD3" s="15" t="s">
        <v>5</v>
      </c>
    </row>
    <row r="4" spans="2:30" x14ac:dyDescent="0.25">
      <c r="C4">
        <f>MINUTE(Table1468[[#This Row],[Corrected time]])</f>
        <v>31</v>
      </c>
      <c r="D4" s="1">
        <v>0.64685181712962969</v>
      </c>
      <c r="E4" s="1">
        <f>Table1468[[#This Row],[Time]]-TIME(0,0,11)</f>
        <v>0.64672450231481493</v>
      </c>
      <c r="F4" t="s">
        <v>9</v>
      </c>
      <c r="G4" t="s">
        <v>37</v>
      </c>
      <c r="H4">
        <f t="shared" ref="H4:H21" si="0">VALUE(LEFT(G4,LEN(G4)-1))</f>
        <v>-113</v>
      </c>
      <c r="I4">
        <v>-7.2</v>
      </c>
      <c r="M4">
        <f>MINUTE(Table2579[[#This Row],[Corrected time]])</f>
        <v>20</v>
      </c>
      <c r="N4" s="1">
        <v>0.63932280092592586</v>
      </c>
      <c r="O4" s="1">
        <f>Table2579[[#This Row],[Time]]-TIME(0,0,10)</f>
        <v>0.63920706018518514</v>
      </c>
      <c r="Q4">
        <v>-113</v>
      </c>
      <c r="R4">
        <f>Table2579[[#This Row],[RSSI]]</f>
        <v>-113</v>
      </c>
      <c r="S4">
        <v>-8</v>
      </c>
      <c r="V4" s="10">
        <v>160</v>
      </c>
      <c r="W4" s="4">
        <f>COUNTIFS(Table1468[Range(nm)], $V4, Table1468[Type], "ACK")/COUNTIFS(Table1468[Range(nm)], $V4)</f>
        <v>0.94736842105263153</v>
      </c>
      <c r="X4" s="5">
        <f>COUNTIFS(Table1468[Range(nm)], $V4, Table1468[Type], "SUT Rx Error")/COUNTIFS(Table1468[Range(nm)], $V4)</f>
        <v>0</v>
      </c>
      <c r="Y4">
        <f>AVERAGEIF(Table1468[Range(nm)], V4, Table1468[Corrected RSSI])</f>
        <v>-112.85964912280701</v>
      </c>
      <c r="Z4" s="3">
        <f>AVERAGEIF(Table1468[Range(nm)], V4, Table1468[SNR])</f>
        <v>-7.6736842105263134</v>
      </c>
      <c r="AA4" s="4">
        <f>COUNTIFS(Table2579[Range(nm)], V4, Table2579[Type], "ACK")/COUNTIFS(Table2579[Range(nm)], V4)</f>
        <v>0.98245614035087714</v>
      </c>
      <c r="AB4" s="5">
        <f>COUNTIFS(Table2579[Range(nm)], $V4, Table2579[Type], "SUT Rx Error")/COUNTIFS(Table2579[Range(nm)], $V4)</f>
        <v>0</v>
      </c>
      <c r="AC4">
        <f>AVERAGEIF(Table2579[Range(nm)], V4, Table2579[Corrected RSSI])</f>
        <v>-112.82456140350877</v>
      </c>
      <c r="AD4" s="3">
        <f>AVERAGEIF(Table2579[Range(nm)], V4, Table2579[SNR])</f>
        <v>-7.8122807017543856</v>
      </c>
    </row>
    <row r="5" spans="2:30" x14ac:dyDescent="0.25">
      <c r="C5">
        <f>MINUTE(Table1468[[#This Row],[Corrected time]])</f>
        <v>31</v>
      </c>
      <c r="D5" s="1">
        <v>0.64686401620370371</v>
      </c>
      <c r="E5" s="1">
        <f>Table1468[[#This Row],[Time]]-TIME(0,0,11)</f>
        <v>0.64673670138888895</v>
      </c>
      <c r="F5" t="s">
        <v>9</v>
      </c>
      <c r="G5" t="s">
        <v>37</v>
      </c>
      <c r="H5">
        <f t="shared" si="0"/>
        <v>-113</v>
      </c>
      <c r="I5">
        <v>-7.5</v>
      </c>
      <c r="M5">
        <f>MINUTE(Table2579[[#This Row],[Corrected time]])</f>
        <v>20</v>
      </c>
      <c r="N5" s="1">
        <v>0.63933498842592595</v>
      </c>
      <c r="O5" s="1">
        <f>Table2579[[#This Row],[Time]]-TIME(0,0,10)</f>
        <v>0.63921924768518523</v>
      </c>
      <c r="Q5">
        <v>-112</v>
      </c>
      <c r="R5">
        <f>Table2579[[#This Row],[RSSI]]</f>
        <v>-112</v>
      </c>
      <c r="S5">
        <v>-7.7</v>
      </c>
      <c r="V5" s="10">
        <f>V4+2</f>
        <v>162</v>
      </c>
      <c r="W5" s="4">
        <f>COUNTIFS(Table1468[Range(nm)], V5, Table1468[Type], "ACK")/COUNTIFS(Table1468[Range(nm)], V5)</f>
        <v>0.98245614035087714</v>
      </c>
      <c r="X5" s="5">
        <f>COUNTIFS(Table1468[Range(nm)], $V5, Table1468[Type], "SUT Rx Error")/COUNTIFS(Table1468[Range(nm)], $V5)</f>
        <v>0</v>
      </c>
      <c r="Y5">
        <f>AVERAGEIF(Table1468[Range(nm)], V5, Table1468[Corrected RSSI])</f>
        <v>-112.91228070175438</v>
      </c>
      <c r="Z5" s="3">
        <f>AVERAGEIF(Table1468[Range(nm)], V5, Table1468[SNR])</f>
        <v>-7.6491228070175419</v>
      </c>
      <c r="AA5" s="4">
        <f>COUNTIFS(Table2579[Range(nm)], V5, Table2579[Type], "ACK")/COUNTIFS(Table2579[Range(nm)], V5)</f>
        <v>0.89473684210526316</v>
      </c>
      <c r="AB5" s="5">
        <f>COUNTIFS(Table2579[Range(nm)], $V5, Table2579[Type], "SUT Rx Error")/COUNTIFS(Table2579[Range(nm)], $V5)</f>
        <v>0</v>
      </c>
      <c r="AC5">
        <f>AVERAGEIF(Table2579[Range(nm)], V5, Table2579[Corrected RSSI])</f>
        <v>-112.92982456140351</v>
      </c>
      <c r="AD5" s="3">
        <f>AVERAGEIF(Table2579[Range(nm)], V5, Table2579[SNR])</f>
        <v>-7.7789473684210506</v>
      </c>
    </row>
    <row r="6" spans="2:30" x14ac:dyDescent="0.25">
      <c r="C6">
        <f>MINUTE(Table1468[[#This Row],[Corrected time]])</f>
        <v>31</v>
      </c>
      <c r="D6" s="1">
        <v>0.64687619212962966</v>
      </c>
      <c r="E6" s="1">
        <f>Table1468[[#This Row],[Time]]-TIME(0,0,11)</f>
        <v>0.6467488773148149</v>
      </c>
      <c r="F6" t="s">
        <v>9</v>
      </c>
      <c r="G6" t="s">
        <v>37</v>
      </c>
      <c r="H6">
        <f t="shared" si="0"/>
        <v>-113</v>
      </c>
      <c r="I6">
        <v>-7</v>
      </c>
      <c r="M6">
        <f>MINUTE(Table2579[[#This Row],[Corrected time]])</f>
        <v>20</v>
      </c>
      <c r="N6" s="1">
        <v>0.63934717592592594</v>
      </c>
      <c r="O6" s="1">
        <f>Table2579[[#This Row],[Time]]-TIME(0,0,10)</f>
        <v>0.63923143518518521</v>
      </c>
      <c r="Q6">
        <v>-113</v>
      </c>
      <c r="R6">
        <f>Table2579[[#This Row],[RSSI]]</f>
        <v>-113</v>
      </c>
      <c r="S6">
        <v>-7.2</v>
      </c>
      <c r="V6" s="10">
        <f t="shared" ref="V6:V34" si="1">V5+2</f>
        <v>164</v>
      </c>
      <c r="W6" s="4">
        <f>COUNTIFS(Table1468[Range(nm)], V6, Table1468[Type], "ACK")/COUNTIFS(Table1468[Range(nm)], V6)</f>
        <v>0.75438596491228072</v>
      </c>
      <c r="X6" s="5">
        <f>COUNTIFS(Table1468[Range(nm)], $V6, Table1468[Type], "SUT Rx Error")/COUNTIFS(Table1468[Range(nm)], $V6)</f>
        <v>1.7543859649122806E-2</v>
      </c>
      <c r="Y6">
        <f>AVERAGEIF(Table1468[Range(nm)], V6, Table1468[Corrected RSSI])</f>
        <v>-113.87719298245614</v>
      </c>
      <c r="Z6" s="3">
        <f>AVERAGEIF(Table1468[Range(nm)], V6, Table1468[SNR])</f>
        <v>-8.59649122807018</v>
      </c>
      <c r="AA6" s="4">
        <f>COUNTIFS(Table2579[Range(nm)], V6, Table2579[Type], "ACK")/COUNTIFS(Table2579[Range(nm)], V6)</f>
        <v>0.56140350877192979</v>
      </c>
      <c r="AB6" s="5">
        <f>COUNTIFS(Table2579[Range(nm)], $V6, Table2579[Type], "SUT Rx Error")/COUNTIFS(Table2579[Range(nm)], $V6)</f>
        <v>1.7543859649122806E-2</v>
      </c>
      <c r="AC6">
        <f>AVERAGEIF(Table2579[Range(nm)], V6, Table2579[Corrected RSSI])</f>
        <v>-113.71929824561404</v>
      </c>
      <c r="AD6" s="3">
        <f>AVERAGEIF(Table2579[Range(nm)], V6, Table2579[SNR])</f>
        <v>-8.6701754385964929</v>
      </c>
    </row>
    <row r="7" spans="2:30" x14ac:dyDescent="0.25">
      <c r="C7">
        <f>MINUTE(Table1468[[#This Row],[Corrected time]])</f>
        <v>31</v>
      </c>
      <c r="D7" s="1">
        <v>0.64688837962962964</v>
      </c>
      <c r="E7" s="1">
        <f>Table1468[[#This Row],[Time]]-TIME(0,0,11)</f>
        <v>0.64676106481481488</v>
      </c>
      <c r="F7" t="s">
        <v>9</v>
      </c>
      <c r="G7" t="s">
        <v>37</v>
      </c>
      <c r="H7">
        <f t="shared" si="0"/>
        <v>-113</v>
      </c>
      <c r="I7">
        <v>-8</v>
      </c>
      <c r="M7">
        <f>MINUTE(Table2579[[#This Row],[Corrected time]])</f>
        <v>20</v>
      </c>
      <c r="N7" s="1">
        <v>0.63935936342592592</v>
      </c>
      <c r="O7" s="1">
        <f>Table2579[[#This Row],[Time]]-TIME(0,0,10)</f>
        <v>0.6392436226851852</v>
      </c>
      <c r="Q7">
        <v>-113</v>
      </c>
      <c r="R7">
        <f>Table2579[[#This Row],[RSSI]]</f>
        <v>-113</v>
      </c>
      <c r="S7">
        <v>-8.5</v>
      </c>
      <c r="V7" s="10">
        <f t="shared" si="1"/>
        <v>166</v>
      </c>
      <c r="W7" s="4">
        <f>COUNTIFS(Table1468[Range(nm)], V7, Table1468[Type], "ACK")/COUNTIFS(Table1468[Range(nm)], V7)</f>
        <v>0.7192982456140351</v>
      </c>
      <c r="X7" s="5">
        <f>COUNTIFS(Table1468[Range(nm)], $V7, Table1468[Type], "SUT Rx Error")/COUNTIFS(Table1468[Range(nm)], $V7)</f>
        <v>0</v>
      </c>
      <c r="Y7">
        <f>AVERAGEIF(Table1468[Range(nm)], V7, Table1468[Corrected RSSI])</f>
        <v>-113.6140350877193</v>
      </c>
      <c r="Z7" s="3">
        <f>AVERAGEIF(Table1468[Range(nm)], V7, Table1468[SNR])</f>
        <v>-8.3701754385964939</v>
      </c>
      <c r="AA7" s="4">
        <f>COUNTIFS(Table2579[Range(nm)], V7, Table2579[Type], "ACK")/COUNTIFS(Table2579[Range(nm)], V7)</f>
        <v>0.70175438596491224</v>
      </c>
      <c r="AB7" s="5">
        <f>COUNTIFS(Table2579[Range(nm)], $V7, Table2579[Type], "SUT Rx Error")/COUNTIFS(Table2579[Range(nm)], $V7)</f>
        <v>0</v>
      </c>
      <c r="AC7">
        <f>AVERAGEIF(Table2579[Range(nm)], V7, Table2579[Corrected RSSI])</f>
        <v>-113.64912280701755</v>
      </c>
      <c r="AD7" s="3">
        <f>AVERAGEIF(Table2579[Range(nm)], V7, Table2579[SNR])</f>
        <v>-8.7070175438596529</v>
      </c>
    </row>
    <row r="8" spans="2:30" x14ac:dyDescent="0.25">
      <c r="C8">
        <f>MINUTE(Table1468[[#This Row],[Corrected time]])</f>
        <v>31</v>
      </c>
      <c r="D8" s="1">
        <v>0.64690056712962962</v>
      </c>
      <c r="E8" s="1">
        <f>Table1468[[#This Row],[Time]]-TIME(0,0,11)</f>
        <v>0.64677325231481486</v>
      </c>
      <c r="F8" t="s">
        <v>9</v>
      </c>
      <c r="G8" t="s">
        <v>38</v>
      </c>
      <c r="H8">
        <f t="shared" si="0"/>
        <v>-110</v>
      </c>
      <c r="I8">
        <v>-8</v>
      </c>
      <c r="M8">
        <f>MINUTE(Table2579[[#This Row],[Corrected time]])</f>
        <v>20</v>
      </c>
      <c r="N8" s="1">
        <v>0.6393715509259259</v>
      </c>
      <c r="O8" s="1">
        <f>Table2579[[#This Row],[Time]]-TIME(0,0,10)</f>
        <v>0.63925581018518518</v>
      </c>
      <c r="Q8">
        <v>-113</v>
      </c>
      <c r="R8">
        <f>Table2579[[#This Row],[RSSI]]</f>
        <v>-113</v>
      </c>
      <c r="S8">
        <v>-7.5</v>
      </c>
      <c r="V8" s="10">
        <f t="shared" si="1"/>
        <v>168</v>
      </c>
      <c r="W8" s="4">
        <f>COUNTIFS(Table1468[Range(nm)], V8, Table1468[Type], "ACK")/COUNTIFS(Table1468[Range(nm)], V8)</f>
        <v>0.70175438596491224</v>
      </c>
      <c r="X8" s="5">
        <f>COUNTIFS(Table1468[Range(nm)], $V8, Table1468[Type], "SUT Rx Error")/COUNTIFS(Table1468[Range(nm)], $V8)</f>
        <v>0</v>
      </c>
      <c r="Y8">
        <f>AVERAGEIF(Table1468[Range(nm)], V8, Table1468[Corrected RSSI])</f>
        <v>-113.70175438596492</v>
      </c>
      <c r="Z8" s="3">
        <f>AVERAGEIF(Table1468[Range(nm)], V8, Table1468[SNR])</f>
        <v>-8.6456140350877213</v>
      </c>
      <c r="AA8" s="4">
        <f>COUNTIFS(Table2579[Range(nm)], V8, Table2579[Type], "ACK")/COUNTIFS(Table2579[Range(nm)], V8)</f>
        <v>0.68421052631578949</v>
      </c>
      <c r="AB8" s="5">
        <f>COUNTIFS(Table2579[Range(nm)], $V8, Table2579[Type], "SUT Rx Error")/COUNTIFS(Table2579[Range(nm)], $V8)</f>
        <v>0</v>
      </c>
      <c r="AC8">
        <f>AVERAGEIF(Table2579[Range(nm)], V8, Table2579[Corrected RSSI])</f>
        <v>-113.56140350877193</v>
      </c>
      <c r="AD8" s="3">
        <f>AVERAGEIF(Table2579[Range(nm)], V8, Table2579[SNR])</f>
        <v>-8.5350877192982484</v>
      </c>
    </row>
    <row r="9" spans="2:30" x14ac:dyDescent="0.25">
      <c r="C9">
        <f>MINUTE(Table1468[[#This Row],[Corrected time]])</f>
        <v>31</v>
      </c>
      <c r="D9" s="1">
        <v>0.64691276620370364</v>
      </c>
      <c r="E9" s="1">
        <f>Table1468[[#This Row],[Time]]-TIME(0,0,11)</f>
        <v>0.64678545138888888</v>
      </c>
      <c r="F9" t="s">
        <v>9</v>
      </c>
      <c r="G9" t="s">
        <v>37</v>
      </c>
      <c r="H9">
        <f t="shared" si="0"/>
        <v>-113</v>
      </c>
      <c r="I9">
        <v>-8</v>
      </c>
      <c r="M9">
        <f>MINUTE(Table2579[[#This Row],[Corrected time]])</f>
        <v>20</v>
      </c>
      <c r="N9" s="1">
        <v>0.63938373842592588</v>
      </c>
      <c r="O9" s="1">
        <f>Table2579[[#This Row],[Time]]-TIME(0,0,10)</f>
        <v>0.63926799768518516</v>
      </c>
      <c r="Q9">
        <v>-114</v>
      </c>
      <c r="R9">
        <f>Table2579[[#This Row],[RSSI]]</f>
        <v>-114</v>
      </c>
      <c r="S9">
        <v>-8</v>
      </c>
      <c r="V9" s="10">
        <f t="shared" si="1"/>
        <v>170</v>
      </c>
      <c r="W9" s="4">
        <f>COUNTIFS(Table1468[Range(nm)], V9, Table1468[Type], "ACK")/COUNTIFS(Table1468[Range(nm)], V9)</f>
        <v>0.73684210526315785</v>
      </c>
      <c r="X9" s="5">
        <f>COUNTIFS(Table1468[Range(nm)], $V9, Table1468[Type], "SUT Rx Error")/COUNTIFS(Table1468[Range(nm)], $V9)</f>
        <v>1.7543859649122806E-2</v>
      </c>
      <c r="Y9">
        <f>AVERAGEIF(Table1468[Range(nm)], V9, Table1468[Corrected RSSI])</f>
        <v>-113.40350877192982</v>
      </c>
      <c r="Z9" s="3">
        <f>AVERAGEIF(Table1468[Range(nm)], V9, Table1468[SNR])</f>
        <v>-8.3684210526315805</v>
      </c>
      <c r="AA9" s="4">
        <f>COUNTIFS(Table2579[Range(nm)], V9, Table2579[Type], "ACK")/COUNTIFS(Table2579[Range(nm)], V9)</f>
        <v>0.68421052631578949</v>
      </c>
      <c r="AB9" s="5">
        <f>COUNTIFS(Table2579[Range(nm)], $V9, Table2579[Type], "SUT Rx Error")/COUNTIFS(Table2579[Range(nm)], $V9)</f>
        <v>3.5087719298245612E-2</v>
      </c>
      <c r="AC9">
        <f>AVERAGEIF(Table2579[Range(nm)], V9, Table2579[Corrected RSSI])</f>
        <v>-113.6140350877193</v>
      </c>
      <c r="AD9" s="3">
        <f>AVERAGEIF(Table2579[Range(nm)], V9, Table2579[SNR])</f>
        <v>-8.5894736842105299</v>
      </c>
    </row>
    <row r="10" spans="2:30" x14ac:dyDescent="0.25">
      <c r="C10">
        <f>MINUTE(Table1468[[#This Row],[Corrected time]])</f>
        <v>31</v>
      </c>
      <c r="D10" s="1">
        <v>0.6469249421296297</v>
      </c>
      <c r="E10" s="1">
        <f>Table1468[[#This Row],[Time]]-TIME(0,0,11)</f>
        <v>0.64679762731481494</v>
      </c>
      <c r="F10" t="s">
        <v>9</v>
      </c>
      <c r="G10" t="s">
        <v>39</v>
      </c>
      <c r="H10">
        <f t="shared" si="0"/>
        <v>-114</v>
      </c>
      <c r="I10">
        <v>-8</v>
      </c>
      <c r="M10">
        <f>MINUTE(Table2579[[#This Row],[Corrected time]])</f>
        <v>20</v>
      </c>
      <c r="N10" s="1">
        <v>0.63939592592592587</v>
      </c>
      <c r="O10" s="1">
        <f>Table2579[[#This Row],[Time]]-TIME(0,0,10)</f>
        <v>0.63928018518518515</v>
      </c>
      <c r="Q10">
        <v>-114</v>
      </c>
      <c r="R10">
        <f>Table2579[[#This Row],[RSSI]]</f>
        <v>-114</v>
      </c>
      <c r="S10">
        <v>-8.8000000000000007</v>
      </c>
      <c r="V10" s="10">
        <f t="shared" si="1"/>
        <v>172</v>
      </c>
      <c r="W10" s="4">
        <f>COUNTIFS(Table1468[Range(nm)], V10, Table1468[Type], "ACK")/COUNTIFS(Table1468[Range(nm)], V10)</f>
        <v>0.73684210526315785</v>
      </c>
      <c r="X10" s="5">
        <f>COUNTIFS(Table1468[Range(nm)], $V10, Table1468[Type], "SUT Rx Error")/COUNTIFS(Table1468[Range(nm)], $V10)</f>
        <v>1.7543859649122806E-2</v>
      </c>
      <c r="Y10">
        <f>AVERAGEIF(Table1468[Range(nm)], V10, Table1468[Corrected RSSI])</f>
        <v>-113.59649122807018</v>
      </c>
      <c r="Z10" s="3">
        <f>AVERAGEIF(Table1468[Range(nm)], V10, Table1468[SNR])</f>
        <v>-8.4543859649122819</v>
      </c>
      <c r="AA10" s="4">
        <f>COUNTIFS(Table2579[Range(nm)], V10, Table2579[Type], "ACK")/COUNTIFS(Table2579[Range(nm)], V10)</f>
        <v>0.61403508771929827</v>
      </c>
      <c r="AB10" s="5">
        <f>COUNTIFS(Table2579[Range(nm)], $V10, Table2579[Type], "SUT Rx Error")/COUNTIFS(Table2579[Range(nm)], $V10)</f>
        <v>1.7543859649122806E-2</v>
      </c>
      <c r="AC10">
        <f>AVERAGEIF(Table2579[Range(nm)], V10, Table2579[Corrected RSSI])</f>
        <v>-113.54385964912281</v>
      </c>
      <c r="AD10" s="3">
        <f>AVERAGEIF(Table2579[Range(nm)], V10, Table2579[SNR])</f>
        <v>-8.6631578947368464</v>
      </c>
    </row>
    <row r="11" spans="2:30" x14ac:dyDescent="0.25">
      <c r="C11">
        <f>MINUTE(Table1468[[#This Row],[Corrected time]])</f>
        <v>31</v>
      </c>
      <c r="D11" s="1">
        <v>0.64693714120370371</v>
      </c>
      <c r="E11" s="1">
        <f>Table1468[[#This Row],[Time]]-TIME(0,0,11)</f>
        <v>0.64680982638888895</v>
      </c>
      <c r="F11" t="s">
        <v>9</v>
      </c>
      <c r="G11" t="s">
        <v>37</v>
      </c>
      <c r="H11">
        <f t="shared" si="0"/>
        <v>-113</v>
      </c>
      <c r="I11">
        <v>-7.2</v>
      </c>
      <c r="M11">
        <f>MINUTE(Table2579[[#This Row],[Corrected time]])</f>
        <v>20</v>
      </c>
      <c r="N11" s="1">
        <v>0.63940811342592585</v>
      </c>
      <c r="O11" s="1">
        <f>Table2579[[#This Row],[Time]]-TIME(0,0,10)</f>
        <v>0.63929237268518513</v>
      </c>
      <c r="Q11">
        <v>-112</v>
      </c>
      <c r="R11">
        <f>Table2579[[#This Row],[RSSI]]</f>
        <v>-112</v>
      </c>
      <c r="S11">
        <v>-7.7</v>
      </c>
      <c r="V11" s="10">
        <f t="shared" si="1"/>
        <v>174</v>
      </c>
      <c r="W11" s="4">
        <f>COUNTIFS(Table1468[Range(nm)], V11, Table1468[Type], "ACK")/COUNTIFS(Table1468[Range(nm)], V11)</f>
        <v>0.73684210526315785</v>
      </c>
      <c r="X11" s="5">
        <f>COUNTIFS(Table1468[Range(nm)], $V11, Table1468[Type], "SUT Rx Error")/COUNTIFS(Table1468[Range(nm)], $V11)</f>
        <v>1.7543859649122806E-2</v>
      </c>
      <c r="Y11">
        <f>AVERAGEIF(Table1468[Range(nm)], V11, Table1468[Corrected RSSI])</f>
        <v>-113.63157894736842</v>
      </c>
      <c r="Z11" s="3">
        <f>AVERAGEIF(Table1468[Range(nm)], V11, Table1468[SNR])</f>
        <v>-8.5210526315789483</v>
      </c>
      <c r="AA11" s="4">
        <f>COUNTIFS(Table2579[Range(nm)], V11, Table2579[Type], "ACK")/COUNTIFS(Table2579[Range(nm)], V11)</f>
        <v>0.70175438596491224</v>
      </c>
      <c r="AB11" s="5">
        <f>COUNTIFS(Table2579[Range(nm)], $V11, Table2579[Type], "SUT Rx Error")/COUNTIFS(Table2579[Range(nm)], $V11)</f>
        <v>7.0175438596491224E-2</v>
      </c>
      <c r="AC11">
        <f>AVERAGEIF(Table2579[Range(nm)], V11, Table2579[Corrected RSSI])</f>
        <v>-113.71929824561404</v>
      </c>
      <c r="AD11" s="3">
        <f>AVERAGEIF(Table2579[Range(nm)], V11, Table2579[SNR])</f>
        <v>-8.6596491228070214</v>
      </c>
    </row>
    <row r="12" spans="2:30" x14ac:dyDescent="0.25">
      <c r="C12">
        <f>MINUTE(Table1468[[#This Row],[Corrected time]])</f>
        <v>31</v>
      </c>
      <c r="D12" s="1">
        <v>0.64694931712962966</v>
      </c>
      <c r="E12" s="1">
        <f>Table1468[[#This Row],[Time]]-TIME(0,0,11)</f>
        <v>0.6468220023148149</v>
      </c>
      <c r="F12" t="s">
        <v>9</v>
      </c>
      <c r="G12" t="s">
        <v>37</v>
      </c>
      <c r="H12">
        <f t="shared" si="0"/>
        <v>-113</v>
      </c>
      <c r="I12">
        <v>-8</v>
      </c>
      <c r="M12">
        <f>MINUTE(Table2579[[#This Row],[Corrected time]])</f>
        <v>20</v>
      </c>
      <c r="N12" s="1">
        <v>0.63942030092592594</v>
      </c>
      <c r="O12" s="1">
        <f>Table2579[[#This Row],[Time]]-TIME(0,0,10)</f>
        <v>0.63930456018518522</v>
      </c>
      <c r="Q12">
        <v>-113</v>
      </c>
      <c r="R12">
        <f>Table2579[[#This Row],[RSSI]]</f>
        <v>-113</v>
      </c>
      <c r="S12">
        <v>-7.7</v>
      </c>
      <c r="V12" s="10">
        <f t="shared" si="1"/>
        <v>176</v>
      </c>
      <c r="W12" s="4">
        <f>COUNTIFS(Table1468[Range(nm)], V12, Table1468[Type], "ACK")/COUNTIFS(Table1468[Range(nm)], V12)</f>
        <v>0.84210526315789469</v>
      </c>
      <c r="X12" s="5">
        <f>COUNTIFS(Table1468[Range(nm)], $V12, Table1468[Type], "SUT Rx Error")/COUNTIFS(Table1468[Range(nm)], $V12)</f>
        <v>1.7543859649122806E-2</v>
      </c>
      <c r="Y12">
        <f>AVERAGEIF(Table1468[Range(nm)], V12, Table1468[Corrected RSSI])</f>
        <v>-113.35087719298245</v>
      </c>
      <c r="Z12" s="3">
        <f>AVERAGEIF(Table1468[Range(nm)], V12, Table1468[SNR])</f>
        <v>-8.4842105263157936</v>
      </c>
      <c r="AA12" s="4">
        <f>COUNTIFS(Table2579[Range(nm)], V12, Table2579[Type], "ACK")/COUNTIFS(Table2579[Range(nm)], V12)</f>
        <v>0.68421052631578949</v>
      </c>
      <c r="AB12" s="5">
        <f>COUNTIFS(Table2579[Range(nm)], $V12, Table2579[Type], "SUT Rx Error")/COUNTIFS(Table2579[Range(nm)], $V12)</f>
        <v>5.2631578947368418E-2</v>
      </c>
      <c r="AC12">
        <f>AVERAGEIF(Table2579[Range(nm)], V12, Table2579[Corrected RSSI])</f>
        <v>-113.7719298245614</v>
      </c>
      <c r="AD12" s="3">
        <f>AVERAGEIF(Table2579[Range(nm)], V12, Table2579[SNR])</f>
        <v>-8.5701754385964932</v>
      </c>
    </row>
    <row r="13" spans="2:30" x14ac:dyDescent="0.25">
      <c r="C13">
        <f>MINUTE(Table1468[[#This Row],[Corrected time]])</f>
        <v>31</v>
      </c>
      <c r="D13" s="1">
        <v>0.64696150462962965</v>
      </c>
      <c r="E13" s="1">
        <f>Table1468[[#This Row],[Time]]-TIME(0,0,11)</f>
        <v>0.64683418981481489</v>
      </c>
      <c r="F13" t="s">
        <v>9</v>
      </c>
      <c r="G13" t="s">
        <v>37</v>
      </c>
      <c r="H13">
        <f t="shared" si="0"/>
        <v>-113</v>
      </c>
      <c r="I13">
        <v>-7.5</v>
      </c>
      <c r="M13">
        <f>MINUTE(Table2579[[#This Row],[Corrected time]])</f>
        <v>20</v>
      </c>
      <c r="N13" s="1">
        <v>0.63943247685185189</v>
      </c>
      <c r="O13" s="1">
        <f>Table2579[[#This Row],[Time]]-TIME(0,0,10)</f>
        <v>0.63931673611111117</v>
      </c>
      <c r="Q13">
        <v>-112</v>
      </c>
      <c r="R13">
        <f>Table2579[[#This Row],[RSSI]]</f>
        <v>-112</v>
      </c>
      <c r="S13">
        <v>-7.7</v>
      </c>
      <c r="V13" s="10">
        <f t="shared" si="1"/>
        <v>178</v>
      </c>
      <c r="W13" s="4">
        <f>COUNTIFS(Table1468[Range(nm)], V13, Table1468[Type], "ACK")/COUNTIFS(Table1468[Range(nm)], V13)</f>
        <v>0.68421052631578949</v>
      </c>
      <c r="X13" s="5">
        <f>COUNTIFS(Table1468[Range(nm)], $V13, Table1468[Type], "SUT Rx Error")/COUNTIFS(Table1468[Range(nm)], $V13)</f>
        <v>1.7543859649122806E-2</v>
      </c>
      <c r="Y13">
        <f>AVERAGEIF(Table1468[Range(nm)], V13, Table1468[Corrected RSSI])</f>
        <v>-113.59649122807018</v>
      </c>
      <c r="Z13" s="3">
        <f>AVERAGEIF(Table1468[Range(nm)], V13, Table1468[SNR])</f>
        <v>-8.445614035087722</v>
      </c>
      <c r="AA13" s="4">
        <f>COUNTIFS(Table2579[Range(nm)], V13, Table2579[Type], "ACK")/COUNTIFS(Table2579[Range(nm)], V13)</f>
        <v>0.75438596491228072</v>
      </c>
      <c r="AB13" s="5">
        <f>COUNTIFS(Table2579[Range(nm)], $V13, Table2579[Type], "SUT Rx Error")/COUNTIFS(Table2579[Range(nm)], $V13)</f>
        <v>5.2631578947368418E-2</v>
      </c>
      <c r="AC13">
        <f>AVERAGEIF(Table2579[Range(nm)], V13, Table2579[Corrected RSSI])</f>
        <v>-113.66666666666667</v>
      </c>
      <c r="AD13" s="3">
        <f>AVERAGEIF(Table2579[Range(nm)], V13, Table2579[SNR])</f>
        <v>-8.5947368421052666</v>
      </c>
    </row>
    <row r="14" spans="2:30" x14ac:dyDescent="0.25">
      <c r="C14">
        <f>MINUTE(Table1468[[#This Row],[Corrected time]])</f>
        <v>31</v>
      </c>
      <c r="D14" s="1">
        <v>0.64697368055555549</v>
      </c>
      <c r="E14" s="1">
        <f>Table1468[[#This Row],[Time]]-TIME(0,0,11)</f>
        <v>0.64684636574074073</v>
      </c>
      <c r="F14" t="s">
        <v>9</v>
      </c>
      <c r="G14" t="s">
        <v>37</v>
      </c>
      <c r="H14">
        <f t="shared" si="0"/>
        <v>-113</v>
      </c>
      <c r="I14">
        <v>-7.7</v>
      </c>
      <c r="M14">
        <f>MINUTE(Table2579[[#This Row],[Corrected time]])</f>
        <v>20</v>
      </c>
      <c r="N14" s="1">
        <v>0.63944467592592591</v>
      </c>
      <c r="O14" s="1">
        <f>Table2579[[#This Row],[Time]]-TIME(0,0,10)</f>
        <v>0.63932893518518519</v>
      </c>
      <c r="Q14">
        <v>-113</v>
      </c>
      <c r="R14">
        <f>Table2579[[#This Row],[RSSI]]</f>
        <v>-113</v>
      </c>
      <c r="S14">
        <v>-7.2</v>
      </c>
      <c r="V14" s="10">
        <f t="shared" si="1"/>
        <v>180</v>
      </c>
      <c r="W14" s="4">
        <f>COUNTIFS(Table1468[Range(nm)], V14, Table1468[Type], "ACK")/COUNTIFS(Table1468[Range(nm)], V14)</f>
        <v>0.84210526315789469</v>
      </c>
      <c r="X14" s="5">
        <f>COUNTIFS(Table1468[Range(nm)], $V14, Table1468[Type], "SUT Rx Error")/COUNTIFS(Table1468[Range(nm)], $V14)</f>
        <v>0</v>
      </c>
      <c r="Y14">
        <f>AVERAGEIF(Table1468[Range(nm)], V14, Table1468[Corrected RSSI])</f>
        <v>-113.59649122807018</v>
      </c>
      <c r="Z14" s="3">
        <f>AVERAGEIF(Table1468[Range(nm)], V14, Table1468[SNR])</f>
        <v>-8.4403508771929854</v>
      </c>
      <c r="AA14" s="4">
        <f>COUNTIFS(Table2579[Range(nm)], V14, Table2579[Type], "ACK")/COUNTIFS(Table2579[Range(nm)], V14)</f>
        <v>0.75438596491228072</v>
      </c>
      <c r="AB14" s="5">
        <f>COUNTIFS(Table2579[Range(nm)], $V14, Table2579[Type], "SUT Rx Error")/COUNTIFS(Table2579[Range(nm)], $V14)</f>
        <v>0</v>
      </c>
      <c r="AC14">
        <f>AVERAGEIF(Table2579[Range(nm)], V14, Table2579[Corrected RSSI])</f>
        <v>-113.78947368421052</v>
      </c>
      <c r="AD14" s="3">
        <f>AVERAGEIF(Table2579[Range(nm)], V14, Table2579[SNR])</f>
        <v>-8.5543859649122869</v>
      </c>
    </row>
    <row r="15" spans="2:30" x14ac:dyDescent="0.25">
      <c r="C15">
        <f>MINUTE(Table1468[[#This Row],[Corrected time]])</f>
        <v>31</v>
      </c>
      <c r="D15" s="1">
        <v>0.64698589120370364</v>
      </c>
      <c r="E15" s="1">
        <f>Table1468[[#This Row],[Time]]-TIME(0,0,11)</f>
        <v>0.64685857638888888</v>
      </c>
      <c r="F15" t="s">
        <v>9</v>
      </c>
      <c r="G15" t="s">
        <v>40</v>
      </c>
      <c r="H15">
        <f t="shared" si="0"/>
        <v>-112</v>
      </c>
      <c r="I15">
        <v>-7.5</v>
      </c>
      <c r="M15">
        <f>MINUTE(Table2579[[#This Row],[Corrected time]])</f>
        <v>20</v>
      </c>
      <c r="N15" s="1">
        <v>0.63945686342592589</v>
      </c>
      <c r="O15" s="1">
        <f>Table2579[[#This Row],[Time]]-TIME(0,0,10)</f>
        <v>0.63934112268518517</v>
      </c>
      <c r="Q15">
        <v>-113</v>
      </c>
      <c r="R15">
        <f>Table2579[[#This Row],[RSSI]]</f>
        <v>-113</v>
      </c>
      <c r="S15">
        <v>-7.5</v>
      </c>
      <c r="V15" s="10">
        <f t="shared" si="1"/>
        <v>182</v>
      </c>
      <c r="W15" s="4">
        <f>COUNTIFS(Table1468[Range(nm)], V15, Table1468[Type], "ACK")/COUNTIFS(Table1468[Range(nm)], V15)</f>
        <v>0.78947368421052633</v>
      </c>
      <c r="X15" s="5">
        <f>COUNTIFS(Table1468[Range(nm)], $V15, Table1468[Type], "SUT Rx Error")/COUNTIFS(Table1468[Range(nm)], $V15)</f>
        <v>1.7543859649122806E-2</v>
      </c>
      <c r="Y15">
        <f>AVERAGEIF(Table1468[Range(nm)], V15, Table1468[Corrected RSSI])</f>
        <v>-113.75438596491227</v>
      </c>
      <c r="Z15" s="3">
        <f>AVERAGEIF(Table1468[Range(nm)], V15, Table1468[SNR])</f>
        <v>-8.5385964912280734</v>
      </c>
      <c r="AA15" s="4">
        <f>COUNTIFS(Table2579[Range(nm)], V15, Table2579[Type], "ACK")/COUNTIFS(Table2579[Range(nm)], V15)</f>
        <v>0.70175438596491224</v>
      </c>
      <c r="AB15" s="5">
        <f>COUNTIFS(Table2579[Range(nm)], $V15, Table2579[Type], "SUT Rx Error")/COUNTIFS(Table2579[Range(nm)], $V15)</f>
        <v>3.5087719298245612E-2</v>
      </c>
      <c r="AC15">
        <f>AVERAGEIF(Table2579[Range(nm)], V15, Table2579[Corrected RSSI])</f>
        <v>-113.43859649122807</v>
      </c>
      <c r="AD15" s="3">
        <f>AVERAGEIF(Table2579[Range(nm)], V15, Table2579[SNR])</f>
        <v>-8.6456140350877231</v>
      </c>
    </row>
    <row r="16" spans="2:30" x14ac:dyDescent="0.25">
      <c r="C16">
        <f>MINUTE(Table1468[[#This Row],[Corrected time]])</f>
        <v>31</v>
      </c>
      <c r="D16" s="1">
        <v>0.64699806712962959</v>
      </c>
      <c r="E16" s="1">
        <f>Table1468[[#This Row],[Time]]-TIME(0,0,11)</f>
        <v>0.64687075231481483</v>
      </c>
      <c r="F16" t="s">
        <v>9</v>
      </c>
      <c r="G16" t="s">
        <v>37</v>
      </c>
      <c r="H16">
        <f t="shared" si="0"/>
        <v>-113</v>
      </c>
      <c r="I16">
        <v>-7.2</v>
      </c>
      <c r="M16">
        <f>MINUTE(Table2579[[#This Row],[Corrected time]])</f>
        <v>20</v>
      </c>
      <c r="N16" s="1">
        <v>0.63946905092592587</v>
      </c>
      <c r="O16" s="1">
        <f>Table2579[[#This Row],[Time]]-TIME(0,0,10)</f>
        <v>0.63935331018518515</v>
      </c>
      <c r="Q16">
        <v>-113</v>
      </c>
      <c r="R16">
        <f>Table2579[[#This Row],[RSSI]]</f>
        <v>-113</v>
      </c>
      <c r="S16">
        <v>-9.5</v>
      </c>
      <c r="V16" s="10">
        <f t="shared" si="1"/>
        <v>184</v>
      </c>
      <c r="W16" s="4">
        <f>COUNTIFS(Table1468[Range(nm)], V16, Table1468[Type], "ACK")/COUNTIFS(Table1468[Range(nm)], V16)</f>
        <v>5.3571428571428568E-2</v>
      </c>
      <c r="X16" s="5">
        <f>COUNTIFS(Table1468[Range(nm)], $V16, Table1468[Type], "SUT Rx Error")/COUNTIFS(Table1468[Range(nm)], $V16)</f>
        <v>5.3571428571428568E-2</v>
      </c>
      <c r="Y16">
        <f>AVERAGEIF(Table1468[Range(nm)], V16, Table1468[Corrected RSSI])</f>
        <v>-113.19642857142857</v>
      </c>
      <c r="Z16" s="3">
        <f>AVERAGEIF(Table1468[Range(nm)], V16, Table1468[SNR])</f>
        <v>-9.0607142857142922</v>
      </c>
      <c r="AA16" s="4">
        <f>COUNTIFS(Table2579[Range(nm)], V16, Table2579[Type], "ACK")/COUNTIFS(Table2579[Range(nm)], V16)</f>
        <v>0.22807017543859648</v>
      </c>
      <c r="AB16" s="5">
        <f>COUNTIFS(Table2579[Range(nm)], $V16, Table2579[Type], "SUT Rx Error")/COUNTIFS(Table2579[Range(nm)], $V16)</f>
        <v>8.771929824561403E-2</v>
      </c>
      <c r="AC16">
        <f>AVERAGEIF(Table2579[Range(nm)], V16, Table2579[Corrected RSSI])</f>
        <v>-114.14035087719299</v>
      </c>
      <c r="AD16" s="3">
        <f>AVERAGEIF(Table2579[Range(nm)], V16, Table2579[SNR])</f>
        <v>-9.1666666666666714</v>
      </c>
    </row>
    <row r="17" spans="3:30" x14ac:dyDescent="0.25">
      <c r="C17">
        <f>MINUTE(Table1468[[#This Row],[Corrected time]])</f>
        <v>31</v>
      </c>
      <c r="D17" s="1">
        <v>0.64701025462962969</v>
      </c>
      <c r="E17" s="1">
        <f>Table1468[[#This Row],[Time]]-TIME(0,0,11)</f>
        <v>0.64688293981481493</v>
      </c>
      <c r="F17" t="s">
        <v>9</v>
      </c>
      <c r="G17" t="s">
        <v>37</v>
      </c>
      <c r="H17">
        <f t="shared" si="0"/>
        <v>-113</v>
      </c>
      <c r="I17">
        <v>-7.7</v>
      </c>
      <c r="M17">
        <f>MINUTE(Table2579[[#This Row],[Corrected time]])</f>
        <v>20</v>
      </c>
      <c r="N17" s="1">
        <v>0.63948123842592586</v>
      </c>
      <c r="O17" s="1">
        <f>Table2579[[#This Row],[Time]]-TIME(0,0,10)</f>
        <v>0.63936549768518514</v>
      </c>
      <c r="Q17">
        <v>-113</v>
      </c>
      <c r="R17">
        <f>Table2579[[#This Row],[RSSI]]</f>
        <v>-113</v>
      </c>
      <c r="S17">
        <v>-7.7</v>
      </c>
      <c r="V17" s="10">
        <f t="shared" si="1"/>
        <v>186</v>
      </c>
      <c r="W17" s="4">
        <f>COUNTIFS(Table1468[Range(nm)], V17, Table1468[Type], "ACK")/COUNTIFS(Table1468[Range(nm)], V17)</f>
        <v>0.24561403508771928</v>
      </c>
      <c r="X17" s="5">
        <f>COUNTIFS(Table1468[Range(nm)], $V17, Table1468[Type], "SUT Rx Error")/COUNTIFS(Table1468[Range(nm)], $V17)</f>
        <v>1.7543859649122806E-2</v>
      </c>
      <c r="Y17">
        <f>AVERAGEIF(Table1468[Range(nm)], V17, Table1468[Corrected RSSI])</f>
        <v>-114.29824561403508</v>
      </c>
      <c r="Z17" s="3">
        <f>AVERAGEIF(Table1468[Range(nm)], V17, Table1468[SNR])</f>
        <v>-9.2842105263157944</v>
      </c>
      <c r="AA17" s="4">
        <f>COUNTIFS(Table2579[Range(nm)], V17, Table2579[Type], "ACK")/COUNTIFS(Table2579[Range(nm)], V17)</f>
        <v>0.1</v>
      </c>
      <c r="AB17" s="5">
        <f>COUNTIFS(Table2579[Range(nm)], $V17, Table2579[Type], "SUT Rx Error")/COUNTIFS(Table2579[Range(nm)], $V17)</f>
        <v>0</v>
      </c>
      <c r="AC17">
        <f>AVERAGEIF(Table2579[Range(nm)], V17, Table2579[Corrected RSSI])</f>
        <v>-114.82</v>
      </c>
      <c r="AD17" s="3">
        <f>AVERAGEIF(Table2579[Range(nm)], V17, Table2579[SNR])</f>
        <v>-9.7000000000000028</v>
      </c>
    </row>
    <row r="18" spans="3:30" x14ac:dyDescent="0.25">
      <c r="C18">
        <f>MINUTE(Table1468[[#This Row],[Corrected time]])</f>
        <v>31</v>
      </c>
      <c r="D18" s="1">
        <v>0.6470224537037037</v>
      </c>
      <c r="E18" s="1">
        <f>Table1468[[#This Row],[Time]]-TIME(0,0,11)</f>
        <v>0.64689513888888894</v>
      </c>
      <c r="F18" t="s">
        <v>9</v>
      </c>
      <c r="G18" t="s">
        <v>37</v>
      </c>
      <c r="H18">
        <f t="shared" si="0"/>
        <v>-113</v>
      </c>
      <c r="I18">
        <v>-8</v>
      </c>
      <c r="M18">
        <f>MINUTE(Table2579[[#This Row],[Corrected time]])</f>
        <v>20</v>
      </c>
      <c r="N18" s="1">
        <v>0.63949342592592595</v>
      </c>
      <c r="O18" s="1">
        <f>Table2579[[#This Row],[Time]]-TIME(0,0,10)</f>
        <v>0.63937768518518523</v>
      </c>
      <c r="Q18">
        <v>-113</v>
      </c>
      <c r="R18">
        <f>Table2579[[#This Row],[RSSI]]</f>
        <v>-113</v>
      </c>
      <c r="S18">
        <v>-8.5</v>
      </c>
      <c r="V18" s="10">
        <f t="shared" si="1"/>
        <v>188</v>
      </c>
      <c r="W18" s="4">
        <f>COUNTIFS(Table1468[Range(nm)], V18, Table1468[Type], "ACK")/COUNTIFS(Table1468[Range(nm)], V18)</f>
        <v>0.19642857142857142</v>
      </c>
      <c r="X18" s="5">
        <f>COUNTIFS(Table1468[Range(nm)], $V18, Table1468[Type], "SUT Rx Error")/COUNTIFS(Table1468[Range(nm)], $V18)</f>
        <v>3.5714285714285712E-2</v>
      </c>
      <c r="Y18">
        <f>AVERAGEIF(Table1468[Range(nm)], V18, Table1468[Corrected RSSI])</f>
        <v>-114.48214285714286</v>
      </c>
      <c r="Z18" s="3">
        <f>AVERAGEIF(Table1468[Range(nm)], V18, Table1468[SNR])</f>
        <v>-9.5571428571428623</v>
      </c>
      <c r="AA18" s="4" t="e">
        <f>COUNTIFS(Table2579[Range(nm)], V18, Table2579[Type], "ACK")/COUNTIFS(Table2579[Range(nm)], V18)</f>
        <v>#DIV/0!</v>
      </c>
      <c r="AB18" s="5" t="e">
        <f>COUNTIFS(Table2579[Range(nm)], $V18, Table2579[Type], "SUT Rx Error")/COUNTIFS(Table2579[Range(nm)], $V18)</f>
        <v>#DIV/0!</v>
      </c>
      <c r="AC18" t="e">
        <f>AVERAGEIF(Table2579[Range(nm)], V18, Table2579[Corrected RSSI])</f>
        <v>#DIV/0!</v>
      </c>
      <c r="AD18" s="3" t="e">
        <f>AVERAGEIF(Table2579[Range(nm)], V18, Table2579[SNR])</f>
        <v>#DIV/0!</v>
      </c>
    </row>
    <row r="19" spans="3:30" x14ac:dyDescent="0.25">
      <c r="C19">
        <f>MINUTE(Table1468[[#This Row],[Corrected time]])</f>
        <v>31</v>
      </c>
      <c r="D19" s="1">
        <v>0.64703464120370369</v>
      </c>
      <c r="E19" s="1">
        <f>Table1468[[#This Row],[Time]]-TIME(0,0,11)</f>
        <v>0.64690732638888893</v>
      </c>
      <c r="F19" t="s">
        <v>9</v>
      </c>
      <c r="G19" t="s">
        <v>37</v>
      </c>
      <c r="H19">
        <f t="shared" si="0"/>
        <v>-113</v>
      </c>
      <c r="I19">
        <v>-7.7</v>
      </c>
      <c r="M19">
        <f>MINUTE(Table2579[[#This Row],[Corrected time]])</f>
        <v>20</v>
      </c>
      <c r="N19" s="1">
        <v>0.63950561342592593</v>
      </c>
      <c r="O19" s="1">
        <f>Table2579[[#This Row],[Time]]-TIME(0,0,10)</f>
        <v>0.63938987268518521</v>
      </c>
      <c r="Q19">
        <v>-113</v>
      </c>
      <c r="R19">
        <f>Table2579[[#This Row],[RSSI]]</f>
        <v>-113</v>
      </c>
      <c r="S19">
        <v>-7.2</v>
      </c>
      <c r="V19" s="10">
        <f t="shared" si="1"/>
        <v>190</v>
      </c>
      <c r="W19" s="4">
        <f>COUNTIFS(Table1468[Range(nm)], V19, Table1468[Type], "ACK")/COUNTIFS(Table1468[Range(nm)], V19)</f>
        <v>0.22222222222222221</v>
      </c>
      <c r="X19" s="5">
        <f>COUNTIFS(Table1468[Range(nm)], $V19, Table1468[Type], "SUT Rx Error")/COUNTIFS(Table1468[Range(nm)], $V19)</f>
        <v>9.2592592592592587E-2</v>
      </c>
      <c r="Y19">
        <f>AVERAGEIF(Table1468[Range(nm)], V19, Table1468[Corrected RSSI])</f>
        <v>-114.74074074074075</v>
      </c>
      <c r="Z19" s="3">
        <f>AVERAGEIF(Table1468[Range(nm)], V19, Table1468[SNR])</f>
        <v>-9.4814814814814863</v>
      </c>
      <c r="AA19" s="4" t="e">
        <f>COUNTIFS(Table2579[Range(nm)], V19, Table2579[Type], "ACK")/COUNTIFS(Table2579[Range(nm)], V19)</f>
        <v>#DIV/0!</v>
      </c>
      <c r="AB19" s="5" t="e">
        <f>COUNTIFS(Table2579[Range(nm)], $V19, Table2579[Type], "SUT Rx Error")/COUNTIFS(Table2579[Range(nm)], $V19)</f>
        <v>#DIV/0!</v>
      </c>
      <c r="AC19" t="e">
        <f>AVERAGEIF(Table2579[Range(nm)], V19, Table2579[Corrected RSSI])</f>
        <v>#DIV/0!</v>
      </c>
      <c r="AD19" s="3" t="e">
        <f>AVERAGEIF(Table2579[Range(nm)], V19, Table2579[SNR])</f>
        <v>#DIV/0!</v>
      </c>
    </row>
    <row r="20" spans="3:30" x14ac:dyDescent="0.25">
      <c r="C20">
        <f>MINUTE(Table1468[[#This Row],[Corrected time]])</f>
        <v>31</v>
      </c>
      <c r="D20" s="1">
        <v>0.64704681712962964</v>
      </c>
      <c r="E20" s="1">
        <f>Table1468[[#This Row],[Time]]-TIME(0,0,11)</f>
        <v>0.64691950231481488</v>
      </c>
      <c r="F20" t="s">
        <v>9</v>
      </c>
      <c r="G20" t="s">
        <v>40</v>
      </c>
      <c r="H20">
        <f t="shared" si="0"/>
        <v>-112</v>
      </c>
      <c r="I20">
        <v>-7.5</v>
      </c>
      <c r="M20">
        <f>MINUTE(Table2579[[#This Row],[Corrected time]])</f>
        <v>20</v>
      </c>
      <c r="N20" s="1">
        <v>0.63951780092592592</v>
      </c>
      <c r="O20" s="1">
        <f>Table2579[[#This Row],[Time]]-TIME(0,0,10)</f>
        <v>0.63940206018518519</v>
      </c>
      <c r="Q20">
        <v>-112</v>
      </c>
      <c r="R20">
        <f>Table2579[[#This Row],[RSSI]]</f>
        <v>-112</v>
      </c>
      <c r="S20">
        <v>-7</v>
      </c>
      <c r="V20" s="10">
        <f t="shared" si="1"/>
        <v>192</v>
      </c>
      <c r="W20" s="4">
        <f>COUNTIFS(Table1468[Range(nm)], V20, Table1468[Type], "ACK")/COUNTIFS(Table1468[Range(nm)], V20)</f>
        <v>0.25</v>
      </c>
      <c r="X20" s="5">
        <f>COUNTIFS(Table1468[Range(nm)], $V20, Table1468[Type], "SUT Rx Error")/COUNTIFS(Table1468[Range(nm)], $V20)</f>
        <v>0</v>
      </c>
      <c r="Y20">
        <f>AVERAGEIF(Table1468[Range(nm)], V20, Table1468[Corrected RSSI])</f>
        <v>-114.25</v>
      </c>
      <c r="Z20" s="3">
        <f>AVERAGEIF(Table1468[Range(nm)], V20, Table1468[SNR])</f>
        <v>-9.3166666666666664</v>
      </c>
      <c r="AA20" s="4" t="e">
        <f>COUNTIFS(Table2579[Range(nm)], V20, Table2579[Type], "ACK")/COUNTIFS(Table2579[Range(nm)], V20)</f>
        <v>#DIV/0!</v>
      </c>
      <c r="AB20" s="5" t="e">
        <f>COUNTIFS(Table2579[Range(nm)], $V20, Table2579[Type], "SUT Rx Error")/COUNTIFS(Table2579[Range(nm)], $V20)</f>
        <v>#DIV/0!</v>
      </c>
      <c r="AC20" t="e">
        <f>AVERAGEIF(Table2579[Range(nm)], V20, Table2579[Corrected RSSI])</f>
        <v>#DIV/0!</v>
      </c>
      <c r="AD20" s="3" t="e">
        <f>AVERAGEIF(Table2579[Range(nm)], V20, Table2579[SNR])</f>
        <v>#DIV/0!</v>
      </c>
    </row>
    <row r="21" spans="3:30" x14ac:dyDescent="0.25">
      <c r="C21">
        <f>MINUTE(Table1468[[#This Row],[Corrected time]])</f>
        <v>31</v>
      </c>
      <c r="D21" s="1">
        <v>0.64705901620370365</v>
      </c>
      <c r="E21" s="1">
        <f>Table1468[[#This Row],[Time]]-TIME(0,0,11)</f>
        <v>0.64693170138888889</v>
      </c>
      <c r="F21" t="s">
        <v>9</v>
      </c>
      <c r="G21" t="s">
        <v>37</v>
      </c>
      <c r="H21">
        <f t="shared" si="0"/>
        <v>-113</v>
      </c>
      <c r="I21">
        <v>-7.7</v>
      </c>
      <c r="M21">
        <f>MINUTE(Table2579[[#This Row],[Corrected time]])</f>
        <v>20</v>
      </c>
      <c r="N21" s="1">
        <v>0.63952998842592601</v>
      </c>
      <c r="O21" s="1">
        <f>Table2579[[#This Row],[Time]]-TIME(0,0,10)</f>
        <v>0.63941424768518529</v>
      </c>
      <c r="Q21">
        <v>-113</v>
      </c>
      <c r="R21">
        <f>Table2579[[#This Row],[RSSI]]</f>
        <v>-113</v>
      </c>
      <c r="S21">
        <v>-7</v>
      </c>
      <c r="V21" s="10">
        <f t="shared" si="1"/>
        <v>194</v>
      </c>
      <c r="W21" s="4" t="e">
        <f>COUNTIFS(Table1468[Range(nm)], V21, Table1468[Type], "ACK")/COUNTIFS(Table1468[Range(nm)], V21)</f>
        <v>#DIV/0!</v>
      </c>
      <c r="X21" s="5" t="e">
        <f>COUNTIFS(Table1468[Range(nm)], $V21, Table1468[Type], "SUT Rx Error")/COUNTIFS(Table1468[Range(nm)], $V21)</f>
        <v>#DIV/0!</v>
      </c>
      <c r="Y21" t="e">
        <f>AVERAGEIF(Table1468[Range(nm)], V21, Table1468[Corrected RSSI])</f>
        <v>#DIV/0!</v>
      </c>
      <c r="Z21" s="3" t="e">
        <f>AVERAGEIF(Table1468[Range(nm)], V21, Table1468[SNR])</f>
        <v>#DIV/0!</v>
      </c>
      <c r="AA21" s="4" t="e">
        <f>COUNTIFS(Table2579[Range(nm)], V21, Table2579[Type], "ACK")/COUNTIFS(Table2579[Range(nm)], V21)</f>
        <v>#DIV/0!</v>
      </c>
      <c r="AB21" s="5" t="e">
        <f>COUNTIFS(Table2579[Range(nm)], $V21, Table2579[Type], "SUT Rx Error")/COUNTIFS(Table2579[Range(nm)], $V21)</f>
        <v>#DIV/0!</v>
      </c>
      <c r="AC21" t="e">
        <f>AVERAGEIF(Table2579[Range(nm)], V21, Table2579[Corrected RSSI])</f>
        <v>#DIV/0!</v>
      </c>
      <c r="AD21" s="3" t="e">
        <f>AVERAGEIF(Table2579[Range(nm)], V21, Table2579[SNR])</f>
        <v>#DIV/0!</v>
      </c>
    </row>
    <row r="22" spans="3:30" x14ac:dyDescent="0.25">
      <c r="C22">
        <f>MINUTE(Table1468[[#This Row],[Corrected time]])</f>
        <v>31</v>
      </c>
      <c r="D22" s="1">
        <v>0.64707120370370363</v>
      </c>
      <c r="E22" s="1">
        <f>Table1468[[#This Row],[Time]]-TIME(0,0,11)</f>
        <v>0.64694388888888887</v>
      </c>
      <c r="F22" t="s">
        <v>13</v>
      </c>
      <c r="G22" t="str">
        <f>G21</f>
        <v>-113.0,</v>
      </c>
      <c r="H22">
        <f t="shared" ref="H22:H85" si="2">VALUE(LEFT(G22,LEN(G22)-1))</f>
        <v>-113</v>
      </c>
      <c r="I22">
        <f>I21</f>
        <v>-7.7</v>
      </c>
      <c r="M22">
        <f>MINUTE(Table2579[[#This Row],[Corrected time]])</f>
        <v>20</v>
      </c>
      <c r="N22" s="1">
        <v>0.63954217592592599</v>
      </c>
      <c r="O22" s="1">
        <f>Table2579[[#This Row],[Time]]-TIME(0,0,10)</f>
        <v>0.63942643518518527</v>
      </c>
      <c r="Q22">
        <f>Q21</f>
        <v>-113</v>
      </c>
      <c r="R22">
        <f>Table2579[[#This Row],[RSSI]]</f>
        <v>-113</v>
      </c>
      <c r="S22">
        <f>S21</f>
        <v>-7</v>
      </c>
      <c r="V22" s="10">
        <f t="shared" si="1"/>
        <v>196</v>
      </c>
      <c r="W22" s="4" t="e">
        <f>COUNTIFS(Table1468[Range(nm)], V22, Table1468[Type], "ACK")/COUNTIFS(Table1468[Range(nm)], V22)</f>
        <v>#DIV/0!</v>
      </c>
      <c r="X22" s="5" t="e">
        <f>COUNTIFS(Table1468[Range(nm)], $V22, Table1468[Type], "SUT Rx Error")/COUNTIFS(Table1468[Range(nm)], $V22)</f>
        <v>#DIV/0!</v>
      </c>
      <c r="Y22" t="e">
        <f>AVERAGEIF(Table1468[Range(nm)], V22, Table1468[Corrected RSSI])</f>
        <v>#DIV/0!</v>
      </c>
      <c r="Z22" s="3" t="e">
        <f>AVERAGEIF(Table1468[Range(nm)], V22, Table1468[SNR])</f>
        <v>#DIV/0!</v>
      </c>
      <c r="AA22" s="4" t="e">
        <f>COUNTIFS(Table2579[Range(nm)], V22, Table2579[Type], "ACK")/COUNTIFS(Table2579[Range(nm)], V22)</f>
        <v>#DIV/0!</v>
      </c>
      <c r="AB22" s="5" t="e">
        <f>COUNTIFS(Table2579[Range(nm)], $V22, Table2579[Type], "SUT Rx Error")/COUNTIFS(Table2579[Range(nm)], $V22)</f>
        <v>#DIV/0!</v>
      </c>
      <c r="AC22" t="e">
        <f>AVERAGEIF(Table2579[Range(nm)], V22, Table2579[Corrected RSSI])</f>
        <v>#DIV/0!</v>
      </c>
      <c r="AD22" s="3" t="e">
        <f>AVERAGEIF(Table2579[Range(nm)], V22, Table2579[SNR])</f>
        <v>#DIV/0!</v>
      </c>
    </row>
    <row r="23" spans="3:30" x14ac:dyDescent="0.25">
      <c r="C23">
        <f>MINUTE(Table1468[[#This Row],[Corrected time]])</f>
        <v>31</v>
      </c>
      <c r="D23" s="1">
        <v>0.64708339120370373</v>
      </c>
      <c r="E23" s="1">
        <f>Table1468[[#This Row],[Time]]-TIME(0,0,11)</f>
        <v>0.64695607638888897</v>
      </c>
      <c r="F23" t="s">
        <v>9</v>
      </c>
      <c r="G23" t="s">
        <v>37</v>
      </c>
      <c r="H23">
        <f t="shared" si="2"/>
        <v>-113</v>
      </c>
      <c r="I23">
        <v>-7.2</v>
      </c>
      <c r="M23">
        <f>MINUTE(Table2579[[#This Row],[Corrected time]])</f>
        <v>20</v>
      </c>
      <c r="N23" s="1">
        <v>0.63955436342592598</v>
      </c>
      <c r="O23" s="1">
        <f>Table2579[[#This Row],[Time]]-TIME(0,0,10)</f>
        <v>0.63943862268518525</v>
      </c>
      <c r="Q23">
        <v>-113</v>
      </c>
      <c r="R23">
        <f>Table2579[[#This Row],[RSSI]]</f>
        <v>-113</v>
      </c>
      <c r="S23">
        <v>-7.5</v>
      </c>
      <c r="V23" s="10">
        <f t="shared" si="1"/>
        <v>198</v>
      </c>
      <c r="W23" s="4" t="e">
        <f>COUNTIFS(Table1468[Range(nm)], V23, Table1468[Type], "ACK")/COUNTIFS(Table1468[Range(nm)], V23)</f>
        <v>#DIV/0!</v>
      </c>
      <c r="X23" s="5" t="e">
        <f>COUNTIFS(Table1468[Range(nm)], $V23, Table1468[Type], "SUT Rx Error")/COUNTIFS(Table1468[Range(nm)], $V23)</f>
        <v>#DIV/0!</v>
      </c>
      <c r="Y23" t="e">
        <f>AVERAGEIF(Table1468[Range(nm)], V23, Table1468[Corrected RSSI])</f>
        <v>#DIV/0!</v>
      </c>
      <c r="Z23" s="3" t="e">
        <f>AVERAGEIF(Table1468[Range(nm)], V23, Table1468[SNR])</f>
        <v>#DIV/0!</v>
      </c>
      <c r="AA23" s="4" t="e">
        <f>COUNTIFS(Table2579[Range(nm)], V23, Table2579[Type], "ACK")/COUNTIFS(Table2579[Range(nm)], V23)</f>
        <v>#DIV/0!</v>
      </c>
      <c r="AB23" s="5" t="e">
        <f>COUNTIFS(Table2579[Range(nm)], $V23, Table2579[Type], "SUT Rx Error")/COUNTIFS(Table2579[Range(nm)], $V23)</f>
        <v>#DIV/0!</v>
      </c>
      <c r="AC23" t="e">
        <f>AVERAGEIF(Table2579[Range(nm)], V23, Table2579[Corrected RSSI])</f>
        <v>#DIV/0!</v>
      </c>
      <c r="AD23" s="3" t="e">
        <f>AVERAGEIF(Table2579[Range(nm)], V23, Table2579[SNR])</f>
        <v>#DIV/0!</v>
      </c>
    </row>
    <row r="24" spans="3:30" x14ac:dyDescent="0.25">
      <c r="C24">
        <f>MINUTE(Table1468[[#This Row],[Corrected time]])</f>
        <v>31</v>
      </c>
      <c r="D24" s="1">
        <v>0.64709557870370371</v>
      </c>
      <c r="E24" s="1">
        <f>Table1468[[#This Row],[Time]]-TIME(0,0,11)</f>
        <v>0.64696826388888895</v>
      </c>
      <c r="F24" t="s">
        <v>9</v>
      </c>
      <c r="G24" t="s">
        <v>40</v>
      </c>
      <c r="H24">
        <f t="shared" si="2"/>
        <v>-112</v>
      </c>
      <c r="I24">
        <v>-7.7</v>
      </c>
      <c r="M24">
        <f>MINUTE(Table2579[[#This Row],[Corrected time]])</f>
        <v>20</v>
      </c>
      <c r="N24" s="1">
        <v>0.63956655092592596</v>
      </c>
      <c r="O24" s="1">
        <f>Table2579[[#This Row],[Time]]-TIME(0,0,10)</f>
        <v>0.63945081018518524</v>
      </c>
      <c r="Q24">
        <v>-111</v>
      </c>
      <c r="R24">
        <f>Table2579[[#This Row],[RSSI]]</f>
        <v>-111</v>
      </c>
      <c r="S24">
        <v>-8.5</v>
      </c>
      <c r="V24" s="10">
        <f t="shared" si="1"/>
        <v>200</v>
      </c>
      <c r="W24" s="4" t="e">
        <f>COUNTIFS(Table1468[Range(nm)], V24, Table1468[Type], "ACK")/COUNTIFS(Table1468[Range(nm)], V24)</f>
        <v>#DIV/0!</v>
      </c>
      <c r="X24" s="5" t="e">
        <f>COUNTIFS(Table1468[Range(nm)], $V24, Table1468[Type], "SUT Rx Error")/COUNTIFS(Table1468[Range(nm)], $V24)</f>
        <v>#DIV/0!</v>
      </c>
      <c r="Y24" t="e">
        <f>AVERAGEIF(Table1468[Range(nm)], V24, Table1468[Corrected RSSI])</f>
        <v>#DIV/0!</v>
      </c>
      <c r="Z24" s="3" t="e">
        <f>AVERAGEIF(Table1468[Range(nm)], V24, Table1468[SNR])</f>
        <v>#DIV/0!</v>
      </c>
      <c r="AA24" s="4" t="e">
        <f>COUNTIFS(Table2579[Range(nm)], V24, Table2579[Type], "ACK")/COUNTIFS(Table2579[Range(nm)], V24)</f>
        <v>#DIV/0!</v>
      </c>
      <c r="AB24" s="5" t="e">
        <f>COUNTIFS(Table2579[Range(nm)], $V24, Table2579[Type], "SUT Rx Error")/COUNTIFS(Table2579[Range(nm)], $V24)</f>
        <v>#DIV/0!</v>
      </c>
      <c r="AC24" t="e">
        <f>AVERAGEIF(Table2579[Range(nm)], V24, Table2579[Corrected RSSI])</f>
        <v>#DIV/0!</v>
      </c>
      <c r="AD24" s="3" t="e">
        <f>AVERAGEIF(Table2579[Range(nm)], V24, Table2579[SNR])</f>
        <v>#DIV/0!</v>
      </c>
    </row>
    <row r="25" spans="3:30" x14ac:dyDescent="0.25">
      <c r="C25">
        <f>MINUTE(Table1468[[#This Row],[Corrected time]])</f>
        <v>31</v>
      </c>
      <c r="D25" s="1">
        <v>0.64710775462962966</v>
      </c>
      <c r="E25" s="1">
        <f>Table1468[[#This Row],[Time]]-TIME(0,0,11)</f>
        <v>0.6469804398148149</v>
      </c>
      <c r="F25" t="s">
        <v>9</v>
      </c>
      <c r="G25" t="s">
        <v>37</v>
      </c>
      <c r="H25">
        <f t="shared" si="2"/>
        <v>-113</v>
      </c>
      <c r="I25">
        <v>-7.2</v>
      </c>
      <c r="M25">
        <f>MINUTE(Table2579[[#This Row],[Corrected time]])</f>
        <v>20</v>
      </c>
      <c r="N25" s="1">
        <v>0.63957873842592594</v>
      </c>
      <c r="O25" s="1">
        <f>Table2579[[#This Row],[Time]]-TIME(0,0,10)</f>
        <v>0.63946299768518522</v>
      </c>
      <c r="Q25">
        <v>-113</v>
      </c>
      <c r="R25">
        <f>Table2579[[#This Row],[RSSI]]</f>
        <v>-113</v>
      </c>
      <c r="S25">
        <v>-8.3000000000000007</v>
      </c>
      <c r="V25" s="10">
        <f t="shared" si="1"/>
        <v>202</v>
      </c>
      <c r="W25" s="4" t="e">
        <f>COUNTIFS(Table1468[Range(nm)], V25, Table1468[Type], "ACK")/COUNTIFS(Table1468[Range(nm)], V25)</f>
        <v>#DIV/0!</v>
      </c>
      <c r="X25" s="5" t="e">
        <f>COUNTIFS(Table1468[Range(nm)], $V25, Table1468[Type], "SUT Rx Error")/COUNTIFS(Table1468[Range(nm)], $V25)</f>
        <v>#DIV/0!</v>
      </c>
      <c r="Y25" t="e">
        <f>AVERAGEIF(Table1468[Range(nm)], V25, Table1468[Corrected RSSI])</f>
        <v>#DIV/0!</v>
      </c>
      <c r="Z25" s="3" t="e">
        <f>AVERAGEIF(Table1468[Range(nm)], V25, Table1468[SNR])</f>
        <v>#DIV/0!</v>
      </c>
      <c r="AA25" s="4" t="e">
        <f>COUNTIFS(Table2579[Range(nm)], V25, Table2579[Type], "ACK")/COUNTIFS(Table2579[Range(nm)], V25)</f>
        <v>#DIV/0!</v>
      </c>
      <c r="AB25" s="5" t="e">
        <f>COUNTIFS(Table2579[Range(nm)], $V25, Table2579[Type], "SUT Rx Error")/COUNTIFS(Table2579[Range(nm)], $V25)</f>
        <v>#DIV/0!</v>
      </c>
      <c r="AC25" t="e">
        <f>AVERAGEIF(Table2579[Range(nm)], V25, Table2579[Corrected RSSI])</f>
        <v>#DIV/0!</v>
      </c>
      <c r="AD25" s="3" t="e">
        <f>AVERAGEIF(Table2579[Range(nm)], V25, Table2579[SNR])</f>
        <v>#DIV/0!</v>
      </c>
    </row>
    <row r="26" spans="3:30" x14ac:dyDescent="0.25">
      <c r="C26">
        <f>MINUTE(Table1468[[#This Row],[Corrected time]])</f>
        <v>31</v>
      </c>
      <c r="D26" s="1">
        <v>0.64711994212962964</v>
      </c>
      <c r="E26" s="1">
        <f>Table1468[[#This Row],[Time]]-TIME(0,0,11)</f>
        <v>0.64699262731481488</v>
      </c>
      <c r="F26" t="s">
        <v>9</v>
      </c>
      <c r="G26" t="s">
        <v>40</v>
      </c>
      <c r="H26">
        <f t="shared" si="2"/>
        <v>-112</v>
      </c>
      <c r="I26">
        <v>-7</v>
      </c>
      <c r="M26">
        <f>MINUTE(Table2579[[#This Row],[Corrected time]])</f>
        <v>20</v>
      </c>
      <c r="N26" s="1">
        <v>0.63959092592592592</v>
      </c>
      <c r="O26" s="1">
        <f>Table2579[[#This Row],[Time]]-TIME(0,0,10)</f>
        <v>0.6394751851851852</v>
      </c>
      <c r="Q26">
        <v>-113</v>
      </c>
      <c r="R26">
        <f>Table2579[[#This Row],[RSSI]]</f>
        <v>-113</v>
      </c>
      <c r="S26">
        <v>-7.7</v>
      </c>
      <c r="V26" s="10">
        <f t="shared" si="1"/>
        <v>204</v>
      </c>
      <c r="W26" s="4" t="e">
        <f>COUNTIFS(Table1468[Range(nm)], V26, Table1468[Type], "ACK")/COUNTIFS(Table1468[Range(nm)], V26)</f>
        <v>#DIV/0!</v>
      </c>
      <c r="X26" s="5" t="e">
        <f>COUNTIFS(Table1468[Range(nm)], $V26, Table1468[Type], "SUT Rx Error")/COUNTIFS(Table1468[Range(nm)], $V26)</f>
        <v>#DIV/0!</v>
      </c>
      <c r="Y26" t="e">
        <f>AVERAGEIF(Table1468[Range(nm)], V26, Table1468[Corrected RSSI])</f>
        <v>#DIV/0!</v>
      </c>
      <c r="Z26" s="3" t="e">
        <f>AVERAGEIF(Table1468[Range(nm)], V26, Table1468[SNR])</f>
        <v>#DIV/0!</v>
      </c>
      <c r="AA26" s="4" t="e">
        <f>COUNTIFS(Table2579[Range(nm)], V26, Table2579[Type], "ACK")/COUNTIFS(Table2579[Range(nm)], V26)</f>
        <v>#DIV/0!</v>
      </c>
      <c r="AB26" s="5" t="e">
        <f>COUNTIFS(Table2579[Range(nm)], $V26, Table2579[Type], "SUT Rx Error")/COUNTIFS(Table2579[Range(nm)], $V26)</f>
        <v>#DIV/0!</v>
      </c>
      <c r="AC26" t="e">
        <f>AVERAGEIF(Table2579[Range(nm)], V26, Table2579[Corrected RSSI])</f>
        <v>#DIV/0!</v>
      </c>
      <c r="AD26" s="3" t="e">
        <f>AVERAGEIF(Table2579[Range(nm)], V26, Table2579[SNR])</f>
        <v>#DIV/0!</v>
      </c>
    </row>
    <row r="27" spans="3:30" x14ac:dyDescent="0.25">
      <c r="C27">
        <f>MINUTE(Table1468[[#This Row],[Corrected time]])</f>
        <v>31</v>
      </c>
      <c r="D27" s="1">
        <v>0.64713214120370366</v>
      </c>
      <c r="E27" s="1">
        <f>Table1468[[#This Row],[Time]]-TIME(0,0,11)</f>
        <v>0.6470048263888889</v>
      </c>
      <c r="F27" t="s">
        <v>9</v>
      </c>
      <c r="G27" t="s">
        <v>37</v>
      </c>
      <c r="H27">
        <f t="shared" si="2"/>
        <v>-113</v>
      </c>
      <c r="I27">
        <v>-7.2</v>
      </c>
      <c r="M27">
        <f>MINUTE(Table2579[[#This Row],[Corrected time]])</f>
        <v>20</v>
      </c>
      <c r="N27" s="1">
        <v>0.63960311342592591</v>
      </c>
      <c r="O27" s="1">
        <f>Table2579[[#This Row],[Time]]-TIME(0,0,10)</f>
        <v>0.63948737268518518</v>
      </c>
      <c r="Q27">
        <v>-113</v>
      </c>
      <c r="R27">
        <f>Table2579[[#This Row],[RSSI]]</f>
        <v>-113</v>
      </c>
      <c r="S27">
        <v>-7.2</v>
      </c>
      <c r="V27" s="10">
        <f t="shared" si="1"/>
        <v>206</v>
      </c>
      <c r="W27" s="4" t="e">
        <f>COUNTIFS(Table1468[Range(nm)], V27, Table1468[Type], "ACK")/COUNTIFS(Table1468[Range(nm)], V27)</f>
        <v>#DIV/0!</v>
      </c>
      <c r="X27" s="5" t="e">
        <f>COUNTIFS(Table1468[Range(nm)], $V27, Table1468[Type], "SUT Rx Error")/COUNTIFS(Table1468[Range(nm)], $V27)</f>
        <v>#DIV/0!</v>
      </c>
      <c r="Y27" t="e">
        <f>AVERAGEIF(Table1468[Range(nm)], V27, Table1468[Corrected RSSI])</f>
        <v>#DIV/0!</v>
      </c>
      <c r="Z27" s="3" t="e">
        <f>AVERAGEIF(Table1468[Range(nm)], V27, Table1468[SNR])</f>
        <v>#DIV/0!</v>
      </c>
      <c r="AA27" s="4" t="e">
        <f>COUNTIFS(Table2579[Range(nm)], V27, Table2579[Type], "ACK")/COUNTIFS(Table2579[Range(nm)], V27)</f>
        <v>#DIV/0!</v>
      </c>
      <c r="AB27" s="5" t="e">
        <f>COUNTIFS(Table2579[Range(nm)], $V27, Table2579[Type], "SUT Rx Error")/COUNTIFS(Table2579[Range(nm)], $V27)</f>
        <v>#DIV/0!</v>
      </c>
      <c r="AC27" t="e">
        <f>AVERAGEIF(Table2579[Range(nm)], V27, Table2579[Corrected RSSI])</f>
        <v>#DIV/0!</v>
      </c>
      <c r="AD27" s="3" t="e">
        <f>AVERAGEIF(Table2579[Range(nm)], V27, Table2579[SNR])</f>
        <v>#DIV/0!</v>
      </c>
    </row>
    <row r="28" spans="3:30" x14ac:dyDescent="0.25">
      <c r="C28">
        <f>MINUTE(Table1468[[#This Row],[Corrected time]])</f>
        <v>31</v>
      </c>
      <c r="D28" s="1">
        <v>0.64714432870370364</v>
      </c>
      <c r="E28" s="1">
        <f>Table1468[[#This Row],[Time]]-TIME(0,0,11)</f>
        <v>0.64701701388888888</v>
      </c>
      <c r="F28" t="s">
        <v>9</v>
      </c>
      <c r="G28" t="s">
        <v>40</v>
      </c>
      <c r="H28">
        <f t="shared" si="2"/>
        <v>-112</v>
      </c>
      <c r="I28">
        <v>-7.5</v>
      </c>
      <c r="M28">
        <f>MINUTE(Table2579[[#This Row],[Corrected time]])</f>
        <v>20</v>
      </c>
      <c r="N28" s="1">
        <v>0.639615300925926</v>
      </c>
      <c r="O28" s="1">
        <f>Table2579[[#This Row],[Time]]-TIME(0,0,10)</f>
        <v>0.63949956018518528</v>
      </c>
      <c r="Q28">
        <f>Q27</f>
        <v>-113</v>
      </c>
      <c r="R28">
        <f>Table2579[[#This Row],[RSSI]]</f>
        <v>-113</v>
      </c>
      <c r="S28">
        <f>S27</f>
        <v>-7.2</v>
      </c>
      <c r="V28" s="10">
        <f t="shared" si="1"/>
        <v>208</v>
      </c>
      <c r="W28" s="4" t="e">
        <f>COUNTIFS(Table1468[Range(nm)], V28, Table1468[Type], "ACK")/COUNTIFS(Table1468[Range(nm)], V28)</f>
        <v>#DIV/0!</v>
      </c>
      <c r="X28" s="5" t="e">
        <f>COUNTIFS(Table1468[Range(nm)], $V28, Table1468[Type], "SUT Rx Error")/COUNTIFS(Table1468[Range(nm)], $V28)</f>
        <v>#DIV/0!</v>
      </c>
      <c r="Y28" t="e">
        <f>AVERAGEIF(Table1468[Range(nm)], V28, Table1468[Corrected RSSI])</f>
        <v>#DIV/0!</v>
      </c>
      <c r="Z28" s="3" t="e">
        <f>AVERAGEIF(Table1468[Range(nm)], V28, Table1468[SNR])</f>
        <v>#DIV/0!</v>
      </c>
      <c r="AA28" s="4" t="e">
        <f>COUNTIFS(Table2579[Range(nm)], V28, Table2579[Type], "ACK")/COUNTIFS(Table2579[Range(nm)], V28)</f>
        <v>#DIV/0!</v>
      </c>
      <c r="AB28" s="5" t="e">
        <f>COUNTIFS(Table2579[Range(nm)], $V28, Table2579[Type], "SUT Rx Error")/COUNTIFS(Table2579[Range(nm)], $V28)</f>
        <v>#DIV/0!</v>
      </c>
      <c r="AC28" t="e">
        <f>AVERAGEIF(Table2579[Range(nm)], V28, Table2579[Corrected RSSI])</f>
        <v>#DIV/0!</v>
      </c>
      <c r="AD28" s="3" t="e">
        <f>AVERAGEIF(Table2579[Range(nm)], V28, Table2579[SNR])</f>
        <v>#DIV/0!</v>
      </c>
    </row>
    <row r="29" spans="3:30" x14ac:dyDescent="0.25">
      <c r="C29">
        <f>MINUTE(Table1468[[#This Row],[Corrected time]])</f>
        <v>31</v>
      </c>
      <c r="D29" s="1">
        <v>0.64715651620370362</v>
      </c>
      <c r="E29" s="1">
        <f>Table1468[[#This Row],[Time]]-TIME(0,0,11)</f>
        <v>0.64702920138888886</v>
      </c>
      <c r="F29" t="s">
        <v>9</v>
      </c>
      <c r="G29" t="s">
        <v>37</v>
      </c>
      <c r="H29">
        <f t="shared" si="2"/>
        <v>-113</v>
      </c>
      <c r="I29">
        <v>-7.7</v>
      </c>
      <c r="M29">
        <f>MINUTE(Table2579[[#This Row],[Corrected time]])</f>
        <v>20</v>
      </c>
      <c r="N29" s="1">
        <v>0.63962748842592598</v>
      </c>
      <c r="O29" s="1">
        <f>Table2579[[#This Row],[Time]]-TIME(0,0,10)</f>
        <v>0.63951174768518526</v>
      </c>
      <c r="Q29">
        <v>-113</v>
      </c>
      <c r="R29">
        <f>Table2579[[#This Row],[RSSI]]</f>
        <v>-113</v>
      </c>
      <c r="S29">
        <v>-7</v>
      </c>
      <c r="V29" s="10">
        <f t="shared" si="1"/>
        <v>210</v>
      </c>
      <c r="W29" s="4" t="e">
        <f>COUNTIFS(Table1468[Range(nm)], V29, Table1468[Type], "ACK")/COUNTIFS(Table1468[Range(nm)], V29)</f>
        <v>#DIV/0!</v>
      </c>
      <c r="X29" s="5" t="e">
        <f>COUNTIFS(Table1468[Range(nm)], $V29, Table1468[Type], "SUT Rx Error")/COUNTIFS(Table1468[Range(nm)], $V29)</f>
        <v>#DIV/0!</v>
      </c>
      <c r="Y29" t="e">
        <f>AVERAGEIF(Table1468[Range(nm)], V29, Table1468[Corrected RSSI])</f>
        <v>#DIV/0!</v>
      </c>
      <c r="Z29" s="3" t="e">
        <f>AVERAGEIF(Table1468[Range(nm)], V29, Table1468[SNR])</f>
        <v>#DIV/0!</v>
      </c>
      <c r="AA29" s="4" t="e">
        <f>COUNTIFS(Table2579[Range(nm)], V29, Table2579[Type], "ACK")/COUNTIFS(Table2579[Range(nm)], V29)</f>
        <v>#DIV/0!</v>
      </c>
      <c r="AB29" s="5" t="e">
        <f>COUNTIFS(Table2579[Range(nm)], $V29, Table2579[Type], "SUT Rx Error")/COUNTIFS(Table2579[Range(nm)], $V29)</f>
        <v>#DIV/0!</v>
      </c>
      <c r="AC29" t="e">
        <f>AVERAGEIF(Table2579[Range(nm)], V29, Table2579[Corrected RSSI])</f>
        <v>#DIV/0!</v>
      </c>
      <c r="AD29" s="3" t="e">
        <f>AVERAGEIF(Table2579[Range(nm)], V29, Table2579[SNR])</f>
        <v>#DIV/0!</v>
      </c>
    </row>
    <row r="30" spans="3:30" x14ac:dyDescent="0.25">
      <c r="C30">
        <f>MINUTE(Table1468[[#This Row],[Corrected time]])</f>
        <v>31</v>
      </c>
      <c r="D30" s="1">
        <v>0.64716869212962957</v>
      </c>
      <c r="E30" s="1">
        <f>Table1468[[#This Row],[Time]]-TIME(0,0,11)</f>
        <v>0.64704137731481481</v>
      </c>
      <c r="F30" t="s">
        <v>9</v>
      </c>
      <c r="G30" t="s">
        <v>37</v>
      </c>
      <c r="H30">
        <f t="shared" si="2"/>
        <v>-113</v>
      </c>
      <c r="I30">
        <v>-7.2</v>
      </c>
      <c r="M30">
        <f>MINUTE(Table2579[[#This Row],[Corrected time]])</f>
        <v>20</v>
      </c>
      <c r="N30" s="1">
        <v>0.63963967592592597</v>
      </c>
      <c r="O30" s="1">
        <f>Table2579[[#This Row],[Time]]-TIME(0,0,10)</f>
        <v>0.63952393518518524</v>
      </c>
      <c r="Q30">
        <v>-113</v>
      </c>
      <c r="R30">
        <f>Table2579[[#This Row],[RSSI]]</f>
        <v>-113</v>
      </c>
      <c r="S30">
        <v>-7</v>
      </c>
      <c r="V30" s="10">
        <f t="shared" si="1"/>
        <v>212</v>
      </c>
      <c r="W30" s="4" t="e">
        <f>COUNTIFS(Table1468[Range(nm)], V30, Table1468[Type], "ACK")/COUNTIFS(Table1468[Range(nm)], V30)</f>
        <v>#DIV/0!</v>
      </c>
      <c r="X30" s="5" t="e">
        <f>COUNTIFS(Table1468[Range(nm)], $V30, Table1468[Type], "SUT Rx Error")/COUNTIFS(Table1468[Range(nm)], $V30)</f>
        <v>#DIV/0!</v>
      </c>
      <c r="Y30" t="e">
        <f>AVERAGEIF(Table1468[Range(nm)], V30, Table1468[Corrected RSSI])</f>
        <v>#DIV/0!</v>
      </c>
      <c r="Z30" s="3" t="e">
        <f>AVERAGEIF(Table1468[Range(nm)], V30, Table1468[SNR])</f>
        <v>#DIV/0!</v>
      </c>
      <c r="AA30" s="4" t="e">
        <f>COUNTIFS(Table2579[Range(nm)], V30, Table2579[Type], "ACK")/COUNTIFS(Table2579[Range(nm)], V30)</f>
        <v>#DIV/0!</v>
      </c>
      <c r="AB30" s="5" t="e">
        <f>COUNTIFS(Table2579[Range(nm)], $V30, Table2579[Type], "SUT Rx Error")/COUNTIFS(Table2579[Range(nm)], $V30)</f>
        <v>#DIV/0!</v>
      </c>
      <c r="AC30" t="e">
        <f>AVERAGEIF(Table2579[Range(nm)], V30, Table2579[Corrected RSSI])</f>
        <v>#DIV/0!</v>
      </c>
      <c r="AD30" s="3" t="e">
        <f>AVERAGEIF(Table2579[Range(nm)], V30, Table2579[SNR])</f>
        <v>#DIV/0!</v>
      </c>
    </row>
    <row r="31" spans="3:30" x14ac:dyDescent="0.25">
      <c r="C31">
        <f>MINUTE(Table1468[[#This Row],[Corrected time]])</f>
        <v>31</v>
      </c>
      <c r="D31" s="1">
        <v>0.6471808912037037</v>
      </c>
      <c r="E31" s="1">
        <f>Table1468[[#This Row],[Time]]-TIME(0,0,11)</f>
        <v>0.64705357638888894</v>
      </c>
      <c r="F31" t="s">
        <v>9</v>
      </c>
      <c r="G31" t="s">
        <v>37</v>
      </c>
      <c r="H31">
        <f t="shared" si="2"/>
        <v>-113</v>
      </c>
      <c r="I31">
        <v>-7.7</v>
      </c>
      <c r="M31">
        <f>MINUTE(Table2579[[#This Row],[Corrected time]])</f>
        <v>20</v>
      </c>
      <c r="N31" s="1">
        <v>0.63965186342592595</v>
      </c>
      <c r="O31" s="1">
        <f>Table2579[[#This Row],[Time]]-TIME(0,0,10)</f>
        <v>0.63953612268518523</v>
      </c>
      <c r="Q31">
        <v>-112</v>
      </c>
      <c r="R31">
        <f>Table2579[[#This Row],[RSSI]]</f>
        <v>-112</v>
      </c>
      <c r="S31">
        <v>-7.7</v>
      </c>
      <c r="V31" s="10">
        <f t="shared" si="1"/>
        <v>214</v>
      </c>
      <c r="W31" s="4" t="e">
        <f>COUNTIFS(Table1468[Range(nm)], V31, Table1468[Type], "ACK")/COUNTIFS(Table1468[Range(nm)], V31)</f>
        <v>#DIV/0!</v>
      </c>
      <c r="X31" s="5" t="e">
        <f>COUNTIFS(Table1468[Range(nm)], $V31, Table1468[Type], "SUT Rx Error")/COUNTIFS(Table1468[Range(nm)], $V31)</f>
        <v>#DIV/0!</v>
      </c>
      <c r="Y31" t="e">
        <f>AVERAGEIF(Table1468[Range(nm)], V31, Table1468[Corrected RSSI])</f>
        <v>#DIV/0!</v>
      </c>
      <c r="Z31" s="3" t="e">
        <f>AVERAGEIF(Table1468[Range(nm)], V31, Table1468[SNR])</f>
        <v>#DIV/0!</v>
      </c>
      <c r="AA31" s="4" t="e">
        <f>COUNTIFS(Table2579[Range(nm)], V31, Table2579[Type], "ACK")/COUNTIFS(Table2579[Range(nm)], V31)</f>
        <v>#DIV/0!</v>
      </c>
      <c r="AB31" s="5" t="e">
        <f>COUNTIFS(Table2579[Range(nm)], $V31, Table2579[Type], "SUT Rx Error")/COUNTIFS(Table2579[Range(nm)], $V31)</f>
        <v>#DIV/0!</v>
      </c>
      <c r="AC31" t="e">
        <f>AVERAGEIF(Table2579[Range(nm)], V31, Table2579[Corrected RSSI])</f>
        <v>#DIV/0!</v>
      </c>
      <c r="AD31" s="3" t="e">
        <f>AVERAGEIF(Table2579[Range(nm)], V31, Table2579[SNR])</f>
        <v>#DIV/0!</v>
      </c>
    </row>
    <row r="32" spans="3:30" x14ac:dyDescent="0.25">
      <c r="C32">
        <f>MINUTE(Table1468[[#This Row],[Corrected time]])</f>
        <v>31</v>
      </c>
      <c r="D32" s="1">
        <v>0.64719307870370379</v>
      </c>
      <c r="E32" s="1">
        <f>Table1468[[#This Row],[Time]]-TIME(0,0,11)</f>
        <v>0.64706576388888903</v>
      </c>
      <c r="F32" t="s">
        <v>9</v>
      </c>
      <c r="G32" t="s">
        <v>37</v>
      </c>
      <c r="H32">
        <f t="shared" si="2"/>
        <v>-113</v>
      </c>
      <c r="I32">
        <v>-8.3000000000000007</v>
      </c>
      <c r="M32">
        <f>MINUTE(Table2579[[#This Row],[Corrected time]])</f>
        <v>20</v>
      </c>
      <c r="N32" s="1">
        <v>0.63966405092592593</v>
      </c>
      <c r="O32" s="1">
        <f>Table2579[[#This Row],[Time]]-TIME(0,0,10)</f>
        <v>0.63954831018518521</v>
      </c>
      <c r="Q32">
        <v>-113</v>
      </c>
      <c r="R32">
        <f>Table2579[[#This Row],[RSSI]]</f>
        <v>-113</v>
      </c>
      <c r="S32">
        <v>-7.5</v>
      </c>
      <c r="V32" s="10">
        <f t="shared" si="1"/>
        <v>216</v>
      </c>
      <c r="W32" s="4" t="e">
        <f>COUNTIFS(Table1468[Range(nm)], V32, Table1468[Type], "ACK")/COUNTIFS(Table1468[Range(nm)], V32)</f>
        <v>#DIV/0!</v>
      </c>
      <c r="X32" s="5" t="e">
        <f>COUNTIFS(Table1468[Range(nm)], $V32, Table1468[Type], "SUT Rx Error")/COUNTIFS(Table1468[Range(nm)], $V32)</f>
        <v>#DIV/0!</v>
      </c>
      <c r="Y32" t="e">
        <f>AVERAGEIF(Table1468[Range(nm)], V32, Table1468[Corrected RSSI])</f>
        <v>#DIV/0!</v>
      </c>
      <c r="Z32" s="3" t="e">
        <f>AVERAGEIF(Table1468[Range(nm)], V32, Table1468[SNR])</f>
        <v>#DIV/0!</v>
      </c>
      <c r="AA32" s="4" t="e">
        <f>COUNTIFS(Table2579[Range(nm)], V32, Table2579[Type], "ACK")/COUNTIFS(Table2579[Range(nm)], V32)</f>
        <v>#DIV/0!</v>
      </c>
      <c r="AB32" s="5" t="e">
        <f>COUNTIFS(Table2579[Range(nm)], $V32, Table2579[Type], "SUT Rx Error")/COUNTIFS(Table2579[Range(nm)], $V32)</f>
        <v>#DIV/0!</v>
      </c>
      <c r="AC32" t="e">
        <f>AVERAGEIF(Table2579[Range(nm)], V32, Table2579[Corrected RSSI])</f>
        <v>#DIV/0!</v>
      </c>
      <c r="AD32" s="3" t="e">
        <f>AVERAGEIF(Table2579[Range(nm)], V32, Table2579[SNR])</f>
        <v>#DIV/0!</v>
      </c>
    </row>
    <row r="33" spans="2:30" x14ac:dyDescent="0.25">
      <c r="C33">
        <f>MINUTE(Table1468[[#This Row],[Corrected time]])</f>
        <v>31</v>
      </c>
      <c r="D33" s="1">
        <v>0.6472052430555556</v>
      </c>
      <c r="E33" s="1">
        <f>Table1468[[#This Row],[Time]]-TIME(0,0,11)</f>
        <v>0.64707792824074084</v>
      </c>
      <c r="F33" t="s">
        <v>9</v>
      </c>
      <c r="G33" t="s">
        <v>37</v>
      </c>
      <c r="H33">
        <f t="shared" si="2"/>
        <v>-113</v>
      </c>
      <c r="I33">
        <v>-8</v>
      </c>
      <c r="M33">
        <f>MINUTE(Table2579[[#This Row],[Corrected time]])</f>
        <v>20</v>
      </c>
      <c r="N33" s="1">
        <v>0.63967622685185188</v>
      </c>
      <c r="O33" s="1">
        <f>Table2579[[#This Row],[Time]]-TIME(0,0,10)</f>
        <v>0.63956048611111116</v>
      </c>
      <c r="Q33">
        <v>-112</v>
      </c>
      <c r="R33">
        <f>Table2579[[#This Row],[RSSI]]</f>
        <v>-112</v>
      </c>
      <c r="S33">
        <v>-7.7</v>
      </c>
      <c r="V33" s="10">
        <f t="shared" si="1"/>
        <v>218</v>
      </c>
      <c r="W33" s="4" t="e">
        <f>COUNTIFS(Table1468[Range(nm)], V33, Table1468[Type], "ACK")/COUNTIFS(Table1468[Range(nm)], V33)</f>
        <v>#DIV/0!</v>
      </c>
      <c r="X33" s="5" t="e">
        <f>COUNTIFS(Table1468[Range(nm)], $V33, Table1468[Type], "SUT Rx Error")/COUNTIFS(Table1468[Range(nm)], $V33)</f>
        <v>#DIV/0!</v>
      </c>
      <c r="Y33" t="e">
        <f>AVERAGEIF(Table1468[Range(nm)], V33, Table1468[Corrected RSSI])</f>
        <v>#DIV/0!</v>
      </c>
      <c r="Z33" s="3" t="e">
        <f>AVERAGEIF(Table1468[Range(nm)], V33, Table1468[SNR])</f>
        <v>#DIV/0!</v>
      </c>
      <c r="AA33" s="4" t="e">
        <f>COUNTIFS(Table2579[Range(nm)], V33, Table2579[Type], "ACK")/COUNTIFS(Table2579[Range(nm)], V33)</f>
        <v>#DIV/0!</v>
      </c>
      <c r="AB33" s="5" t="e">
        <f>COUNTIFS(Table2579[Range(nm)], $V33, Table2579[Type], "SUT Rx Error")/COUNTIFS(Table2579[Range(nm)], $V33)</f>
        <v>#DIV/0!</v>
      </c>
      <c r="AC33" t="e">
        <f>AVERAGEIF(Table2579[Range(nm)], V33, Table2579[Corrected RSSI])</f>
        <v>#DIV/0!</v>
      </c>
      <c r="AD33" s="3" t="e">
        <f>AVERAGEIF(Table2579[Range(nm)], V33, Table2579[SNR])</f>
        <v>#DIV/0!</v>
      </c>
    </row>
    <row r="34" spans="2:30" ht="15.75" thickBot="1" x14ac:dyDescent="0.3">
      <c r="C34">
        <f>MINUTE(Table1468[[#This Row],[Corrected time]])</f>
        <v>31</v>
      </c>
      <c r="D34" s="1">
        <v>0.64721744212962962</v>
      </c>
      <c r="E34" s="1">
        <f>Table1468[[#This Row],[Time]]-TIME(0,0,11)</f>
        <v>0.64709012731481486</v>
      </c>
      <c r="F34" t="s">
        <v>9</v>
      </c>
      <c r="G34" t="s">
        <v>40</v>
      </c>
      <c r="H34">
        <f t="shared" si="2"/>
        <v>-112</v>
      </c>
      <c r="I34">
        <v>-7.2</v>
      </c>
      <c r="M34">
        <f>MINUTE(Table2579[[#This Row],[Corrected time]])</f>
        <v>20</v>
      </c>
      <c r="N34" s="1">
        <v>0.6396884259259259</v>
      </c>
      <c r="O34" s="1">
        <f>Table2579[[#This Row],[Time]]-TIME(0,0,10)</f>
        <v>0.63957268518518517</v>
      </c>
      <c r="Q34">
        <v>-114</v>
      </c>
      <c r="R34">
        <f>Table2579[[#This Row],[RSSI]]</f>
        <v>-114</v>
      </c>
      <c r="S34">
        <v>-8</v>
      </c>
      <c r="V34" s="10">
        <f t="shared" si="1"/>
        <v>220</v>
      </c>
      <c r="W34" s="6" t="e">
        <f>COUNTIFS(Table1468[Range(nm)], V34, Table1468[Type], "ACK")/COUNTIFS(Table1468[Range(nm)], V34)</f>
        <v>#DIV/0!</v>
      </c>
      <c r="X34" s="7" t="e">
        <f>COUNTIFS(Table1468[Range(nm)], $V34, Table1468[Type], "SUT Rx Error")/COUNTIFS(Table1468[Range(nm)], $V34)</f>
        <v>#DIV/0!</v>
      </c>
      <c r="Y34" t="e">
        <f>AVERAGEIF(Table1468[Range(nm)], V34, Table1468[Corrected RSSI])</f>
        <v>#DIV/0!</v>
      </c>
      <c r="Z34" s="9" t="e">
        <f>AVERAGEIF(Table1468[Range(nm)], V34, Table1468[SNR])</f>
        <v>#DIV/0!</v>
      </c>
      <c r="AA34" s="6" t="e">
        <f>COUNTIFS(Table2579[Range(nm)], V34, Table2579[Type], "ACK")/COUNTIFS(Table2579[Range(nm)], V34)</f>
        <v>#DIV/0!</v>
      </c>
      <c r="AB34" s="7" t="e">
        <f>COUNTIFS(Table2579[Range(nm)], $V34, Table2579[Type], "SUT Rx Error")/COUNTIFS(Table2579[Range(nm)], $V34)</f>
        <v>#DIV/0!</v>
      </c>
      <c r="AC34" t="e">
        <f>AVERAGEIF(Table2579[Range(nm)], V34, Table2579[Corrected RSSI])</f>
        <v>#DIV/0!</v>
      </c>
      <c r="AD34" s="3" t="e">
        <f>AVERAGEIF(Table2579[Range(nm)], V34, Table2579[SNR])</f>
        <v>#DIV/0!</v>
      </c>
    </row>
    <row r="35" spans="2:30" x14ac:dyDescent="0.25">
      <c r="B35">
        <f>160+2*(Table1468[[#This Row],[min value (corrected)]]-32)</f>
        <v>158</v>
      </c>
      <c r="C35">
        <f>MINUTE(Table1468[[#This Row],[Corrected time]])</f>
        <v>31</v>
      </c>
      <c r="D35" s="17">
        <v>0.64722964120370374</v>
      </c>
      <c r="E35" s="1">
        <f>Table1468[[#This Row],[Time]]-TIME(0,0,11)</f>
        <v>0.64710232638888898</v>
      </c>
      <c r="F35" t="s">
        <v>9</v>
      </c>
      <c r="G35" t="s">
        <v>37</v>
      </c>
      <c r="H35">
        <f t="shared" si="2"/>
        <v>-113</v>
      </c>
      <c r="I35">
        <v>-9.5</v>
      </c>
      <c r="M35">
        <f>MINUTE(Table2579[[#This Row],[Corrected time]])</f>
        <v>21</v>
      </c>
      <c r="N35" s="1">
        <v>0.63970061342592599</v>
      </c>
      <c r="O35" s="1">
        <f>Table2579[[#This Row],[Time]]-TIME(0,0,10)</f>
        <v>0.63958487268518527</v>
      </c>
      <c r="Q35">
        <v>-113</v>
      </c>
      <c r="R35">
        <f>Table2579[[#This Row],[RSSI]]</f>
        <v>-113</v>
      </c>
      <c r="S35">
        <v>-7</v>
      </c>
    </row>
    <row r="36" spans="2:30" x14ac:dyDescent="0.25">
      <c r="B36">
        <f>160+2*(Table1468[[#This Row],[min value (corrected)]]-32)</f>
        <v>158</v>
      </c>
      <c r="C36">
        <f>MINUTE(Table1468[[#This Row],[Corrected time]])</f>
        <v>31</v>
      </c>
      <c r="D36" s="1">
        <v>0.64724181712962958</v>
      </c>
      <c r="E36" s="1">
        <f>Table1468[[#This Row],[Time]]-TIME(0,0,11)</f>
        <v>0.64711450231481482</v>
      </c>
      <c r="F36" t="s">
        <v>9</v>
      </c>
      <c r="G36" t="s">
        <v>39</v>
      </c>
      <c r="H36">
        <f t="shared" si="2"/>
        <v>-114</v>
      </c>
      <c r="I36">
        <v>-8.8000000000000007</v>
      </c>
      <c r="M36">
        <f>MINUTE(Table2579[[#This Row],[Corrected time]])</f>
        <v>21</v>
      </c>
      <c r="N36" s="1">
        <v>0.63971280092592597</v>
      </c>
      <c r="O36" s="1">
        <f>Table2579[[#This Row],[Time]]-TIME(0,0,10)</f>
        <v>0.63959706018518525</v>
      </c>
      <c r="Q36">
        <v>-114</v>
      </c>
      <c r="R36">
        <f>Table2579[[#This Row],[RSSI]]</f>
        <v>-114</v>
      </c>
      <c r="S36">
        <v>-8.8000000000000007</v>
      </c>
    </row>
    <row r="37" spans="2:30" x14ac:dyDescent="0.25">
      <c r="B37">
        <f>160+2*(Table1468[[#This Row],[min value (corrected)]]-32)</f>
        <v>158</v>
      </c>
      <c r="C37">
        <f>MINUTE(Table1468[[#This Row],[Corrected time]])</f>
        <v>31</v>
      </c>
      <c r="D37" s="1">
        <v>0.64725401620370371</v>
      </c>
      <c r="E37" s="1">
        <f>Table1468[[#This Row],[Time]]-TIME(0,0,11)</f>
        <v>0.64712670138888895</v>
      </c>
      <c r="F37" t="s">
        <v>9</v>
      </c>
      <c r="G37" t="s">
        <v>37</v>
      </c>
      <c r="H37">
        <f t="shared" si="2"/>
        <v>-113</v>
      </c>
      <c r="I37">
        <v>-8.5</v>
      </c>
      <c r="M37">
        <f>MINUTE(Table2579[[#This Row],[Corrected time]])</f>
        <v>21</v>
      </c>
      <c r="N37" s="1">
        <v>0.63972497685185181</v>
      </c>
      <c r="O37" s="1">
        <f>Table2579[[#This Row],[Time]]-TIME(0,0,10)</f>
        <v>0.63960923611111109</v>
      </c>
      <c r="Q37">
        <v>-113</v>
      </c>
      <c r="R37">
        <f>Table2579[[#This Row],[RSSI]]</f>
        <v>-113</v>
      </c>
      <c r="S37">
        <v>-7.7</v>
      </c>
    </row>
    <row r="38" spans="2:30" x14ac:dyDescent="0.25">
      <c r="B38">
        <f>160+2*(Table1468[[#This Row],[min value (corrected)]]-32)</f>
        <v>158</v>
      </c>
      <c r="C38">
        <f>MINUTE(Table1468[[#This Row],[Corrected time]])</f>
        <v>31</v>
      </c>
      <c r="D38" s="1">
        <v>0.64726620370370369</v>
      </c>
      <c r="E38" s="1">
        <f>Table1468[[#This Row],[Time]]-TIME(0,0,11)</f>
        <v>0.64713888888888893</v>
      </c>
      <c r="F38" t="s">
        <v>9</v>
      </c>
      <c r="G38" t="s">
        <v>37</v>
      </c>
      <c r="H38">
        <f t="shared" si="2"/>
        <v>-113</v>
      </c>
      <c r="I38">
        <v>-8.5</v>
      </c>
      <c r="M38">
        <f>MINUTE(Table2579[[#This Row],[Corrected time]])</f>
        <v>21</v>
      </c>
      <c r="N38" s="1">
        <v>0.63973717592592594</v>
      </c>
      <c r="O38" s="1">
        <f>Table2579[[#This Row],[Time]]-TIME(0,0,10)</f>
        <v>0.63962143518518522</v>
      </c>
      <c r="Q38">
        <v>-113</v>
      </c>
      <c r="R38">
        <f>Table2579[[#This Row],[RSSI]]</f>
        <v>-113</v>
      </c>
      <c r="S38">
        <v>-7.5</v>
      </c>
    </row>
    <row r="39" spans="2:30" x14ac:dyDescent="0.25">
      <c r="B39">
        <f>160+2*(Table1468[[#This Row],[min value (corrected)]]-32)</f>
        <v>158</v>
      </c>
      <c r="C39">
        <f>MINUTE(Table1468[[#This Row],[Corrected time]])</f>
        <v>31</v>
      </c>
      <c r="D39" s="1">
        <v>0.64727837962962964</v>
      </c>
      <c r="E39" s="1">
        <f>Table1468[[#This Row],[Time]]-TIME(0,0,11)</f>
        <v>0.64715106481481488</v>
      </c>
      <c r="F39" t="s">
        <v>9</v>
      </c>
      <c r="G39" t="s">
        <v>37</v>
      </c>
      <c r="H39">
        <f t="shared" si="2"/>
        <v>-113</v>
      </c>
      <c r="I39">
        <v>-7.5</v>
      </c>
      <c r="M39">
        <f>MINUTE(Table2579[[#This Row],[Corrected time]])</f>
        <v>21</v>
      </c>
      <c r="N39" s="1">
        <v>0.63974935185185178</v>
      </c>
      <c r="O39" s="1">
        <f>Table2579[[#This Row],[Time]]-TIME(0,0,10)</f>
        <v>0.63963361111111106</v>
      </c>
      <c r="Q39">
        <v>-113</v>
      </c>
      <c r="R39">
        <f>Table2579[[#This Row],[RSSI]]</f>
        <v>-113</v>
      </c>
      <c r="S39">
        <v>-7.7</v>
      </c>
    </row>
    <row r="40" spans="2:30" x14ac:dyDescent="0.25">
      <c r="B40">
        <f>160+2*(Table1468[[#This Row],[min value (corrected)]]-32)</f>
        <v>158</v>
      </c>
      <c r="C40">
        <f>MINUTE(Table1468[[#This Row],[Corrected time]])</f>
        <v>31</v>
      </c>
      <c r="D40" s="1">
        <v>0.64729057870370377</v>
      </c>
      <c r="E40" s="1">
        <f>Table1468[[#This Row],[Time]]-TIME(0,0,11)</f>
        <v>0.64716326388888901</v>
      </c>
      <c r="F40" t="s">
        <v>9</v>
      </c>
      <c r="G40" t="s">
        <v>40</v>
      </c>
      <c r="H40">
        <f t="shared" si="2"/>
        <v>-112</v>
      </c>
      <c r="I40">
        <v>-7.2</v>
      </c>
      <c r="M40">
        <f>MINUTE(Table2579[[#This Row],[Corrected time]])</f>
        <v>21</v>
      </c>
      <c r="N40" s="1">
        <v>0.63976153935185187</v>
      </c>
      <c r="O40" s="1">
        <f>Table2579[[#This Row],[Time]]-TIME(0,0,10)</f>
        <v>0.63964579861111115</v>
      </c>
      <c r="Q40">
        <v>-113</v>
      </c>
      <c r="R40">
        <f>Table2579[[#This Row],[RSSI]]</f>
        <v>-113</v>
      </c>
      <c r="S40">
        <v>-8.3000000000000007</v>
      </c>
    </row>
    <row r="41" spans="2:30" x14ac:dyDescent="0.25">
      <c r="B41">
        <f>160+2*(Table1468[[#This Row],[min value (corrected)]]-32)</f>
        <v>158</v>
      </c>
      <c r="C41">
        <f>MINUTE(Table1468[[#This Row],[Corrected time]])</f>
        <v>31</v>
      </c>
      <c r="D41" s="1">
        <v>0.64730276620370375</v>
      </c>
      <c r="E41" s="1">
        <f>Table1468[[#This Row],[Time]]-TIME(0,0,11)</f>
        <v>0.64717545138888899</v>
      </c>
      <c r="F41" t="s">
        <v>9</v>
      </c>
      <c r="G41" t="s">
        <v>40</v>
      </c>
      <c r="H41">
        <f t="shared" si="2"/>
        <v>-112</v>
      </c>
      <c r="I41">
        <v>-7.5</v>
      </c>
      <c r="M41">
        <f>MINUTE(Table2579[[#This Row],[Corrected time]])</f>
        <v>21</v>
      </c>
      <c r="N41" s="1">
        <v>0.63977373842592589</v>
      </c>
      <c r="O41" s="1">
        <f>Table2579[[#This Row],[Time]]-TIME(0,0,10)</f>
        <v>0.63965799768518516</v>
      </c>
      <c r="Q41">
        <v>-113</v>
      </c>
      <c r="R41">
        <f>Table2579[[#This Row],[RSSI]]</f>
        <v>-113</v>
      </c>
      <c r="S41">
        <v>-7.2</v>
      </c>
    </row>
    <row r="42" spans="2:30" x14ac:dyDescent="0.25">
      <c r="B42">
        <f>160+2*(Table1468[[#This Row],[min value (corrected)]]-32)</f>
        <v>158</v>
      </c>
      <c r="C42">
        <f>MINUTE(Table1468[[#This Row],[Corrected time]])</f>
        <v>31</v>
      </c>
      <c r="D42" s="1">
        <v>0.64731493055555556</v>
      </c>
      <c r="E42" s="1">
        <f>Table1468[[#This Row],[Time]]-TIME(0,0,11)</f>
        <v>0.6471876157407408</v>
      </c>
      <c r="F42" t="s">
        <v>9</v>
      </c>
      <c r="G42" t="s">
        <v>40</v>
      </c>
      <c r="H42">
        <f t="shared" si="2"/>
        <v>-112</v>
      </c>
      <c r="I42">
        <v>-8</v>
      </c>
      <c r="M42">
        <f>MINUTE(Table2579[[#This Row],[Corrected time]])</f>
        <v>21</v>
      </c>
      <c r="N42" s="1">
        <v>0.63978592592592598</v>
      </c>
      <c r="O42" s="1">
        <f>Table2579[[#This Row],[Time]]-TIME(0,0,10)</f>
        <v>0.63967018518518526</v>
      </c>
      <c r="Q42">
        <v>-114</v>
      </c>
      <c r="R42">
        <f>Table2579[[#This Row],[RSSI]]</f>
        <v>-114</v>
      </c>
      <c r="S42">
        <v>-8.3000000000000007</v>
      </c>
    </row>
    <row r="43" spans="2:30" x14ac:dyDescent="0.25">
      <c r="B43">
        <f>160+2*(Table1468[[#This Row],[min value (corrected)]]-32)</f>
        <v>158</v>
      </c>
      <c r="C43">
        <f>MINUTE(Table1468[[#This Row],[Corrected time]])</f>
        <v>31</v>
      </c>
      <c r="D43" s="1">
        <v>0.64732712962962957</v>
      </c>
      <c r="E43" s="1">
        <f>Table1468[[#This Row],[Time]]-TIME(0,0,11)</f>
        <v>0.64719981481481481</v>
      </c>
      <c r="F43" t="s">
        <v>9</v>
      </c>
      <c r="G43" t="s">
        <v>37</v>
      </c>
      <c r="H43">
        <f t="shared" si="2"/>
        <v>-113</v>
      </c>
      <c r="I43">
        <v>-7.2</v>
      </c>
      <c r="M43">
        <f>MINUTE(Table2579[[#This Row],[Corrected time]])</f>
        <v>21</v>
      </c>
      <c r="N43" s="1">
        <v>0.63979811342592596</v>
      </c>
      <c r="O43" s="1">
        <f>Table2579[[#This Row],[Time]]-TIME(0,0,10)</f>
        <v>0.63968237268518524</v>
      </c>
      <c r="Q43">
        <v>-113</v>
      </c>
      <c r="R43">
        <f>Table2579[[#This Row],[RSSI]]</f>
        <v>-113</v>
      </c>
      <c r="S43">
        <v>-7.7</v>
      </c>
    </row>
    <row r="44" spans="2:30" x14ac:dyDescent="0.25">
      <c r="B44">
        <f>160+2*(Table1468[[#This Row],[min value (corrected)]]-32)</f>
        <v>158</v>
      </c>
      <c r="C44">
        <f>MINUTE(Table1468[[#This Row],[Corrected time]])</f>
        <v>31</v>
      </c>
      <c r="D44" s="1">
        <v>0.6473393287037037</v>
      </c>
      <c r="E44" s="1">
        <f>Table1468[[#This Row],[Time]]-TIME(0,0,11)</f>
        <v>0.64721201388888894</v>
      </c>
      <c r="F44" t="s">
        <v>9</v>
      </c>
      <c r="G44" t="s">
        <v>37</v>
      </c>
      <c r="H44">
        <f t="shared" si="2"/>
        <v>-113</v>
      </c>
      <c r="I44">
        <v>-7.5</v>
      </c>
      <c r="M44">
        <f>MINUTE(Table2579[[#This Row],[Corrected time]])</f>
        <v>21</v>
      </c>
      <c r="N44" s="1">
        <v>0.63981030092592595</v>
      </c>
      <c r="O44" s="1">
        <f>Table2579[[#This Row],[Time]]-TIME(0,0,10)</f>
        <v>0.63969456018518522</v>
      </c>
      <c r="Q44">
        <v>-113</v>
      </c>
      <c r="R44">
        <f>Table2579[[#This Row],[RSSI]]</f>
        <v>-113</v>
      </c>
      <c r="S44">
        <v>-7.2</v>
      </c>
    </row>
    <row r="45" spans="2:30" x14ac:dyDescent="0.25">
      <c r="B45">
        <f>160+2*(Table1468[[#This Row],[min value (corrected)]]-32)</f>
        <v>160</v>
      </c>
      <c r="C45">
        <f>MINUTE(Table1468[[#This Row],[Corrected time]])</f>
        <v>32</v>
      </c>
      <c r="D45" s="1">
        <v>0.64735150462962965</v>
      </c>
      <c r="E45" s="2">
        <f>Table1468[[#This Row],[Time]]-TIME(0,0,11)</f>
        <v>0.64722418981481489</v>
      </c>
      <c r="F45" t="s">
        <v>9</v>
      </c>
      <c r="G45" t="s">
        <v>37</v>
      </c>
      <c r="H45">
        <f t="shared" si="2"/>
        <v>-113</v>
      </c>
      <c r="I45">
        <v>-7.2</v>
      </c>
      <c r="M45">
        <f>MINUTE(Table2579[[#This Row],[Corrected time]])</f>
        <v>21</v>
      </c>
      <c r="N45" s="1">
        <v>0.63982247685185178</v>
      </c>
      <c r="O45" s="1">
        <f>Table2579[[#This Row],[Time]]-TIME(0,0,10)</f>
        <v>0.63970673611111106</v>
      </c>
      <c r="Q45">
        <v>-113</v>
      </c>
      <c r="R45">
        <f>Table2579[[#This Row],[RSSI]]</f>
        <v>-113</v>
      </c>
      <c r="S45">
        <v>-7.7</v>
      </c>
    </row>
    <row r="46" spans="2:30" x14ac:dyDescent="0.25">
      <c r="B46">
        <f>160+2*(Table1468[[#This Row],[min value (corrected)]]-32)</f>
        <v>160</v>
      </c>
      <c r="C46">
        <f>MINUTE(Table1468[[#This Row],[Corrected time]])</f>
        <v>32</v>
      </c>
      <c r="D46" s="1">
        <v>0.64736370370370377</v>
      </c>
      <c r="E46" s="1">
        <f>Table1468[[#This Row],[Time]]-TIME(0,0,11)</f>
        <v>0.64723638888888901</v>
      </c>
      <c r="F46" t="s">
        <v>9</v>
      </c>
      <c r="G46" t="s">
        <v>41</v>
      </c>
      <c r="H46">
        <f t="shared" si="2"/>
        <v>-111</v>
      </c>
      <c r="I46">
        <v>-7.5</v>
      </c>
      <c r="M46">
        <f>MINUTE(Table2579[[#This Row],[Corrected time]])</f>
        <v>21</v>
      </c>
      <c r="N46" s="1">
        <v>0.63983467592592591</v>
      </c>
      <c r="O46" s="1">
        <f>Table2579[[#This Row],[Time]]-TIME(0,0,10)</f>
        <v>0.63971893518518519</v>
      </c>
      <c r="Q46">
        <v>-112</v>
      </c>
      <c r="R46">
        <f>Table2579[[#This Row],[RSSI]]</f>
        <v>-112</v>
      </c>
      <c r="S46">
        <v>-7.5</v>
      </c>
    </row>
    <row r="47" spans="2:30" x14ac:dyDescent="0.25">
      <c r="B47">
        <f>160+2*(Table1468[[#This Row],[min value (corrected)]]-32)</f>
        <v>160</v>
      </c>
      <c r="C47">
        <f>MINUTE(Table1468[[#This Row],[Corrected time]])</f>
        <v>32</v>
      </c>
      <c r="D47" s="1">
        <v>0.64737589120370376</v>
      </c>
      <c r="E47" s="1">
        <f>Table1468[[#This Row],[Time]]-TIME(0,0,11)</f>
        <v>0.647248576388889</v>
      </c>
      <c r="F47" t="s">
        <v>9</v>
      </c>
      <c r="G47" t="s">
        <v>39</v>
      </c>
      <c r="H47">
        <f t="shared" si="2"/>
        <v>-114</v>
      </c>
      <c r="I47">
        <v>-8</v>
      </c>
      <c r="M47">
        <f>MINUTE(Table2579[[#This Row],[Corrected time]])</f>
        <v>21</v>
      </c>
      <c r="N47" s="1">
        <v>0.63984686342592589</v>
      </c>
      <c r="O47" s="1">
        <f>Table2579[[#This Row],[Time]]-TIME(0,0,10)</f>
        <v>0.63973112268518517</v>
      </c>
      <c r="Q47">
        <v>-113</v>
      </c>
      <c r="R47">
        <f>Table2579[[#This Row],[RSSI]]</f>
        <v>-113</v>
      </c>
      <c r="S47">
        <v>-8</v>
      </c>
    </row>
    <row r="48" spans="2:30" x14ac:dyDescent="0.25">
      <c r="B48">
        <f>160+2*(Table1468[[#This Row],[min value (corrected)]]-32)</f>
        <v>160</v>
      </c>
      <c r="C48">
        <f>MINUTE(Table1468[[#This Row],[Corrected time]])</f>
        <v>32</v>
      </c>
      <c r="D48" s="1">
        <v>0.64738805555555556</v>
      </c>
      <c r="E48" s="1">
        <f>Table1468[[#This Row],[Time]]-TIME(0,0,11)</f>
        <v>0.6472607407407408</v>
      </c>
      <c r="F48" t="s">
        <v>9</v>
      </c>
      <c r="G48" t="s">
        <v>37</v>
      </c>
      <c r="H48">
        <f t="shared" si="2"/>
        <v>-113</v>
      </c>
      <c r="I48">
        <v>-8</v>
      </c>
      <c r="M48">
        <f>MINUTE(Table2579[[#This Row],[Corrected time]])</f>
        <v>21</v>
      </c>
      <c r="N48" s="1">
        <v>0.63985905092592588</v>
      </c>
      <c r="O48" s="1">
        <f>Table2579[[#This Row],[Time]]-TIME(0,0,10)</f>
        <v>0.63974331018518515</v>
      </c>
      <c r="Q48">
        <f>Q47</f>
        <v>-113</v>
      </c>
      <c r="R48">
        <f>Table2579[[#This Row],[RSSI]]</f>
        <v>-113</v>
      </c>
      <c r="S48">
        <f>S47</f>
        <v>-8</v>
      </c>
    </row>
    <row r="49" spans="2:19" x14ac:dyDescent="0.25">
      <c r="B49">
        <f>160+2*(Table1468[[#This Row],[min value (corrected)]]-32)</f>
        <v>160</v>
      </c>
      <c r="C49">
        <f>MINUTE(Table1468[[#This Row],[Corrected time]])</f>
        <v>32</v>
      </c>
      <c r="D49" s="1">
        <v>0.64740026620370372</v>
      </c>
      <c r="E49" s="1">
        <f>Table1468[[#This Row],[Time]]-TIME(0,0,11)</f>
        <v>0.64727295138888896</v>
      </c>
      <c r="F49" t="s">
        <v>9</v>
      </c>
      <c r="G49" t="s">
        <v>37</v>
      </c>
      <c r="H49">
        <f t="shared" si="2"/>
        <v>-113</v>
      </c>
      <c r="I49">
        <v>-7.2</v>
      </c>
      <c r="M49">
        <f>MINUTE(Table2579[[#This Row],[Corrected time]])</f>
        <v>21</v>
      </c>
      <c r="N49" s="1">
        <v>0.63987123842592597</v>
      </c>
      <c r="O49" s="1">
        <f>Table2579[[#This Row],[Time]]-TIME(0,0,10)</f>
        <v>0.63975549768518525</v>
      </c>
      <c r="Q49">
        <v>-112</v>
      </c>
      <c r="R49">
        <f>Table2579[[#This Row],[RSSI]]</f>
        <v>-112</v>
      </c>
      <c r="S49">
        <v>-6.7</v>
      </c>
    </row>
    <row r="50" spans="2:19" x14ac:dyDescent="0.25">
      <c r="B50">
        <f>160+2*(Table1468[[#This Row],[min value (corrected)]]-32)</f>
        <v>160</v>
      </c>
      <c r="C50">
        <f>MINUTE(Table1468[[#This Row],[Corrected time]])</f>
        <v>32</v>
      </c>
      <c r="D50" s="1">
        <v>0.64741245370370371</v>
      </c>
      <c r="E50" s="1">
        <f>Table1468[[#This Row],[Time]]-TIME(0,0,11)</f>
        <v>0.64728513888888894</v>
      </c>
      <c r="F50" t="s">
        <v>9</v>
      </c>
      <c r="G50" t="s">
        <v>37</v>
      </c>
      <c r="H50">
        <f t="shared" si="2"/>
        <v>-113</v>
      </c>
      <c r="I50">
        <v>-8</v>
      </c>
      <c r="M50">
        <f>MINUTE(Table2579[[#This Row],[Corrected time]])</f>
        <v>21</v>
      </c>
      <c r="N50" s="1">
        <v>0.63988341435185192</v>
      </c>
      <c r="O50" s="1">
        <f>Table2579[[#This Row],[Time]]-TIME(0,0,10)</f>
        <v>0.6397676736111112</v>
      </c>
      <c r="Q50">
        <v>-113</v>
      </c>
      <c r="R50">
        <f>Table2579[[#This Row],[RSSI]]</f>
        <v>-113</v>
      </c>
      <c r="S50">
        <v>-7.2</v>
      </c>
    </row>
    <row r="51" spans="2:19" x14ac:dyDescent="0.25">
      <c r="B51">
        <f>160+2*(Table1468[[#This Row],[min value (corrected)]]-32)</f>
        <v>160</v>
      </c>
      <c r="C51">
        <f>MINUTE(Table1468[[#This Row],[Corrected time]])</f>
        <v>32</v>
      </c>
      <c r="D51" s="1">
        <v>0.64742462962962966</v>
      </c>
      <c r="E51" s="1">
        <f>Table1468[[#This Row],[Time]]-TIME(0,0,11)</f>
        <v>0.64729731481481489</v>
      </c>
      <c r="F51" t="s">
        <v>9</v>
      </c>
      <c r="G51" t="s">
        <v>40</v>
      </c>
      <c r="H51">
        <f t="shared" si="2"/>
        <v>-112</v>
      </c>
      <c r="I51">
        <v>-7.5</v>
      </c>
      <c r="M51">
        <f>MINUTE(Table2579[[#This Row],[Corrected time]])</f>
        <v>21</v>
      </c>
      <c r="N51" s="1">
        <v>0.63989561342592594</v>
      </c>
      <c r="O51" s="1">
        <f>Table2579[[#This Row],[Time]]-TIME(0,0,10)</f>
        <v>0.63977987268518521</v>
      </c>
      <c r="Q51">
        <f>Q50</f>
        <v>-113</v>
      </c>
      <c r="R51">
        <f>Table2579[[#This Row],[RSSI]]</f>
        <v>-113</v>
      </c>
      <c r="S51">
        <f>S50</f>
        <v>-7.2</v>
      </c>
    </row>
    <row r="52" spans="2:19" x14ac:dyDescent="0.25">
      <c r="B52">
        <f>160+2*(Table1468[[#This Row],[min value (corrected)]]-32)</f>
        <v>160</v>
      </c>
      <c r="C52">
        <f>MINUTE(Table1468[[#This Row],[Corrected time]])</f>
        <v>32</v>
      </c>
      <c r="D52" s="1">
        <v>0.64743681712962964</v>
      </c>
      <c r="E52" s="1">
        <f>Table1468[[#This Row],[Time]]-TIME(0,0,11)</f>
        <v>0.64730950231481488</v>
      </c>
      <c r="F52" t="s">
        <v>9</v>
      </c>
      <c r="G52" t="s">
        <v>37</v>
      </c>
      <c r="H52">
        <f t="shared" si="2"/>
        <v>-113</v>
      </c>
      <c r="I52">
        <v>-8</v>
      </c>
      <c r="M52">
        <f>MINUTE(Table2579[[#This Row],[Corrected time]])</f>
        <v>21</v>
      </c>
      <c r="N52" s="1">
        <v>0.63990780092592592</v>
      </c>
      <c r="O52" s="1">
        <f>Table2579[[#This Row],[Time]]-TIME(0,0,10)</f>
        <v>0.6397920601851852</v>
      </c>
      <c r="Q52">
        <v>-113</v>
      </c>
      <c r="R52">
        <f>Table2579[[#This Row],[RSSI]]</f>
        <v>-113</v>
      </c>
      <c r="S52">
        <v>-7.2</v>
      </c>
    </row>
    <row r="53" spans="2:19" x14ac:dyDescent="0.25">
      <c r="B53">
        <f>160+2*(Table1468[[#This Row],[min value (corrected)]]-32)</f>
        <v>160</v>
      </c>
      <c r="C53">
        <f>MINUTE(Table1468[[#This Row],[Corrected time]])</f>
        <v>32</v>
      </c>
      <c r="D53" s="1">
        <v>0.64744901620370376</v>
      </c>
      <c r="E53" s="1">
        <f>Table1468[[#This Row],[Time]]-TIME(0,0,11)</f>
        <v>0.647321701388889</v>
      </c>
      <c r="F53" t="s">
        <v>9</v>
      </c>
      <c r="G53" t="s">
        <v>37</v>
      </c>
      <c r="H53">
        <f t="shared" si="2"/>
        <v>-113</v>
      </c>
      <c r="I53">
        <v>-8</v>
      </c>
      <c r="M53">
        <f>MINUTE(Table2579[[#This Row],[Corrected time]])</f>
        <v>21</v>
      </c>
      <c r="N53" s="1">
        <v>0.6399199884259259</v>
      </c>
      <c r="O53" s="1">
        <f>Table2579[[#This Row],[Time]]-TIME(0,0,10)</f>
        <v>0.63980424768518518</v>
      </c>
      <c r="Q53">
        <v>-113</v>
      </c>
      <c r="R53">
        <f>Table2579[[#This Row],[RSSI]]</f>
        <v>-113</v>
      </c>
      <c r="S53">
        <v>-8.3000000000000007</v>
      </c>
    </row>
    <row r="54" spans="2:19" x14ac:dyDescent="0.25">
      <c r="B54">
        <f>160+2*(Table1468[[#This Row],[min value (corrected)]]-32)</f>
        <v>160</v>
      </c>
      <c r="C54">
        <f>MINUTE(Table1468[[#This Row],[Corrected time]])</f>
        <v>32</v>
      </c>
      <c r="D54" s="1">
        <v>0.64746120370370375</v>
      </c>
      <c r="E54" s="1">
        <f>Table1468[[#This Row],[Time]]-TIME(0,0,11)</f>
        <v>0.64733388888888899</v>
      </c>
      <c r="F54" t="s">
        <v>9</v>
      </c>
      <c r="G54" t="s">
        <v>37</v>
      </c>
      <c r="H54">
        <f t="shared" si="2"/>
        <v>-113</v>
      </c>
      <c r="I54">
        <v>-7.5</v>
      </c>
      <c r="M54">
        <f>MINUTE(Table2579[[#This Row],[Corrected time]])</f>
        <v>21</v>
      </c>
      <c r="N54" s="1">
        <v>0.63993217592592588</v>
      </c>
      <c r="O54" s="1">
        <f>Table2579[[#This Row],[Time]]-TIME(0,0,10)</f>
        <v>0.63981643518518516</v>
      </c>
      <c r="Q54">
        <v>-112</v>
      </c>
      <c r="R54">
        <f>Table2579[[#This Row],[RSSI]]</f>
        <v>-112</v>
      </c>
      <c r="S54">
        <v>-8</v>
      </c>
    </row>
    <row r="55" spans="2:19" x14ac:dyDescent="0.25">
      <c r="B55">
        <f>160+2*(Table1468[[#This Row],[min value (corrected)]]-32)</f>
        <v>160</v>
      </c>
      <c r="C55">
        <f>MINUTE(Table1468[[#This Row],[Corrected time]])</f>
        <v>32</v>
      </c>
      <c r="D55" s="1">
        <v>0.64747339120370373</v>
      </c>
      <c r="E55" s="1">
        <f>Table1468[[#This Row],[Time]]-TIME(0,0,11)</f>
        <v>0.64734607638888897</v>
      </c>
      <c r="F55" t="s">
        <v>13</v>
      </c>
      <c r="G55" t="str">
        <f>G54</f>
        <v>-113.0,</v>
      </c>
      <c r="H55">
        <f t="shared" si="2"/>
        <v>-113</v>
      </c>
      <c r="I55">
        <f>I54</f>
        <v>-7.5</v>
      </c>
      <c r="M55">
        <f>MINUTE(Table2579[[#This Row],[Corrected time]])</f>
        <v>21</v>
      </c>
      <c r="N55" s="1">
        <v>0.63994436342592587</v>
      </c>
      <c r="O55" s="1">
        <f>Table2579[[#This Row],[Time]]-TIME(0,0,10)</f>
        <v>0.63982862268518514</v>
      </c>
      <c r="Q55">
        <v>-113</v>
      </c>
      <c r="R55">
        <f>Table2579[[#This Row],[RSSI]]</f>
        <v>-113</v>
      </c>
      <c r="S55">
        <v>-7.2</v>
      </c>
    </row>
    <row r="56" spans="2:19" x14ac:dyDescent="0.25">
      <c r="B56">
        <f>160+2*(Table1468[[#This Row],[min value (corrected)]]-32)</f>
        <v>160</v>
      </c>
      <c r="C56">
        <f>MINUTE(Table1468[[#This Row],[Corrected time]])</f>
        <v>32</v>
      </c>
      <c r="D56" s="1">
        <v>0.64748556712962957</v>
      </c>
      <c r="E56" s="1">
        <f>Table1468[[#This Row],[Time]]-TIME(0,0,11)</f>
        <v>0.64735825231481481</v>
      </c>
      <c r="F56" t="s">
        <v>9</v>
      </c>
      <c r="G56" t="s">
        <v>37</v>
      </c>
      <c r="H56">
        <f t="shared" si="2"/>
        <v>-113</v>
      </c>
      <c r="I56">
        <v>-8.3000000000000007</v>
      </c>
      <c r="M56">
        <f>MINUTE(Table2579[[#This Row],[Corrected time]])</f>
        <v>21</v>
      </c>
      <c r="N56" s="1">
        <v>0.63995655092592596</v>
      </c>
      <c r="O56" s="1">
        <f>Table2579[[#This Row],[Time]]-TIME(0,0,10)</f>
        <v>0.63984081018518524</v>
      </c>
      <c r="Q56">
        <v>-112</v>
      </c>
      <c r="R56">
        <f>Table2579[[#This Row],[RSSI]]</f>
        <v>-112</v>
      </c>
      <c r="S56">
        <v>-7.2</v>
      </c>
    </row>
    <row r="57" spans="2:19" x14ac:dyDescent="0.25">
      <c r="B57">
        <f>160+2*(Table1468[[#This Row],[min value (corrected)]]-32)</f>
        <v>160</v>
      </c>
      <c r="C57">
        <f>MINUTE(Table1468[[#This Row],[Corrected time]])</f>
        <v>32</v>
      </c>
      <c r="D57" s="1">
        <v>0.6474977662037037</v>
      </c>
      <c r="E57" s="1">
        <f>Table1468[[#This Row],[Time]]-TIME(0,0,11)</f>
        <v>0.64737045138888893</v>
      </c>
      <c r="F57" t="s">
        <v>13</v>
      </c>
      <c r="G57" t="str">
        <f>G56</f>
        <v>-113.0,</v>
      </c>
      <c r="H57">
        <f t="shared" si="2"/>
        <v>-113</v>
      </c>
      <c r="I57">
        <f>I56</f>
        <v>-8.3000000000000007</v>
      </c>
      <c r="M57">
        <f>MINUTE(Table2579[[#This Row],[Corrected time]])</f>
        <v>21</v>
      </c>
      <c r="N57" s="1">
        <v>0.63996873842592594</v>
      </c>
      <c r="O57" s="1">
        <f>Table2579[[#This Row],[Time]]-TIME(0,0,10)</f>
        <v>0.63985299768518522</v>
      </c>
      <c r="Q57">
        <v>-113</v>
      </c>
      <c r="R57">
        <f>Table2579[[#This Row],[RSSI]]</f>
        <v>-113</v>
      </c>
      <c r="S57">
        <v>-7.5</v>
      </c>
    </row>
    <row r="58" spans="2:19" x14ac:dyDescent="0.25">
      <c r="B58">
        <f>160+2*(Table1468[[#This Row],[min value (corrected)]]-32)</f>
        <v>160</v>
      </c>
      <c r="C58">
        <f>MINUTE(Table1468[[#This Row],[Corrected time]])</f>
        <v>32</v>
      </c>
      <c r="D58" s="1">
        <v>0.64750994212962965</v>
      </c>
      <c r="E58" s="1">
        <f>Table1468[[#This Row],[Time]]-TIME(0,0,11)</f>
        <v>0.64738262731481488</v>
      </c>
      <c r="F58" t="s">
        <v>9</v>
      </c>
      <c r="G58" t="s">
        <v>37</v>
      </c>
      <c r="H58">
        <f t="shared" si="2"/>
        <v>-113</v>
      </c>
      <c r="I58">
        <v>-7.5</v>
      </c>
      <c r="M58">
        <f>MINUTE(Table2579[[#This Row],[Corrected time]])</f>
        <v>21</v>
      </c>
      <c r="N58" s="1">
        <v>0.63998092592592593</v>
      </c>
      <c r="O58" s="1">
        <f>Table2579[[#This Row],[Time]]-TIME(0,0,10)</f>
        <v>0.6398651851851852</v>
      </c>
      <c r="Q58">
        <v>-113</v>
      </c>
      <c r="R58">
        <f>Table2579[[#This Row],[RSSI]]</f>
        <v>-113</v>
      </c>
      <c r="S58">
        <v>-7.5</v>
      </c>
    </row>
    <row r="59" spans="2:19" x14ac:dyDescent="0.25">
      <c r="B59">
        <f>160+2*(Table1468[[#This Row],[min value (corrected)]]-32)</f>
        <v>160</v>
      </c>
      <c r="C59">
        <f>MINUTE(Table1468[[#This Row],[Corrected time]])</f>
        <v>32</v>
      </c>
      <c r="D59" s="1">
        <v>0.64752214120370366</v>
      </c>
      <c r="E59" s="1">
        <f>Table1468[[#This Row],[Time]]-TIME(0,0,11)</f>
        <v>0.6473948263888889</v>
      </c>
      <c r="F59" t="s">
        <v>9</v>
      </c>
      <c r="G59" t="s">
        <v>37</v>
      </c>
      <c r="H59">
        <f t="shared" si="2"/>
        <v>-113</v>
      </c>
      <c r="I59">
        <v>-7.2</v>
      </c>
      <c r="M59">
        <f>MINUTE(Table2579[[#This Row],[Corrected time]])</f>
        <v>21</v>
      </c>
      <c r="N59" s="1">
        <v>0.63999311342592591</v>
      </c>
      <c r="O59" s="1">
        <f>Table2579[[#This Row],[Time]]-TIME(0,0,10)</f>
        <v>0.63987737268518519</v>
      </c>
      <c r="Q59">
        <v>-113</v>
      </c>
      <c r="R59">
        <f>Table2579[[#This Row],[RSSI]]</f>
        <v>-113</v>
      </c>
      <c r="S59">
        <v>-7.7</v>
      </c>
    </row>
    <row r="60" spans="2:19" x14ac:dyDescent="0.25">
      <c r="B60">
        <f>160+2*(Table1468[[#This Row],[min value (corrected)]]-32)</f>
        <v>160</v>
      </c>
      <c r="C60">
        <f>MINUTE(Table1468[[#This Row],[Corrected time]])</f>
        <v>32</v>
      </c>
      <c r="D60" s="1">
        <v>0.64753431712962961</v>
      </c>
      <c r="E60" s="1">
        <f>Table1468[[#This Row],[Time]]-TIME(0,0,11)</f>
        <v>0.64740700231481485</v>
      </c>
      <c r="F60" t="s">
        <v>9</v>
      </c>
      <c r="G60" t="s">
        <v>40</v>
      </c>
      <c r="H60">
        <f t="shared" si="2"/>
        <v>-112</v>
      </c>
      <c r="I60">
        <v>-8</v>
      </c>
      <c r="M60">
        <f>MINUTE(Table2579[[#This Row],[Corrected time]])</f>
        <v>21</v>
      </c>
      <c r="N60" s="1">
        <v>0.64000530092592589</v>
      </c>
      <c r="O60" s="1">
        <f>Table2579[[#This Row],[Time]]-TIME(0,0,10)</f>
        <v>0.63988956018518517</v>
      </c>
      <c r="Q60">
        <v>-113</v>
      </c>
      <c r="R60">
        <f>Table2579[[#This Row],[RSSI]]</f>
        <v>-113</v>
      </c>
      <c r="S60">
        <v>-7.5</v>
      </c>
    </row>
    <row r="61" spans="2:19" x14ac:dyDescent="0.25">
      <c r="B61">
        <f>160+2*(Table1468[[#This Row],[min value (corrected)]]-32)</f>
        <v>160</v>
      </c>
      <c r="C61">
        <f>MINUTE(Table1468[[#This Row],[Corrected time]])</f>
        <v>32</v>
      </c>
      <c r="D61" s="1">
        <v>0.64754650462962959</v>
      </c>
      <c r="E61" s="1">
        <f>Table1468[[#This Row],[Time]]-TIME(0,0,11)</f>
        <v>0.64741918981481483</v>
      </c>
      <c r="F61" t="s">
        <v>9</v>
      </c>
      <c r="G61" t="s">
        <v>37</v>
      </c>
      <c r="H61">
        <f t="shared" si="2"/>
        <v>-113</v>
      </c>
      <c r="I61">
        <v>-7</v>
      </c>
      <c r="M61">
        <f>MINUTE(Table2579[[#This Row],[Corrected time]])</f>
        <v>21</v>
      </c>
      <c r="N61" s="1">
        <v>0.64001748842592587</v>
      </c>
      <c r="O61" s="1">
        <f>Table2579[[#This Row],[Time]]-TIME(0,0,10)</f>
        <v>0.63990174768518515</v>
      </c>
      <c r="Q61">
        <v>-113</v>
      </c>
      <c r="R61">
        <f>Table2579[[#This Row],[RSSI]]</f>
        <v>-113</v>
      </c>
      <c r="S61">
        <v>-7.2</v>
      </c>
    </row>
    <row r="62" spans="2:19" x14ac:dyDescent="0.25">
      <c r="B62">
        <f>160+2*(Table1468[[#This Row],[min value (corrected)]]-32)</f>
        <v>160</v>
      </c>
      <c r="C62">
        <f>MINUTE(Table1468[[#This Row],[Corrected time]])</f>
        <v>32</v>
      </c>
      <c r="D62" s="1">
        <v>0.64755870370370372</v>
      </c>
      <c r="E62" s="1">
        <f>Table1468[[#This Row],[Time]]-TIME(0,0,11)</f>
        <v>0.64743138888888896</v>
      </c>
      <c r="F62" t="s">
        <v>9</v>
      </c>
      <c r="G62" t="s">
        <v>37</v>
      </c>
      <c r="H62">
        <f t="shared" si="2"/>
        <v>-113</v>
      </c>
      <c r="I62">
        <v>-7.7</v>
      </c>
      <c r="M62">
        <f>MINUTE(Table2579[[#This Row],[Corrected time]])</f>
        <v>21</v>
      </c>
      <c r="N62" s="1">
        <v>0.64002967592592586</v>
      </c>
      <c r="O62" s="1">
        <f>Table2579[[#This Row],[Time]]-TIME(0,0,10)</f>
        <v>0.63991393518518513</v>
      </c>
      <c r="Q62">
        <f>Q61</f>
        <v>-113</v>
      </c>
      <c r="R62">
        <f>Table2579[[#This Row],[RSSI]]</f>
        <v>-113</v>
      </c>
      <c r="S62">
        <f>S61</f>
        <v>-7.2</v>
      </c>
    </row>
    <row r="63" spans="2:19" x14ac:dyDescent="0.25">
      <c r="B63">
        <f>160+2*(Table1468[[#This Row],[min value (corrected)]]-32)</f>
        <v>160</v>
      </c>
      <c r="C63">
        <f>MINUTE(Table1468[[#This Row],[Corrected time]])</f>
        <v>32</v>
      </c>
      <c r="D63" s="1">
        <v>0.64757087962962967</v>
      </c>
      <c r="E63" s="1">
        <f>Table1468[[#This Row],[Time]]-TIME(0,0,11)</f>
        <v>0.64744356481481491</v>
      </c>
      <c r="F63" t="s">
        <v>9</v>
      </c>
      <c r="G63" t="s">
        <v>37</v>
      </c>
      <c r="H63">
        <f t="shared" si="2"/>
        <v>-113</v>
      </c>
      <c r="I63">
        <v>-7</v>
      </c>
      <c r="M63">
        <f>MINUTE(Table2579[[#This Row],[Corrected time]])</f>
        <v>21</v>
      </c>
      <c r="N63" s="1">
        <v>0.64004185185185192</v>
      </c>
      <c r="O63" s="1">
        <f>Table2579[[#This Row],[Time]]-TIME(0,0,10)</f>
        <v>0.6399261111111112</v>
      </c>
      <c r="Q63">
        <v>-113</v>
      </c>
      <c r="R63">
        <f>Table2579[[#This Row],[RSSI]]</f>
        <v>-113</v>
      </c>
      <c r="S63">
        <v>-7.5</v>
      </c>
    </row>
    <row r="64" spans="2:19" x14ac:dyDescent="0.25">
      <c r="B64">
        <f>160+2*(Table1468[[#This Row],[min value (corrected)]]-32)</f>
        <v>160</v>
      </c>
      <c r="C64">
        <f>MINUTE(Table1468[[#This Row],[Corrected time]])</f>
        <v>32</v>
      </c>
      <c r="D64" s="1">
        <v>0.64758307870370369</v>
      </c>
      <c r="E64" s="1">
        <f>Table1468[[#This Row],[Time]]-TIME(0,0,11)</f>
        <v>0.64745576388888892</v>
      </c>
      <c r="F64" t="s">
        <v>9</v>
      </c>
      <c r="G64" t="s">
        <v>37</v>
      </c>
      <c r="H64">
        <f t="shared" si="2"/>
        <v>-113</v>
      </c>
      <c r="I64">
        <v>-7.2</v>
      </c>
      <c r="M64">
        <f>MINUTE(Table2579[[#This Row],[Corrected time]])</f>
        <v>21</v>
      </c>
      <c r="N64" s="1">
        <v>0.64005405092592593</v>
      </c>
      <c r="O64" s="1">
        <f>Table2579[[#This Row],[Time]]-TIME(0,0,10)</f>
        <v>0.63993831018518521</v>
      </c>
      <c r="Q64">
        <v>-113</v>
      </c>
      <c r="R64">
        <f>Table2579[[#This Row],[RSSI]]</f>
        <v>-113</v>
      </c>
      <c r="S64">
        <v>-7.2</v>
      </c>
    </row>
    <row r="65" spans="2:19" x14ac:dyDescent="0.25">
      <c r="B65">
        <f>160+2*(Table1468[[#This Row],[min value (corrected)]]-32)</f>
        <v>160</v>
      </c>
      <c r="C65">
        <f>MINUTE(Table1468[[#This Row],[Corrected time]])</f>
        <v>32</v>
      </c>
      <c r="D65" s="1">
        <v>0.64759526620370367</v>
      </c>
      <c r="E65" s="1">
        <f>Table1468[[#This Row],[Time]]-TIME(0,0,11)</f>
        <v>0.64746795138888891</v>
      </c>
      <c r="F65" t="s">
        <v>9</v>
      </c>
      <c r="G65" t="s">
        <v>37</v>
      </c>
      <c r="H65">
        <f t="shared" si="2"/>
        <v>-113</v>
      </c>
      <c r="I65">
        <v>-8</v>
      </c>
      <c r="M65">
        <f>MINUTE(Table2579[[#This Row],[Corrected time]])</f>
        <v>21</v>
      </c>
      <c r="N65" s="1">
        <v>0.64006623842592592</v>
      </c>
      <c r="O65" s="1">
        <f>Table2579[[#This Row],[Time]]-TIME(0,0,10)</f>
        <v>0.63995049768518519</v>
      </c>
      <c r="Q65">
        <v>-113</v>
      </c>
      <c r="R65">
        <f>Table2579[[#This Row],[RSSI]]</f>
        <v>-113</v>
      </c>
      <c r="S65">
        <v>-7.5</v>
      </c>
    </row>
    <row r="66" spans="2:19" x14ac:dyDescent="0.25">
      <c r="B66">
        <f>160+2*(Table1468[[#This Row],[min value (corrected)]]-32)</f>
        <v>160</v>
      </c>
      <c r="C66">
        <f>MINUTE(Table1468[[#This Row],[Corrected time]])</f>
        <v>32</v>
      </c>
      <c r="D66" s="1">
        <v>0.64760745370370365</v>
      </c>
      <c r="E66" s="1">
        <f>Table1468[[#This Row],[Time]]-TIME(0,0,11)</f>
        <v>0.64748013888888889</v>
      </c>
      <c r="F66" t="s">
        <v>9</v>
      </c>
      <c r="G66" t="s">
        <v>37</v>
      </c>
      <c r="H66">
        <f t="shared" si="2"/>
        <v>-113</v>
      </c>
      <c r="I66">
        <v>-8</v>
      </c>
      <c r="M66">
        <f>MINUTE(Table2579[[#This Row],[Corrected time]])</f>
        <v>21</v>
      </c>
      <c r="N66" s="1">
        <v>0.6400784259259259</v>
      </c>
      <c r="O66" s="1">
        <f>Table2579[[#This Row],[Time]]-TIME(0,0,10)</f>
        <v>0.63996268518518518</v>
      </c>
      <c r="Q66">
        <v>-113</v>
      </c>
      <c r="R66">
        <f>Table2579[[#This Row],[RSSI]]</f>
        <v>-113</v>
      </c>
      <c r="S66">
        <v>-7.5</v>
      </c>
    </row>
    <row r="67" spans="2:19" x14ac:dyDescent="0.25">
      <c r="B67">
        <f>160+2*(Table1468[[#This Row],[min value (corrected)]]-32)</f>
        <v>160</v>
      </c>
      <c r="C67">
        <f>MINUTE(Table1468[[#This Row],[Corrected time]])</f>
        <v>32</v>
      </c>
      <c r="D67" s="1">
        <v>0.64761962962962971</v>
      </c>
      <c r="E67" s="1">
        <f>Table1468[[#This Row],[Time]]-TIME(0,0,11)</f>
        <v>0.64749231481481495</v>
      </c>
      <c r="F67" t="s">
        <v>9</v>
      </c>
      <c r="G67" t="s">
        <v>39</v>
      </c>
      <c r="H67">
        <f t="shared" si="2"/>
        <v>-114</v>
      </c>
      <c r="I67">
        <v>-8.5</v>
      </c>
      <c r="M67">
        <f>MINUTE(Table2579[[#This Row],[Corrected time]])</f>
        <v>21</v>
      </c>
      <c r="N67" s="1">
        <v>0.64009060185185185</v>
      </c>
      <c r="O67" s="1">
        <f>Table2579[[#This Row],[Time]]-TIME(0,0,10)</f>
        <v>0.63997486111111113</v>
      </c>
      <c r="Q67">
        <v>-113</v>
      </c>
      <c r="R67">
        <f>Table2579[[#This Row],[RSSI]]</f>
        <v>-113</v>
      </c>
      <c r="S67">
        <v>-7.2</v>
      </c>
    </row>
    <row r="68" spans="2:19" x14ac:dyDescent="0.25">
      <c r="B68">
        <f>160+2*(Table1468[[#This Row],[min value (corrected)]]-32)</f>
        <v>160</v>
      </c>
      <c r="C68">
        <f>MINUTE(Table1468[[#This Row],[Corrected time]])</f>
        <v>32</v>
      </c>
      <c r="D68" s="1">
        <v>0.64763182870370373</v>
      </c>
      <c r="E68" s="1">
        <f>Table1468[[#This Row],[Time]]-TIME(0,0,11)</f>
        <v>0.64750451388888897</v>
      </c>
      <c r="F68" t="s">
        <v>9</v>
      </c>
      <c r="G68" t="s">
        <v>37</v>
      </c>
      <c r="H68">
        <f t="shared" si="2"/>
        <v>-113</v>
      </c>
      <c r="I68">
        <v>-7.7</v>
      </c>
      <c r="M68">
        <f>MINUTE(Table2579[[#This Row],[Corrected time]])</f>
        <v>21</v>
      </c>
      <c r="N68" s="1">
        <v>0.64010280092592586</v>
      </c>
      <c r="O68" s="1">
        <f>Table2579[[#This Row],[Time]]-TIME(0,0,10)</f>
        <v>0.63998706018518514</v>
      </c>
      <c r="Q68">
        <v>-113</v>
      </c>
      <c r="R68">
        <f>Table2579[[#This Row],[RSSI]]</f>
        <v>-113</v>
      </c>
      <c r="S68">
        <v>-8</v>
      </c>
    </row>
    <row r="69" spans="2:19" x14ac:dyDescent="0.25">
      <c r="B69">
        <f>160+2*(Table1468[[#This Row],[min value (corrected)]]-32)</f>
        <v>160</v>
      </c>
      <c r="C69">
        <f>MINUTE(Table1468[[#This Row],[Corrected time]])</f>
        <v>32</v>
      </c>
      <c r="D69" s="1">
        <v>0.64764400462962968</v>
      </c>
      <c r="E69" s="1">
        <f>Table1468[[#This Row],[Time]]-TIME(0,0,11)</f>
        <v>0.64751668981481492</v>
      </c>
      <c r="F69" t="s">
        <v>9</v>
      </c>
      <c r="G69" t="s">
        <v>37</v>
      </c>
      <c r="H69">
        <f t="shared" si="2"/>
        <v>-113</v>
      </c>
      <c r="I69">
        <v>-8</v>
      </c>
      <c r="M69">
        <f>MINUTE(Table2579[[#This Row],[Corrected time]])</f>
        <v>21</v>
      </c>
      <c r="N69" s="1">
        <v>0.64011498842592585</v>
      </c>
      <c r="O69" s="1">
        <f>Table2579[[#This Row],[Time]]-TIME(0,0,10)</f>
        <v>0.63999924768518512</v>
      </c>
      <c r="Q69">
        <v>-113</v>
      </c>
      <c r="R69">
        <f>Table2579[[#This Row],[RSSI]]</f>
        <v>-113</v>
      </c>
      <c r="S69">
        <v>-8</v>
      </c>
    </row>
    <row r="70" spans="2:19" x14ac:dyDescent="0.25">
      <c r="B70">
        <f>160+2*(Table1468[[#This Row],[min value (corrected)]]-32)</f>
        <v>160</v>
      </c>
      <c r="C70">
        <f>MINUTE(Table1468[[#This Row],[Corrected time]])</f>
        <v>32</v>
      </c>
      <c r="D70" s="1">
        <v>0.64765620370370369</v>
      </c>
      <c r="E70" s="1">
        <f>Table1468[[#This Row],[Time]]-TIME(0,0,11)</f>
        <v>0.64752888888888893</v>
      </c>
      <c r="F70" t="s">
        <v>9</v>
      </c>
      <c r="G70" t="s">
        <v>37</v>
      </c>
      <c r="H70">
        <f t="shared" si="2"/>
        <v>-113</v>
      </c>
      <c r="I70">
        <v>-7.7</v>
      </c>
      <c r="M70">
        <f>MINUTE(Table2579[[#This Row],[Corrected time]])</f>
        <v>21</v>
      </c>
      <c r="N70" s="1">
        <v>0.64012717592592594</v>
      </c>
      <c r="O70" s="1">
        <f>Table2579[[#This Row],[Time]]-TIME(0,0,10)</f>
        <v>0.64001143518518522</v>
      </c>
      <c r="Q70">
        <f>Q69</f>
        <v>-113</v>
      </c>
      <c r="R70">
        <f>Table2579[[#This Row],[RSSI]]</f>
        <v>-113</v>
      </c>
      <c r="S70">
        <f>S69</f>
        <v>-8</v>
      </c>
    </row>
    <row r="71" spans="2:19" x14ac:dyDescent="0.25">
      <c r="B71">
        <f>160+2*(Table1468[[#This Row],[min value (corrected)]]-32)</f>
        <v>160</v>
      </c>
      <c r="C71">
        <f>MINUTE(Table1468[[#This Row],[Corrected time]])</f>
        <v>32</v>
      </c>
      <c r="D71" s="1">
        <v>0.64766839120370367</v>
      </c>
      <c r="E71" s="1">
        <f>Table1468[[#This Row],[Time]]-TIME(0,0,11)</f>
        <v>0.64754107638888891</v>
      </c>
      <c r="F71" t="s">
        <v>9</v>
      </c>
      <c r="G71" t="s">
        <v>37</v>
      </c>
      <c r="H71">
        <f t="shared" si="2"/>
        <v>-113</v>
      </c>
      <c r="I71">
        <v>-8</v>
      </c>
      <c r="M71">
        <f>MINUTE(Table2579[[#This Row],[Corrected time]])</f>
        <v>21</v>
      </c>
      <c r="N71" s="1">
        <v>0.64013935185185189</v>
      </c>
      <c r="O71" s="1">
        <f>Table2579[[#This Row],[Time]]-TIME(0,0,10)</f>
        <v>0.64002361111111117</v>
      </c>
      <c r="Q71">
        <v>-113</v>
      </c>
      <c r="R71">
        <f>Table2579[[#This Row],[RSSI]]</f>
        <v>-113</v>
      </c>
      <c r="S71">
        <v>-7.7</v>
      </c>
    </row>
    <row r="72" spans="2:19" x14ac:dyDescent="0.25">
      <c r="B72">
        <f>160+2*(Table1468[[#This Row],[min value (corrected)]]-32)</f>
        <v>160</v>
      </c>
      <c r="C72">
        <f>MINUTE(Table1468[[#This Row],[Corrected time]])</f>
        <v>32</v>
      </c>
      <c r="D72" s="1">
        <v>0.64768057870370366</v>
      </c>
      <c r="E72" s="1">
        <f>Table1468[[#This Row],[Time]]-TIME(0,0,11)</f>
        <v>0.6475532638888889</v>
      </c>
      <c r="F72" t="s">
        <v>9</v>
      </c>
      <c r="G72" t="s">
        <v>37</v>
      </c>
      <c r="H72">
        <f t="shared" si="2"/>
        <v>-113</v>
      </c>
      <c r="I72">
        <v>-7.5</v>
      </c>
      <c r="M72">
        <f>MINUTE(Table2579[[#This Row],[Corrected time]])</f>
        <v>21</v>
      </c>
      <c r="N72" s="1">
        <v>0.64015155092592591</v>
      </c>
      <c r="O72" s="1">
        <f>Table2579[[#This Row],[Time]]-TIME(0,0,10)</f>
        <v>0.64003581018518518</v>
      </c>
      <c r="Q72">
        <v>-112</v>
      </c>
      <c r="R72">
        <f>Table2579[[#This Row],[RSSI]]</f>
        <v>-112</v>
      </c>
      <c r="S72">
        <v>-7.7</v>
      </c>
    </row>
    <row r="73" spans="2:19" x14ac:dyDescent="0.25">
      <c r="B73">
        <f>160+2*(Table1468[[#This Row],[min value (corrected)]]-32)</f>
        <v>160</v>
      </c>
      <c r="C73">
        <f>MINUTE(Table1468[[#This Row],[Corrected time]])</f>
        <v>32</v>
      </c>
      <c r="D73" s="1">
        <v>0.64769275462962961</v>
      </c>
      <c r="E73" s="1">
        <f>Table1468[[#This Row],[Time]]-TIME(0,0,11)</f>
        <v>0.64756543981481485</v>
      </c>
      <c r="F73" t="s">
        <v>9</v>
      </c>
      <c r="G73" t="s">
        <v>37</v>
      </c>
      <c r="H73">
        <f t="shared" si="2"/>
        <v>-113</v>
      </c>
      <c r="I73">
        <v>-7.7</v>
      </c>
      <c r="M73">
        <f>MINUTE(Table2579[[#This Row],[Corrected time]])</f>
        <v>21</v>
      </c>
      <c r="N73" s="1">
        <v>0.64016373842592589</v>
      </c>
      <c r="O73" s="1">
        <f>Table2579[[#This Row],[Time]]-TIME(0,0,10)</f>
        <v>0.64004799768518517</v>
      </c>
      <c r="Q73">
        <f>Q72</f>
        <v>-112</v>
      </c>
      <c r="R73">
        <f>Table2579[[#This Row],[RSSI]]</f>
        <v>-112</v>
      </c>
      <c r="S73">
        <f>S72</f>
        <v>-7.7</v>
      </c>
    </row>
    <row r="74" spans="2:19" x14ac:dyDescent="0.25">
      <c r="B74">
        <f>160+2*(Table1468[[#This Row],[min value (corrected)]]-32)</f>
        <v>160</v>
      </c>
      <c r="C74">
        <f>MINUTE(Table1468[[#This Row],[Corrected time]])</f>
        <v>32</v>
      </c>
      <c r="D74" s="1">
        <v>0.64770495370370373</v>
      </c>
      <c r="E74" s="1">
        <f>Table1468[[#This Row],[Time]]-TIME(0,0,11)</f>
        <v>0.64757763888888897</v>
      </c>
      <c r="F74" t="s">
        <v>9</v>
      </c>
      <c r="G74" t="s">
        <v>37</v>
      </c>
      <c r="H74">
        <f t="shared" si="2"/>
        <v>-113</v>
      </c>
      <c r="I74">
        <v>-8.3000000000000007</v>
      </c>
      <c r="M74">
        <f>MINUTE(Table2579[[#This Row],[Corrected time]])</f>
        <v>21</v>
      </c>
      <c r="N74" s="1">
        <v>0.64017592592592587</v>
      </c>
      <c r="O74" s="1">
        <f>Table2579[[#This Row],[Time]]-TIME(0,0,10)</f>
        <v>0.64006018518518515</v>
      </c>
      <c r="Q74">
        <v>-113</v>
      </c>
      <c r="R74">
        <f>Table2579[[#This Row],[RSSI]]</f>
        <v>-113</v>
      </c>
      <c r="S74">
        <v>-7.2</v>
      </c>
    </row>
    <row r="75" spans="2:19" x14ac:dyDescent="0.25">
      <c r="B75">
        <f>160+2*(Table1468[[#This Row],[min value (corrected)]]-32)</f>
        <v>160</v>
      </c>
      <c r="C75">
        <f>MINUTE(Table1468[[#This Row],[Corrected time]])</f>
        <v>32</v>
      </c>
      <c r="D75" s="1">
        <v>0.64771711805555554</v>
      </c>
      <c r="E75" s="1">
        <f>Table1468[[#This Row],[Time]]-TIME(0,0,11)</f>
        <v>0.64758980324074078</v>
      </c>
      <c r="F75" t="s">
        <v>9</v>
      </c>
      <c r="G75" t="s">
        <v>37</v>
      </c>
      <c r="H75">
        <f t="shared" si="2"/>
        <v>-113</v>
      </c>
      <c r="I75">
        <v>-7</v>
      </c>
      <c r="M75">
        <f>MINUTE(Table2579[[#This Row],[Corrected time]])</f>
        <v>21</v>
      </c>
      <c r="N75" s="1">
        <v>0.64018811342592585</v>
      </c>
      <c r="O75" s="1">
        <f>Table2579[[#This Row],[Time]]-TIME(0,0,10)</f>
        <v>0.64007237268518513</v>
      </c>
      <c r="Q75">
        <v>-112</v>
      </c>
      <c r="R75">
        <f>Table2579[[#This Row],[RSSI]]</f>
        <v>-112</v>
      </c>
      <c r="S75">
        <v>-8</v>
      </c>
    </row>
    <row r="76" spans="2:19" x14ac:dyDescent="0.25">
      <c r="B76">
        <f>160+2*(Table1468[[#This Row],[min value (corrected)]]-32)</f>
        <v>160</v>
      </c>
      <c r="C76">
        <f>MINUTE(Table1468[[#This Row],[Corrected time]])</f>
        <v>32</v>
      </c>
      <c r="D76" s="1">
        <v>0.64772931712962967</v>
      </c>
      <c r="E76" s="1">
        <f>Table1468[[#This Row],[Time]]-TIME(0,0,11)</f>
        <v>0.64760200231481491</v>
      </c>
      <c r="F76" t="s">
        <v>9</v>
      </c>
      <c r="G76" t="s">
        <v>37</v>
      </c>
      <c r="H76">
        <f t="shared" si="2"/>
        <v>-113</v>
      </c>
      <c r="I76">
        <v>-7.7</v>
      </c>
      <c r="M76">
        <f>MINUTE(Table2579[[#This Row],[Corrected time]])</f>
        <v>21</v>
      </c>
      <c r="N76" s="1">
        <v>0.6402002893518518</v>
      </c>
      <c r="O76" s="1">
        <f>Table2579[[#This Row],[Time]]-TIME(0,0,10)</f>
        <v>0.64008454861111108</v>
      </c>
      <c r="Q76">
        <v>-113</v>
      </c>
      <c r="R76">
        <f>Table2579[[#This Row],[RSSI]]</f>
        <v>-113</v>
      </c>
      <c r="S76">
        <v>-7.2</v>
      </c>
    </row>
    <row r="77" spans="2:19" x14ac:dyDescent="0.25">
      <c r="B77">
        <f>160+2*(Table1468[[#This Row],[min value (corrected)]]-32)</f>
        <v>160</v>
      </c>
      <c r="C77">
        <f>MINUTE(Table1468[[#This Row],[Corrected time]])</f>
        <v>32</v>
      </c>
      <c r="D77" s="1">
        <v>0.64774150462962965</v>
      </c>
      <c r="E77" s="1">
        <f>Table1468[[#This Row],[Time]]-TIME(0,0,11)</f>
        <v>0.64761418981481489</v>
      </c>
      <c r="F77" t="s">
        <v>9</v>
      </c>
      <c r="G77" t="s">
        <v>37</v>
      </c>
      <c r="H77">
        <f t="shared" si="2"/>
        <v>-113</v>
      </c>
      <c r="I77">
        <v>-7.5</v>
      </c>
      <c r="M77">
        <f>MINUTE(Table2579[[#This Row],[Corrected time]])</f>
        <v>21</v>
      </c>
      <c r="N77" s="1">
        <v>0.64021248842592593</v>
      </c>
      <c r="O77" s="1">
        <f>Table2579[[#This Row],[Time]]-TIME(0,0,10)</f>
        <v>0.64009674768518521</v>
      </c>
      <c r="Q77">
        <v>-113</v>
      </c>
      <c r="R77">
        <f>Table2579[[#This Row],[RSSI]]</f>
        <v>-113</v>
      </c>
      <c r="S77">
        <v>-7.7</v>
      </c>
    </row>
    <row r="78" spans="2:19" x14ac:dyDescent="0.25">
      <c r="B78">
        <f>160+2*(Table1468[[#This Row],[min value (corrected)]]-32)</f>
        <v>160</v>
      </c>
      <c r="C78">
        <f>MINUTE(Table1468[[#This Row],[Corrected time]])</f>
        <v>32</v>
      </c>
      <c r="D78" s="1">
        <v>0.64775370370370366</v>
      </c>
      <c r="E78" s="1">
        <f>Table1468[[#This Row],[Time]]-TIME(0,0,11)</f>
        <v>0.6476263888888889</v>
      </c>
      <c r="F78" t="s">
        <v>9</v>
      </c>
      <c r="G78" t="s">
        <v>37</v>
      </c>
      <c r="H78">
        <f t="shared" si="2"/>
        <v>-113</v>
      </c>
      <c r="I78">
        <v>-7.5</v>
      </c>
      <c r="M78">
        <f>MINUTE(Table2579[[#This Row],[Corrected time]])</f>
        <v>21</v>
      </c>
      <c r="N78" s="1">
        <v>0.64022467592592591</v>
      </c>
      <c r="O78" s="1">
        <f>Table2579[[#This Row],[Time]]-TIME(0,0,10)</f>
        <v>0.64010893518518519</v>
      </c>
      <c r="Q78">
        <v>-113</v>
      </c>
      <c r="R78">
        <f>Table2579[[#This Row],[RSSI]]</f>
        <v>-113</v>
      </c>
      <c r="S78">
        <v>-7.2</v>
      </c>
    </row>
    <row r="79" spans="2:19" x14ac:dyDescent="0.25">
      <c r="B79">
        <f>160+2*(Table1468[[#This Row],[min value (corrected)]]-32)</f>
        <v>160</v>
      </c>
      <c r="C79">
        <f>MINUTE(Table1468[[#This Row],[Corrected time]])</f>
        <v>32</v>
      </c>
      <c r="D79" s="1">
        <v>0.64776589120370365</v>
      </c>
      <c r="E79" s="1">
        <f>Table1468[[#This Row],[Time]]-TIME(0,0,11)</f>
        <v>0.64763857638888889</v>
      </c>
      <c r="F79" t="s">
        <v>9</v>
      </c>
      <c r="G79" t="s">
        <v>40</v>
      </c>
      <c r="H79">
        <f t="shared" si="2"/>
        <v>-112</v>
      </c>
      <c r="I79">
        <v>-6.7</v>
      </c>
      <c r="M79">
        <f>MINUTE(Table2579[[#This Row],[Corrected time]])</f>
        <v>21</v>
      </c>
      <c r="N79" s="1">
        <v>0.6402368634259259</v>
      </c>
      <c r="O79" s="1">
        <f>Table2579[[#This Row],[Time]]-TIME(0,0,10)</f>
        <v>0.64012112268518517</v>
      </c>
      <c r="Q79">
        <v>-114</v>
      </c>
      <c r="R79">
        <f>Table2579[[#This Row],[RSSI]]</f>
        <v>-114</v>
      </c>
      <c r="S79">
        <v>-9</v>
      </c>
    </row>
    <row r="80" spans="2:19" x14ac:dyDescent="0.25">
      <c r="B80">
        <f>160+2*(Table1468[[#This Row],[min value (corrected)]]-32)</f>
        <v>160</v>
      </c>
      <c r="C80">
        <f>MINUTE(Table1468[[#This Row],[Corrected time]])</f>
        <v>32</v>
      </c>
      <c r="D80" s="1">
        <v>0.6477780671296296</v>
      </c>
      <c r="E80" s="1">
        <f>Table1468[[#This Row],[Time]]-TIME(0,0,11)</f>
        <v>0.64765075231481484</v>
      </c>
      <c r="F80" t="s">
        <v>9</v>
      </c>
      <c r="G80" t="s">
        <v>40</v>
      </c>
      <c r="H80">
        <f t="shared" si="2"/>
        <v>-112</v>
      </c>
      <c r="I80">
        <v>-7.2</v>
      </c>
      <c r="M80">
        <f>MINUTE(Table2579[[#This Row],[Corrected time]])</f>
        <v>21</v>
      </c>
      <c r="N80" s="1">
        <v>0.64024905092592588</v>
      </c>
      <c r="O80" s="1">
        <f>Table2579[[#This Row],[Time]]-TIME(0,0,10)</f>
        <v>0.64013331018518516</v>
      </c>
      <c r="Q80">
        <v>-112</v>
      </c>
      <c r="R80">
        <f>Table2579[[#This Row],[RSSI]]</f>
        <v>-112</v>
      </c>
      <c r="S80">
        <v>-8</v>
      </c>
    </row>
    <row r="81" spans="2:19" x14ac:dyDescent="0.25">
      <c r="B81">
        <f>160+2*(Table1468[[#This Row],[min value (corrected)]]-32)</f>
        <v>160</v>
      </c>
      <c r="C81">
        <f>MINUTE(Table1468[[#This Row],[Corrected time]])</f>
        <v>32</v>
      </c>
      <c r="D81" s="1">
        <v>0.64779026620370372</v>
      </c>
      <c r="E81" s="1">
        <f>Table1468[[#This Row],[Time]]-TIME(0,0,11)</f>
        <v>0.64766295138888896</v>
      </c>
      <c r="F81" t="s">
        <v>9</v>
      </c>
      <c r="G81" t="s">
        <v>42</v>
      </c>
      <c r="H81">
        <f t="shared" si="2"/>
        <v>-108</v>
      </c>
      <c r="I81">
        <v>-7.2</v>
      </c>
      <c r="M81">
        <f>MINUTE(Table2579[[#This Row],[Corrected time]])</f>
        <v>21</v>
      </c>
      <c r="N81" s="1">
        <v>0.64026123842592597</v>
      </c>
      <c r="O81" s="1">
        <f>Table2579[[#This Row],[Time]]-TIME(0,0,10)</f>
        <v>0.64014549768518525</v>
      </c>
      <c r="Q81">
        <v>-113</v>
      </c>
      <c r="R81">
        <f>Table2579[[#This Row],[RSSI]]</f>
        <v>-113</v>
      </c>
      <c r="S81">
        <v>-7.2</v>
      </c>
    </row>
    <row r="82" spans="2:19" x14ac:dyDescent="0.25">
      <c r="B82">
        <f>160+2*(Table1468[[#This Row],[min value (corrected)]]-32)</f>
        <v>160</v>
      </c>
      <c r="C82">
        <f>MINUTE(Table1468[[#This Row],[Corrected time]])</f>
        <v>32</v>
      </c>
      <c r="D82" s="1">
        <v>0.64780244212962967</v>
      </c>
      <c r="E82" s="1">
        <f>Table1468[[#This Row],[Time]]-TIME(0,0,11)</f>
        <v>0.64767512731481491</v>
      </c>
      <c r="F82" t="s">
        <v>9</v>
      </c>
      <c r="G82" t="s">
        <v>37</v>
      </c>
      <c r="H82">
        <f t="shared" si="2"/>
        <v>-113</v>
      </c>
      <c r="I82">
        <v>-8.3000000000000007</v>
      </c>
      <c r="M82">
        <f>MINUTE(Table2579[[#This Row],[Corrected time]])</f>
        <v>21</v>
      </c>
      <c r="N82" s="1">
        <v>0.64027342592592595</v>
      </c>
      <c r="O82" s="1">
        <f>Table2579[[#This Row],[Time]]-TIME(0,0,10)</f>
        <v>0.64015768518518523</v>
      </c>
      <c r="Q82">
        <f>Q81</f>
        <v>-113</v>
      </c>
      <c r="R82">
        <f>Table2579[[#This Row],[RSSI]]</f>
        <v>-113</v>
      </c>
      <c r="S82">
        <f>S81</f>
        <v>-7.2</v>
      </c>
    </row>
    <row r="83" spans="2:19" x14ac:dyDescent="0.25">
      <c r="B83">
        <f>160+2*(Table1468[[#This Row],[min value (corrected)]]-32)</f>
        <v>160</v>
      </c>
      <c r="C83">
        <f>MINUTE(Table1468[[#This Row],[Corrected time]])</f>
        <v>32</v>
      </c>
      <c r="D83" s="1">
        <v>0.64781464120370369</v>
      </c>
      <c r="E83" s="1">
        <f>Table1468[[#This Row],[Time]]-TIME(0,0,11)</f>
        <v>0.64768732638888893</v>
      </c>
      <c r="F83" t="s">
        <v>9</v>
      </c>
      <c r="G83" t="s">
        <v>37</v>
      </c>
      <c r="H83">
        <f t="shared" si="2"/>
        <v>-113</v>
      </c>
      <c r="I83">
        <v>-7.2</v>
      </c>
      <c r="M83">
        <f>MINUTE(Table2579[[#This Row],[Corrected time]])</f>
        <v>21</v>
      </c>
      <c r="N83" s="1">
        <v>0.64028561342592594</v>
      </c>
      <c r="O83" s="1">
        <f>Table2579[[#This Row],[Time]]-TIME(0,0,10)</f>
        <v>0.64016987268518522</v>
      </c>
      <c r="Q83">
        <v>-113</v>
      </c>
      <c r="R83">
        <f>Table2579[[#This Row],[RSSI]]</f>
        <v>-113</v>
      </c>
      <c r="S83">
        <v>-7.5</v>
      </c>
    </row>
    <row r="84" spans="2:19" x14ac:dyDescent="0.25">
      <c r="B84">
        <f>160+2*(Table1468[[#This Row],[min value (corrected)]]-32)</f>
        <v>160</v>
      </c>
      <c r="C84">
        <f>MINUTE(Table1468[[#This Row],[Corrected time]])</f>
        <v>32</v>
      </c>
      <c r="D84" s="1">
        <v>0.64782681712962964</v>
      </c>
      <c r="E84" s="1">
        <f>Table1468[[#This Row],[Time]]-TIME(0,0,11)</f>
        <v>0.64769950231481488</v>
      </c>
      <c r="F84" t="s">
        <v>9</v>
      </c>
      <c r="G84" t="s">
        <v>37</v>
      </c>
      <c r="H84">
        <f t="shared" si="2"/>
        <v>-113</v>
      </c>
      <c r="I84">
        <v>-7.7</v>
      </c>
      <c r="M84">
        <f>MINUTE(Table2579[[#This Row],[Corrected time]])</f>
        <v>21</v>
      </c>
      <c r="N84" s="1">
        <v>0.64029780092592592</v>
      </c>
      <c r="O84" s="1">
        <f>Table2579[[#This Row],[Time]]-TIME(0,0,10)</f>
        <v>0.6401820601851852</v>
      </c>
      <c r="Q84">
        <v>-112</v>
      </c>
      <c r="R84">
        <f>Table2579[[#This Row],[RSSI]]</f>
        <v>-112</v>
      </c>
      <c r="S84">
        <v>-8</v>
      </c>
    </row>
    <row r="85" spans="2:19" x14ac:dyDescent="0.25">
      <c r="B85">
        <f>160+2*(Table1468[[#This Row],[min value (corrected)]]-32)</f>
        <v>160</v>
      </c>
      <c r="C85">
        <f>MINUTE(Table1468[[#This Row],[Corrected time]])</f>
        <v>32</v>
      </c>
      <c r="D85" s="1">
        <v>0.64783901620370365</v>
      </c>
      <c r="E85" s="1">
        <f>Table1468[[#This Row],[Time]]-TIME(0,0,11)</f>
        <v>0.64771170138888889</v>
      </c>
      <c r="F85" t="s">
        <v>13</v>
      </c>
      <c r="G85" t="str">
        <f>G84</f>
        <v>-113.0,</v>
      </c>
      <c r="H85">
        <f t="shared" si="2"/>
        <v>-113</v>
      </c>
      <c r="I85">
        <f>I84</f>
        <v>-7.7</v>
      </c>
      <c r="M85">
        <f>MINUTE(Table2579[[#This Row],[Corrected time]])</f>
        <v>21</v>
      </c>
      <c r="N85" s="1">
        <v>0.64030998842592601</v>
      </c>
      <c r="O85" s="1">
        <f>Table2579[[#This Row],[Time]]-TIME(0,0,10)</f>
        <v>0.64019424768518529</v>
      </c>
      <c r="Q85">
        <v>-112</v>
      </c>
      <c r="R85">
        <f>Table2579[[#This Row],[RSSI]]</f>
        <v>-112</v>
      </c>
      <c r="S85">
        <v>-7.2</v>
      </c>
    </row>
    <row r="86" spans="2:19" x14ac:dyDescent="0.25">
      <c r="B86">
        <f>160+2*(Table1468[[#This Row],[min value (corrected)]]-32)</f>
        <v>160</v>
      </c>
      <c r="C86">
        <f>MINUTE(Table1468[[#This Row],[Corrected time]])</f>
        <v>32</v>
      </c>
      <c r="D86" s="1">
        <v>0.6478511921296296</v>
      </c>
      <c r="E86" s="1">
        <f>Table1468[[#This Row],[Time]]-TIME(0,0,11)</f>
        <v>0.64772387731481484</v>
      </c>
      <c r="F86" t="s">
        <v>9</v>
      </c>
      <c r="G86" t="s">
        <v>37</v>
      </c>
      <c r="H86">
        <f t="shared" ref="H86:H149" si="3">VALUE(LEFT(G86,LEN(G86)-1))</f>
        <v>-113</v>
      </c>
      <c r="I86">
        <v>-7</v>
      </c>
      <c r="M86">
        <f>MINUTE(Table2579[[#This Row],[Corrected time]])</f>
        <v>21</v>
      </c>
      <c r="N86" s="1">
        <v>0.64032216435185185</v>
      </c>
      <c r="O86" s="1">
        <f>Table2579[[#This Row],[Time]]-TIME(0,0,10)</f>
        <v>0.64020642361111113</v>
      </c>
      <c r="Q86">
        <v>-113</v>
      </c>
      <c r="R86">
        <f>Table2579[[#This Row],[RSSI]]</f>
        <v>-113</v>
      </c>
      <c r="S86">
        <v>-7.7</v>
      </c>
    </row>
    <row r="87" spans="2:19" x14ac:dyDescent="0.25">
      <c r="B87">
        <f>160+2*(Table1468[[#This Row],[min value (corrected)]]-32)</f>
        <v>160</v>
      </c>
      <c r="C87">
        <f>MINUTE(Table1468[[#This Row],[Corrected time]])</f>
        <v>32</v>
      </c>
      <c r="D87" s="1">
        <v>0.64786337962962959</v>
      </c>
      <c r="E87" s="1">
        <f>Table1468[[#This Row],[Time]]-TIME(0,0,11)</f>
        <v>0.64773606481481483</v>
      </c>
      <c r="F87" t="s">
        <v>9</v>
      </c>
      <c r="G87" t="s">
        <v>37</v>
      </c>
      <c r="H87">
        <f t="shared" si="3"/>
        <v>-113</v>
      </c>
      <c r="I87">
        <v>-8.3000000000000007</v>
      </c>
      <c r="M87">
        <f>MINUTE(Table2579[[#This Row],[Corrected time]])</f>
        <v>21</v>
      </c>
      <c r="N87" s="1">
        <v>0.64033435185185184</v>
      </c>
      <c r="O87" s="1">
        <f>Table2579[[#This Row],[Time]]-TIME(0,0,10)</f>
        <v>0.64021861111111111</v>
      </c>
      <c r="Q87">
        <v>-113</v>
      </c>
      <c r="R87">
        <f>Table2579[[#This Row],[RSSI]]</f>
        <v>-113</v>
      </c>
      <c r="S87">
        <v>-7.2</v>
      </c>
    </row>
    <row r="88" spans="2:19" x14ac:dyDescent="0.25">
      <c r="B88">
        <f>160+2*(Table1468[[#This Row],[min value (corrected)]]-32)</f>
        <v>160</v>
      </c>
      <c r="C88">
        <f>MINUTE(Table1468[[#This Row],[Corrected time]])</f>
        <v>32</v>
      </c>
      <c r="D88" s="1">
        <v>0.64787557870370371</v>
      </c>
      <c r="E88" s="1">
        <f>Table1468[[#This Row],[Time]]-TIME(0,0,11)</f>
        <v>0.64774826388888895</v>
      </c>
      <c r="F88" t="s">
        <v>9</v>
      </c>
      <c r="G88" t="s">
        <v>37</v>
      </c>
      <c r="H88">
        <f t="shared" si="3"/>
        <v>-113</v>
      </c>
      <c r="I88">
        <v>-7.2</v>
      </c>
      <c r="M88">
        <f>MINUTE(Table2579[[#This Row],[Corrected time]])</f>
        <v>21</v>
      </c>
      <c r="N88" s="1">
        <v>0.64034655092592596</v>
      </c>
      <c r="O88" s="1">
        <f>Table2579[[#This Row],[Time]]-TIME(0,0,10)</f>
        <v>0.64023081018518524</v>
      </c>
      <c r="Q88">
        <v>-108</v>
      </c>
      <c r="R88">
        <f>Table2579[[#This Row],[RSSI]]</f>
        <v>-108</v>
      </c>
      <c r="S88">
        <v>-7.5</v>
      </c>
    </row>
    <row r="89" spans="2:19" x14ac:dyDescent="0.25">
      <c r="B89">
        <f>160+2*(Table1468[[#This Row],[min value (corrected)]]-32)</f>
        <v>160</v>
      </c>
      <c r="C89">
        <f>MINUTE(Table1468[[#This Row],[Corrected time]])</f>
        <v>32</v>
      </c>
      <c r="D89" s="1">
        <v>0.64788775462962966</v>
      </c>
      <c r="E89" s="1">
        <f>Table1468[[#This Row],[Time]]-TIME(0,0,11)</f>
        <v>0.6477604398148149</v>
      </c>
      <c r="F89" t="s">
        <v>9</v>
      </c>
      <c r="G89" t="s">
        <v>37</v>
      </c>
      <c r="H89">
        <f t="shared" si="3"/>
        <v>-113</v>
      </c>
      <c r="I89">
        <v>-8</v>
      </c>
      <c r="M89">
        <f>MINUTE(Table2579[[#This Row],[Corrected time]])</f>
        <v>21</v>
      </c>
      <c r="N89" s="1">
        <v>0.6403587268518518</v>
      </c>
      <c r="O89" s="1">
        <f>Table2579[[#This Row],[Time]]-TIME(0,0,10)</f>
        <v>0.64024298611111108</v>
      </c>
      <c r="Q89">
        <v>-112</v>
      </c>
      <c r="R89">
        <f>Table2579[[#This Row],[RSSI]]</f>
        <v>-112</v>
      </c>
      <c r="S89">
        <v>-7.2</v>
      </c>
    </row>
    <row r="90" spans="2:19" x14ac:dyDescent="0.25">
      <c r="B90">
        <f>160+2*(Table1468[[#This Row],[min value (corrected)]]-32)</f>
        <v>160</v>
      </c>
      <c r="C90">
        <f>MINUTE(Table1468[[#This Row],[Corrected time]])</f>
        <v>32</v>
      </c>
      <c r="D90" s="1">
        <v>0.64789994212962965</v>
      </c>
      <c r="E90" s="1">
        <f>Table1468[[#This Row],[Time]]-TIME(0,0,11)</f>
        <v>0.64777262731481489</v>
      </c>
      <c r="F90" t="s">
        <v>9</v>
      </c>
      <c r="G90" t="s">
        <v>37</v>
      </c>
      <c r="H90">
        <f t="shared" si="3"/>
        <v>-113</v>
      </c>
      <c r="I90">
        <v>-8.3000000000000007</v>
      </c>
      <c r="M90">
        <f>MINUTE(Table2579[[#This Row],[Corrected time]])</f>
        <v>21</v>
      </c>
      <c r="N90" s="1">
        <v>0.64037092592592593</v>
      </c>
      <c r="O90" s="1">
        <f>Table2579[[#This Row],[Time]]-TIME(0,0,10)</f>
        <v>0.6402551851851852</v>
      </c>
      <c r="Q90">
        <v>-113</v>
      </c>
      <c r="R90">
        <f>Table2579[[#This Row],[RSSI]]</f>
        <v>-113</v>
      </c>
      <c r="S90">
        <v>-7.7</v>
      </c>
    </row>
    <row r="91" spans="2:19" x14ac:dyDescent="0.25">
      <c r="B91">
        <f>160+2*(Table1468[[#This Row],[min value (corrected)]]-32)</f>
        <v>160</v>
      </c>
      <c r="C91">
        <f>MINUTE(Table1468[[#This Row],[Corrected time]])</f>
        <v>32</v>
      </c>
      <c r="D91" s="1">
        <v>0.64791212962962963</v>
      </c>
      <c r="E91" s="1">
        <f>Table1468[[#This Row],[Time]]-TIME(0,0,11)</f>
        <v>0.64778481481481487</v>
      </c>
      <c r="F91" t="s">
        <v>9</v>
      </c>
      <c r="G91" t="s">
        <v>37</v>
      </c>
      <c r="H91">
        <f t="shared" si="3"/>
        <v>-113</v>
      </c>
      <c r="I91">
        <v>-8.3000000000000007</v>
      </c>
      <c r="M91">
        <f>MINUTE(Table2579[[#This Row],[Corrected time]])</f>
        <v>21</v>
      </c>
      <c r="N91" s="1">
        <v>0.64038311342592591</v>
      </c>
      <c r="O91" s="1">
        <f>Table2579[[#This Row],[Time]]-TIME(0,0,10)</f>
        <v>0.64026737268518519</v>
      </c>
      <c r="Q91">
        <v>-114</v>
      </c>
      <c r="R91">
        <f>Table2579[[#This Row],[RSSI]]</f>
        <v>-114</v>
      </c>
      <c r="S91">
        <v>-8</v>
      </c>
    </row>
    <row r="92" spans="2:19" x14ac:dyDescent="0.25">
      <c r="B92">
        <f>160+2*(Table1468[[#This Row],[min value (corrected)]]-32)</f>
        <v>160</v>
      </c>
      <c r="C92">
        <f>MINUTE(Table1468[[#This Row],[Corrected time]])</f>
        <v>32</v>
      </c>
      <c r="D92" s="1">
        <v>0.64792431712962961</v>
      </c>
      <c r="E92" s="1">
        <f>Table1468[[#This Row],[Time]]-TIME(0,0,11)</f>
        <v>0.64779700231481485</v>
      </c>
      <c r="F92" t="s">
        <v>9</v>
      </c>
      <c r="G92" t="s">
        <v>37</v>
      </c>
      <c r="H92">
        <f t="shared" si="3"/>
        <v>-113</v>
      </c>
      <c r="I92">
        <v>-8.3000000000000007</v>
      </c>
      <c r="M92">
        <f>MINUTE(Table2579[[#This Row],[Corrected time]])</f>
        <v>22</v>
      </c>
      <c r="N92" s="1">
        <v>0.640395300925926</v>
      </c>
      <c r="O92" s="1">
        <f>Table2579[[#This Row],[Time]]-TIME(0,0,10)</f>
        <v>0.64027956018518528</v>
      </c>
      <c r="Q92">
        <v>-112</v>
      </c>
      <c r="R92">
        <f>Table2579[[#This Row],[RSSI]]</f>
        <v>-112</v>
      </c>
      <c r="S92">
        <v>-7.2</v>
      </c>
    </row>
    <row r="93" spans="2:19" x14ac:dyDescent="0.25">
      <c r="B93">
        <f>160+2*(Table1468[[#This Row],[min value (corrected)]]-32)</f>
        <v>160</v>
      </c>
      <c r="C93">
        <f>MINUTE(Table1468[[#This Row],[Corrected time]])</f>
        <v>32</v>
      </c>
      <c r="D93" s="1">
        <v>0.64793650462962959</v>
      </c>
      <c r="E93" s="1">
        <f>Table1468[[#This Row],[Time]]-TIME(0,0,11)</f>
        <v>0.64780918981481483</v>
      </c>
      <c r="F93" t="s">
        <v>9</v>
      </c>
      <c r="G93" t="s">
        <v>37</v>
      </c>
      <c r="H93">
        <f t="shared" si="3"/>
        <v>-113</v>
      </c>
      <c r="I93">
        <v>-6.7</v>
      </c>
      <c r="M93">
        <f>MINUTE(Table2579[[#This Row],[Corrected time]])</f>
        <v>22</v>
      </c>
      <c r="N93" s="1">
        <v>0.64040748842592599</v>
      </c>
      <c r="O93" s="1">
        <f>Table2579[[#This Row],[Time]]-TIME(0,0,10)</f>
        <v>0.64029174768518526</v>
      </c>
      <c r="Q93">
        <v>-112</v>
      </c>
      <c r="R93">
        <f>Table2579[[#This Row],[RSSI]]</f>
        <v>-112</v>
      </c>
      <c r="S93">
        <v>-7</v>
      </c>
    </row>
    <row r="94" spans="2:19" x14ac:dyDescent="0.25">
      <c r="B94">
        <f>160+2*(Table1468[[#This Row],[min value (corrected)]]-32)</f>
        <v>160</v>
      </c>
      <c r="C94">
        <f>MINUTE(Table1468[[#This Row],[Corrected time]])</f>
        <v>32</v>
      </c>
      <c r="D94" s="1">
        <v>0.64794869212962958</v>
      </c>
      <c r="E94" s="1">
        <f>Table1468[[#This Row],[Time]]-TIME(0,0,11)</f>
        <v>0.64782137731481482</v>
      </c>
      <c r="F94" t="s">
        <v>9</v>
      </c>
      <c r="G94" t="s">
        <v>39</v>
      </c>
      <c r="H94">
        <f t="shared" si="3"/>
        <v>-114</v>
      </c>
      <c r="I94">
        <v>-9</v>
      </c>
      <c r="M94">
        <f>MINUTE(Table2579[[#This Row],[Corrected time]])</f>
        <v>22</v>
      </c>
      <c r="N94" s="1">
        <v>0.64041967592592597</v>
      </c>
      <c r="O94" s="1">
        <f>Table2579[[#This Row],[Time]]-TIME(0,0,10)</f>
        <v>0.64030393518518525</v>
      </c>
      <c r="Q94">
        <v>-112</v>
      </c>
      <c r="R94">
        <f>Table2579[[#This Row],[RSSI]]</f>
        <v>-112</v>
      </c>
      <c r="S94">
        <v>-7.2</v>
      </c>
    </row>
    <row r="95" spans="2:19" x14ac:dyDescent="0.25">
      <c r="B95">
        <f>160+2*(Table1468[[#This Row],[min value (corrected)]]-32)</f>
        <v>160</v>
      </c>
      <c r="C95">
        <f>MINUTE(Table1468[[#This Row],[Corrected time]])</f>
        <v>32</v>
      </c>
      <c r="D95" s="1">
        <v>0.64796087962962967</v>
      </c>
      <c r="E95" s="1">
        <f>Table1468[[#This Row],[Time]]-TIME(0,0,11)</f>
        <v>0.64783356481481491</v>
      </c>
      <c r="F95" t="s">
        <v>9</v>
      </c>
      <c r="G95" t="s">
        <v>37</v>
      </c>
      <c r="H95">
        <f t="shared" si="3"/>
        <v>-113</v>
      </c>
      <c r="I95">
        <v>-7.2</v>
      </c>
      <c r="M95">
        <f>MINUTE(Table2579[[#This Row],[Corrected time]])</f>
        <v>22</v>
      </c>
      <c r="N95" s="1">
        <v>0.64043186342592595</v>
      </c>
      <c r="O95" s="1">
        <f>Table2579[[#This Row],[Time]]-TIME(0,0,10)</f>
        <v>0.64031612268518523</v>
      </c>
      <c r="Q95">
        <v>-114</v>
      </c>
      <c r="R95">
        <f>Table2579[[#This Row],[RSSI]]</f>
        <v>-114</v>
      </c>
      <c r="S95">
        <v>-8.5</v>
      </c>
    </row>
    <row r="96" spans="2:19" x14ac:dyDescent="0.25">
      <c r="B96">
        <f>160+2*(Table1468[[#This Row],[min value (corrected)]]-32)</f>
        <v>160</v>
      </c>
      <c r="C96">
        <f>MINUTE(Table1468[[#This Row],[Corrected time]])</f>
        <v>32</v>
      </c>
      <c r="D96" s="1">
        <v>0.64797306712962965</v>
      </c>
      <c r="E96" s="1">
        <f>Table1468[[#This Row],[Time]]-TIME(0,0,11)</f>
        <v>0.64784575231481489</v>
      </c>
      <c r="F96" t="s">
        <v>9</v>
      </c>
      <c r="G96" t="s">
        <v>37</v>
      </c>
      <c r="H96">
        <f t="shared" si="3"/>
        <v>-113</v>
      </c>
      <c r="I96">
        <v>-7.5</v>
      </c>
      <c r="M96">
        <f>MINUTE(Table2579[[#This Row],[Corrected time]])</f>
        <v>22</v>
      </c>
      <c r="N96" s="1">
        <v>0.64044405092592593</v>
      </c>
      <c r="O96" s="1">
        <f>Table2579[[#This Row],[Time]]-TIME(0,0,10)</f>
        <v>0.64032831018518521</v>
      </c>
      <c r="Q96">
        <v>-113</v>
      </c>
      <c r="R96">
        <f>Table2579[[#This Row],[RSSI]]</f>
        <v>-113</v>
      </c>
      <c r="S96">
        <v>-7.7</v>
      </c>
    </row>
    <row r="97" spans="2:19" x14ac:dyDescent="0.25">
      <c r="B97">
        <f>160+2*(Table1468[[#This Row],[min value (corrected)]]-32)</f>
        <v>160</v>
      </c>
      <c r="C97">
        <f>MINUTE(Table1468[[#This Row],[Corrected time]])</f>
        <v>32</v>
      </c>
      <c r="D97" s="1">
        <v>0.64798525462962964</v>
      </c>
      <c r="E97" s="1">
        <f>Table1468[[#This Row],[Time]]-TIME(0,0,11)</f>
        <v>0.64785793981481488</v>
      </c>
      <c r="F97" t="s">
        <v>9</v>
      </c>
      <c r="G97" t="s">
        <v>40</v>
      </c>
      <c r="H97">
        <f t="shared" si="3"/>
        <v>-112</v>
      </c>
      <c r="I97">
        <v>-6.5</v>
      </c>
      <c r="M97">
        <f>MINUTE(Table2579[[#This Row],[Corrected time]])</f>
        <v>22</v>
      </c>
      <c r="N97" s="1">
        <v>0.64045623842592592</v>
      </c>
      <c r="O97" s="1">
        <f>Table2579[[#This Row],[Time]]-TIME(0,0,10)</f>
        <v>0.64034049768518519</v>
      </c>
      <c r="Q97">
        <v>-113</v>
      </c>
      <c r="R97">
        <f>Table2579[[#This Row],[RSSI]]</f>
        <v>-113</v>
      </c>
      <c r="S97">
        <v>-8</v>
      </c>
    </row>
    <row r="98" spans="2:19" x14ac:dyDescent="0.25">
      <c r="B98">
        <f>160+2*(Table1468[[#This Row],[min value (corrected)]]-32)</f>
        <v>160</v>
      </c>
      <c r="C98">
        <f>MINUTE(Table1468[[#This Row],[Corrected time]])</f>
        <v>32</v>
      </c>
      <c r="D98" s="1">
        <v>0.64799744212962962</v>
      </c>
      <c r="E98" s="1">
        <f>Table1468[[#This Row],[Time]]-TIME(0,0,11)</f>
        <v>0.64787012731481486</v>
      </c>
      <c r="F98" t="s">
        <v>9</v>
      </c>
      <c r="G98" t="s">
        <v>39</v>
      </c>
      <c r="H98">
        <f t="shared" si="3"/>
        <v>-114</v>
      </c>
      <c r="I98">
        <v>-8.5</v>
      </c>
      <c r="M98">
        <f>MINUTE(Table2579[[#This Row],[Corrected time]])</f>
        <v>22</v>
      </c>
      <c r="N98" s="1">
        <v>0.6404684259259259</v>
      </c>
      <c r="O98" s="1">
        <f>Table2579[[#This Row],[Time]]-TIME(0,0,10)</f>
        <v>0.64035268518518518</v>
      </c>
      <c r="Q98">
        <v>-113</v>
      </c>
      <c r="R98">
        <f>Table2579[[#This Row],[RSSI]]</f>
        <v>-113</v>
      </c>
      <c r="S98">
        <v>-8.3000000000000007</v>
      </c>
    </row>
    <row r="99" spans="2:19" x14ac:dyDescent="0.25">
      <c r="B99">
        <f>160+2*(Table1468[[#This Row],[min value (corrected)]]-32)</f>
        <v>160</v>
      </c>
      <c r="C99">
        <f>MINUTE(Table1468[[#This Row],[Corrected time]])</f>
        <v>32</v>
      </c>
      <c r="D99" s="1">
        <v>0.6480096296296296</v>
      </c>
      <c r="E99" s="1">
        <f>Table1468[[#This Row],[Time]]-TIME(0,0,11)</f>
        <v>0.64788231481481484</v>
      </c>
      <c r="F99" t="s">
        <v>9</v>
      </c>
      <c r="G99" t="s">
        <v>37</v>
      </c>
      <c r="H99">
        <f t="shared" si="3"/>
        <v>-113</v>
      </c>
      <c r="I99">
        <v>-8</v>
      </c>
      <c r="M99">
        <f>MINUTE(Table2579[[#This Row],[Corrected time]])</f>
        <v>22</v>
      </c>
      <c r="N99" s="1">
        <v>0.64048061342592599</v>
      </c>
      <c r="O99" s="1">
        <f>Table2579[[#This Row],[Time]]-TIME(0,0,10)</f>
        <v>0.64036487268518527</v>
      </c>
      <c r="Q99">
        <v>-113</v>
      </c>
      <c r="R99">
        <f>Table2579[[#This Row],[RSSI]]</f>
        <v>-113</v>
      </c>
      <c r="S99">
        <v>-7.5</v>
      </c>
    </row>
    <row r="100" spans="2:19" x14ac:dyDescent="0.25">
      <c r="B100">
        <f>160+2*(Table1468[[#This Row],[min value (corrected)]]-32)</f>
        <v>160</v>
      </c>
      <c r="C100">
        <f>MINUTE(Table1468[[#This Row],[Corrected time]])</f>
        <v>32</v>
      </c>
      <c r="D100" s="1">
        <v>0.64802181712962958</v>
      </c>
      <c r="E100" s="1">
        <f>Table1468[[#This Row],[Time]]-TIME(0,0,11)</f>
        <v>0.64789450231481482</v>
      </c>
      <c r="F100" t="s">
        <v>9</v>
      </c>
      <c r="G100" t="s">
        <v>37</v>
      </c>
      <c r="H100">
        <f t="shared" si="3"/>
        <v>-113</v>
      </c>
      <c r="I100">
        <v>-7.2</v>
      </c>
      <c r="M100">
        <f>MINUTE(Table2579[[#This Row],[Corrected time]])</f>
        <v>22</v>
      </c>
      <c r="N100" s="1">
        <v>0.64049280092592598</v>
      </c>
      <c r="O100" s="1">
        <f>Table2579[[#This Row],[Time]]-TIME(0,0,10)</f>
        <v>0.64037706018518525</v>
      </c>
      <c r="Q100">
        <v>-113</v>
      </c>
      <c r="R100">
        <f>Table2579[[#This Row],[RSSI]]</f>
        <v>-113</v>
      </c>
      <c r="S100">
        <v>-8.5</v>
      </c>
    </row>
    <row r="101" spans="2:19" x14ac:dyDescent="0.25">
      <c r="B101">
        <f>160+2*(Table1468[[#This Row],[min value (corrected)]]-32)</f>
        <v>160</v>
      </c>
      <c r="C101">
        <f>MINUTE(Table1468[[#This Row],[Corrected time]])</f>
        <v>32</v>
      </c>
      <c r="D101" s="1">
        <v>0.64803400462962957</v>
      </c>
      <c r="E101" s="1">
        <f>Table1468[[#This Row],[Time]]-TIME(0,0,11)</f>
        <v>0.64790668981481481</v>
      </c>
      <c r="F101" t="s">
        <v>9</v>
      </c>
      <c r="G101" t="s">
        <v>37</v>
      </c>
      <c r="H101">
        <f t="shared" si="3"/>
        <v>-113</v>
      </c>
      <c r="I101">
        <v>-7.7</v>
      </c>
      <c r="M101">
        <f>MINUTE(Table2579[[#This Row],[Corrected time]])</f>
        <v>22</v>
      </c>
      <c r="N101" s="1">
        <v>0.64050498842592596</v>
      </c>
      <c r="O101" s="1">
        <f>Table2579[[#This Row],[Time]]-TIME(0,0,10)</f>
        <v>0.64038924768518524</v>
      </c>
      <c r="Q101">
        <v>-113</v>
      </c>
      <c r="R101">
        <f>Table2579[[#This Row],[RSSI]]</f>
        <v>-113</v>
      </c>
      <c r="S101">
        <v>-7.7</v>
      </c>
    </row>
    <row r="102" spans="2:19" x14ac:dyDescent="0.25">
      <c r="B102">
        <f>160+2*(Table1468[[#This Row],[min value (corrected)]]-32)</f>
        <v>162</v>
      </c>
      <c r="C102">
        <f>MINUTE(Table1468[[#This Row],[Corrected time]])</f>
        <v>33</v>
      </c>
      <c r="D102" s="1">
        <v>0.64804618055555563</v>
      </c>
      <c r="E102" s="1">
        <f>Table1468[[#This Row],[Time]]-TIME(0,0,11)</f>
        <v>0.64791886574074087</v>
      </c>
      <c r="F102" t="s">
        <v>9</v>
      </c>
      <c r="G102" t="s">
        <v>40</v>
      </c>
      <c r="H102">
        <f t="shared" si="3"/>
        <v>-112</v>
      </c>
      <c r="I102">
        <v>-7</v>
      </c>
      <c r="M102">
        <f>MINUTE(Table2579[[#This Row],[Corrected time]])</f>
        <v>22</v>
      </c>
      <c r="N102" s="1">
        <v>0.64051717592592594</v>
      </c>
      <c r="O102" s="1">
        <f>Table2579[[#This Row],[Time]]-TIME(0,0,10)</f>
        <v>0.64040143518518522</v>
      </c>
      <c r="Q102">
        <v>-112</v>
      </c>
      <c r="R102">
        <f>Table2579[[#This Row],[RSSI]]</f>
        <v>-112</v>
      </c>
      <c r="S102">
        <v>-7.5</v>
      </c>
    </row>
    <row r="103" spans="2:19" x14ac:dyDescent="0.25">
      <c r="B103">
        <f>160+2*(Table1468[[#This Row],[min value (corrected)]]-32)</f>
        <v>162</v>
      </c>
      <c r="C103">
        <f>MINUTE(Table1468[[#This Row],[Corrected time]])</f>
        <v>33</v>
      </c>
      <c r="D103" s="1">
        <v>0.64805836805555561</v>
      </c>
      <c r="E103" s="1">
        <f>Table1468[[#This Row],[Time]]-TIME(0,0,11)</f>
        <v>0.64793105324074085</v>
      </c>
      <c r="F103" t="s">
        <v>9</v>
      </c>
      <c r="G103" t="s">
        <v>37</v>
      </c>
      <c r="H103">
        <f t="shared" si="3"/>
        <v>-113</v>
      </c>
      <c r="I103">
        <v>-7</v>
      </c>
      <c r="M103">
        <f>MINUTE(Table2579[[#This Row],[Corrected time]])</f>
        <v>22</v>
      </c>
      <c r="N103" s="1">
        <v>0.64052935185185178</v>
      </c>
      <c r="O103" s="1">
        <f>Table2579[[#This Row],[Time]]-TIME(0,0,10)</f>
        <v>0.64041361111111106</v>
      </c>
      <c r="Q103">
        <v>-113</v>
      </c>
      <c r="R103">
        <f>Table2579[[#This Row],[RSSI]]</f>
        <v>-113</v>
      </c>
      <c r="S103">
        <v>-8</v>
      </c>
    </row>
    <row r="104" spans="2:19" x14ac:dyDescent="0.25">
      <c r="B104">
        <f>160+2*(Table1468[[#This Row],[min value (corrected)]]-32)</f>
        <v>162</v>
      </c>
      <c r="C104">
        <f>MINUTE(Table1468[[#This Row],[Corrected time]])</f>
        <v>33</v>
      </c>
      <c r="D104" s="1">
        <v>0.64807056712962963</v>
      </c>
      <c r="E104" s="1">
        <f>Table1468[[#This Row],[Time]]-TIME(0,0,11)</f>
        <v>0.64794325231481487</v>
      </c>
      <c r="F104" t="s">
        <v>9</v>
      </c>
      <c r="G104" t="s">
        <v>37</v>
      </c>
      <c r="H104">
        <f t="shared" si="3"/>
        <v>-113</v>
      </c>
      <c r="I104">
        <v>-7.2</v>
      </c>
      <c r="M104">
        <f>MINUTE(Table2579[[#This Row],[Corrected time]])</f>
        <v>22</v>
      </c>
      <c r="N104" s="1">
        <v>0.64054155092592591</v>
      </c>
      <c r="O104" s="1">
        <f>Table2579[[#This Row],[Time]]-TIME(0,0,10)</f>
        <v>0.64042581018518518</v>
      </c>
      <c r="Q104">
        <v>-112</v>
      </c>
      <c r="R104">
        <f>Table2579[[#This Row],[RSSI]]</f>
        <v>-112</v>
      </c>
      <c r="S104">
        <v>-6.5</v>
      </c>
    </row>
    <row r="105" spans="2:19" x14ac:dyDescent="0.25">
      <c r="B105">
        <f>160+2*(Table1468[[#This Row],[min value (corrected)]]-32)</f>
        <v>162</v>
      </c>
      <c r="C105">
        <f>MINUTE(Table1468[[#This Row],[Corrected time]])</f>
        <v>33</v>
      </c>
      <c r="D105" s="1">
        <v>0.64808275462962961</v>
      </c>
      <c r="E105" s="1">
        <f>Table1468[[#This Row],[Time]]-TIME(0,0,11)</f>
        <v>0.64795543981481485</v>
      </c>
      <c r="F105" t="s">
        <v>9</v>
      </c>
      <c r="G105" t="s">
        <v>37</v>
      </c>
      <c r="H105">
        <f t="shared" si="3"/>
        <v>-113</v>
      </c>
      <c r="I105">
        <v>-7.7</v>
      </c>
      <c r="M105">
        <f>MINUTE(Table2579[[#This Row],[Corrected time]])</f>
        <v>22</v>
      </c>
      <c r="N105" s="1">
        <v>0.64055373842592589</v>
      </c>
      <c r="O105" s="1">
        <f>Table2579[[#This Row],[Time]]-TIME(0,0,10)</f>
        <v>0.64043799768518517</v>
      </c>
      <c r="Q105">
        <v>-112</v>
      </c>
      <c r="R105">
        <f>Table2579[[#This Row],[RSSI]]</f>
        <v>-112</v>
      </c>
      <c r="S105">
        <v>-8</v>
      </c>
    </row>
    <row r="106" spans="2:19" x14ac:dyDescent="0.25">
      <c r="B106">
        <f>160+2*(Table1468[[#This Row],[min value (corrected)]]-32)</f>
        <v>162</v>
      </c>
      <c r="C106">
        <f>MINUTE(Table1468[[#This Row],[Corrected time]])</f>
        <v>33</v>
      </c>
      <c r="D106" s="1">
        <v>0.64809494212962959</v>
      </c>
      <c r="E106" s="1">
        <f>Table1468[[#This Row],[Time]]-TIME(0,0,11)</f>
        <v>0.64796762731481483</v>
      </c>
      <c r="F106" t="s">
        <v>9</v>
      </c>
      <c r="G106" t="s">
        <v>37</v>
      </c>
      <c r="H106">
        <f t="shared" si="3"/>
        <v>-113</v>
      </c>
      <c r="I106">
        <v>-7.7</v>
      </c>
      <c r="M106">
        <f>MINUTE(Table2579[[#This Row],[Corrected time]])</f>
        <v>22</v>
      </c>
      <c r="N106" s="1">
        <v>0.64056591435185184</v>
      </c>
      <c r="O106" s="1">
        <f>Table2579[[#This Row],[Time]]-TIME(0,0,10)</f>
        <v>0.64045017361111112</v>
      </c>
      <c r="Q106">
        <v>-113</v>
      </c>
      <c r="R106">
        <f>Table2579[[#This Row],[RSSI]]</f>
        <v>-113</v>
      </c>
      <c r="S106">
        <v>-8</v>
      </c>
    </row>
    <row r="107" spans="2:19" x14ac:dyDescent="0.25">
      <c r="B107">
        <f>160+2*(Table1468[[#This Row],[min value (corrected)]]-32)</f>
        <v>162</v>
      </c>
      <c r="C107">
        <f>MINUTE(Table1468[[#This Row],[Corrected time]])</f>
        <v>33</v>
      </c>
      <c r="D107" s="1">
        <v>0.64810712962962957</v>
      </c>
      <c r="E107" s="1">
        <f>Table1468[[#This Row],[Time]]-TIME(0,0,11)</f>
        <v>0.64797981481481481</v>
      </c>
      <c r="F107" t="s">
        <v>9</v>
      </c>
      <c r="G107" t="s">
        <v>37</v>
      </c>
      <c r="H107">
        <f t="shared" si="3"/>
        <v>-113</v>
      </c>
      <c r="I107">
        <v>-7.2</v>
      </c>
      <c r="M107">
        <f>MINUTE(Table2579[[#This Row],[Corrected time]])</f>
        <v>22</v>
      </c>
      <c r="N107" s="1">
        <v>0.64057811342592597</v>
      </c>
      <c r="O107" s="1">
        <f>Table2579[[#This Row],[Time]]-TIME(0,0,10)</f>
        <v>0.64046237268518524</v>
      </c>
      <c r="Q107">
        <v>-113</v>
      </c>
      <c r="R107">
        <f>Table2579[[#This Row],[RSSI]]</f>
        <v>-113</v>
      </c>
      <c r="S107">
        <v>-7.5</v>
      </c>
    </row>
    <row r="108" spans="2:19" x14ac:dyDescent="0.25">
      <c r="B108">
        <f>160+2*(Table1468[[#This Row],[min value (corrected)]]-32)</f>
        <v>162</v>
      </c>
      <c r="C108">
        <f>MINUTE(Table1468[[#This Row],[Corrected time]])</f>
        <v>33</v>
      </c>
      <c r="D108" s="1">
        <v>0.64811930555555552</v>
      </c>
      <c r="E108" s="1">
        <f>Table1468[[#This Row],[Time]]-TIME(0,0,11)</f>
        <v>0.64799199074074076</v>
      </c>
      <c r="F108" t="s">
        <v>9</v>
      </c>
      <c r="G108" t="s">
        <v>37</v>
      </c>
      <c r="H108">
        <f t="shared" si="3"/>
        <v>-113</v>
      </c>
      <c r="I108">
        <v>-7.5</v>
      </c>
      <c r="M108">
        <f>MINUTE(Table2579[[#This Row],[Corrected time]])</f>
        <v>22</v>
      </c>
      <c r="N108" s="1">
        <v>0.6405902893518518</v>
      </c>
      <c r="O108" s="1">
        <f>Table2579[[#This Row],[Time]]-TIME(0,0,10)</f>
        <v>0.64047454861111108</v>
      </c>
      <c r="Q108">
        <v>-113</v>
      </c>
      <c r="R108">
        <f>Table2579[[#This Row],[RSSI]]</f>
        <v>-113</v>
      </c>
      <c r="S108">
        <v>-7.2</v>
      </c>
    </row>
    <row r="109" spans="2:19" x14ac:dyDescent="0.25">
      <c r="B109">
        <f>160+2*(Table1468[[#This Row],[min value (corrected)]]-32)</f>
        <v>162</v>
      </c>
      <c r="C109">
        <f>MINUTE(Table1468[[#This Row],[Corrected time]])</f>
        <v>33</v>
      </c>
      <c r="D109" s="1">
        <v>0.64813150462962965</v>
      </c>
      <c r="E109" s="1">
        <f>Table1468[[#This Row],[Time]]-TIME(0,0,11)</f>
        <v>0.64800418981481489</v>
      </c>
      <c r="F109" t="s">
        <v>9</v>
      </c>
      <c r="G109" t="s">
        <v>40</v>
      </c>
      <c r="H109">
        <f t="shared" si="3"/>
        <v>-112</v>
      </c>
      <c r="I109">
        <v>-7.2</v>
      </c>
      <c r="M109">
        <f>MINUTE(Table2579[[#This Row],[Corrected time]])</f>
        <v>22</v>
      </c>
      <c r="N109" s="1">
        <v>0.64060248842592593</v>
      </c>
      <c r="O109" s="1">
        <f>Table2579[[#This Row],[Time]]-TIME(0,0,10)</f>
        <v>0.64048674768518521</v>
      </c>
      <c r="Q109">
        <v>-113</v>
      </c>
      <c r="R109">
        <f>Table2579[[#This Row],[RSSI]]</f>
        <v>-113</v>
      </c>
      <c r="S109">
        <v>-7.2</v>
      </c>
    </row>
    <row r="110" spans="2:19" x14ac:dyDescent="0.25">
      <c r="B110">
        <f>160+2*(Table1468[[#This Row],[min value (corrected)]]-32)</f>
        <v>162</v>
      </c>
      <c r="C110">
        <f>MINUTE(Table1468[[#This Row],[Corrected time]])</f>
        <v>33</v>
      </c>
      <c r="D110" s="1">
        <v>0.64814369212962963</v>
      </c>
      <c r="E110" s="1">
        <f>Table1468[[#This Row],[Time]]-TIME(0,0,11)</f>
        <v>0.64801637731481487</v>
      </c>
      <c r="F110" t="s">
        <v>9</v>
      </c>
      <c r="G110" t="s">
        <v>39</v>
      </c>
      <c r="H110">
        <f t="shared" si="3"/>
        <v>-114</v>
      </c>
      <c r="I110">
        <v>-7.7</v>
      </c>
      <c r="M110">
        <f>MINUTE(Table2579[[#This Row],[Corrected time]])</f>
        <v>22</v>
      </c>
      <c r="N110" s="1">
        <v>0.64061467592592591</v>
      </c>
      <c r="O110" s="1">
        <f>Table2579[[#This Row],[Time]]-TIME(0,0,10)</f>
        <v>0.64049893518518519</v>
      </c>
      <c r="Q110">
        <v>-113</v>
      </c>
      <c r="R110">
        <f>Table2579[[#This Row],[RSSI]]</f>
        <v>-113</v>
      </c>
      <c r="S110">
        <v>-7.5</v>
      </c>
    </row>
    <row r="111" spans="2:19" x14ac:dyDescent="0.25">
      <c r="B111">
        <f>160+2*(Table1468[[#This Row],[min value (corrected)]]-32)</f>
        <v>162</v>
      </c>
      <c r="C111">
        <f>MINUTE(Table1468[[#This Row],[Corrected time]])</f>
        <v>33</v>
      </c>
      <c r="D111" s="1">
        <v>0.64815587962962962</v>
      </c>
      <c r="E111" s="1">
        <f>Table1468[[#This Row],[Time]]-TIME(0,0,11)</f>
        <v>0.64802856481481486</v>
      </c>
      <c r="F111" t="s">
        <v>9</v>
      </c>
      <c r="G111" t="s">
        <v>39</v>
      </c>
      <c r="H111">
        <f t="shared" si="3"/>
        <v>-114</v>
      </c>
      <c r="I111">
        <v>-8</v>
      </c>
      <c r="M111">
        <f>MINUTE(Table2579[[#This Row],[Corrected time]])</f>
        <v>22</v>
      </c>
      <c r="N111" s="1">
        <v>0.6406268634259259</v>
      </c>
      <c r="O111" s="1">
        <f>Table2579[[#This Row],[Time]]-TIME(0,0,10)</f>
        <v>0.64051112268518517</v>
      </c>
      <c r="Q111">
        <v>-113</v>
      </c>
      <c r="R111">
        <f>Table2579[[#This Row],[RSSI]]</f>
        <v>-113</v>
      </c>
      <c r="S111">
        <v>-7.7</v>
      </c>
    </row>
    <row r="112" spans="2:19" x14ac:dyDescent="0.25">
      <c r="B112">
        <f>160+2*(Table1468[[#This Row],[min value (corrected)]]-32)</f>
        <v>162</v>
      </c>
      <c r="C112">
        <f>MINUTE(Table1468[[#This Row],[Corrected time]])</f>
        <v>33</v>
      </c>
      <c r="D112" s="1">
        <v>0.64816805555555557</v>
      </c>
      <c r="E112" s="1">
        <f>Table1468[[#This Row],[Time]]-TIME(0,0,11)</f>
        <v>0.64804074074074081</v>
      </c>
      <c r="F112" t="s">
        <v>9</v>
      </c>
      <c r="G112" t="s">
        <v>41</v>
      </c>
      <c r="H112">
        <f t="shared" si="3"/>
        <v>-111</v>
      </c>
      <c r="I112">
        <v>-7.7</v>
      </c>
      <c r="M112">
        <f>MINUTE(Table2579[[#This Row],[Corrected time]])</f>
        <v>22</v>
      </c>
      <c r="N112" s="1">
        <v>0.64063905092592588</v>
      </c>
      <c r="O112" s="1">
        <f>Table2579[[#This Row],[Time]]-TIME(0,0,10)</f>
        <v>0.64052331018518516</v>
      </c>
      <c r="Q112">
        <v>-113</v>
      </c>
      <c r="R112">
        <f>Table2579[[#This Row],[RSSI]]</f>
        <v>-113</v>
      </c>
      <c r="S112">
        <v>-7.5</v>
      </c>
    </row>
    <row r="113" spans="2:19" x14ac:dyDescent="0.25">
      <c r="B113">
        <f>160+2*(Table1468[[#This Row],[min value (corrected)]]-32)</f>
        <v>162</v>
      </c>
      <c r="C113">
        <f>MINUTE(Table1468[[#This Row],[Corrected time]])</f>
        <v>33</v>
      </c>
      <c r="D113" s="1">
        <v>0.64818025462962958</v>
      </c>
      <c r="E113" s="1">
        <f>Table1468[[#This Row],[Time]]-TIME(0,0,11)</f>
        <v>0.64805293981481482</v>
      </c>
      <c r="F113" t="s">
        <v>9</v>
      </c>
      <c r="G113" t="s">
        <v>37</v>
      </c>
      <c r="H113">
        <f t="shared" si="3"/>
        <v>-113</v>
      </c>
      <c r="I113">
        <v>-7.5</v>
      </c>
      <c r="M113">
        <f>MINUTE(Table2579[[#This Row],[Corrected time]])</f>
        <v>22</v>
      </c>
      <c r="N113" s="1">
        <v>0.64065123842592597</v>
      </c>
      <c r="O113" s="1">
        <f>Table2579[[#This Row],[Time]]-TIME(0,0,10)</f>
        <v>0.64053549768518525</v>
      </c>
      <c r="Q113">
        <v>-113</v>
      </c>
      <c r="R113">
        <f>Table2579[[#This Row],[RSSI]]</f>
        <v>-113</v>
      </c>
      <c r="S113">
        <v>-7.5</v>
      </c>
    </row>
    <row r="114" spans="2:19" x14ac:dyDescent="0.25">
      <c r="B114">
        <f>160+2*(Table1468[[#This Row],[min value (corrected)]]-32)</f>
        <v>162</v>
      </c>
      <c r="C114">
        <f>MINUTE(Table1468[[#This Row],[Corrected time]])</f>
        <v>33</v>
      </c>
      <c r="D114" s="1">
        <v>0.64819244212962956</v>
      </c>
      <c r="E114" s="1">
        <f>Table1468[[#This Row],[Time]]-TIME(0,0,11)</f>
        <v>0.6480651273148148</v>
      </c>
      <c r="F114" t="s">
        <v>9</v>
      </c>
      <c r="G114" t="s">
        <v>37</v>
      </c>
      <c r="H114">
        <f t="shared" si="3"/>
        <v>-113</v>
      </c>
      <c r="I114">
        <v>-7.7</v>
      </c>
      <c r="M114">
        <f>MINUTE(Table2579[[#This Row],[Corrected time]])</f>
        <v>22</v>
      </c>
      <c r="N114" s="1">
        <v>0.64066342592592596</v>
      </c>
      <c r="O114" s="1">
        <f>Table2579[[#This Row],[Time]]-TIME(0,0,10)</f>
        <v>0.64054768518518523</v>
      </c>
      <c r="Q114">
        <v>-112</v>
      </c>
      <c r="R114">
        <f>Table2579[[#This Row],[RSSI]]</f>
        <v>-112</v>
      </c>
      <c r="S114">
        <v>-7</v>
      </c>
    </row>
    <row r="115" spans="2:19" x14ac:dyDescent="0.25">
      <c r="B115">
        <f>160+2*(Table1468[[#This Row],[min value (corrected)]]-32)</f>
        <v>162</v>
      </c>
      <c r="C115">
        <f>MINUTE(Table1468[[#This Row],[Corrected time]])</f>
        <v>33</v>
      </c>
      <c r="D115" s="1">
        <v>0.64820462962962955</v>
      </c>
      <c r="E115" s="1">
        <f>Table1468[[#This Row],[Time]]-TIME(0,0,11)</f>
        <v>0.64807731481481479</v>
      </c>
      <c r="F115" t="s">
        <v>9</v>
      </c>
      <c r="G115" t="s">
        <v>38</v>
      </c>
      <c r="H115">
        <f t="shared" si="3"/>
        <v>-110</v>
      </c>
      <c r="I115">
        <v>-7.5</v>
      </c>
      <c r="M115">
        <f>MINUTE(Table2579[[#This Row],[Corrected time]])</f>
        <v>22</v>
      </c>
      <c r="N115" s="1">
        <v>0.64067561342592594</v>
      </c>
      <c r="O115" s="1">
        <f>Table2579[[#This Row],[Time]]-TIME(0,0,10)</f>
        <v>0.64055987268518522</v>
      </c>
      <c r="Q115">
        <f>Q114</f>
        <v>-112</v>
      </c>
      <c r="R115">
        <f>Table2579[[#This Row],[RSSI]]</f>
        <v>-112</v>
      </c>
      <c r="S115">
        <f>S114</f>
        <v>-7</v>
      </c>
    </row>
    <row r="116" spans="2:19" x14ac:dyDescent="0.25">
      <c r="B116">
        <f>160+2*(Table1468[[#This Row],[min value (corrected)]]-32)</f>
        <v>162</v>
      </c>
      <c r="C116">
        <f>MINUTE(Table1468[[#This Row],[Corrected time]])</f>
        <v>33</v>
      </c>
      <c r="D116" s="1">
        <v>0.64821681712962964</v>
      </c>
      <c r="E116" s="1">
        <f>Table1468[[#This Row],[Time]]-TIME(0,0,11)</f>
        <v>0.64808950231481488</v>
      </c>
      <c r="F116" t="s">
        <v>9</v>
      </c>
      <c r="G116" t="s">
        <v>39</v>
      </c>
      <c r="H116">
        <f t="shared" si="3"/>
        <v>-114</v>
      </c>
      <c r="I116">
        <v>-8.5</v>
      </c>
      <c r="M116">
        <f>MINUTE(Table2579[[#This Row],[Corrected time]])</f>
        <v>22</v>
      </c>
      <c r="N116" s="1">
        <v>0.64068780092592592</v>
      </c>
      <c r="O116" s="1">
        <f>Table2579[[#This Row],[Time]]-TIME(0,0,10)</f>
        <v>0.6405720601851852</v>
      </c>
      <c r="Q116">
        <v>-114</v>
      </c>
      <c r="R116">
        <f>Table2579[[#This Row],[RSSI]]</f>
        <v>-114</v>
      </c>
      <c r="S116">
        <v>-8.3000000000000007</v>
      </c>
    </row>
    <row r="117" spans="2:19" x14ac:dyDescent="0.25">
      <c r="B117">
        <f>160+2*(Table1468[[#This Row],[min value (corrected)]]-32)</f>
        <v>162</v>
      </c>
      <c r="C117">
        <f>MINUTE(Table1468[[#This Row],[Corrected time]])</f>
        <v>33</v>
      </c>
      <c r="D117" s="1">
        <v>0.64822900462962962</v>
      </c>
      <c r="E117" s="1">
        <f>Table1468[[#This Row],[Time]]-TIME(0,0,11)</f>
        <v>0.64810168981481486</v>
      </c>
      <c r="F117" t="s">
        <v>9</v>
      </c>
      <c r="G117" t="s">
        <v>37</v>
      </c>
      <c r="H117">
        <f t="shared" si="3"/>
        <v>-113</v>
      </c>
      <c r="I117">
        <v>-8.5</v>
      </c>
      <c r="M117">
        <f>MINUTE(Table2579[[#This Row],[Corrected time]])</f>
        <v>22</v>
      </c>
      <c r="N117" s="1">
        <v>0.6406999884259259</v>
      </c>
      <c r="O117" s="1">
        <f>Table2579[[#This Row],[Time]]-TIME(0,0,10)</f>
        <v>0.64058424768518518</v>
      </c>
      <c r="Q117">
        <v>-113</v>
      </c>
      <c r="R117">
        <f>Table2579[[#This Row],[RSSI]]</f>
        <v>-113</v>
      </c>
      <c r="S117">
        <v>-8</v>
      </c>
    </row>
    <row r="118" spans="2:19" x14ac:dyDescent="0.25">
      <c r="B118">
        <f>160+2*(Table1468[[#This Row],[min value (corrected)]]-32)</f>
        <v>162</v>
      </c>
      <c r="C118">
        <f>MINUTE(Table1468[[#This Row],[Corrected time]])</f>
        <v>33</v>
      </c>
      <c r="D118" s="1">
        <v>0.64824119212962961</v>
      </c>
      <c r="E118" s="1">
        <f>Table1468[[#This Row],[Time]]-TIME(0,0,11)</f>
        <v>0.64811387731481485</v>
      </c>
      <c r="F118" t="s">
        <v>9</v>
      </c>
      <c r="G118" t="s">
        <v>37</v>
      </c>
      <c r="H118">
        <f t="shared" si="3"/>
        <v>-113</v>
      </c>
      <c r="I118">
        <v>-7.5</v>
      </c>
      <c r="M118">
        <f>MINUTE(Table2579[[#This Row],[Corrected time]])</f>
        <v>22</v>
      </c>
      <c r="N118" s="1">
        <v>0.64071217592592589</v>
      </c>
      <c r="O118" s="1">
        <f>Table2579[[#This Row],[Time]]-TIME(0,0,10)</f>
        <v>0.64059643518518516</v>
      </c>
      <c r="Q118">
        <v>-112</v>
      </c>
      <c r="R118">
        <f>Table2579[[#This Row],[RSSI]]</f>
        <v>-112</v>
      </c>
      <c r="S118">
        <v>-7</v>
      </c>
    </row>
    <row r="119" spans="2:19" x14ac:dyDescent="0.25">
      <c r="B119">
        <f>160+2*(Table1468[[#This Row],[min value (corrected)]]-32)</f>
        <v>162</v>
      </c>
      <c r="C119">
        <f>MINUTE(Table1468[[#This Row],[Corrected time]])</f>
        <v>33</v>
      </c>
      <c r="D119" s="1">
        <v>0.64825337962962959</v>
      </c>
      <c r="E119" s="1">
        <f>Table1468[[#This Row],[Time]]-TIME(0,0,11)</f>
        <v>0.64812606481481483</v>
      </c>
      <c r="F119" t="s">
        <v>9</v>
      </c>
      <c r="G119" t="s">
        <v>37</v>
      </c>
      <c r="H119">
        <f t="shared" si="3"/>
        <v>-113</v>
      </c>
      <c r="I119">
        <v>-7.5</v>
      </c>
      <c r="M119">
        <f>MINUTE(Table2579[[#This Row],[Corrected time]])</f>
        <v>22</v>
      </c>
      <c r="N119" s="1">
        <v>0.64072435185185184</v>
      </c>
      <c r="O119" s="1">
        <f>Table2579[[#This Row],[Time]]-TIME(0,0,10)</f>
        <v>0.64060861111111111</v>
      </c>
      <c r="Q119">
        <v>-113</v>
      </c>
      <c r="R119">
        <f>Table2579[[#This Row],[RSSI]]</f>
        <v>-113</v>
      </c>
      <c r="S119">
        <v>-7.7</v>
      </c>
    </row>
    <row r="120" spans="2:19" x14ac:dyDescent="0.25">
      <c r="B120">
        <f>160+2*(Table1468[[#This Row],[min value (corrected)]]-32)</f>
        <v>162</v>
      </c>
      <c r="C120">
        <f>MINUTE(Table1468[[#This Row],[Corrected time]])</f>
        <v>33</v>
      </c>
      <c r="D120" s="1">
        <v>0.64826556712962957</v>
      </c>
      <c r="E120" s="1">
        <f>Table1468[[#This Row],[Time]]-TIME(0,0,11)</f>
        <v>0.64813825231481481</v>
      </c>
      <c r="F120" t="s">
        <v>9</v>
      </c>
      <c r="G120" t="s">
        <v>37</v>
      </c>
      <c r="H120">
        <f t="shared" si="3"/>
        <v>-113</v>
      </c>
      <c r="I120">
        <v>-7.5</v>
      </c>
      <c r="M120">
        <f>MINUTE(Table2579[[#This Row],[Corrected time]])</f>
        <v>22</v>
      </c>
      <c r="N120" s="1">
        <v>0.64073655092592596</v>
      </c>
      <c r="O120" s="1">
        <f>Table2579[[#This Row],[Time]]-TIME(0,0,10)</f>
        <v>0.64062081018518524</v>
      </c>
      <c r="Q120">
        <v>-113</v>
      </c>
      <c r="R120">
        <f>Table2579[[#This Row],[RSSI]]</f>
        <v>-113</v>
      </c>
      <c r="S120">
        <v>-7.7</v>
      </c>
    </row>
    <row r="121" spans="2:19" x14ac:dyDescent="0.25">
      <c r="B121">
        <f>160+2*(Table1468[[#This Row],[min value (corrected)]]-32)</f>
        <v>162</v>
      </c>
      <c r="C121">
        <f>MINUTE(Table1468[[#This Row],[Corrected time]])</f>
        <v>33</v>
      </c>
      <c r="D121" s="1">
        <v>0.64827775462962955</v>
      </c>
      <c r="E121" s="1">
        <f>Table1468[[#This Row],[Time]]-TIME(0,0,11)</f>
        <v>0.64815043981481479</v>
      </c>
      <c r="F121" t="s">
        <v>9</v>
      </c>
      <c r="G121" t="s">
        <v>37</v>
      </c>
      <c r="H121">
        <f t="shared" si="3"/>
        <v>-113</v>
      </c>
      <c r="I121">
        <v>-7.2</v>
      </c>
      <c r="M121">
        <f>MINUTE(Table2579[[#This Row],[Corrected time]])</f>
        <v>22</v>
      </c>
      <c r="N121" s="1">
        <v>0.64074873842592595</v>
      </c>
      <c r="O121" s="1">
        <f>Table2579[[#This Row],[Time]]-TIME(0,0,10)</f>
        <v>0.64063299768518522</v>
      </c>
      <c r="Q121">
        <v>-113</v>
      </c>
      <c r="R121">
        <f>Table2579[[#This Row],[RSSI]]</f>
        <v>-113</v>
      </c>
      <c r="S121">
        <v>-7.7</v>
      </c>
    </row>
    <row r="122" spans="2:19" x14ac:dyDescent="0.25">
      <c r="B122">
        <f>160+2*(Table1468[[#This Row],[min value (corrected)]]-32)</f>
        <v>162</v>
      </c>
      <c r="C122">
        <f>MINUTE(Table1468[[#This Row],[Corrected time]])</f>
        <v>33</v>
      </c>
      <c r="D122" s="1">
        <v>0.64828994212962954</v>
      </c>
      <c r="E122" s="1">
        <f>Table1468[[#This Row],[Time]]-TIME(0,0,11)</f>
        <v>0.64816262731481478</v>
      </c>
      <c r="F122" t="s">
        <v>9</v>
      </c>
      <c r="G122" t="s">
        <v>39</v>
      </c>
      <c r="H122">
        <f t="shared" si="3"/>
        <v>-114</v>
      </c>
      <c r="I122">
        <v>-8.3000000000000007</v>
      </c>
      <c r="M122">
        <f>MINUTE(Table2579[[#This Row],[Corrected time]])</f>
        <v>22</v>
      </c>
      <c r="N122" s="1">
        <v>0.64076092592592593</v>
      </c>
      <c r="O122" s="1">
        <f>Table2579[[#This Row],[Time]]-TIME(0,0,10)</f>
        <v>0.64064518518518521</v>
      </c>
      <c r="Q122">
        <v>-113</v>
      </c>
      <c r="R122">
        <f>Table2579[[#This Row],[RSSI]]</f>
        <v>-113</v>
      </c>
      <c r="S122">
        <v>-7.5</v>
      </c>
    </row>
    <row r="123" spans="2:19" x14ac:dyDescent="0.25">
      <c r="B123">
        <f>160+2*(Table1468[[#This Row],[min value (corrected)]]-32)</f>
        <v>162</v>
      </c>
      <c r="C123">
        <f>MINUTE(Table1468[[#This Row],[Corrected time]])</f>
        <v>33</v>
      </c>
      <c r="D123" s="1">
        <v>0.64830212962962963</v>
      </c>
      <c r="E123" s="1">
        <f>Table1468[[#This Row],[Time]]-TIME(0,0,11)</f>
        <v>0.64817481481481487</v>
      </c>
      <c r="F123" t="s">
        <v>9</v>
      </c>
      <c r="G123" t="s">
        <v>37</v>
      </c>
      <c r="H123">
        <f t="shared" si="3"/>
        <v>-113</v>
      </c>
      <c r="I123">
        <v>-8</v>
      </c>
      <c r="M123">
        <f>MINUTE(Table2579[[#This Row],[Corrected time]])</f>
        <v>22</v>
      </c>
      <c r="N123" s="1">
        <v>0.64077311342592591</v>
      </c>
      <c r="O123" s="1">
        <f>Table2579[[#This Row],[Time]]-TIME(0,0,10)</f>
        <v>0.64065737268518519</v>
      </c>
      <c r="Q123">
        <v>-113</v>
      </c>
      <c r="R123">
        <f>Table2579[[#This Row],[RSSI]]</f>
        <v>-113</v>
      </c>
      <c r="S123">
        <v>-7.5</v>
      </c>
    </row>
    <row r="124" spans="2:19" x14ac:dyDescent="0.25">
      <c r="B124">
        <f>160+2*(Table1468[[#This Row],[min value (corrected)]]-32)</f>
        <v>162</v>
      </c>
      <c r="C124">
        <f>MINUTE(Table1468[[#This Row],[Corrected time]])</f>
        <v>33</v>
      </c>
      <c r="D124" s="1">
        <v>0.64831431712962972</v>
      </c>
      <c r="E124" s="1">
        <f>Table1468[[#This Row],[Time]]-TIME(0,0,11)</f>
        <v>0.64818700231481496</v>
      </c>
      <c r="F124" t="s">
        <v>9</v>
      </c>
      <c r="G124" t="s">
        <v>37</v>
      </c>
      <c r="H124">
        <f t="shared" si="3"/>
        <v>-113</v>
      </c>
      <c r="I124">
        <v>-6.7</v>
      </c>
      <c r="M124">
        <f>MINUTE(Table2579[[#This Row],[Corrected time]])</f>
        <v>22</v>
      </c>
      <c r="N124" s="1">
        <v>0.64078530092592589</v>
      </c>
      <c r="O124" s="1">
        <f>Table2579[[#This Row],[Time]]-TIME(0,0,10)</f>
        <v>0.64066956018518517</v>
      </c>
      <c r="Q124">
        <f>Q123</f>
        <v>-113</v>
      </c>
      <c r="R124">
        <f>Table2579[[#This Row],[RSSI]]</f>
        <v>-113</v>
      </c>
      <c r="S124">
        <f>S123</f>
        <v>-7.5</v>
      </c>
    </row>
    <row r="125" spans="2:19" x14ac:dyDescent="0.25">
      <c r="B125">
        <f>160+2*(Table1468[[#This Row],[min value (corrected)]]-32)</f>
        <v>162</v>
      </c>
      <c r="C125">
        <f>MINUTE(Table1468[[#This Row],[Corrected time]])</f>
        <v>33</v>
      </c>
      <c r="D125" s="1">
        <v>0.64832649305555556</v>
      </c>
      <c r="E125" s="1">
        <f>Table1468[[#This Row],[Time]]-TIME(0,0,11)</f>
        <v>0.6481991782407408</v>
      </c>
      <c r="F125" t="s">
        <v>9</v>
      </c>
      <c r="G125" t="s">
        <v>37</v>
      </c>
      <c r="H125">
        <f t="shared" si="3"/>
        <v>-113</v>
      </c>
      <c r="I125">
        <v>-7.7</v>
      </c>
      <c r="M125">
        <f>MINUTE(Table2579[[#This Row],[Corrected time]])</f>
        <v>22</v>
      </c>
      <c r="N125" s="1">
        <v>0.64079748842592588</v>
      </c>
      <c r="O125" s="1">
        <f>Table2579[[#This Row],[Time]]-TIME(0,0,10)</f>
        <v>0.64068174768518515</v>
      </c>
      <c r="Q125">
        <v>-113</v>
      </c>
      <c r="R125">
        <f>Table2579[[#This Row],[RSSI]]</f>
        <v>-113</v>
      </c>
      <c r="S125">
        <v>-8</v>
      </c>
    </row>
    <row r="126" spans="2:19" x14ac:dyDescent="0.25">
      <c r="B126">
        <f>160+2*(Table1468[[#This Row],[min value (corrected)]]-32)</f>
        <v>162</v>
      </c>
      <c r="C126">
        <f>MINUTE(Table1468[[#This Row],[Corrected time]])</f>
        <v>33</v>
      </c>
      <c r="D126" s="1">
        <v>0.64833869212962969</v>
      </c>
      <c r="E126" s="1">
        <f>Table1468[[#This Row],[Time]]-TIME(0,0,11)</f>
        <v>0.64821137731481493</v>
      </c>
      <c r="F126" t="s">
        <v>9</v>
      </c>
      <c r="G126" t="s">
        <v>37</v>
      </c>
      <c r="H126">
        <f t="shared" si="3"/>
        <v>-113</v>
      </c>
      <c r="I126">
        <v>-7.5</v>
      </c>
      <c r="M126">
        <f>MINUTE(Table2579[[#This Row],[Corrected time]])</f>
        <v>22</v>
      </c>
      <c r="N126" s="1">
        <v>0.64080967592592586</v>
      </c>
      <c r="O126" s="1">
        <f>Table2579[[#This Row],[Time]]-TIME(0,0,10)</f>
        <v>0.64069393518518514</v>
      </c>
      <c r="Q126">
        <v>-113</v>
      </c>
      <c r="R126">
        <f>Table2579[[#This Row],[RSSI]]</f>
        <v>-113</v>
      </c>
      <c r="S126">
        <v>-7.7</v>
      </c>
    </row>
    <row r="127" spans="2:19" x14ac:dyDescent="0.25">
      <c r="B127">
        <f>160+2*(Table1468[[#This Row],[min value (corrected)]]-32)</f>
        <v>162</v>
      </c>
      <c r="C127">
        <f>MINUTE(Table1468[[#This Row],[Corrected time]])</f>
        <v>33</v>
      </c>
      <c r="D127" s="1">
        <v>0.64835087962962967</v>
      </c>
      <c r="E127" s="1">
        <f>Table1468[[#This Row],[Time]]-TIME(0,0,11)</f>
        <v>0.64822356481481491</v>
      </c>
      <c r="F127" t="s">
        <v>9</v>
      </c>
      <c r="G127" t="s">
        <v>40</v>
      </c>
      <c r="H127">
        <f t="shared" si="3"/>
        <v>-112</v>
      </c>
      <c r="I127">
        <v>-7.5</v>
      </c>
      <c r="M127">
        <f>MINUTE(Table2579[[#This Row],[Corrected time]])</f>
        <v>22</v>
      </c>
      <c r="N127" s="1">
        <v>0.64082186342592595</v>
      </c>
      <c r="O127" s="1">
        <f>Table2579[[#This Row],[Time]]-TIME(0,0,10)</f>
        <v>0.64070612268518523</v>
      </c>
      <c r="Q127">
        <v>-113</v>
      </c>
      <c r="R127">
        <f>Table2579[[#This Row],[RSSI]]</f>
        <v>-113</v>
      </c>
      <c r="S127">
        <v>-8</v>
      </c>
    </row>
    <row r="128" spans="2:19" x14ac:dyDescent="0.25">
      <c r="B128">
        <f>160+2*(Table1468[[#This Row],[min value (corrected)]]-32)</f>
        <v>162</v>
      </c>
      <c r="C128">
        <f>MINUTE(Table1468[[#This Row],[Corrected time]])</f>
        <v>33</v>
      </c>
      <c r="D128" s="1">
        <v>0.64836306712962966</v>
      </c>
      <c r="E128" s="1">
        <f>Table1468[[#This Row],[Time]]-TIME(0,0,11)</f>
        <v>0.64823575231481489</v>
      </c>
      <c r="F128" t="s">
        <v>9</v>
      </c>
      <c r="G128" t="s">
        <v>40</v>
      </c>
      <c r="H128">
        <f t="shared" si="3"/>
        <v>-112</v>
      </c>
      <c r="I128">
        <v>-7.2</v>
      </c>
      <c r="M128">
        <f>MINUTE(Table2579[[#This Row],[Corrected time]])</f>
        <v>22</v>
      </c>
      <c r="N128" s="1">
        <v>0.64083405092592594</v>
      </c>
      <c r="O128" s="1">
        <f>Table2579[[#This Row],[Time]]-TIME(0,0,10)</f>
        <v>0.64071831018518521</v>
      </c>
      <c r="Q128">
        <v>-113</v>
      </c>
      <c r="R128">
        <f>Table2579[[#This Row],[RSSI]]</f>
        <v>-113</v>
      </c>
      <c r="S128">
        <v>-7.5</v>
      </c>
    </row>
    <row r="129" spans="2:19" x14ac:dyDescent="0.25">
      <c r="B129">
        <f>160+2*(Table1468[[#This Row],[min value (corrected)]]-32)</f>
        <v>162</v>
      </c>
      <c r="C129">
        <f>MINUTE(Table1468[[#This Row],[Corrected time]])</f>
        <v>33</v>
      </c>
      <c r="D129" s="1">
        <v>0.64837525462962964</v>
      </c>
      <c r="E129" s="1">
        <f>Table1468[[#This Row],[Time]]-TIME(0,0,11)</f>
        <v>0.64824793981481488</v>
      </c>
      <c r="F129" t="s">
        <v>9</v>
      </c>
      <c r="G129" t="s">
        <v>37</v>
      </c>
      <c r="H129">
        <f t="shared" si="3"/>
        <v>-113</v>
      </c>
      <c r="I129">
        <v>-7.7</v>
      </c>
      <c r="M129">
        <f>MINUTE(Table2579[[#This Row],[Corrected time]])</f>
        <v>22</v>
      </c>
      <c r="N129" s="1">
        <v>0.64084622685185189</v>
      </c>
      <c r="O129" s="1">
        <f>Table2579[[#This Row],[Time]]-TIME(0,0,10)</f>
        <v>0.64073048611111116</v>
      </c>
      <c r="Q129">
        <v>-113</v>
      </c>
      <c r="R129">
        <f>Table2579[[#This Row],[RSSI]]</f>
        <v>-113</v>
      </c>
      <c r="S129">
        <v>-8.3000000000000007</v>
      </c>
    </row>
    <row r="130" spans="2:19" x14ac:dyDescent="0.25">
      <c r="B130">
        <f>160+2*(Table1468[[#This Row],[min value (corrected)]]-32)</f>
        <v>162</v>
      </c>
      <c r="C130">
        <f>MINUTE(Table1468[[#This Row],[Corrected time]])</f>
        <v>33</v>
      </c>
      <c r="D130" s="1">
        <v>0.64838744212962962</v>
      </c>
      <c r="E130" s="1">
        <f>Table1468[[#This Row],[Time]]-TIME(0,0,11)</f>
        <v>0.64826012731481486</v>
      </c>
      <c r="F130" t="s">
        <v>9</v>
      </c>
      <c r="G130" t="s">
        <v>40</v>
      </c>
      <c r="H130">
        <f t="shared" si="3"/>
        <v>-112</v>
      </c>
      <c r="I130">
        <v>-7.7</v>
      </c>
      <c r="M130">
        <f>MINUTE(Table2579[[#This Row],[Corrected time]])</f>
        <v>22</v>
      </c>
      <c r="N130" s="1">
        <v>0.6408584259259259</v>
      </c>
      <c r="O130" s="1">
        <f>Table2579[[#This Row],[Time]]-TIME(0,0,10)</f>
        <v>0.64074268518518518</v>
      </c>
      <c r="Q130">
        <v>-113</v>
      </c>
      <c r="R130">
        <f>Table2579[[#This Row],[RSSI]]</f>
        <v>-113</v>
      </c>
      <c r="S130">
        <v>-8.8000000000000007</v>
      </c>
    </row>
    <row r="131" spans="2:19" x14ac:dyDescent="0.25">
      <c r="B131">
        <f>160+2*(Table1468[[#This Row],[min value (corrected)]]-32)</f>
        <v>162</v>
      </c>
      <c r="C131">
        <f>MINUTE(Table1468[[#This Row],[Corrected time]])</f>
        <v>33</v>
      </c>
      <c r="D131" s="1">
        <v>0.64839962962962971</v>
      </c>
      <c r="E131" s="1">
        <f>Table1468[[#This Row],[Time]]-TIME(0,0,11)</f>
        <v>0.64827231481481495</v>
      </c>
      <c r="F131" t="s">
        <v>9</v>
      </c>
      <c r="G131" t="s">
        <v>37</v>
      </c>
      <c r="H131">
        <f t="shared" si="3"/>
        <v>-113</v>
      </c>
      <c r="I131">
        <v>-7.2</v>
      </c>
      <c r="M131">
        <f>MINUTE(Table2579[[#This Row],[Corrected time]])</f>
        <v>22</v>
      </c>
      <c r="N131" s="1">
        <v>0.64087061342592588</v>
      </c>
      <c r="O131" s="1">
        <f>Table2579[[#This Row],[Time]]-TIME(0,0,10)</f>
        <v>0.64075487268518516</v>
      </c>
      <c r="Q131">
        <v>-111</v>
      </c>
      <c r="R131">
        <f>Table2579[[#This Row],[RSSI]]</f>
        <v>-111</v>
      </c>
      <c r="S131">
        <v>-8.5</v>
      </c>
    </row>
    <row r="132" spans="2:19" x14ac:dyDescent="0.25">
      <c r="B132">
        <f>160+2*(Table1468[[#This Row],[min value (corrected)]]-32)</f>
        <v>162</v>
      </c>
      <c r="C132">
        <f>MINUTE(Table1468[[#This Row],[Corrected time]])</f>
        <v>33</v>
      </c>
      <c r="D132" s="1">
        <v>0.6484118171296297</v>
      </c>
      <c r="E132" s="1">
        <f>Table1468[[#This Row],[Time]]-TIME(0,0,11)</f>
        <v>0.64828450231481494</v>
      </c>
      <c r="F132" t="s">
        <v>9</v>
      </c>
      <c r="G132" t="s">
        <v>39</v>
      </c>
      <c r="H132">
        <f t="shared" si="3"/>
        <v>-114</v>
      </c>
      <c r="I132">
        <v>-8.3000000000000007</v>
      </c>
      <c r="M132">
        <f>MINUTE(Table2579[[#This Row],[Corrected time]])</f>
        <v>22</v>
      </c>
      <c r="N132" s="1">
        <v>0.64088278935185183</v>
      </c>
      <c r="O132" s="1">
        <f>Table2579[[#This Row],[Time]]-TIME(0,0,10)</f>
        <v>0.64076704861111111</v>
      </c>
      <c r="Q132">
        <f>Q131</f>
        <v>-111</v>
      </c>
      <c r="R132">
        <f>Table2579[[#This Row],[RSSI]]</f>
        <v>-111</v>
      </c>
      <c r="S132">
        <f>S131</f>
        <v>-8.5</v>
      </c>
    </row>
    <row r="133" spans="2:19" x14ac:dyDescent="0.25">
      <c r="B133">
        <f>160+2*(Table1468[[#This Row],[min value (corrected)]]-32)</f>
        <v>162</v>
      </c>
      <c r="C133">
        <f>MINUTE(Table1468[[#This Row],[Corrected time]])</f>
        <v>33</v>
      </c>
      <c r="D133" s="1">
        <v>0.64842400462962968</v>
      </c>
      <c r="E133" s="1">
        <f>Table1468[[#This Row],[Time]]-TIME(0,0,11)</f>
        <v>0.64829668981481492</v>
      </c>
      <c r="F133" t="s">
        <v>9</v>
      </c>
      <c r="G133" t="s">
        <v>39</v>
      </c>
      <c r="H133">
        <f t="shared" si="3"/>
        <v>-114</v>
      </c>
      <c r="I133">
        <v>-8.3000000000000007</v>
      </c>
      <c r="M133">
        <f>MINUTE(Table2579[[#This Row],[Corrected time]])</f>
        <v>22</v>
      </c>
      <c r="N133" s="1">
        <v>0.64089498842592585</v>
      </c>
      <c r="O133" s="1">
        <f>Table2579[[#This Row],[Time]]-TIME(0,0,10)</f>
        <v>0.64077924768518513</v>
      </c>
      <c r="Q133">
        <v>-113</v>
      </c>
      <c r="R133">
        <f>Table2579[[#This Row],[RSSI]]</f>
        <v>-113</v>
      </c>
      <c r="S133">
        <v>-7.7</v>
      </c>
    </row>
    <row r="134" spans="2:19" x14ac:dyDescent="0.25">
      <c r="B134">
        <f>160+2*(Table1468[[#This Row],[min value (corrected)]]-32)</f>
        <v>162</v>
      </c>
      <c r="C134">
        <f>MINUTE(Table1468[[#This Row],[Corrected time]])</f>
        <v>33</v>
      </c>
      <c r="D134" s="1">
        <v>0.64843619212962966</v>
      </c>
      <c r="E134" s="1">
        <f>Table1468[[#This Row],[Time]]-TIME(0,0,11)</f>
        <v>0.6483088773148149</v>
      </c>
      <c r="F134" t="s">
        <v>9</v>
      </c>
      <c r="G134" t="s">
        <v>37</v>
      </c>
      <c r="H134">
        <f t="shared" si="3"/>
        <v>-113</v>
      </c>
      <c r="I134">
        <v>-7.2</v>
      </c>
      <c r="M134">
        <f>MINUTE(Table2579[[#This Row],[Corrected time]])</f>
        <v>22</v>
      </c>
      <c r="N134" s="1">
        <v>0.64090717592592594</v>
      </c>
      <c r="O134" s="1">
        <f>Table2579[[#This Row],[Time]]-TIME(0,0,10)</f>
        <v>0.64079143518518522</v>
      </c>
      <c r="Q134">
        <v>-112</v>
      </c>
      <c r="R134">
        <f>Table2579[[#This Row],[RSSI]]</f>
        <v>-112</v>
      </c>
      <c r="S134">
        <v>-7</v>
      </c>
    </row>
    <row r="135" spans="2:19" x14ac:dyDescent="0.25">
      <c r="B135">
        <f>160+2*(Table1468[[#This Row],[min value (corrected)]]-32)</f>
        <v>162</v>
      </c>
      <c r="C135">
        <f>MINUTE(Table1468[[#This Row],[Corrected time]])</f>
        <v>33</v>
      </c>
      <c r="D135" s="1">
        <v>0.64844837962962965</v>
      </c>
      <c r="E135" s="1">
        <f>Table1468[[#This Row],[Time]]-TIME(0,0,11)</f>
        <v>0.64832106481481488</v>
      </c>
      <c r="F135" t="s">
        <v>9</v>
      </c>
      <c r="G135" t="s">
        <v>37</v>
      </c>
      <c r="H135">
        <f t="shared" si="3"/>
        <v>-113</v>
      </c>
      <c r="I135">
        <v>-7.2</v>
      </c>
      <c r="M135">
        <f>MINUTE(Table2579[[#This Row],[Corrected time]])</f>
        <v>22</v>
      </c>
      <c r="N135" s="1">
        <v>0.64091936342592593</v>
      </c>
      <c r="O135" s="1">
        <f>Table2579[[#This Row],[Time]]-TIME(0,0,10)</f>
        <v>0.6408036226851852</v>
      </c>
      <c r="Q135">
        <v>-113</v>
      </c>
      <c r="R135">
        <f>Table2579[[#This Row],[RSSI]]</f>
        <v>-113</v>
      </c>
      <c r="S135">
        <v>-7.7</v>
      </c>
    </row>
    <row r="136" spans="2:19" x14ac:dyDescent="0.25">
      <c r="B136">
        <f>160+2*(Table1468[[#This Row],[min value (corrected)]]-32)</f>
        <v>162</v>
      </c>
      <c r="C136">
        <f>MINUTE(Table1468[[#This Row],[Corrected time]])</f>
        <v>33</v>
      </c>
      <c r="D136" s="1">
        <v>0.64846056712962963</v>
      </c>
      <c r="E136" s="1">
        <f>Table1468[[#This Row],[Time]]-TIME(0,0,11)</f>
        <v>0.64833325231481487</v>
      </c>
      <c r="F136" t="s">
        <v>9</v>
      </c>
      <c r="G136" t="s">
        <v>37</v>
      </c>
      <c r="H136">
        <f t="shared" si="3"/>
        <v>-113</v>
      </c>
      <c r="I136">
        <v>-8</v>
      </c>
      <c r="M136">
        <f>MINUTE(Table2579[[#This Row],[Corrected time]])</f>
        <v>22</v>
      </c>
      <c r="N136" s="1">
        <v>0.64093155092592591</v>
      </c>
      <c r="O136" s="1">
        <f>Table2579[[#This Row],[Time]]-TIME(0,0,10)</f>
        <v>0.64081581018518519</v>
      </c>
      <c r="Q136">
        <v>-112</v>
      </c>
      <c r="R136">
        <f>Table2579[[#This Row],[RSSI]]</f>
        <v>-112</v>
      </c>
      <c r="S136">
        <v>-7.2</v>
      </c>
    </row>
    <row r="137" spans="2:19" x14ac:dyDescent="0.25">
      <c r="B137">
        <f>160+2*(Table1468[[#This Row],[min value (corrected)]]-32)</f>
        <v>162</v>
      </c>
      <c r="C137">
        <f>MINUTE(Table1468[[#This Row],[Corrected time]])</f>
        <v>33</v>
      </c>
      <c r="D137" s="1">
        <v>0.64847275462962961</v>
      </c>
      <c r="E137" s="1">
        <f>Table1468[[#This Row],[Time]]-TIME(0,0,11)</f>
        <v>0.64834543981481485</v>
      </c>
      <c r="F137" t="s">
        <v>9</v>
      </c>
      <c r="G137" t="s">
        <v>40</v>
      </c>
      <c r="H137">
        <f t="shared" si="3"/>
        <v>-112</v>
      </c>
      <c r="I137">
        <v>-7.2</v>
      </c>
      <c r="M137">
        <f>MINUTE(Table2579[[#This Row],[Corrected time]])</f>
        <v>22</v>
      </c>
      <c r="N137" s="1">
        <v>0.64094373842592589</v>
      </c>
      <c r="O137" s="1">
        <f>Table2579[[#This Row],[Time]]-TIME(0,0,10)</f>
        <v>0.64082799768518517</v>
      </c>
      <c r="Q137">
        <v>-113</v>
      </c>
      <c r="R137">
        <f>Table2579[[#This Row],[RSSI]]</f>
        <v>-113</v>
      </c>
      <c r="S137">
        <v>-7.2</v>
      </c>
    </row>
    <row r="138" spans="2:19" x14ac:dyDescent="0.25">
      <c r="B138">
        <f>160+2*(Table1468[[#This Row],[min value (corrected)]]-32)</f>
        <v>162</v>
      </c>
      <c r="C138">
        <f>MINUTE(Table1468[[#This Row],[Corrected time]])</f>
        <v>33</v>
      </c>
      <c r="D138" s="1">
        <v>0.64848493055555556</v>
      </c>
      <c r="E138" s="1">
        <f>Table1468[[#This Row],[Time]]-TIME(0,0,11)</f>
        <v>0.6483576157407408</v>
      </c>
      <c r="F138" t="s">
        <v>9</v>
      </c>
      <c r="G138" t="s">
        <v>39</v>
      </c>
      <c r="H138">
        <f t="shared" si="3"/>
        <v>-114</v>
      </c>
      <c r="I138">
        <v>-8.8000000000000007</v>
      </c>
      <c r="M138">
        <f>MINUTE(Table2579[[#This Row],[Corrected time]])</f>
        <v>22</v>
      </c>
      <c r="N138" s="1">
        <v>0.64095592592592587</v>
      </c>
      <c r="O138" s="1">
        <f>Table2579[[#This Row],[Time]]-TIME(0,0,10)</f>
        <v>0.64084018518518515</v>
      </c>
      <c r="Q138">
        <v>-114</v>
      </c>
      <c r="R138">
        <f>Table2579[[#This Row],[RSSI]]</f>
        <v>-114</v>
      </c>
      <c r="S138">
        <v>-7.5</v>
      </c>
    </row>
    <row r="139" spans="2:19" x14ac:dyDescent="0.25">
      <c r="B139">
        <f>160+2*(Table1468[[#This Row],[min value (corrected)]]-32)</f>
        <v>162</v>
      </c>
      <c r="C139">
        <f>MINUTE(Table1468[[#This Row],[Corrected time]])</f>
        <v>33</v>
      </c>
      <c r="D139" s="1">
        <v>0.64849712962962969</v>
      </c>
      <c r="E139" s="1">
        <f>Table1468[[#This Row],[Time]]-TIME(0,0,11)</f>
        <v>0.64836981481481493</v>
      </c>
      <c r="F139" t="s">
        <v>9</v>
      </c>
      <c r="G139" t="s">
        <v>40</v>
      </c>
      <c r="H139">
        <f t="shared" si="3"/>
        <v>-112</v>
      </c>
      <c r="I139">
        <v>-8.3000000000000007</v>
      </c>
      <c r="M139">
        <f>MINUTE(Table2579[[#This Row],[Corrected time]])</f>
        <v>22</v>
      </c>
      <c r="N139" s="1">
        <v>0.64096811342592586</v>
      </c>
      <c r="O139" s="1">
        <f>Table2579[[#This Row],[Time]]-TIME(0,0,10)</f>
        <v>0.64085237268518513</v>
      </c>
      <c r="Q139">
        <v>-113</v>
      </c>
      <c r="R139">
        <f>Table2579[[#This Row],[RSSI]]</f>
        <v>-113</v>
      </c>
      <c r="S139">
        <v>-7.2</v>
      </c>
    </row>
    <row r="140" spans="2:19" x14ac:dyDescent="0.25">
      <c r="B140">
        <f>160+2*(Table1468[[#This Row],[min value (corrected)]]-32)</f>
        <v>162</v>
      </c>
      <c r="C140">
        <f>MINUTE(Table1468[[#This Row],[Corrected time]])</f>
        <v>33</v>
      </c>
      <c r="D140" s="1">
        <v>0.64850931712962967</v>
      </c>
      <c r="E140" s="1">
        <f>Table1468[[#This Row],[Time]]-TIME(0,0,11)</f>
        <v>0.64838200231481491</v>
      </c>
      <c r="F140" t="s">
        <v>9</v>
      </c>
      <c r="G140" t="s">
        <v>37</v>
      </c>
      <c r="H140">
        <f t="shared" si="3"/>
        <v>-113</v>
      </c>
      <c r="I140">
        <v>-7.7</v>
      </c>
      <c r="M140">
        <f>MINUTE(Table2579[[#This Row],[Corrected time]])</f>
        <v>22</v>
      </c>
      <c r="N140" s="1">
        <v>0.64098030092592584</v>
      </c>
      <c r="O140" s="1">
        <f>Table2579[[#This Row],[Time]]-TIME(0,0,10)</f>
        <v>0.64086456018518512</v>
      </c>
      <c r="Q140">
        <v>-113</v>
      </c>
      <c r="R140">
        <f>Table2579[[#This Row],[RSSI]]</f>
        <v>-113</v>
      </c>
      <c r="S140">
        <v>-8.3000000000000007</v>
      </c>
    </row>
    <row r="141" spans="2:19" x14ac:dyDescent="0.25">
      <c r="B141">
        <f>160+2*(Table1468[[#This Row],[min value (corrected)]]-32)</f>
        <v>162</v>
      </c>
      <c r="C141">
        <f>MINUTE(Table1468[[#This Row],[Corrected time]])</f>
        <v>33</v>
      </c>
      <c r="D141" s="1">
        <v>0.64852149305555551</v>
      </c>
      <c r="E141" s="1">
        <f>Table1468[[#This Row],[Time]]-TIME(0,0,11)</f>
        <v>0.64839417824074075</v>
      </c>
      <c r="F141" t="s">
        <v>9</v>
      </c>
      <c r="G141" t="s">
        <v>37</v>
      </c>
      <c r="H141">
        <f t="shared" si="3"/>
        <v>-113</v>
      </c>
      <c r="I141">
        <v>-8</v>
      </c>
      <c r="M141">
        <f>MINUTE(Table2579[[#This Row],[Corrected time]])</f>
        <v>22</v>
      </c>
      <c r="N141" s="1">
        <v>0.64099248842592593</v>
      </c>
      <c r="O141" s="1">
        <f>Table2579[[#This Row],[Time]]-TIME(0,0,10)</f>
        <v>0.64087674768518521</v>
      </c>
      <c r="Q141">
        <v>-113</v>
      </c>
      <c r="R141">
        <f>Table2579[[#This Row],[RSSI]]</f>
        <v>-113</v>
      </c>
      <c r="S141">
        <v>-7.2</v>
      </c>
    </row>
    <row r="142" spans="2:19" x14ac:dyDescent="0.25">
      <c r="B142">
        <f>160+2*(Table1468[[#This Row],[min value (corrected)]]-32)</f>
        <v>162</v>
      </c>
      <c r="C142">
        <f>MINUTE(Table1468[[#This Row],[Corrected time]])</f>
        <v>33</v>
      </c>
      <c r="D142" s="1">
        <v>0.64853369212962964</v>
      </c>
      <c r="E142" s="1">
        <f>Table1468[[#This Row],[Time]]-TIME(0,0,11)</f>
        <v>0.64840637731481487</v>
      </c>
      <c r="F142" t="s">
        <v>9</v>
      </c>
      <c r="G142" t="s">
        <v>37</v>
      </c>
      <c r="H142">
        <f t="shared" si="3"/>
        <v>-113</v>
      </c>
      <c r="I142">
        <v>-7.7</v>
      </c>
      <c r="L142">
        <f>160+2*(Table2579[[#This Row],[min value (corrected)]]-23)</f>
        <v>158</v>
      </c>
      <c r="M142">
        <f>MINUTE(Table2579[[#This Row],[Corrected time]])</f>
        <v>22</v>
      </c>
      <c r="N142" s="1">
        <v>0.64100467592592592</v>
      </c>
      <c r="O142" s="1">
        <f>Table2579[[#This Row],[Time]]-TIME(0,0,10)</f>
        <v>0.64088893518518519</v>
      </c>
      <c r="P142" t="s">
        <v>9</v>
      </c>
      <c r="Q142">
        <v>-113</v>
      </c>
      <c r="R142">
        <f>Table2579[[#This Row],[RSSI]]</f>
        <v>-113</v>
      </c>
      <c r="S142">
        <v>-7</v>
      </c>
    </row>
    <row r="143" spans="2:19" x14ac:dyDescent="0.25">
      <c r="B143">
        <f>160+2*(Table1468[[#This Row],[min value (corrected)]]-32)</f>
        <v>162</v>
      </c>
      <c r="C143">
        <f>MINUTE(Table1468[[#This Row],[Corrected time]])</f>
        <v>33</v>
      </c>
      <c r="D143" s="1">
        <v>0.64854587962962962</v>
      </c>
      <c r="E143" s="1">
        <f>Table1468[[#This Row],[Time]]-TIME(0,0,11)</f>
        <v>0.64841856481481486</v>
      </c>
      <c r="F143" t="s">
        <v>9</v>
      </c>
      <c r="G143" t="s">
        <v>37</v>
      </c>
      <c r="H143">
        <f t="shared" si="3"/>
        <v>-113</v>
      </c>
      <c r="I143">
        <v>-7.7</v>
      </c>
      <c r="L143">
        <f>160+2*(Table2579[[#This Row],[min value (corrected)]]-23)</f>
        <v>158</v>
      </c>
      <c r="M143">
        <f>MINUTE(Table2579[[#This Row],[Corrected time]])</f>
        <v>22</v>
      </c>
      <c r="N143" s="17">
        <v>0.64101686342592601</v>
      </c>
      <c r="O143" s="1">
        <f>Table2579[[#This Row],[Time]]-TIME(0,0,10)</f>
        <v>0.64090112268518529</v>
      </c>
      <c r="P143" t="s">
        <v>9</v>
      </c>
      <c r="Q143">
        <v>-112</v>
      </c>
      <c r="R143">
        <f>Table2579[[#This Row],[RSSI]]</f>
        <v>-112</v>
      </c>
      <c r="S143">
        <v>-7.5</v>
      </c>
    </row>
    <row r="144" spans="2:19" x14ac:dyDescent="0.25">
      <c r="B144">
        <f>160+2*(Table1468[[#This Row],[min value (corrected)]]-32)</f>
        <v>162</v>
      </c>
      <c r="C144">
        <f>MINUTE(Table1468[[#This Row],[Corrected time]])</f>
        <v>33</v>
      </c>
      <c r="D144" s="1">
        <v>0.64855805555555557</v>
      </c>
      <c r="E144" s="1">
        <f>Table1468[[#This Row],[Time]]-TIME(0,0,11)</f>
        <v>0.64843074074074081</v>
      </c>
      <c r="F144" t="s">
        <v>9</v>
      </c>
      <c r="G144" t="s">
        <v>37</v>
      </c>
      <c r="H144">
        <f t="shared" si="3"/>
        <v>-113</v>
      </c>
      <c r="I144">
        <v>-7.5</v>
      </c>
      <c r="L144">
        <f>160+2*(Table2579[[#This Row],[min value (corrected)]]-23)</f>
        <v>158</v>
      </c>
      <c r="M144">
        <f>MINUTE(Table2579[[#This Row],[Corrected time]])</f>
        <v>22</v>
      </c>
      <c r="N144" s="1">
        <v>0.64102905092592599</v>
      </c>
      <c r="O144" s="1">
        <f>Table2579[[#This Row],[Time]]-TIME(0,0,10)</f>
        <v>0.64091331018518527</v>
      </c>
      <c r="P144" t="s">
        <v>9</v>
      </c>
      <c r="Q144">
        <v>-113</v>
      </c>
      <c r="R144">
        <f>Table2579[[#This Row],[RSSI]]</f>
        <v>-113</v>
      </c>
      <c r="S144">
        <v>-7.5</v>
      </c>
    </row>
    <row r="145" spans="2:19" x14ac:dyDescent="0.25">
      <c r="B145">
        <f>160+2*(Table1468[[#This Row],[min value (corrected)]]-32)</f>
        <v>162</v>
      </c>
      <c r="C145">
        <f>MINUTE(Table1468[[#This Row],[Corrected time]])</f>
        <v>33</v>
      </c>
      <c r="D145" s="1">
        <v>0.64857025462962969</v>
      </c>
      <c r="E145" s="1">
        <f>Table1468[[#This Row],[Time]]-TIME(0,0,11)</f>
        <v>0.64844293981481493</v>
      </c>
      <c r="F145" t="s">
        <v>9</v>
      </c>
      <c r="G145" t="s">
        <v>39</v>
      </c>
      <c r="H145">
        <f t="shared" si="3"/>
        <v>-114</v>
      </c>
      <c r="I145">
        <v>-8.3000000000000007</v>
      </c>
      <c r="L145">
        <f>160+2*(Table2579[[#This Row],[min value (corrected)]]-23)</f>
        <v>158</v>
      </c>
      <c r="M145">
        <f>MINUTE(Table2579[[#This Row],[Corrected time]])</f>
        <v>22</v>
      </c>
      <c r="N145" s="1">
        <v>0.64104122685185183</v>
      </c>
      <c r="O145" s="1">
        <f>Table2579[[#This Row],[Time]]-TIME(0,0,10)</f>
        <v>0.64092548611111111</v>
      </c>
      <c r="P145" t="s">
        <v>9</v>
      </c>
      <c r="Q145">
        <v>-113</v>
      </c>
      <c r="R145">
        <f>Table2579[[#This Row],[RSSI]]</f>
        <v>-113</v>
      </c>
      <c r="S145">
        <v>-7</v>
      </c>
    </row>
    <row r="146" spans="2:19" x14ac:dyDescent="0.25">
      <c r="B146">
        <f>160+2*(Table1468[[#This Row],[min value (corrected)]]-32)</f>
        <v>162</v>
      </c>
      <c r="C146">
        <f>MINUTE(Table1468[[#This Row],[Corrected time]])</f>
        <v>33</v>
      </c>
      <c r="D146" s="1">
        <v>0.64858244212962968</v>
      </c>
      <c r="E146" s="1">
        <f>Table1468[[#This Row],[Time]]-TIME(0,0,11)</f>
        <v>0.64845512731481492</v>
      </c>
      <c r="F146" t="s">
        <v>9</v>
      </c>
      <c r="G146" t="s">
        <v>40</v>
      </c>
      <c r="H146">
        <f t="shared" si="3"/>
        <v>-112</v>
      </c>
      <c r="I146">
        <v>-7.5</v>
      </c>
      <c r="L146">
        <f>160+2*(Table2579[[#This Row],[min value (corrected)]]-23)</f>
        <v>158</v>
      </c>
      <c r="M146">
        <f>MINUTE(Table2579[[#This Row],[Corrected time]])</f>
        <v>22</v>
      </c>
      <c r="N146" s="1">
        <v>0.64105342592592596</v>
      </c>
      <c r="O146" s="1">
        <f>Table2579[[#This Row],[Time]]-TIME(0,0,10)</f>
        <v>0.64093768518518524</v>
      </c>
      <c r="P146" t="s">
        <v>9</v>
      </c>
      <c r="Q146">
        <v>-113</v>
      </c>
      <c r="R146">
        <f>Table2579[[#This Row],[RSSI]]</f>
        <v>-113</v>
      </c>
      <c r="S146">
        <v>-7.2</v>
      </c>
    </row>
    <row r="147" spans="2:19" x14ac:dyDescent="0.25">
      <c r="B147">
        <f>160+2*(Table1468[[#This Row],[min value (corrected)]]-32)</f>
        <v>162</v>
      </c>
      <c r="C147">
        <f>MINUTE(Table1468[[#This Row],[Corrected time]])</f>
        <v>33</v>
      </c>
      <c r="D147" s="1">
        <v>0.64859462962962966</v>
      </c>
      <c r="E147" s="1">
        <f>Table1468[[#This Row],[Time]]-TIME(0,0,11)</f>
        <v>0.6484673148148149</v>
      </c>
      <c r="F147" t="s">
        <v>9</v>
      </c>
      <c r="G147" t="s">
        <v>40</v>
      </c>
      <c r="H147">
        <f t="shared" si="3"/>
        <v>-112</v>
      </c>
      <c r="I147">
        <v>-7.2</v>
      </c>
      <c r="L147">
        <f>160+2*(Table2579[[#This Row],[min value (corrected)]]-23)</f>
        <v>158</v>
      </c>
      <c r="M147">
        <f>MINUTE(Table2579[[#This Row],[Corrected time]])</f>
        <v>22</v>
      </c>
      <c r="N147" s="1">
        <v>0.6410656018518518</v>
      </c>
      <c r="O147" s="1">
        <f>Table2579[[#This Row],[Time]]-TIME(0,0,10)</f>
        <v>0.64094986111111107</v>
      </c>
      <c r="P147" t="s">
        <v>9</v>
      </c>
      <c r="Q147">
        <v>-113</v>
      </c>
      <c r="R147">
        <f>Table2579[[#This Row],[RSSI]]</f>
        <v>-113</v>
      </c>
      <c r="S147">
        <v>-8.5</v>
      </c>
    </row>
    <row r="148" spans="2:19" x14ac:dyDescent="0.25">
      <c r="B148">
        <f>160+2*(Table1468[[#This Row],[min value (corrected)]]-32)</f>
        <v>162</v>
      </c>
      <c r="C148">
        <f>MINUTE(Table1468[[#This Row],[Corrected time]])</f>
        <v>33</v>
      </c>
      <c r="D148" s="1">
        <v>0.64860681712962964</v>
      </c>
      <c r="E148" s="1">
        <f>Table1468[[#This Row],[Time]]-TIME(0,0,11)</f>
        <v>0.64847950231481488</v>
      </c>
      <c r="F148" t="s">
        <v>9</v>
      </c>
      <c r="G148" t="s">
        <v>37</v>
      </c>
      <c r="H148">
        <f t="shared" si="3"/>
        <v>-113</v>
      </c>
      <c r="I148">
        <v>-7.7</v>
      </c>
      <c r="L148">
        <f>160+2*(Table2579[[#This Row],[min value (corrected)]]-23)</f>
        <v>158</v>
      </c>
      <c r="M148">
        <f>MINUTE(Table2579[[#This Row],[Corrected time]])</f>
        <v>22</v>
      </c>
      <c r="N148" s="1">
        <v>0.64107780092592592</v>
      </c>
      <c r="O148" s="1">
        <f>Table2579[[#This Row],[Time]]-TIME(0,0,10)</f>
        <v>0.6409620601851852</v>
      </c>
      <c r="P148" t="s">
        <v>9</v>
      </c>
      <c r="Q148">
        <v>-112</v>
      </c>
      <c r="R148">
        <f>Table2579[[#This Row],[RSSI]]</f>
        <v>-112</v>
      </c>
      <c r="S148">
        <v>-7.2</v>
      </c>
    </row>
    <row r="149" spans="2:19" x14ac:dyDescent="0.25">
      <c r="B149">
        <f>160+2*(Table1468[[#This Row],[min value (corrected)]]-32)</f>
        <v>162</v>
      </c>
      <c r="C149">
        <f>MINUTE(Table1468[[#This Row],[Corrected time]])</f>
        <v>33</v>
      </c>
      <c r="D149" s="1">
        <v>0.64861900462962963</v>
      </c>
      <c r="E149" s="1">
        <f>Table1468[[#This Row],[Time]]-TIME(0,0,11)</f>
        <v>0.64849168981481486</v>
      </c>
      <c r="F149" t="s">
        <v>9</v>
      </c>
      <c r="G149" t="s">
        <v>37</v>
      </c>
      <c r="H149">
        <f t="shared" si="3"/>
        <v>-113</v>
      </c>
      <c r="I149">
        <v>-7.5</v>
      </c>
      <c r="L149">
        <f>160+2*(Table2579[[#This Row],[min value (corrected)]]-23)</f>
        <v>160</v>
      </c>
      <c r="M149">
        <f>MINUTE(Table2579[[#This Row],[Corrected time]])</f>
        <v>23</v>
      </c>
      <c r="N149" s="1">
        <v>0.64108998842592591</v>
      </c>
      <c r="O149" s="1">
        <f>Table2579[[#This Row],[Time]]-TIME(0,0,10)</f>
        <v>0.64097424768518518</v>
      </c>
      <c r="P149" t="s">
        <v>9</v>
      </c>
      <c r="Q149">
        <v>-113</v>
      </c>
      <c r="R149">
        <f>Table2579[[#This Row],[RSSI]]</f>
        <v>-113</v>
      </c>
      <c r="S149">
        <v>-7.2</v>
      </c>
    </row>
    <row r="150" spans="2:19" x14ac:dyDescent="0.25">
      <c r="B150">
        <f>160+2*(Table1468[[#This Row],[min value (corrected)]]-32)</f>
        <v>162</v>
      </c>
      <c r="C150">
        <f>MINUTE(Table1468[[#This Row],[Corrected time]])</f>
        <v>33</v>
      </c>
      <c r="D150" s="1">
        <v>0.64863119212962961</v>
      </c>
      <c r="E150" s="1">
        <f>Table1468[[#This Row],[Time]]-TIME(0,0,11)</f>
        <v>0.64850387731481485</v>
      </c>
      <c r="F150" t="s">
        <v>9</v>
      </c>
      <c r="G150" t="s">
        <v>37</v>
      </c>
      <c r="H150">
        <f t="shared" ref="H150:H213" si="4">VALUE(LEFT(G150,LEN(G150)-1))</f>
        <v>-113</v>
      </c>
      <c r="I150">
        <v>-7</v>
      </c>
      <c r="L150">
        <f>160+2*(Table2579[[#This Row],[min value (corrected)]]-23)</f>
        <v>160</v>
      </c>
      <c r="M150">
        <f>MINUTE(Table2579[[#This Row],[Corrected time]])</f>
        <v>23</v>
      </c>
      <c r="N150" s="1">
        <v>0.641102175925926</v>
      </c>
      <c r="O150" s="2">
        <f>Table2579[[#This Row],[Time]]-TIME(0,0,10)</f>
        <v>0.64098643518518528</v>
      </c>
      <c r="P150" t="s">
        <v>9</v>
      </c>
      <c r="Q150">
        <v>-113</v>
      </c>
      <c r="R150">
        <f>Table2579[[#This Row],[RSSI]]</f>
        <v>-113</v>
      </c>
      <c r="S150">
        <v>-9.3000000000000007</v>
      </c>
    </row>
    <row r="151" spans="2:19" x14ac:dyDescent="0.25">
      <c r="B151">
        <f>160+2*(Table1468[[#This Row],[min value (corrected)]]-32)</f>
        <v>162</v>
      </c>
      <c r="C151">
        <f>MINUTE(Table1468[[#This Row],[Corrected time]])</f>
        <v>33</v>
      </c>
      <c r="D151" s="1">
        <v>0.64864337962962959</v>
      </c>
      <c r="E151" s="1">
        <f>Table1468[[#This Row],[Time]]-TIME(0,0,11)</f>
        <v>0.64851606481481483</v>
      </c>
      <c r="F151" t="s">
        <v>9</v>
      </c>
      <c r="G151" t="s">
        <v>37</v>
      </c>
      <c r="H151">
        <f t="shared" si="4"/>
        <v>-113</v>
      </c>
      <c r="I151">
        <v>-7.7</v>
      </c>
      <c r="L151">
        <f>160+2*(Table2579[[#This Row],[min value (corrected)]]-23)</f>
        <v>160</v>
      </c>
      <c r="M151">
        <f>MINUTE(Table2579[[#This Row],[Corrected time]])</f>
        <v>23</v>
      </c>
      <c r="N151" s="1">
        <v>0.64111436342592598</v>
      </c>
      <c r="O151" s="1">
        <f>Table2579[[#This Row],[Time]]-TIME(0,0,10)</f>
        <v>0.64099862268518526</v>
      </c>
      <c r="P151" t="s">
        <v>9</v>
      </c>
      <c r="Q151">
        <v>-113</v>
      </c>
      <c r="R151">
        <f>Table2579[[#This Row],[RSSI]]</f>
        <v>-113</v>
      </c>
      <c r="S151">
        <v>-7.7</v>
      </c>
    </row>
    <row r="152" spans="2:19" x14ac:dyDescent="0.25">
      <c r="B152">
        <f>160+2*(Table1468[[#This Row],[min value (corrected)]]-32)</f>
        <v>162</v>
      </c>
      <c r="C152">
        <f>MINUTE(Table1468[[#This Row],[Corrected time]])</f>
        <v>33</v>
      </c>
      <c r="D152" s="1">
        <v>0.64865556712962968</v>
      </c>
      <c r="E152" s="1">
        <f>Table1468[[#This Row],[Time]]-TIME(0,0,11)</f>
        <v>0.64852825231481492</v>
      </c>
      <c r="F152" t="s">
        <v>9</v>
      </c>
      <c r="G152" t="s">
        <v>40</v>
      </c>
      <c r="H152">
        <f t="shared" si="4"/>
        <v>-112</v>
      </c>
      <c r="I152">
        <v>-7.2</v>
      </c>
      <c r="L152">
        <f>160+2*(Table2579[[#This Row],[min value (corrected)]]-23)</f>
        <v>160</v>
      </c>
      <c r="M152">
        <f>MINUTE(Table2579[[#This Row],[Corrected time]])</f>
        <v>23</v>
      </c>
      <c r="N152" s="1">
        <v>0.64112655092592596</v>
      </c>
      <c r="O152" s="1">
        <f>Table2579[[#This Row],[Time]]-TIME(0,0,10)</f>
        <v>0.64101081018518524</v>
      </c>
      <c r="P152" t="s">
        <v>9</v>
      </c>
      <c r="Q152">
        <v>-113</v>
      </c>
      <c r="R152">
        <f>Table2579[[#This Row],[RSSI]]</f>
        <v>-113</v>
      </c>
      <c r="S152">
        <v>-9.5</v>
      </c>
    </row>
    <row r="153" spans="2:19" x14ac:dyDescent="0.25">
      <c r="B153">
        <f>160+2*(Table1468[[#This Row],[min value (corrected)]]-32)</f>
        <v>162</v>
      </c>
      <c r="C153">
        <f>MINUTE(Table1468[[#This Row],[Corrected time]])</f>
        <v>33</v>
      </c>
      <c r="D153" s="1">
        <v>0.64866775462962967</v>
      </c>
      <c r="E153" s="1">
        <f>Table1468[[#This Row],[Time]]-TIME(0,0,11)</f>
        <v>0.64854043981481491</v>
      </c>
      <c r="F153" t="s">
        <v>9</v>
      </c>
      <c r="G153" t="s">
        <v>37</v>
      </c>
      <c r="H153">
        <f t="shared" si="4"/>
        <v>-113</v>
      </c>
      <c r="I153">
        <v>-7.7</v>
      </c>
      <c r="L153">
        <f>160+2*(Table2579[[#This Row],[min value (corrected)]]-23)</f>
        <v>160</v>
      </c>
      <c r="M153">
        <f>MINUTE(Table2579[[#This Row],[Corrected time]])</f>
        <v>23</v>
      </c>
      <c r="N153" s="1">
        <v>0.64113873842592595</v>
      </c>
      <c r="O153" s="1">
        <f>Table2579[[#This Row],[Time]]-TIME(0,0,10)</f>
        <v>0.64102299768518523</v>
      </c>
      <c r="P153" t="s">
        <v>9</v>
      </c>
      <c r="Q153">
        <v>-113</v>
      </c>
      <c r="R153">
        <f>Table2579[[#This Row],[RSSI]]</f>
        <v>-113</v>
      </c>
      <c r="S153">
        <v>-7.7</v>
      </c>
    </row>
    <row r="154" spans="2:19" x14ac:dyDescent="0.25">
      <c r="B154">
        <f>160+2*(Table1468[[#This Row],[min value (corrected)]]-32)</f>
        <v>162</v>
      </c>
      <c r="C154">
        <f>MINUTE(Table1468[[#This Row],[Corrected time]])</f>
        <v>33</v>
      </c>
      <c r="D154" s="1">
        <v>0.64867994212962965</v>
      </c>
      <c r="E154" s="1">
        <f>Table1468[[#This Row],[Time]]-TIME(0,0,11)</f>
        <v>0.64855262731481489</v>
      </c>
      <c r="F154" t="s">
        <v>9</v>
      </c>
      <c r="G154" t="s">
        <v>37</v>
      </c>
      <c r="H154">
        <f t="shared" si="4"/>
        <v>-113</v>
      </c>
      <c r="I154">
        <v>-7.5</v>
      </c>
      <c r="L154">
        <f>160+2*(Table2579[[#This Row],[min value (corrected)]]-23)</f>
        <v>160</v>
      </c>
      <c r="M154">
        <f>MINUTE(Table2579[[#This Row],[Corrected time]])</f>
        <v>23</v>
      </c>
      <c r="N154" s="1">
        <v>0.64115092592592593</v>
      </c>
      <c r="O154" s="1">
        <f>Table2579[[#This Row],[Time]]-TIME(0,0,10)</f>
        <v>0.64103518518518521</v>
      </c>
      <c r="P154" t="s">
        <v>9</v>
      </c>
      <c r="Q154">
        <v>-113</v>
      </c>
      <c r="R154">
        <f>Table2579[[#This Row],[RSSI]]</f>
        <v>-113</v>
      </c>
      <c r="S154">
        <v>-7.5</v>
      </c>
    </row>
    <row r="155" spans="2:19" x14ac:dyDescent="0.25">
      <c r="B155">
        <f>160+2*(Table1468[[#This Row],[min value (corrected)]]-32)</f>
        <v>162</v>
      </c>
      <c r="C155">
        <f>MINUTE(Table1468[[#This Row],[Corrected time]])</f>
        <v>33</v>
      </c>
      <c r="D155" s="1">
        <v>0.64869212962962963</v>
      </c>
      <c r="E155" s="1">
        <f>Table1468[[#This Row],[Time]]-TIME(0,0,11)</f>
        <v>0.64856481481481487</v>
      </c>
      <c r="F155" t="s">
        <v>9</v>
      </c>
      <c r="G155" t="s">
        <v>37</v>
      </c>
      <c r="H155">
        <f t="shared" si="4"/>
        <v>-113</v>
      </c>
      <c r="I155">
        <v>-8</v>
      </c>
      <c r="L155">
        <f>160+2*(Table2579[[#This Row],[min value (corrected)]]-23)</f>
        <v>160</v>
      </c>
      <c r="M155">
        <f>MINUTE(Table2579[[#This Row],[Corrected time]])</f>
        <v>23</v>
      </c>
      <c r="N155" s="1">
        <v>0.64116310185185188</v>
      </c>
      <c r="O155" s="1">
        <f>Table2579[[#This Row],[Time]]-TIME(0,0,10)</f>
        <v>0.64104736111111116</v>
      </c>
      <c r="P155" t="s">
        <v>9</v>
      </c>
      <c r="Q155">
        <v>-112</v>
      </c>
      <c r="R155">
        <f>Table2579[[#This Row],[RSSI]]</f>
        <v>-112</v>
      </c>
      <c r="S155">
        <v>-7.2</v>
      </c>
    </row>
    <row r="156" spans="2:19" x14ac:dyDescent="0.25">
      <c r="B156">
        <f>160+2*(Table1468[[#This Row],[min value (corrected)]]-32)</f>
        <v>162</v>
      </c>
      <c r="C156">
        <f>MINUTE(Table1468[[#This Row],[Corrected time]])</f>
        <v>33</v>
      </c>
      <c r="D156" s="1">
        <v>0.64870431712962962</v>
      </c>
      <c r="E156" s="1">
        <f>Table1468[[#This Row],[Time]]-TIME(0,0,11)</f>
        <v>0.64857700231481485</v>
      </c>
      <c r="F156" t="s">
        <v>9</v>
      </c>
      <c r="G156" t="s">
        <v>39</v>
      </c>
      <c r="H156">
        <f t="shared" si="4"/>
        <v>-114</v>
      </c>
      <c r="I156">
        <v>-8</v>
      </c>
      <c r="L156">
        <f>160+2*(Table2579[[#This Row],[min value (corrected)]]-23)</f>
        <v>160</v>
      </c>
      <c r="M156">
        <f>MINUTE(Table2579[[#This Row],[Corrected time]])</f>
        <v>23</v>
      </c>
      <c r="N156" s="1">
        <v>0.6411753009259259</v>
      </c>
      <c r="O156" s="1">
        <f>Table2579[[#This Row],[Time]]-TIME(0,0,10)</f>
        <v>0.64105956018518517</v>
      </c>
      <c r="P156" t="s">
        <v>9</v>
      </c>
      <c r="Q156">
        <v>-113</v>
      </c>
      <c r="R156">
        <f>Table2579[[#This Row],[RSSI]]</f>
        <v>-113</v>
      </c>
      <c r="S156">
        <v>-8</v>
      </c>
    </row>
    <row r="157" spans="2:19" x14ac:dyDescent="0.25">
      <c r="B157">
        <f>160+2*(Table1468[[#This Row],[min value (corrected)]]-32)</f>
        <v>162</v>
      </c>
      <c r="C157">
        <f>MINUTE(Table1468[[#This Row],[Corrected time]])</f>
        <v>33</v>
      </c>
      <c r="D157" s="1">
        <v>0.64871649305555557</v>
      </c>
      <c r="E157" s="1">
        <f>Table1468[[#This Row],[Time]]-TIME(0,0,11)</f>
        <v>0.6485891782407408</v>
      </c>
      <c r="F157" t="s">
        <v>13</v>
      </c>
      <c r="G157" t="str">
        <f>G156</f>
        <v>-114.0,</v>
      </c>
      <c r="H157">
        <f t="shared" si="4"/>
        <v>-114</v>
      </c>
      <c r="I157">
        <f>I156</f>
        <v>-8</v>
      </c>
      <c r="L157">
        <f>160+2*(Table2579[[#This Row],[min value (corrected)]]-23)</f>
        <v>160</v>
      </c>
      <c r="M157">
        <f>MINUTE(Table2579[[#This Row],[Corrected time]])</f>
        <v>23</v>
      </c>
      <c r="N157" s="1">
        <v>0.64118748842592599</v>
      </c>
      <c r="O157" s="1">
        <f>Table2579[[#This Row],[Time]]-TIME(0,0,10)</f>
        <v>0.64107174768518527</v>
      </c>
      <c r="P157" t="s">
        <v>9</v>
      </c>
      <c r="Q157">
        <v>-113</v>
      </c>
      <c r="R157">
        <f>Table2579[[#This Row],[RSSI]]</f>
        <v>-113</v>
      </c>
      <c r="S157">
        <v>-7.2</v>
      </c>
    </row>
    <row r="158" spans="2:19" x14ac:dyDescent="0.25">
      <c r="B158">
        <f>160+2*(Table1468[[#This Row],[min value (corrected)]]-32)</f>
        <v>162</v>
      </c>
      <c r="C158">
        <f>MINUTE(Table1468[[#This Row],[Corrected time]])</f>
        <v>33</v>
      </c>
      <c r="D158" s="1">
        <v>0.64872869212962958</v>
      </c>
      <c r="E158" s="1">
        <f>Table1468[[#This Row],[Time]]-TIME(0,0,11)</f>
        <v>0.64860137731481482</v>
      </c>
      <c r="F158" t="s">
        <v>9</v>
      </c>
      <c r="G158" t="s">
        <v>37</v>
      </c>
      <c r="H158">
        <f t="shared" si="4"/>
        <v>-113</v>
      </c>
      <c r="I158">
        <v>-8</v>
      </c>
      <c r="L158">
        <f>160+2*(Table2579[[#This Row],[min value (corrected)]]-23)</f>
        <v>160</v>
      </c>
      <c r="M158">
        <f>MINUTE(Table2579[[#This Row],[Corrected time]])</f>
        <v>23</v>
      </c>
      <c r="N158" s="1">
        <v>0.64119966435185183</v>
      </c>
      <c r="O158" s="1">
        <f>Table2579[[#This Row],[Time]]-TIME(0,0,10)</f>
        <v>0.64108392361111111</v>
      </c>
      <c r="P158" t="s">
        <v>9</v>
      </c>
      <c r="Q158">
        <v>-113</v>
      </c>
      <c r="R158">
        <f>Table2579[[#This Row],[RSSI]]</f>
        <v>-113</v>
      </c>
      <c r="S158">
        <v>-7.7</v>
      </c>
    </row>
    <row r="159" spans="2:19" x14ac:dyDescent="0.25">
      <c r="B159">
        <f>160+2*(Table1468[[#This Row],[min value (corrected)]]-32)</f>
        <v>164</v>
      </c>
      <c r="C159">
        <f>MINUTE(Table1468[[#This Row],[Corrected time]])</f>
        <v>34</v>
      </c>
      <c r="D159" s="1">
        <v>0.64874087962962967</v>
      </c>
      <c r="E159" s="1">
        <f>Table1468[[#This Row],[Time]]-TIME(0,0,11)</f>
        <v>0.64861356481481491</v>
      </c>
      <c r="F159" t="s">
        <v>9</v>
      </c>
      <c r="G159" t="s">
        <v>37</v>
      </c>
      <c r="H159">
        <f t="shared" si="4"/>
        <v>-113</v>
      </c>
      <c r="I159">
        <v>-8</v>
      </c>
      <c r="L159">
        <f>160+2*(Table2579[[#This Row],[min value (corrected)]]-23)</f>
        <v>160</v>
      </c>
      <c r="M159">
        <f>MINUTE(Table2579[[#This Row],[Corrected time]])</f>
        <v>23</v>
      </c>
      <c r="N159" s="1">
        <v>0.64121186342592595</v>
      </c>
      <c r="O159" s="1">
        <f>Table2579[[#This Row],[Time]]-TIME(0,0,10)</f>
        <v>0.64109612268518523</v>
      </c>
      <c r="P159" t="s">
        <v>9</v>
      </c>
      <c r="Q159">
        <v>-112</v>
      </c>
      <c r="R159">
        <f>Table2579[[#This Row],[RSSI]]</f>
        <v>-112</v>
      </c>
      <c r="S159">
        <v>-7.2</v>
      </c>
    </row>
    <row r="160" spans="2:19" x14ac:dyDescent="0.25">
      <c r="B160">
        <f>160+2*(Table1468[[#This Row],[min value (corrected)]]-32)</f>
        <v>164</v>
      </c>
      <c r="C160">
        <f>MINUTE(Table1468[[#This Row],[Corrected time]])</f>
        <v>34</v>
      </c>
      <c r="D160" s="1">
        <v>0.64875306712962966</v>
      </c>
      <c r="E160" s="1">
        <f>Table1468[[#This Row],[Time]]-TIME(0,0,11)</f>
        <v>0.6486257523148149</v>
      </c>
      <c r="F160" t="s">
        <v>9</v>
      </c>
      <c r="G160" t="s">
        <v>37</v>
      </c>
      <c r="H160">
        <f t="shared" si="4"/>
        <v>-113</v>
      </c>
      <c r="I160">
        <v>-7.7</v>
      </c>
      <c r="L160">
        <f>160+2*(Table2579[[#This Row],[min value (corrected)]]-23)</f>
        <v>160</v>
      </c>
      <c r="M160">
        <f>MINUTE(Table2579[[#This Row],[Corrected time]])</f>
        <v>23</v>
      </c>
      <c r="N160" s="1">
        <v>0.64122405092592594</v>
      </c>
      <c r="O160" s="1">
        <f>Table2579[[#This Row],[Time]]-TIME(0,0,10)</f>
        <v>0.64110831018518522</v>
      </c>
      <c r="P160" t="s">
        <v>9</v>
      </c>
      <c r="Q160">
        <v>-113</v>
      </c>
      <c r="R160">
        <f>Table2579[[#This Row],[RSSI]]</f>
        <v>-113</v>
      </c>
      <c r="S160">
        <v>-8</v>
      </c>
    </row>
    <row r="161" spans="2:19" x14ac:dyDescent="0.25">
      <c r="B161">
        <f>160+2*(Table1468[[#This Row],[min value (corrected)]]-32)</f>
        <v>164</v>
      </c>
      <c r="C161">
        <f>MINUTE(Table1468[[#This Row],[Corrected time]])</f>
        <v>34</v>
      </c>
      <c r="D161" s="1">
        <v>0.64876525462962964</v>
      </c>
      <c r="E161" s="1">
        <f>Table1468[[#This Row],[Time]]-TIME(0,0,11)</f>
        <v>0.64863793981481488</v>
      </c>
      <c r="F161" t="s">
        <v>9</v>
      </c>
      <c r="G161" t="s">
        <v>39</v>
      </c>
      <c r="H161">
        <f t="shared" si="4"/>
        <v>-114</v>
      </c>
      <c r="I161">
        <v>-9.3000000000000007</v>
      </c>
      <c r="L161">
        <f>160+2*(Table2579[[#This Row],[min value (corrected)]]-23)</f>
        <v>160</v>
      </c>
      <c r="M161">
        <f>MINUTE(Table2579[[#This Row],[Corrected time]])</f>
        <v>23</v>
      </c>
      <c r="N161" s="1">
        <v>0.64123622685185178</v>
      </c>
      <c r="O161" s="1">
        <f>Table2579[[#This Row],[Time]]-TIME(0,0,10)</f>
        <v>0.64112048611111105</v>
      </c>
      <c r="P161" t="s">
        <v>9</v>
      </c>
      <c r="Q161">
        <v>-113</v>
      </c>
      <c r="R161">
        <f>Table2579[[#This Row],[RSSI]]</f>
        <v>-113</v>
      </c>
      <c r="S161">
        <v>-8.5</v>
      </c>
    </row>
    <row r="162" spans="2:19" x14ac:dyDescent="0.25">
      <c r="B162">
        <f>160+2*(Table1468[[#This Row],[min value (corrected)]]-32)</f>
        <v>164</v>
      </c>
      <c r="C162">
        <f>MINUTE(Table1468[[#This Row],[Corrected time]])</f>
        <v>34</v>
      </c>
      <c r="D162" s="1">
        <v>0.64877744212962962</v>
      </c>
      <c r="E162" s="1">
        <f>Table1468[[#This Row],[Time]]-TIME(0,0,11)</f>
        <v>0.64865012731481486</v>
      </c>
      <c r="F162" t="s">
        <v>13</v>
      </c>
      <c r="G162" t="str">
        <f>G161</f>
        <v>-114.0,</v>
      </c>
      <c r="H162">
        <f t="shared" si="4"/>
        <v>-114</v>
      </c>
      <c r="I162">
        <f>I161</f>
        <v>-9.3000000000000007</v>
      </c>
      <c r="L162">
        <f>160+2*(Table2579[[#This Row],[min value (corrected)]]-23)</f>
        <v>160</v>
      </c>
      <c r="M162">
        <f>MINUTE(Table2579[[#This Row],[Corrected time]])</f>
        <v>23</v>
      </c>
      <c r="N162" s="1">
        <v>0.64124841435185187</v>
      </c>
      <c r="O162" s="1">
        <f>Table2579[[#This Row],[Time]]-TIME(0,0,10)</f>
        <v>0.64113267361111115</v>
      </c>
      <c r="P162" t="s">
        <v>9</v>
      </c>
      <c r="Q162">
        <v>-113</v>
      </c>
      <c r="R162">
        <f>Table2579[[#This Row],[RSSI]]</f>
        <v>-113</v>
      </c>
      <c r="S162">
        <v>-8.8000000000000007</v>
      </c>
    </row>
    <row r="163" spans="2:19" x14ac:dyDescent="0.25">
      <c r="B163">
        <f>160+2*(Table1468[[#This Row],[min value (corrected)]]-32)</f>
        <v>164</v>
      </c>
      <c r="C163">
        <f>MINUTE(Table1468[[#This Row],[Corrected time]])</f>
        <v>34</v>
      </c>
      <c r="D163" s="1">
        <v>0.64878962962962961</v>
      </c>
      <c r="E163" s="1">
        <f>Table1468[[#This Row],[Time]]-TIME(0,0,11)</f>
        <v>0.64866231481481484</v>
      </c>
      <c r="F163" t="s">
        <v>9</v>
      </c>
      <c r="G163" t="s">
        <v>39</v>
      </c>
      <c r="H163">
        <f t="shared" si="4"/>
        <v>-114</v>
      </c>
      <c r="I163">
        <v>-9</v>
      </c>
      <c r="L163">
        <f>160+2*(Table2579[[#This Row],[min value (corrected)]]-23)</f>
        <v>160</v>
      </c>
      <c r="M163">
        <f>MINUTE(Table2579[[#This Row],[Corrected time]])</f>
        <v>23</v>
      </c>
      <c r="N163" s="1">
        <v>0.641260613425926</v>
      </c>
      <c r="O163" s="1">
        <f>Table2579[[#This Row],[Time]]-TIME(0,0,10)</f>
        <v>0.64114487268518527</v>
      </c>
      <c r="P163" t="s">
        <v>9</v>
      </c>
      <c r="Q163">
        <v>-112</v>
      </c>
      <c r="R163">
        <f>Table2579[[#This Row],[RSSI]]</f>
        <v>-112</v>
      </c>
      <c r="S163">
        <v>-7.7</v>
      </c>
    </row>
    <row r="164" spans="2:19" x14ac:dyDescent="0.25">
      <c r="B164">
        <f>160+2*(Table1468[[#This Row],[min value (corrected)]]-32)</f>
        <v>164</v>
      </c>
      <c r="C164">
        <f>MINUTE(Table1468[[#This Row],[Corrected time]])</f>
        <v>34</v>
      </c>
      <c r="D164" s="1">
        <v>0.64880181712962959</v>
      </c>
      <c r="E164" s="1">
        <f>Table1468[[#This Row],[Time]]-TIME(0,0,11)</f>
        <v>0.64867450231481483</v>
      </c>
      <c r="F164" t="s">
        <v>9</v>
      </c>
      <c r="G164" t="s">
        <v>43</v>
      </c>
      <c r="H164">
        <f t="shared" si="4"/>
        <v>-115</v>
      </c>
      <c r="I164">
        <v>-9</v>
      </c>
      <c r="L164">
        <f>160+2*(Table2579[[#This Row],[min value (corrected)]]-23)</f>
        <v>160</v>
      </c>
      <c r="M164">
        <f>MINUTE(Table2579[[#This Row],[Corrected time]])</f>
        <v>23</v>
      </c>
      <c r="N164" s="1">
        <v>0.64127280092592598</v>
      </c>
      <c r="O164" s="1">
        <f>Table2579[[#This Row],[Time]]-TIME(0,0,10)</f>
        <v>0.64115706018518526</v>
      </c>
      <c r="P164" t="s">
        <v>9</v>
      </c>
      <c r="Q164">
        <v>-113</v>
      </c>
      <c r="R164">
        <f>Table2579[[#This Row],[RSSI]]</f>
        <v>-113</v>
      </c>
      <c r="S164">
        <v>-8</v>
      </c>
    </row>
    <row r="165" spans="2:19" x14ac:dyDescent="0.25">
      <c r="B165">
        <f>160+2*(Table1468[[#This Row],[min value (corrected)]]-32)</f>
        <v>164</v>
      </c>
      <c r="C165">
        <f>MINUTE(Table1468[[#This Row],[Corrected time]])</f>
        <v>34</v>
      </c>
      <c r="D165" s="1">
        <v>0.64881398148148151</v>
      </c>
      <c r="E165" s="1">
        <f>Table1468[[#This Row],[Time]]-TIME(0,0,11)</f>
        <v>0.64868666666666674</v>
      </c>
      <c r="F165" t="s">
        <v>27</v>
      </c>
      <c r="G165" t="str">
        <f t="shared" ref="G165:G166" si="5">G164</f>
        <v>-115.0,</v>
      </c>
      <c r="H165">
        <f t="shared" si="4"/>
        <v>-115</v>
      </c>
      <c r="I165">
        <f t="shared" ref="I165:I166" si="6">I164</f>
        <v>-9</v>
      </c>
      <c r="L165">
        <f>160+2*(Table2579[[#This Row],[min value (corrected)]]-23)</f>
        <v>160</v>
      </c>
      <c r="M165">
        <f>MINUTE(Table2579[[#This Row],[Corrected time]])</f>
        <v>23</v>
      </c>
      <c r="N165" s="1">
        <v>0.64128498842592596</v>
      </c>
      <c r="O165" s="1">
        <f>Table2579[[#This Row],[Time]]-TIME(0,0,10)</f>
        <v>0.64116924768518524</v>
      </c>
      <c r="P165" t="s">
        <v>9</v>
      </c>
      <c r="Q165">
        <v>-113</v>
      </c>
      <c r="R165">
        <f>Table2579[[#This Row],[RSSI]]</f>
        <v>-113</v>
      </c>
      <c r="S165">
        <v>-8</v>
      </c>
    </row>
    <row r="166" spans="2:19" x14ac:dyDescent="0.25">
      <c r="B166">
        <f>160+2*(Table1468[[#This Row],[min value (corrected)]]-32)</f>
        <v>164</v>
      </c>
      <c r="C166">
        <f>MINUTE(Table1468[[#This Row],[Corrected time]])</f>
        <v>34</v>
      </c>
      <c r="D166" s="1">
        <v>0.64881398148148151</v>
      </c>
      <c r="E166" s="1">
        <f>Table1468[[#This Row],[Time]]-TIME(0,0,11)</f>
        <v>0.64868666666666674</v>
      </c>
      <c r="F166" t="s">
        <v>13</v>
      </c>
      <c r="G166" t="str">
        <f t="shared" si="5"/>
        <v>-115.0,</v>
      </c>
      <c r="H166">
        <f t="shared" si="4"/>
        <v>-115</v>
      </c>
      <c r="I166">
        <f t="shared" si="6"/>
        <v>-9</v>
      </c>
      <c r="L166">
        <f>160+2*(Table2579[[#This Row],[min value (corrected)]]-23)</f>
        <v>160</v>
      </c>
      <c r="M166">
        <f>MINUTE(Table2579[[#This Row],[Corrected time]])</f>
        <v>23</v>
      </c>
      <c r="N166" s="1">
        <v>0.64129717592592594</v>
      </c>
      <c r="O166" s="1">
        <f>Table2579[[#This Row],[Time]]-TIME(0,0,10)</f>
        <v>0.64118143518518522</v>
      </c>
      <c r="P166" t="s">
        <v>9</v>
      </c>
      <c r="Q166">
        <v>-113</v>
      </c>
      <c r="R166">
        <f>Table2579[[#This Row],[RSSI]]</f>
        <v>-113</v>
      </c>
      <c r="S166">
        <v>-8.3000000000000007</v>
      </c>
    </row>
    <row r="167" spans="2:19" x14ac:dyDescent="0.25">
      <c r="B167">
        <f>160+2*(Table1468[[#This Row],[min value (corrected)]]-32)</f>
        <v>164</v>
      </c>
      <c r="C167">
        <f>MINUTE(Table1468[[#This Row],[Corrected time]])</f>
        <v>34</v>
      </c>
      <c r="D167" s="1">
        <v>0.64883837962962965</v>
      </c>
      <c r="E167" s="1">
        <f>Table1468[[#This Row],[Time]]-TIME(0,0,11)</f>
        <v>0.64871106481481489</v>
      </c>
      <c r="F167" t="s">
        <v>9</v>
      </c>
      <c r="G167" t="s">
        <v>39</v>
      </c>
      <c r="H167">
        <f t="shared" si="4"/>
        <v>-114</v>
      </c>
      <c r="I167">
        <v>-9</v>
      </c>
      <c r="L167">
        <f>160+2*(Table2579[[#This Row],[min value (corrected)]]-23)</f>
        <v>160</v>
      </c>
      <c r="M167">
        <f>MINUTE(Table2579[[#This Row],[Corrected time]])</f>
        <v>23</v>
      </c>
      <c r="N167" s="1">
        <v>0.64130936342592593</v>
      </c>
      <c r="O167" s="1">
        <f>Table2579[[#This Row],[Time]]-TIME(0,0,10)</f>
        <v>0.6411936226851852</v>
      </c>
      <c r="P167" t="s">
        <v>9</v>
      </c>
      <c r="Q167">
        <v>-113</v>
      </c>
      <c r="R167">
        <f>Table2579[[#This Row],[RSSI]]</f>
        <v>-113</v>
      </c>
      <c r="S167">
        <v>-8</v>
      </c>
    </row>
    <row r="168" spans="2:19" x14ac:dyDescent="0.25">
      <c r="B168">
        <f>160+2*(Table1468[[#This Row],[min value (corrected)]]-32)</f>
        <v>164</v>
      </c>
      <c r="C168">
        <f>MINUTE(Table1468[[#This Row],[Corrected time]])</f>
        <v>34</v>
      </c>
      <c r="D168" s="1">
        <v>0.6488505555555556</v>
      </c>
      <c r="E168" s="1">
        <f>Table1468[[#This Row],[Time]]-TIME(0,0,11)</f>
        <v>0.64872324074074084</v>
      </c>
      <c r="F168" t="s">
        <v>9</v>
      </c>
      <c r="G168" t="s">
        <v>39</v>
      </c>
      <c r="H168">
        <f t="shared" si="4"/>
        <v>-114</v>
      </c>
      <c r="I168">
        <v>-8.3000000000000007</v>
      </c>
      <c r="L168">
        <f>160+2*(Table2579[[#This Row],[min value (corrected)]]-23)</f>
        <v>160</v>
      </c>
      <c r="M168">
        <f>MINUTE(Table2579[[#This Row],[Corrected time]])</f>
        <v>23</v>
      </c>
      <c r="N168" s="1">
        <v>0.64132155092592591</v>
      </c>
      <c r="O168" s="1">
        <f>Table2579[[#This Row],[Time]]-TIME(0,0,10)</f>
        <v>0.64120581018518519</v>
      </c>
      <c r="P168" t="s">
        <v>9</v>
      </c>
      <c r="Q168">
        <v>-113</v>
      </c>
      <c r="R168">
        <f>Table2579[[#This Row],[RSSI]]</f>
        <v>-113</v>
      </c>
      <c r="S168">
        <v>-8.5</v>
      </c>
    </row>
    <row r="169" spans="2:19" x14ac:dyDescent="0.25">
      <c r="B169">
        <f>160+2*(Table1468[[#This Row],[min value (corrected)]]-32)</f>
        <v>164</v>
      </c>
      <c r="C169">
        <f>MINUTE(Table1468[[#This Row],[Corrected time]])</f>
        <v>34</v>
      </c>
      <c r="D169" s="1">
        <v>0.64886275462962961</v>
      </c>
      <c r="E169" s="1">
        <f>Table1468[[#This Row],[Time]]-TIME(0,0,11)</f>
        <v>0.64873543981481485</v>
      </c>
      <c r="F169" t="s">
        <v>13</v>
      </c>
      <c r="G169" t="str">
        <f>G168</f>
        <v>-114.0,</v>
      </c>
      <c r="H169">
        <f t="shared" si="4"/>
        <v>-114</v>
      </c>
      <c r="I169">
        <f>I168</f>
        <v>-8.3000000000000007</v>
      </c>
      <c r="L169">
        <f>160+2*(Table2579[[#This Row],[min value (corrected)]]-23)</f>
        <v>160</v>
      </c>
      <c r="M169">
        <f>MINUTE(Table2579[[#This Row],[Corrected time]])</f>
        <v>23</v>
      </c>
      <c r="N169" s="1">
        <v>0.64133373842592589</v>
      </c>
      <c r="O169" s="1">
        <f>Table2579[[#This Row],[Time]]-TIME(0,0,10)</f>
        <v>0.64121799768518517</v>
      </c>
      <c r="P169" t="s">
        <v>9</v>
      </c>
      <c r="Q169">
        <v>-113</v>
      </c>
      <c r="R169">
        <f>Table2579[[#This Row],[RSSI]]</f>
        <v>-113</v>
      </c>
      <c r="S169">
        <v>-8</v>
      </c>
    </row>
    <row r="170" spans="2:19" x14ac:dyDescent="0.25">
      <c r="B170">
        <f>160+2*(Table1468[[#This Row],[min value (corrected)]]-32)</f>
        <v>164</v>
      </c>
      <c r="C170">
        <f>MINUTE(Table1468[[#This Row],[Corrected time]])</f>
        <v>34</v>
      </c>
      <c r="D170" s="1">
        <v>0.64887494212962959</v>
      </c>
      <c r="E170" s="1">
        <f>Table1468[[#This Row],[Time]]-TIME(0,0,11)</f>
        <v>0.64874762731481483</v>
      </c>
      <c r="F170" t="s">
        <v>9</v>
      </c>
      <c r="G170" t="s">
        <v>39</v>
      </c>
      <c r="H170">
        <f t="shared" si="4"/>
        <v>-114</v>
      </c>
      <c r="I170">
        <v>-8.8000000000000007</v>
      </c>
      <c r="L170">
        <f>160+2*(Table2579[[#This Row],[min value (corrected)]]-23)</f>
        <v>160</v>
      </c>
      <c r="M170">
        <f>MINUTE(Table2579[[#This Row],[Corrected time]])</f>
        <v>23</v>
      </c>
      <c r="N170" s="1">
        <v>0.64134592592592599</v>
      </c>
      <c r="O170" s="1">
        <f>Table2579[[#This Row],[Time]]-TIME(0,0,10)</f>
        <v>0.64123018518518526</v>
      </c>
      <c r="P170" t="s">
        <v>9</v>
      </c>
      <c r="Q170">
        <v>-113</v>
      </c>
      <c r="R170">
        <f>Table2579[[#This Row],[RSSI]]</f>
        <v>-113</v>
      </c>
      <c r="S170">
        <v>-8.5</v>
      </c>
    </row>
    <row r="171" spans="2:19" x14ac:dyDescent="0.25">
      <c r="B171">
        <f>160+2*(Table1468[[#This Row],[min value (corrected)]]-32)</f>
        <v>164</v>
      </c>
      <c r="C171">
        <f>MINUTE(Table1468[[#This Row],[Corrected time]])</f>
        <v>34</v>
      </c>
      <c r="D171" s="1">
        <v>0.64888712962962958</v>
      </c>
      <c r="E171" s="1">
        <f>Table1468[[#This Row],[Time]]-TIME(0,0,11)</f>
        <v>0.64875981481481482</v>
      </c>
      <c r="F171" t="s">
        <v>9</v>
      </c>
      <c r="G171" t="s">
        <v>37</v>
      </c>
      <c r="H171">
        <f t="shared" si="4"/>
        <v>-113</v>
      </c>
      <c r="I171">
        <v>-8</v>
      </c>
      <c r="L171">
        <f>160+2*(Table2579[[#This Row],[min value (corrected)]]-23)</f>
        <v>160</v>
      </c>
      <c r="M171">
        <f>MINUTE(Table2579[[#This Row],[Corrected time]])</f>
        <v>23</v>
      </c>
      <c r="N171" s="1">
        <v>0.64135810185185183</v>
      </c>
      <c r="O171" s="1">
        <f>Table2579[[#This Row],[Time]]-TIME(0,0,10)</f>
        <v>0.6412423611111111</v>
      </c>
      <c r="P171" t="s">
        <v>9</v>
      </c>
      <c r="Q171">
        <v>-113</v>
      </c>
      <c r="R171">
        <f>Table2579[[#This Row],[RSSI]]</f>
        <v>-113</v>
      </c>
      <c r="S171">
        <v>-7.7</v>
      </c>
    </row>
    <row r="172" spans="2:19" x14ac:dyDescent="0.25">
      <c r="B172">
        <f>160+2*(Table1468[[#This Row],[min value (corrected)]]-32)</f>
        <v>164</v>
      </c>
      <c r="C172">
        <f>MINUTE(Table1468[[#This Row],[Corrected time]])</f>
        <v>34</v>
      </c>
      <c r="D172" s="1">
        <v>0.64889931712962956</v>
      </c>
      <c r="E172" s="1">
        <f>Table1468[[#This Row],[Time]]-TIME(0,0,11)</f>
        <v>0.6487720023148148</v>
      </c>
      <c r="F172" t="s">
        <v>13</v>
      </c>
      <c r="G172" t="str">
        <f>G171</f>
        <v>-113.0,</v>
      </c>
      <c r="H172">
        <f t="shared" si="4"/>
        <v>-113</v>
      </c>
      <c r="I172">
        <f>I171</f>
        <v>-8</v>
      </c>
      <c r="L172">
        <f>160+2*(Table2579[[#This Row],[min value (corrected)]]-23)</f>
        <v>160</v>
      </c>
      <c r="M172">
        <f>MINUTE(Table2579[[#This Row],[Corrected time]])</f>
        <v>23</v>
      </c>
      <c r="N172" s="1">
        <v>0.64137030092592595</v>
      </c>
      <c r="O172" s="1">
        <f>Table2579[[#This Row],[Time]]-TIME(0,0,10)</f>
        <v>0.64125456018518523</v>
      </c>
      <c r="P172" t="s">
        <v>9</v>
      </c>
      <c r="Q172">
        <v>-113</v>
      </c>
      <c r="R172">
        <f>Table2579[[#This Row],[RSSI]]</f>
        <v>-113</v>
      </c>
      <c r="S172">
        <v>-8</v>
      </c>
    </row>
    <row r="173" spans="2:19" x14ac:dyDescent="0.25">
      <c r="B173">
        <f>160+2*(Table1468[[#This Row],[min value (corrected)]]-32)</f>
        <v>164</v>
      </c>
      <c r="C173">
        <f>MINUTE(Table1468[[#This Row],[Corrected time]])</f>
        <v>34</v>
      </c>
      <c r="D173" s="1">
        <v>0.64891150462962965</v>
      </c>
      <c r="E173" s="1">
        <f>Table1468[[#This Row],[Time]]-TIME(0,0,11)</f>
        <v>0.64878418981481489</v>
      </c>
      <c r="F173" t="s">
        <v>9</v>
      </c>
      <c r="G173" t="s">
        <v>39</v>
      </c>
      <c r="H173">
        <f t="shared" si="4"/>
        <v>-114</v>
      </c>
      <c r="I173">
        <v>-9.8000000000000007</v>
      </c>
      <c r="L173">
        <f>160+2*(Table2579[[#This Row],[min value (corrected)]]-23)</f>
        <v>160</v>
      </c>
      <c r="M173">
        <f>MINUTE(Table2579[[#This Row],[Corrected time]])</f>
        <v>23</v>
      </c>
      <c r="N173" s="1">
        <v>0.6413824768518519</v>
      </c>
      <c r="O173" s="1">
        <f>Table2579[[#This Row],[Time]]-TIME(0,0,10)</f>
        <v>0.64126673611111118</v>
      </c>
      <c r="P173" t="s">
        <v>9</v>
      </c>
      <c r="Q173">
        <v>-113</v>
      </c>
      <c r="R173">
        <f>Table2579[[#This Row],[RSSI]]</f>
        <v>-113</v>
      </c>
      <c r="S173">
        <v>-7.7</v>
      </c>
    </row>
    <row r="174" spans="2:19" x14ac:dyDescent="0.25">
      <c r="B174">
        <f>160+2*(Table1468[[#This Row],[min value (corrected)]]-32)</f>
        <v>164</v>
      </c>
      <c r="C174">
        <f>MINUTE(Table1468[[#This Row],[Corrected time]])</f>
        <v>34</v>
      </c>
      <c r="D174" s="1">
        <v>0.64892369212962964</v>
      </c>
      <c r="E174" s="1">
        <f>Table1468[[#This Row],[Time]]-TIME(0,0,11)</f>
        <v>0.64879637731481488</v>
      </c>
      <c r="F174" t="s">
        <v>9</v>
      </c>
      <c r="G174" t="s">
        <v>39</v>
      </c>
      <c r="H174">
        <f t="shared" si="4"/>
        <v>-114</v>
      </c>
      <c r="I174">
        <v>-9.3000000000000007</v>
      </c>
      <c r="L174">
        <f>160+2*(Table2579[[#This Row],[min value (corrected)]]-23)</f>
        <v>160</v>
      </c>
      <c r="M174">
        <f>MINUTE(Table2579[[#This Row],[Corrected time]])</f>
        <v>23</v>
      </c>
      <c r="N174" s="1">
        <v>0.64139466435185188</v>
      </c>
      <c r="O174" s="1">
        <f>Table2579[[#This Row],[Time]]-TIME(0,0,10)</f>
        <v>0.64127892361111116</v>
      </c>
      <c r="P174" t="s">
        <v>9</v>
      </c>
      <c r="Q174">
        <v>-113</v>
      </c>
      <c r="R174">
        <f>Table2579[[#This Row],[RSSI]]</f>
        <v>-113</v>
      </c>
      <c r="S174">
        <v>-6.7</v>
      </c>
    </row>
    <row r="175" spans="2:19" x14ac:dyDescent="0.25">
      <c r="B175">
        <f>160+2*(Table1468[[#This Row],[min value (corrected)]]-32)</f>
        <v>164</v>
      </c>
      <c r="C175">
        <f>MINUTE(Table1468[[#This Row],[Corrected time]])</f>
        <v>34</v>
      </c>
      <c r="D175" s="1">
        <v>0.64893586805555559</v>
      </c>
      <c r="E175" s="1">
        <f>Table1468[[#This Row],[Time]]-TIME(0,0,11)</f>
        <v>0.64880855324074083</v>
      </c>
      <c r="F175" t="s">
        <v>9</v>
      </c>
      <c r="G175" t="s">
        <v>39</v>
      </c>
      <c r="H175">
        <f t="shared" si="4"/>
        <v>-114</v>
      </c>
      <c r="I175">
        <v>-8.8000000000000007</v>
      </c>
      <c r="L175">
        <f>160+2*(Table2579[[#This Row],[min value (corrected)]]-23)</f>
        <v>160</v>
      </c>
      <c r="M175">
        <f>MINUTE(Table2579[[#This Row],[Corrected time]])</f>
        <v>23</v>
      </c>
      <c r="N175" s="1">
        <v>0.64140685185185187</v>
      </c>
      <c r="O175" s="1">
        <f>Table2579[[#This Row],[Time]]-TIME(0,0,10)</f>
        <v>0.64129111111111115</v>
      </c>
      <c r="P175" t="s">
        <v>9</v>
      </c>
      <c r="Q175">
        <v>-112</v>
      </c>
      <c r="R175">
        <f>Table2579[[#This Row],[RSSI]]</f>
        <v>-112</v>
      </c>
      <c r="S175">
        <v>-7</v>
      </c>
    </row>
    <row r="176" spans="2:19" x14ac:dyDescent="0.25">
      <c r="B176">
        <f>160+2*(Table1468[[#This Row],[min value (corrected)]]-32)</f>
        <v>164</v>
      </c>
      <c r="C176">
        <f>MINUTE(Table1468[[#This Row],[Corrected time]])</f>
        <v>34</v>
      </c>
      <c r="D176" s="1">
        <v>0.6489480671296296</v>
      </c>
      <c r="E176" s="1">
        <f>Table1468[[#This Row],[Time]]-TIME(0,0,11)</f>
        <v>0.64882075231481484</v>
      </c>
      <c r="F176" t="s">
        <v>13</v>
      </c>
      <c r="G176" t="str">
        <f>G175</f>
        <v>-114.0,</v>
      </c>
      <c r="H176">
        <f t="shared" si="4"/>
        <v>-114</v>
      </c>
      <c r="I176">
        <f>I175</f>
        <v>-8.8000000000000007</v>
      </c>
      <c r="L176">
        <f>160+2*(Table2579[[#This Row],[min value (corrected)]]-23)</f>
        <v>160</v>
      </c>
      <c r="M176">
        <f>MINUTE(Table2579[[#This Row],[Corrected time]])</f>
        <v>23</v>
      </c>
      <c r="N176" s="1">
        <v>0.64141905092592588</v>
      </c>
      <c r="O176" s="1">
        <f>Table2579[[#This Row],[Time]]-TIME(0,0,10)</f>
        <v>0.64130331018518516</v>
      </c>
      <c r="P176" t="s">
        <v>9</v>
      </c>
      <c r="Q176">
        <v>-113</v>
      </c>
      <c r="R176">
        <f>Table2579[[#This Row],[RSSI]]</f>
        <v>-113</v>
      </c>
      <c r="S176">
        <v>-7.2</v>
      </c>
    </row>
    <row r="177" spans="2:19" x14ac:dyDescent="0.25">
      <c r="B177">
        <f>160+2*(Table1468[[#This Row],[min value (corrected)]]-32)</f>
        <v>164</v>
      </c>
      <c r="C177">
        <f>MINUTE(Table1468[[#This Row],[Corrected time]])</f>
        <v>34</v>
      </c>
      <c r="D177" s="1">
        <v>0.64896025462962958</v>
      </c>
      <c r="E177" s="1">
        <f>Table1468[[#This Row],[Time]]-TIME(0,0,11)</f>
        <v>0.64883293981481482</v>
      </c>
      <c r="F177" t="s">
        <v>9</v>
      </c>
      <c r="G177" t="s">
        <v>39</v>
      </c>
      <c r="H177">
        <f t="shared" si="4"/>
        <v>-114</v>
      </c>
      <c r="I177">
        <v>-9.3000000000000007</v>
      </c>
      <c r="L177">
        <f>160+2*(Table2579[[#This Row],[min value (corrected)]]-23)</f>
        <v>160</v>
      </c>
      <c r="M177">
        <f>MINUTE(Table2579[[#This Row],[Corrected time]])</f>
        <v>23</v>
      </c>
      <c r="N177" s="1">
        <v>0.64143123842592598</v>
      </c>
      <c r="O177" s="1">
        <f>Table2579[[#This Row],[Time]]-TIME(0,0,10)</f>
        <v>0.64131549768518525</v>
      </c>
      <c r="P177" t="s">
        <v>9</v>
      </c>
      <c r="Q177">
        <v>-112</v>
      </c>
      <c r="R177">
        <f>Table2579[[#This Row],[RSSI]]</f>
        <v>-112</v>
      </c>
      <c r="S177">
        <v>-8.3000000000000007</v>
      </c>
    </row>
    <row r="178" spans="2:19" x14ac:dyDescent="0.25">
      <c r="B178">
        <f>160+2*(Table1468[[#This Row],[min value (corrected)]]-32)</f>
        <v>164</v>
      </c>
      <c r="C178">
        <f>MINUTE(Table1468[[#This Row],[Corrected time]])</f>
        <v>34</v>
      </c>
      <c r="D178" s="1">
        <v>0.64897244212962957</v>
      </c>
      <c r="E178" s="1">
        <f>Table1468[[#This Row],[Time]]-TIME(0,0,11)</f>
        <v>0.64884512731481481</v>
      </c>
      <c r="F178" t="s">
        <v>13</v>
      </c>
      <c r="G178" t="str">
        <f>G177</f>
        <v>-114.0,</v>
      </c>
      <c r="H178">
        <f t="shared" si="4"/>
        <v>-114</v>
      </c>
      <c r="I178">
        <f>I177</f>
        <v>-9.3000000000000007</v>
      </c>
      <c r="L178">
        <f>160+2*(Table2579[[#This Row],[min value (corrected)]]-23)</f>
        <v>160</v>
      </c>
      <c r="M178">
        <f>MINUTE(Table2579[[#This Row],[Corrected time]])</f>
        <v>23</v>
      </c>
      <c r="N178" s="1">
        <v>0.64144342592592596</v>
      </c>
      <c r="O178" s="1">
        <f>Table2579[[#This Row],[Time]]-TIME(0,0,10)</f>
        <v>0.64132768518518524</v>
      </c>
      <c r="P178" t="s">
        <v>9</v>
      </c>
      <c r="Q178">
        <v>-112</v>
      </c>
      <c r="R178">
        <f>Table2579[[#This Row],[RSSI]]</f>
        <v>-112</v>
      </c>
      <c r="S178">
        <v>-6.7</v>
      </c>
    </row>
    <row r="179" spans="2:19" x14ac:dyDescent="0.25">
      <c r="B179">
        <f>160+2*(Table1468[[#This Row],[min value (corrected)]]-32)</f>
        <v>164</v>
      </c>
      <c r="C179">
        <f>MINUTE(Table1468[[#This Row],[Corrected time]])</f>
        <v>34</v>
      </c>
      <c r="D179" s="1">
        <v>0.64898462962962955</v>
      </c>
      <c r="E179" s="1">
        <f>Table1468[[#This Row],[Time]]-TIME(0,0,11)</f>
        <v>0.64885731481481479</v>
      </c>
      <c r="F179" t="s">
        <v>9</v>
      </c>
      <c r="G179" t="s">
        <v>39</v>
      </c>
      <c r="H179">
        <f t="shared" si="4"/>
        <v>-114</v>
      </c>
      <c r="I179">
        <v>-8.3000000000000007</v>
      </c>
      <c r="L179">
        <f>160+2*(Table2579[[#This Row],[min value (corrected)]]-23)</f>
        <v>160</v>
      </c>
      <c r="M179">
        <f>MINUTE(Table2579[[#This Row],[Corrected time]])</f>
        <v>23</v>
      </c>
      <c r="N179" s="1">
        <v>0.64145561342592594</v>
      </c>
      <c r="O179" s="1">
        <f>Table2579[[#This Row],[Time]]-TIME(0,0,10)</f>
        <v>0.64133987268518522</v>
      </c>
      <c r="P179" t="s">
        <v>9</v>
      </c>
      <c r="Q179">
        <v>-114</v>
      </c>
      <c r="R179">
        <f>Table2579[[#This Row],[RSSI]]</f>
        <v>-114</v>
      </c>
      <c r="S179">
        <v>-8.3000000000000007</v>
      </c>
    </row>
    <row r="180" spans="2:19" x14ac:dyDescent="0.25">
      <c r="B180">
        <f>160+2*(Table1468[[#This Row],[min value (corrected)]]-32)</f>
        <v>164</v>
      </c>
      <c r="C180">
        <f>MINUTE(Table1468[[#This Row],[Corrected time]])</f>
        <v>34</v>
      </c>
      <c r="D180" s="1">
        <v>0.64899681712962964</v>
      </c>
      <c r="E180" s="1">
        <f>Table1468[[#This Row],[Time]]-TIME(0,0,11)</f>
        <v>0.64886950231481488</v>
      </c>
      <c r="F180" t="s">
        <v>9</v>
      </c>
      <c r="G180" t="s">
        <v>39</v>
      </c>
      <c r="H180">
        <f t="shared" si="4"/>
        <v>-114</v>
      </c>
      <c r="I180">
        <v>-8.3000000000000007</v>
      </c>
      <c r="L180">
        <f>160+2*(Table2579[[#This Row],[min value (corrected)]]-23)</f>
        <v>160</v>
      </c>
      <c r="M180">
        <f>MINUTE(Table2579[[#This Row],[Corrected time]])</f>
        <v>23</v>
      </c>
      <c r="N180" s="1">
        <v>0.64146780092592592</v>
      </c>
      <c r="O180" s="1">
        <f>Table2579[[#This Row],[Time]]-TIME(0,0,10)</f>
        <v>0.6413520601851852</v>
      </c>
      <c r="P180" t="s">
        <v>9</v>
      </c>
      <c r="Q180">
        <v>-112</v>
      </c>
      <c r="R180">
        <f>Table2579[[#This Row],[RSSI]]</f>
        <v>-112</v>
      </c>
      <c r="S180">
        <v>-7.5</v>
      </c>
    </row>
    <row r="181" spans="2:19" x14ac:dyDescent="0.25">
      <c r="B181">
        <f>160+2*(Table1468[[#This Row],[min value (corrected)]]-32)</f>
        <v>164</v>
      </c>
      <c r="C181">
        <f>MINUTE(Table1468[[#This Row],[Corrected time]])</f>
        <v>34</v>
      </c>
      <c r="D181" s="1">
        <v>0.64900899305555559</v>
      </c>
      <c r="E181" s="1">
        <f>Table1468[[#This Row],[Time]]-TIME(0,0,11)</f>
        <v>0.64888167824074083</v>
      </c>
      <c r="F181" t="s">
        <v>9</v>
      </c>
      <c r="G181" t="s">
        <v>37</v>
      </c>
      <c r="H181">
        <f t="shared" si="4"/>
        <v>-113</v>
      </c>
      <c r="I181">
        <v>-8.3000000000000007</v>
      </c>
      <c r="L181">
        <f>160+2*(Table2579[[#This Row],[min value (corrected)]]-23)</f>
        <v>160</v>
      </c>
      <c r="M181">
        <f>MINUTE(Table2579[[#This Row],[Corrected time]])</f>
        <v>23</v>
      </c>
      <c r="N181" s="1">
        <v>0.64147998842592591</v>
      </c>
      <c r="O181" s="1">
        <f>Table2579[[#This Row],[Time]]-TIME(0,0,10)</f>
        <v>0.64136424768518518</v>
      </c>
      <c r="P181" t="s">
        <v>9</v>
      </c>
      <c r="Q181">
        <v>-114</v>
      </c>
      <c r="R181">
        <f>Table2579[[#This Row],[RSSI]]</f>
        <v>-114</v>
      </c>
      <c r="S181">
        <v>-7.7</v>
      </c>
    </row>
    <row r="182" spans="2:19" x14ac:dyDescent="0.25">
      <c r="B182">
        <f>160+2*(Table1468[[#This Row],[min value (corrected)]]-32)</f>
        <v>164</v>
      </c>
      <c r="C182">
        <f>MINUTE(Table1468[[#This Row],[Corrected time]])</f>
        <v>34</v>
      </c>
      <c r="D182" s="1">
        <v>0.64902119212962961</v>
      </c>
      <c r="E182" s="1">
        <f>Table1468[[#This Row],[Time]]-TIME(0,0,11)</f>
        <v>0.64889387731481485</v>
      </c>
      <c r="F182" t="s">
        <v>9</v>
      </c>
      <c r="G182" t="s">
        <v>37</v>
      </c>
      <c r="H182">
        <f t="shared" si="4"/>
        <v>-113</v>
      </c>
      <c r="I182">
        <v>-8</v>
      </c>
      <c r="L182">
        <f>160+2*(Table2579[[#This Row],[min value (corrected)]]-23)</f>
        <v>160</v>
      </c>
      <c r="M182">
        <f>MINUTE(Table2579[[#This Row],[Corrected time]])</f>
        <v>23</v>
      </c>
      <c r="N182" s="1">
        <v>0.64149217592592589</v>
      </c>
      <c r="O182" s="1">
        <f>Table2579[[#This Row],[Time]]-TIME(0,0,10)</f>
        <v>0.64137643518518517</v>
      </c>
      <c r="P182" t="s">
        <v>9</v>
      </c>
      <c r="Q182">
        <v>-113</v>
      </c>
      <c r="R182">
        <f>Table2579[[#This Row],[RSSI]]</f>
        <v>-113</v>
      </c>
      <c r="S182">
        <v>-8</v>
      </c>
    </row>
    <row r="183" spans="2:19" x14ac:dyDescent="0.25">
      <c r="B183">
        <f>160+2*(Table1468[[#This Row],[min value (corrected)]]-32)</f>
        <v>164</v>
      </c>
      <c r="C183">
        <f>MINUTE(Table1468[[#This Row],[Corrected time]])</f>
        <v>34</v>
      </c>
      <c r="D183" s="1">
        <v>0.64903337962962959</v>
      </c>
      <c r="E183" s="1">
        <f>Table1468[[#This Row],[Time]]-TIME(0,0,11)</f>
        <v>0.64890606481481483</v>
      </c>
      <c r="F183" t="s">
        <v>9</v>
      </c>
      <c r="G183" t="s">
        <v>39</v>
      </c>
      <c r="H183">
        <f t="shared" si="4"/>
        <v>-114</v>
      </c>
      <c r="I183">
        <v>-8</v>
      </c>
      <c r="L183">
        <f>160+2*(Table2579[[#This Row],[min value (corrected)]]-23)</f>
        <v>160</v>
      </c>
      <c r="M183">
        <f>MINUTE(Table2579[[#This Row],[Corrected time]])</f>
        <v>23</v>
      </c>
      <c r="N183" s="1">
        <v>0.64150436342592587</v>
      </c>
      <c r="O183" s="1">
        <f>Table2579[[#This Row],[Time]]-TIME(0,0,10)</f>
        <v>0.64138862268518515</v>
      </c>
      <c r="P183" t="s">
        <v>9</v>
      </c>
      <c r="Q183">
        <v>-109</v>
      </c>
      <c r="R183">
        <f>Table2579[[#This Row],[RSSI]]</f>
        <v>-109</v>
      </c>
      <c r="S183">
        <v>-8</v>
      </c>
    </row>
    <row r="184" spans="2:19" x14ac:dyDescent="0.25">
      <c r="B184">
        <f>160+2*(Table1468[[#This Row],[min value (corrected)]]-32)</f>
        <v>164</v>
      </c>
      <c r="C184">
        <f>MINUTE(Table1468[[#This Row],[Corrected time]])</f>
        <v>34</v>
      </c>
      <c r="D184" s="1">
        <v>0.64904556712962957</v>
      </c>
      <c r="E184" s="1">
        <f>Table1468[[#This Row],[Time]]-TIME(0,0,11)</f>
        <v>0.64891825231481481</v>
      </c>
      <c r="F184" t="s">
        <v>9</v>
      </c>
      <c r="G184" t="s">
        <v>39</v>
      </c>
      <c r="H184">
        <f t="shared" si="4"/>
        <v>-114</v>
      </c>
      <c r="I184">
        <v>-9.3000000000000007</v>
      </c>
      <c r="L184">
        <f>160+2*(Table2579[[#This Row],[min value (corrected)]]-23)</f>
        <v>160</v>
      </c>
      <c r="M184">
        <f>MINUTE(Table2579[[#This Row],[Corrected time]])</f>
        <v>23</v>
      </c>
      <c r="N184" s="1">
        <v>0.64151653935185193</v>
      </c>
      <c r="O184" s="1">
        <f>Table2579[[#This Row],[Time]]-TIME(0,0,10)</f>
        <v>0.64140079861111121</v>
      </c>
      <c r="P184" t="s">
        <v>9</v>
      </c>
      <c r="Q184">
        <v>-113</v>
      </c>
      <c r="R184">
        <f>Table2579[[#This Row],[RSSI]]</f>
        <v>-113</v>
      </c>
      <c r="S184">
        <v>-8.3000000000000007</v>
      </c>
    </row>
    <row r="185" spans="2:19" x14ac:dyDescent="0.25">
      <c r="B185">
        <f>160+2*(Table1468[[#This Row],[min value (corrected)]]-32)</f>
        <v>164</v>
      </c>
      <c r="C185">
        <f>MINUTE(Table1468[[#This Row],[Corrected time]])</f>
        <v>34</v>
      </c>
      <c r="D185" s="1">
        <v>0.64905774305555552</v>
      </c>
      <c r="E185" s="1">
        <f>Table1468[[#This Row],[Time]]-TIME(0,0,11)</f>
        <v>0.64893042824074076</v>
      </c>
      <c r="F185" t="s">
        <v>9</v>
      </c>
      <c r="G185" t="s">
        <v>39</v>
      </c>
      <c r="H185">
        <f t="shared" si="4"/>
        <v>-114</v>
      </c>
      <c r="I185">
        <v>-8.8000000000000007</v>
      </c>
      <c r="L185">
        <f>160+2*(Table2579[[#This Row],[min value (corrected)]]-23)</f>
        <v>160</v>
      </c>
      <c r="M185">
        <f>MINUTE(Table2579[[#This Row],[Corrected time]])</f>
        <v>23</v>
      </c>
      <c r="N185" s="1">
        <v>0.64152873842592595</v>
      </c>
      <c r="O185" s="1">
        <f>Table2579[[#This Row],[Time]]-TIME(0,0,10)</f>
        <v>0.64141299768518523</v>
      </c>
      <c r="P185" t="s">
        <v>9</v>
      </c>
      <c r="Q185">
        <v>-113</v>
      </c>
      <c r="R185">
        <f>Table2579[[#This Row],[RSSI]]</f>
        <v>-113</v>
      </c>
      <c r="S185">
        <v>-7</v>
      </c>
    </row>
    <row r="186" spans="2:19" x14ac:dyDescent="0.25">
      <c r="B186">
        <f>160+2*(Table1468[[#This Row],[min value (corrected)]]-32)</f>
        <v>164</v>
      </c>
      <c r="C186">
        <f>MINUTE(Table1468[[#This Row],[Corrected time]])</f>
        <v>34</v>
      </c>
      <c r="D186" s="1">
        <v>0.64906994212962954</v>
      </c>
      <c r="E186" s="1">
        <f>Table1468[[#This Row],[Time]]-TIME(0,0,11)</f>
        <v>0.64894262731481478</v>
      </c>
      <c r="F186" t="s">
        <v>9</v>
      </c>
      <c r="G186" t="s">
        <v>39</v>
      </c>
      <c r="H186">
        <f t="shared" si="4"/>
        <v>-114</v>
      </c>
      <c r="I186">
        <v>-8.8000000000000007</v>
      </c>
      <c r="L186">
        <f>160+2*(Table2579[[#This Row],[min value (corrected)]]-23)</f>
        <v>160</v>
      </c>
      <c r="M186">
        <f>MINUTE(Table2579[[#This Row],[Corrected time]])</f>
        <v>23</v>
      </c>
      <c r="N186" s="1">
        <v>0.64154092592592593</v>
      </c>
      <c r="O186" s="1">
        <f>Table2579[[#This Row],[Time]]-TIME(0,0,10)</f>
        <v>0.64142518518518521</v>
      </c>
      <c r="P186" t="s">
        <v>9</v>
      </c>
      <c r="Q186">
        <v>-113</v>
      </c>
      <c r="R186">
        <f>Table2579[[#This Row],[RSSI]]</f>
        <v>-113</v>
      </c>
      <c r="S186">
        <v>-8.3000000000000007</v>
      </c>
    </row>
    <row r="187" spans="2:19" x14ac:dyDescent="0.25">
      <c r="B187">
        <f>160+2*(Table1468[[#This Row],[min value (corrected)]]-32)</f>
        <v>164</v>
      </c>
      <c r="C187">
        <f>MINUTE(Table1468[[#This Row],[Corrected time]])</f>
        <v>34</v>
      </c>
      <c r="D187" s="1">
        <v>0.64908212962962963</v>
      </c>
      <c r="E187" s="1">
        <f>Table1468[[#This Row],[Time]]-TIME(0,0,11)</f>
        <v>0.64895481481481487</v>
      </c>
      <c r="F187" t="s">
        <v>13</v>
      </c>
      <c r="G187" t="str">
        <f>G186</f>
        <v>-114.0,</v>
      </c>
      <c r="H187">
        <f t="shared" si="4"/>
        <v>-114</v>
      </c>
      <c r="I187">
        <f>I186</f>
        <v>-8.8000000000000007</v>
      </c>
      <c r="L187">
        <f>160+2*(Table2579[[#This Row],[min value (corrected)]]-23)</f>
        <v>160</v>
      </c>
      <c r="M187">
        <f>MINUTE(Table2579[[#This Row],[Corrected time]])</f>
        <v>23</v>
      </c>
      <c r="N187" s="1">
        <v>0.64155311342592591</v>
      </c>
      <c r="O187" s="1">
        <f>Table2579[[#This Row],[Time]]-TIME(0,0,10)</f>
        <v>0.64143737268518519</v>
      </c>
      <c r="P187" t="s">
        <v>9</v>
      </c>
      <c r="Q187">
        <v>-112</v>
      </c>
      <c r="R187">
        <f>Table2579[[#This Row],[RSSI]]</f>
        <v>-112</v>
      </c>
      <c r="S187">
        <v>-6.7</v>
      </c>
    </row>
    <row r="188" spans="2:19" x14ac:dyDescent="0.25">
      <c r="B188">
        <f>160+2*(Table1468[[#This Row],[min value (corrected)]]-32)</f>
        <v>164</v>
      </c>
      <c r="C188">
        <f>MINUTE(Table1468[[#This Row],[Corrected time]])</f>
        <v>34</v>
      </c>
      <c r="D188" s="1">
        <v>0.64909430555555558</v>
      </c>
      <c r="E188" s="1">
        <f>Table1468[[#This Row],[Time]]-TIME(0,0,11)</f>
        <v>0.64896699074074082</v>
      </c>
      <c r="F188" t="s">
        <v>9</v>
      </c>
      <c r="G188" t="s">
        <v>39</v>
      </c>
      <c r="H188">
        <f t="shared" si="4"/>
        <v>-114</v>
      </c>
      <c r="I188">
        <v>-8.3000000000000007</v>
      </c>
      <c r="L188">
        <f>160+2*(Table2579[[#This Row],[min value (corrected)]]-23)</f>
        <v>160</v>
      </c>
      <c r="M188">
        <f>MINUTE(Table2579[[#This Row],[Corrected time]])</f>
        <v>23</v>
      </c>
      <c r="N188" s="1">
        <v>0.64156528935185186</v>
      </c>
      <c r="O188" s="1">
        <f>Table2579[[#This Row],[Time]]-TIME(0,0,10)</f>
        <v>0.64144954861111114</v>
      </c>
      <c r="P188" t="s">
        <v>9</v>
      </c>
      <c r="Q188">
        <v>-113</v>
      </c>
      <c r="R188">
        <f>Table2579[[#This Row],[RSSI]]</f>
        <v>-113</v>
      </c>
      <c r="S188">
        <v>-8</v>
      </c>
    </row>
    <row r="189" spans="2:19" x14ac:dyDescent="0.25">
      <c r="B189">
        <f>160+2*(Table1468[[#This Row],[min value (corrected)]]-32)</f>
        <v>164</v>
      </c>
      <c r="C189">
        <f>MINUTE(Table1468[[#This Row],[Corrected time]])</f>
        <v>34</v>
      </c>
      <c r="D189" s="1">
        <v>0.64910650462962971</v>
      </c>
      <c r="E189" s="1">
        <f>Table1468[[#This Row],[Time]]-TIME(0,0,11)</f>
        <v>0.64897918981481495</v>
      </c>
      <c r="F189" t="s">
        <v>9</v>
      </c>
      <c r="G189" t="s">
        <v>39</v>
      </c>
      <c r="H189">
        <f t="shared" si="4"/>
        <v>-114</v>
      </c>
      <c r="I189">
        <v>-8.8000000000000007</v>
      </c>
      <c r="L189">
        <f>160+2*(Table2579[[#This Row],[min value (corrected)]]-23)</f>
        <v>160</v>
      </c>
      <c r="M189">
        <f>MINUTE(Table2579[[#This Row],[Corrected time]])</f>
        <v>23</v>
      </c>
      <c r="N189" s="1">
        <v>0.64157747685185185</v>
      </c>
      <c r="O189" s="1">
        <f>Table2579[[#This Row],[Time]]-TIME(0,0,10)</f>
        <v>0.64146173611111112</v>
      </c>
      <c r="P189" t="s">
        <v>9</v>
      </c>
      <c r="Q189">
        <v>-113</v>
      </c>
      <c r="R189">
        <f>Table2579[[#This Row],[RSSI]]</f>
        <v>-113</v>
      </c>
      <c r="S189">
        <v>-7.7</v>
      </c>
    </row>
    <row r="190" spans="2:19" x14ac:dyDescent="0.25">
      <c r="B190">
        <f>160+2*(Table1468[[#This Row],[min value (corrected)]]-32)</f>
        <v>164</v>
      </c>
      <c r="C190">
        <f>MINUTE(Table1468[[#This Row],[Corrected time]])</f>
        <v>34</v>
      </c>
      <c r="D190" s="1">
        <v>0.64911868055555555</v>
      </c>
      <c r="E190" s="1">
        <f>Table1468[[#This Row],[Time]]-TIME(0,0,11)</f>
        <v>0.64899136574074079</v>
      </c>
      <c r="F190" t="s">
        <v>9</v>
      </c>
      <c r="G190" t="s">
        <v>39</v>
      </c>
      <c r="H190">
        <f t="shared" si="4"/>
        <v>-114</v>
      </c>
      <c r="I190">
        <v>-8</v>
      </c>
      <c r="L190">
        <f>160+2*(Table2579[[#This Row],[min value (corrected)]]-23)</f>
        <v>160</v>
      </c>
      <c r="M190">
        <f>MINUTE(Table2579[[#This Row],[Corrected time]])</f>
        <v>23</v>
      </c>
      <c r="N190" s="1">
        <v>0.64158967592592586</v>
      </c>
      <c r="O190" s="1">
        <f>Table2579[[#This Row],[Time]]-TIME(0,0,10)</f>
        <v>0.64147393518518514</v>
      </c>
      <c r="P190" t="s">
        <v>9</v>
      </c>
      <c r="Q190">
        <v>-113</v>
      </c>
      <c r="R190">
        <f>Table2579[[#This Row],[RSSI]]</f>
        <v>-113</v>
      </c>
      <c r="S190">
        <v>-7.5</v>
      </c>
    </row>
    <row r="191" spans="2:19" x14ac:dyDescent="0.25">
      <c r="B191">
        <f>160+2*(Table1468[[#This Row],[min value (corrected)]]-32)</f>
        <v>164</v>
      </c>
      <c r="C191">
        <f>MINUTE(Table1468[[#This Row],[Corrected time]])</f>
        <v>34</v>
      </c>
      <c r="D191" s="1">
        <v>0.64913086805555553</v>
      </c>
      <c r="E191" s="1">
        <f>Table1468[[#This Row],[Time]]-TIME(0,0,11)</f>
        <v>0.64900355324074077</v>
      </c>
      <c r="F191" t="s">
        <v>9</v>
      </c>
      <c r="G191" t="s">
        <v>39</v>
      </c>
      <c r="H191">
        <f t="shared" si="4"/>
        <v>-114</v>
      </c>
      <c r="I191">
        <v>-8</v>
      </c>
      <c r="L191">
        <f>160+2*(Table2579[[#This Row],[min value (corrected)]]-23)</f>
        <v>160</v>
      </c>
      <c r="M191">
        <f>MINUTE(Table2579[[#This Row],[Corrected time]])</f>
        <v>23</v>
      </c>
      <c r="N191" s="1">
        <v>0.64160185185185192</v>
      </c>
      <c r="O191" s="1">
        <f>Table2579[[#This Row],[Time]]-TIME(0,0,10)</f>
        <v>0.6414861111111112</v>
      </c>
      <c r="P191" t="s">
        <v>9</v>
      </c>
      <c r="Q191">
        <v>-113</v>
      </c>
      <c r="R191">
        <f>Table2579[[#This Row],[RSSI]]</f>
        <v>-113</v>
      </c>
      <c r="S191">
        <v>-7.5</v>
      </c>
    </row>
    <row r="192" spans="2:19" x14ac:dyDescent="0.25">
      <c r="B192">
        <f>160+2*(Table1468[[#This Row],[min value (corrected)]]-32)</f>
        <v>164</v>
      </c>
      <c r="C192">
        <f>MINUTE(Table1468[[#This Row],[Corrected time]])</f>
        <v>34</v>
      </c>
      <c r="D192" s="1">
        <v>0.64914306712962966</v>
      </c>
      <c r="E192" s="1">
        <f>Table1468[[#This Row],[Time]]-TIME(0,0,11)</f>
        <v>0.6490157523148149</v>
      </c>
      <c r="F192" t="s">
        <v>9</v>
      </c>
      <c r="G192" t="s">
        <v>43</v>
      </c>
      <c r="H192">
        <f t="shared" si="4"/>
        <v>-115</v>
      </c>
      <c r="I192">
        <v>-9.3000000000000007</v>
      </c>
      <c r="L192">
        <f>160+2*(Table2579[[#This Row],[min value (corrected)]]-23)</f>
        <v>160</v>
      </c>
      <c r="M192">
        <f>MINUTE(Table2579[[#This Row],[Corrected time]])</f>
        <v>23</v>
      </c>
      <c r="N192" s="1">
        <v>0.64161405092592594</v>
      </c>
      <c r="O192" s="1">
        <f>Table2579[[#This Row],[Time]]-TIME(0,0,10)</f>
        <v>0.64149831018518522</v>
      </c>
      <c r="P192" t="s">
        <v>9</v>
      </c>
      <c r="Q192">
        <v>-113</v>
      </c>
      <c r="R192">
        <f>Table2579[[#This Row],[RSSI]]</f>
        <v>-113</v>
      </c>
      <c r="S192">
        <v>-7.2</v>
      </c>
    </row>
    <row r="193" spans="2:19" x14ac:dyDescent="0.25">
      <c r="B193">
        <f>160+2*(Table1468[[#This Row],[min value (corrected)]]-32)</f>
        <v>164</v>
      </c>
      <c r="C193">
        <f>MINUTE(Table1468[[#This Row],[Corrected time]])</f>
        <v>34</v>
      </c>
      <c r="D193" s="1">
        <v>0.64915525462962964</v>
      </c>
      <c r="E193" s="1">
        <f>Table1468[[#This Row],[Time]]-TIME(0,0,11)</f>
        <v>0.64902793981481488</v>
      </c>
      <c r="F193" t="s">
        <v>9</v>
      </c>
      <c r="G193" t="s">
        <v>39</v>
      </c>
      <c r="H193">
        <f t="shared" si="4"/>
        <v>-114</v>
      </c>
      <c r="I193">
        <v>-8</v>
      </c>
      <c r="L193">
        <f>160+2*(Table2579[[#This Row],[min value (corrected)]]-23)</f>
        <v>160</v>
      </c>
      <c r="M193">
        <f>MINUTE(Table2579[[#This Row],[Corrected time]])</f>
        <v>23</v>
      </c>
      <c r="N193" s="1">
        <v>0.64162622685185189</v>
      </c>
      <c r="O193" s="1">
        <f>Table2579[[#This Row],[Time]]-TIME(0,0,10)</f>
        <v>0.64151048611111117</v>
      </c>
      <c r="P193" t="s">
        <v>9</v>
      </c>
      <c r="Q193">
        <v>-113</v>
      </c>
      <c r="R193">
        <f>Table2579[[#This Row],[RSSI]]</f>
        <v>-113</v>
      </c>
      <c r="S193">
        <v>-7.7</v>
      </c>
    </row>
    <row r="194" spans="2:19" x14ac:dyDescent="0.25">
      <c r="B194">
        <f>160+2*(Table1468[[#This Row],[min value (corrected)]]-32)</f>
        <v>164</v>
      </c>
      <c r="C194">
        <f>MINUTE(Table1468[[#This Row],[Corrected time]])</f>
        <v>34</v>
      </c>
      <c r="D194" s="1">
        <v>0.64916743055555559</v>
      </c>
      <c r="E194" s="1">
        <f>Table1468[[#This Row],[Time]]-TIME(0,0,11)</f>
        <v>0.64904011574074083</v>
      </c>
      <c r="F194" t="s">
        <v>9</v>
      </c>
      <c r="G194" t="s">
        <v>37</v>
      </c>
      <c r="H194">
        <f t="shared" si="4"/>
        <v>-113</v>
      </c>
      <c r="I194">
        <v>-7.7</v>
      </c>
      <c r="L194">
        <f>160+2*(Table2579[[#This Row],[min value (corrected)]]-23)</f>
        <v>160</v>
      </c>
      <c r="M194">
        <f>MINUTE(Table2579[[#This Row],[Corrected time]])</f>
        <v>23</v>
      </c>
      <c r="N194" s="1">
        <v>0.6416384259259259</v>
      </c>
      <c r="O194" s="1">
        <f>Table2579[[#This Row],[Time]]-TIME(0,0,10)</f>
        <v>0.64152268518518518</v>
      </c>
      <c r="P194" t="s">
        <v>9</v>
      </c>
      <c r="Q194">
        <v>-113</v>
      </c>
      <c r="R194">
        <f>Table2579[[#This Row],[RSSI]]</f>
        <v>-113</v>
      </c>
      <c r="S194">
        <v>-7</v>
      </c>
    </row>
    <row r="195" spans="2:19" x14ac:dyDescent="0.25">
      <c r="B195">
        <f>160+2*(Table1468[[#This Row],[min value (corrected)]]-32)</f>
        <v>164</v>
      </c>
      <c r="C195">
        <f>MINUTE(Table1468[[#This Row],[Corrected time]])</f>
        <v>34</v>
      </c>
      <c r="D195" s="1">
        <v>0.64917961805555557</v>
      </c>
      <c r="E195" s="1">
        <f>Table1468[[#This Row],[Time]]-TIME(0,0,11)</f>
        <v>0.64905230324074081</v>
      </c>
      <c r="F195" t="s">
        <v>13</v>
      </c>
      <c r="G195" t="str">
        <f>G194</f>
        <v>-113.0,</v>
      </c>
      <c r="H195">
        <f t="shared" si="4"/>
        <v>-113</v>
      </c>
      <c r="I195">
        <f>I194</f>
        <v>-7.7</v>
      </c>
      <c r="L195">
        <f>160+2*(Table2579[[#This Row],[min value (corrected)]]-23)</f>
        <v>160</v>
      </c>
      <c r="M195">
        <f>MINUTE(Table2579[[#This Row],[Corrected time]])</f>
        <v>23</v>
      </c>
      <c r="N195" s="1">
        <v>0.64165061342592589</v>
      </c>
      <c r="O195" s="1">
        <f>Table2579[[#This Row],[Time]]-TIME(0,0,10)</f>
        <v>0.64153487268518516</v>
      </c>
      <c r="P195" t="s">
        <v>9</v>
      </c>
      <c r="Q195">
        <v>-112</v>
      </c>
      <c r="R195">
        <f>Table2579[[#This Row],[RSSI]]</f>
        <v>-112</v>
      </c>
      <c r="S195">
        <v>-7.7</v>
      </c>
    </row>
    <row r="196" spans="2:19" x14ac:dyDescent="0.25">
      <c r="B196">
        <f>160+2*(Table1468[[#This Row],[min value (corrected)]]-32)</f>
        <v>164</v>
      </c>
      <c r="C196">
        <f>MINUTE(Table1468[[#This Row],[Corrected time]])</f>
        <v>34</v>
      </c>
      <c r="D196" s="1">
        <v>0.6491918171296297</v>
      </c>
      <c r="E196" s="1">
        <f>Table1468[[#This Row],[Time]]-TIME(0,0,11)</f>
        <v>0.64906450231481494</v>
      </c>
      <c r="F196" t="s">
        <v>9</v>
      </c>
      <c r="G196" t="s">
        <v>39</v>
      </c>
      <c r="H196">
        <f t="shared" si="4"/>
        <v>-114</v>
      </c>
      <c r="I196">
        <v>-8.5</v>
      </c>
      <c r="L196">
        <f>160+2*(Table2579[[#This Row],[min value (corrected)]]-23)</f>
        <v>160</v>
      </c>
      <c r="M196">
        <f>MINUTE(Table2579[[#This Row],[Corrected time]])</f>
        <v>23</v>
      </c>
      <c r="N196" s="1">
        <v>0.64166280092592587</v>
      </c>
      <c r="O196" s="1">
        <f>Table2579[[#This Row],[Time]]-TIME(0,0,10)</f>
        <v>0.64154706018518515</v>
      </c>
      <c r="P196" t="s">
        <v>9</v>
      </c>
      <c r="Q196">
        <v>-113</v>
      </c>
      <c r="R196">
        <f>Table2579[[#This Row],[RSSI]]</f>
        <v>-113</v>
      </c>
      <c r="S196">
        <v>-7.2</v>
      </c>
    </row>
    <row r="197" spans="2:19" x14ac:dyDescent="0.25">
      <c r="B197">
        <f>160+2*(Table1468[[#This Row],[min value (corrected)]]-32)</f>
        <v>164</v>
      </c>
      <c r="C197">
        <f>MINUTE(Table1468[[#This Row],[Corrected time]])</f>
        <v>34</v>
      </c>
      <c r="D197" s="1">
        <v>0.64920400462962968</v>
      </c>
      <c r="E197" s="1">
        <f>Table1468[[#This Row],[Time]]-TIME(0,0,11)</f>
        <v>0.64907668981481492</v>
      </c>
      <c r="F197" t="s">
        <v>9</v>
      </c>
      <c r="G197" t="s">
        <v>39</v>
      </c>
      <c r="H197">
        <f t="shared" si="4"/>
        <v>-114</v>
      </c>
      <c r="I197">
        <v>-8.8000000000000007</v>
      </c>
      <c r="L197">
        <f>160+2*(Table2579[[#This Row],[min value (corrected)]]-23)</f>
        <v>160</v>
      </c>
      <c r="M197">
        <f>MINUTE(Table2579[[#This Row],[Corrected time]])</f>
        <v>23</v>
      </c>
      <c r="N197" s="1">
        <v>0.64167497685185182</v>
      </c>
      <c r="O197" s="1">
        <f>Table2579[[#This Row],[Time]]-TIME(0,0,10)</f>
        <v>0.6415592361111111</v>
      </c>
      <c r="P197" t="s">
        <v>13</v>
      </c>
      <c r="Q197">
        <f>Q196</f>
        <v>-113</v>
      </c>
      <c r="R197">
        <f>Table2579[[#This Row],[RSSI]]</f>
        <v>-113</v>
      </c>
      <c r="S197">
        <f>S196</f>
        <v>-7.2</v>
      </c>
    </row>
    <row r="198" spans="2:19" x14ac:dyDescent="0.25">
      <c r="B198">
        <f>160+2*(Table1468[[#This Row],[min value (corrected)]]-32)</f>
        <v>164</v>
      </c>
      <c r="C198">
        <f>MINUTE(Table1468[[#This Row],[Corrected time]])</f>
        <v>34</v>
      </c>
      <c r="D198" s="1">
        <v>0.64921619212962967</v>
      </c>
      <c r="E198" s="1">
        <f>Table1468[[#This Row],[Time]]-TIME(0,0,11)</f>
        <v>0.6490888773148149</v>
      </c>
      <c r="F198" t="s">
        <v>9</v>
      </c>
      <c r="G198" t="s">
        <v>39</v>
      </c>
      <c r="H198">
        <f t="shared" si="4"/>
        <v>-114</v>
      </c>
      <c r="I198">
        <v>-8.3000000000000007</v>
      </c>
      <c r="L198">
        <f>160+2*(Table2579[[#This Row],[min value (corrected)]]-23)</f>
        <v>160</v>
      </c>
      <c r="M198">
        <f>MINUTE(Table2579[[#This Row],[Corrected time]])</f>
        <v>23</v>
      </c>
      <c r="N198" s="1">
        <v>0.64168716435185191</v>
      </c>
      <c r="O198" s="1">
        <f>Table2579[[#This Row],[Time]]-TIME(0,0,10)</f>
        <v>0.64157142361111119</v>
      </c>
      <c r="P198" t="s">
        <v>9</v>
      </c>
      <c r="Q198">
        <v>-113</v>
      </c>
      <c r="R198">
        <f>Table2579[[#This Row],[RSSI]]</f>
        <v>-113</v>
      </c>
      <c r="S198">
        <v>-7.5</v>
      </c>
    </row>
    <row r="199" spans="2:19" x14ac:dyDescent="0.25">
      <c r="B199">
        <f>160+2*(Table1468[[#This Row],[min value (corrected)]]-32)</f>
        <v>164</v>
      </c>
      <c r="C199">
        <f>MINUTE(Table1468[[#This Row],[Corrected time]])</f>
        <v>34</v>
      </c>
      <c r="D199" s="1">
        <v>0.64922837962962965</v>
      </c>
      <c r="E199" s="1">
        <f>Table1468[[#This Row],[Time]]-TIME(0,0,11)</f>
        <v>0.64910106481481489</v>
      </c>
      <c r="F199" t="s">
        <v>9</v>
      </c>
      <c r="G199" t="s">
        <v>39</v>
      </c>
      <c r="H199">
        <f t="shared" si="4"/>
        <v>-114</v>
      </c>
      <c r="I199">
        <v>-8.8000000000000007</v>
      </c>
      <c r="L199">
        <f>160+2*(Table2579[[#This Row],[min value (corrected)]]-23)</f>
        <v>160</v>
      </c>
      <c r="M199">
        <f>MINUTE(Table2579[[#This Row],[Corrected time]])</f>
        <v>23</v>
      </c>
      <c r="N199" s="1">
        <v>0.6416993518518519</v>
      </c>
      <c r="O199" s="1">
        <f>Table2579[[#This Row],[Time]]-TIME(0,0,10)</f>
        <v>0.64158361111111117</v>
      </c>
      <c r="P199" t="s">
        <v>9</v>
      </c>
      <c r="Q199">
        <v>-113</v>
      </c>
      <c r="R199">
        <f>Table2579[[#This Row],[RSSI]]</f>
        <v>-113</v>
      </c>
      <c r="S199">
        <v>-8</v>
      </c>
    </row>
    <row r="200" spans="2:19" x14ac:dyDescent="0.25">
      <c r="B200">
        <f>160+2*(Table1468[[#This Row],[min value (corrected)]]-32)</f>
        <v>164</v>
      </c>
      <c r="C200">
        <f>MINUTE(Table1468[[#This Row],[Corrected time]])</f>
        <v>34</v>
      </c>
      <c r="D200" s="1">
        <v>0.64924055555555549</v>
      </c>
      <c r="E200" s="1">
        <f>Table1468[[#This Row],[Time]]-TIME(0,0,11)</f>
        <v>0.64911324074074073</v>
      </c>
      <c r="F200" t="s">
        <v>13</v>
      </c>
      <c r="G200" t="str">
        <f>G199</f>
        <v>-114.0,</v>
      </c>
      <c r="H200">
        <f t="shared" si="4"/>
        <v>-114</v>
      </c>
      <c r="I200">
        <f>I199</f>
        <v>-8.8000000000000007</v>
      </c>
      <c r="L200">
        <f>160+2*(Table2579[[#This Row],[min value (corrected)]]-23)</f>
        <v>160</v>
      </c>
      <c r="M200">
        <f>MINUTE(Table2579[[#This Row],[Corrected time]])</f>
        <v>23</v>
      </c>
      <c r="N200" s="1">
        <v>0.64171155092592591</v>
      </c>
      <c r="O200" s="1">
        <f>Table2579[[#This Row],[Time]]-TIME(0,0,10)</f>
        <v>0.64159581018518519</v>
      </c>
      <c r="P200" t="s">
        <v>9</v>
      </c>
      <c r="Q200">
        <v>-113</v>
      </c>
      <c r="R200">
        <f>Table2579[[#This Row],[RSSI]]</f>
        <v>-113</v>
      </c>
      <c r="S200">
        <v>-8</v>
      </c>
    </row>
    <row r="201" spans="2:19" x14ac:dyDescent="0.25">
      <c r="B201">
        <f>160+2*(Table1468[[#This Row],[min value (corrected)]]-32)</f>
        <v>164</v>
      </c>
      <c r="C201">
        <f>MINUTE(Table1468[[#This Row],[Corrected time]])</f>
        <v>34</v>
      </c>
      <c r="D201" s="1">
        <v>0.64925275462962961</v>
      </c>
      <c r="E201" s="1">
        <f>Table1468[[#This Row],[Time]]-TIME(0,0,11)</f>
        <v>0.64912543981481485</v>
      </c>
      <c r="F201" t="s">
        <v>9</v>
      </c>
      <c r="G201" t="s">
        <v>39</v>
      </c>
      <c r="H201">
        <f t="shared" si="4"/>
        <v>-114</v>
      </c>
      <c r="I201">
        <v>-9</v>
      </c>
      <c r="L201">
        <f>160+2*(Table2579[[#This Row],[min value (corrected)]]-23)</f>
        <v>160</v>
      </c>
      <c r="M201">
        <f>MINUTE(Table2579[[#This Row],[Corrected time]])</f>
        <v>23</v>
      </c>
      <c r="N201" s="1">
        <v>0.64172371527777772</v>
      </c>
      <c r="O201" s="1">
        <f>Table2579[[#This Row],[Time]]-TIME(0,0,10)</f>
        <v>0.641607974537037</v>
      </c>
      <c r="P201" t="s">
        <v>9</v>
      </c>
      <c r="Q201">
        <v>-114</v>
      </c>
      <c r="R201">
        <f>Table2579[[#This Row],[RSSI]]</f>
        <v>-114</v>
      </c>
      <c r="S201">
        <v>-9</v>
      </c>
    </row>
    <row r="202" spans="2:19" x14ac:dyDescent="0.25">
      <c r="B202">
        <f>160+2*(Table1468[[#This Row],[min value (corrected)]]-32)</f>
        <v>164</v>
      </c>
      <c r="C202">
        <f>MINUTE(Table1468[[#This Row],[Corrected time]])</f>
        <v>34</v>
      </c>
      <c r="D202" s="1">
        <v>0.6492649421296296</v>
      </c>
      <c r="E202" s="1">
        <f>Table1468[[#This Row],[Time]]-TIME(0,0,11)</f>
        <v>0.64913762731481484</v>
      </c>
      <c r="F202" t="s">
        <v>9</v>
      </c>
      <c r="G202" t="s">
        <v>39</v>
      </c>
      <c r="H202">
        <f t="shared" si="4"/>
        <v>-114</v>
      </c>
      <c r="I202">
        <v>-8.8000000000000007</v>
      </c>
      <c r="L202">
        <f>160+2*(Table2579[[#This Row],[min value (corrected)]]-23)</f>
        <v>160</v>
      </c>
      <c r="M202">
        <f>MINUTE(Table2579[[#This Row],[Corrected time]])</f>
        <v>23</v>
      </c>
      <c r="N202" s="1">
        <v>0.64173591435185184</v>
      </c>
      <c r="O202" s="1">
        <f>Table2579[[#This Row],[Time]]-TIME(0,0,10)</f>
        <v>0.64162017361111112</v>
      </c>
      <c r="P202" t="s">
        <v>9</v>
      </c>
      <c r="Q202">
        <v>-113</v>
      </c>
      <c r="R202">
        <f>Table2579[[#This Row],[RSSI]]</f>
        <v>-113</v>
      </c>
      <c r="S202">
        <v>-7.5</v>
      </c>
    </row>
    <row r="203" spans="2:19" x14ac:dyDescent="0.25">
      <c r="B203">
        <f>160+2*(Table1468[[#This Row],[min value (corrected)]]-32)</f>
        <v>164</v>
      </c>
      <c r="C203">
        <f>MINUTE(Table1468[[#This Row],[Corrected time]])</f>
        <v>34</v>
      </c>
      <c r="D203" s="1">
        <v>0.64927711805555555</v>
      </c>
      <c r="E203" s="1">
        <f>Table1468[[#This Row],[Time]]-TIME(0,0,11)</f>
        <v>0.64914980324074079</v>
      </c>
      <c r="F203" t="s">
        <v>9</v>
      </c>
      <c r="G203" t="s">
        <v>39</v>
      </c>
      <c r="H203">
        <f t="shared" si="4"/>
        <v>-114</v>
      </c>
      <c r="I203">
        <v>-8</v>
      </c>
      <c r="L203">
        <f>160+2*(Table2579[[#This Row],[min value (corrected)]]-23)</f>
        <v>160</v>
      </c>
      <c r="M203">
        <f>MINUTE(Table2579[[#This Row],[Corrected time]])</f>
        <v>23</v>
      </c>
      <c r="N203" s="1">
        <v>0.64174810185185183</v>
      </c>
      <c r="O203" s="1">
        <f>Table2579[[#This Row],[Time]]-TIME(0,0,10)</f>
        <v>0.6416323611111111</v>
      </c>
      <c r="P203" t="s">
        <v>9</v>
      </c>
      <c r="Q203">
        <v>-113</v>
      </c>
      <c r="R203">
        <f>Table2579[[#This Row],[RSSI]]</f>
        <v>-113</v>
      </c>
      <c r="S203">
        <v>-8.5</v>
      </c>
    </row>
    <row r="204" spans="2:19" x14ac:dyDescent="0.25">
      <c r="B204">
        <f>160+2*(Table1468[[#This Row],[min value (corrected)]]-32)</f>
        <v>164</v>
      </c>
      <c r="C204">
        <f>MINUTE(Table1468[[#This Row],[Corrected time]])</f>
        <v>34</v>
      </c>
      <c r="D204" s="1">
        <v>0.64928931712962967</v>
      </c>
      <c r="E204" s="1">
        <f>Table1468[[#This Row],[Time]]-TIME(0,0,11)</f>
        <v>0.64916200231481491</v>
      </c>
      <c r="F204" t="s">
        <v>13</v>
      </c>
      <c r="G204" t="str">
        <f>G203</f>
        <v>-114.0,</v>
      </c>
      <c r="H204">
        <f t="shared" si="4"/>
        <v>-114</v>
      </c>
      <c r="I204">
        <f>I203</f>
        <v>-8</v>
      </c>
      <c r="L204">
        <f>160+2*(Table2579[[#This Row],[min value (corrected)]]-23)</f>
        <v>160</v>
      </c>
      <c r="M204">
        <f>MINUTE(Table2579[[#This Row],[Corrected time]])</f>
        <v>23</v>
      </c>
      <c r="N204" s="1">
        <v>0.64176027777777778</v>
      </c>
      <c r="O204" s="1">
        <f>Table2579[[#This Row],[Time]]-TIME(0,0,10)</f>
        <v>0.64164453703703705</v>
      </c>
      <c r="P204" t="s">
        <v>9</v>
      </c>
      <c r="Q204">
        <v>-113</v>
      </c>
      <c r="R204">
        <f>Table2579[[#This Row],[RSSI]]</f>
        <v>-113</v>
      </c>
      <c r="S204">
        <v>-8.5</v>
      </c>
    </row>
    <row r="205" spans="2:19" x14ac:dyDescent="0.25">
      <c r="B205">
        <f>160+2*(Table1468[[#This Row],[min value (corrected)]]-32)</f>
        <v>164</v>
      </c>
      <c r="C205">
        <f>MINUTE(Table1468[[#This Row],[Corrected time]])</f>
        <v>34</v>
      </c>
      <c r="D205" s="1">
        <v>0.64930150462962966</v>
      </c>
      <c r="E205" s="1">
        <f>Table1468[[#This Row],[Time]]-TIME(0,0,11)</f>
        <v>0.64917418981481489</v>
      </c>
      <c r="F205" t="s">
        <v>9</v>
      </c>
      <c r="G205" t="s">
        <v>37</v>
      </c>
      <c r="H205">
        <f t="shared" si="4"/>
        <v>-113</v>
      </c>
      <c r="I205">
        <v>-8.8000000000000007</v>
      </c>
      <c r="L205">
        <f>160+2*(Table2579[[#This Row],[min value (corrected)]]-23)</f>
        <v>160</v>
      </c>
      <c r="M205">
        <f>MINUTE(Table2579[[#This Row],[Corrected time]])</f>
        <v>23</v>
      </c>
      <c r="N205" s="1">
        <v>0.6417724768518519</v>
      </c>
      <c r="O205" s="1">
        <f>Table2579[[#This Row],[Time]]-TIME(0,0,10)</f>
        <v>0.64165673611111118</v>
      </c>
      <c r="P205" t="s">
        <v>9</v>
      </c>
      <c r="Q205">
        <v>-113</v>
      </c>
      <c r="R205">
        <f>Table2579[[#This Row],[RSSI]]</f>
        <v>-113</v>
      </c>
      <c r="S205">
        <v>-8</v>
      </c>
    </row>
    <row r="206" spans="2:19" x14ac:dyDescent="0.25">
      <c r="B206">
        <f>160+2*(Table1468[[#This Row],[min value (corrected)]]-32)</f>
        <v>164</v>
      </c>
      <c r="C206">
        <f>MINUTE(Table1468[[#This Row],[Corrected time]])</f>
        <v>34</v>
      </c>
      <c r="D206" s="1">
        <v>0.64931369212962964</v>
      </c>
      <c r="E206" s="1">
        <f>Table1468[[#This Row],[Time]]-TIME(0,0,11)</f>
        <v>0.64918637731481488</v>
      </c>
      <c r="F206" t="s">
        <v>9</v>
      </c>
      <c r="G206" t="s">
        <v>39</v>
      </c>
      <c r="H206">
        <f t="shared" si="4"/>
        <v>-114</v>
      </c>
      <c r="I206">
        <v>-8.5</v>
      </c>
      <c r="L206">
        <f>160+2*(Table2579[[#This Row],[min value (corrected)]]-23)</f>
        <v>162</v>
      </c>
      <c r="M206">
        <f>MINUTE(Table2579[[#This Row],[Corrected time]])</f>
        <v>24</v>
      </c>
      <c r="N206" s="1">
        <v>0.64178465277777785</v>
      </c>
      <c r="O206" s="1">
        <f>Table2579[[#This Row],[Time]]-TIME(0,0,10)</f>
        <v>0.64166891203703713</v>
      </c>
      <c r="P206" t="s">
        <v>13</v>
      </c>
      <c r="Q206">
        <f>Q205</f>
        <v>-113</v>
      </c>
      <c r="R206">
        <f>Table2579[[#This Row],[RSSI]]</f>
        <v>-113</v>
      </c>
      <c r="S206">
        <f>S205</f>
        <v>-8</v>
      </c>
    </row>
    <row r="207" spans="2:19" x14ac:dyDescent="0.25">
      <c r="B207">
        <f>160+2*(Table1468[[#This Row],[min value (corrected)]]-32)</f>
        <v>164</v>
      </c>
      <c r="C207">
        <f>MINUTE(Table1468[[#This Row],[Corrected time]])</f>
        <v>34</v>
      </c>
      <c r="D207" s="1">
        <v>0.64932586805555548</v>
      </c>
      <c r="E207" s="1">
        <f>Table1468[[#This Row],[Time]]-TIME(0,0,11)</f>
        <v>0.64919855324074072</v>
      </c>
      <c r="F207" t="s">
        <v>9</v>
      </c>
      <c r="G207" t="s">
        <v>39</v>
      </c>
      <c r="H207">
        <f t="shared" si="4"/>
        <v>-114</v>
      </c>
      <c r="I207">
        <v>-9.3000000000000007</v>
      </c>
      <c r="L207">
        <f>160+2*(Table2579[[#This Row],[min value (corrected)]]-23)</f>
        <v>162</v>
      </c>
      <c r="M207">
        <f>MINUTE(Table2579[[#This Row],[Corrected time]])</f>
        <v>24</v>
      </c>
      <c r="N207" s="1">
        <v>0.64179684027777784</v>
      </c>
      <c r="O207" s="1">
        <f>Table2579[[#This Row],[Time]]-TIME(0,0,10)</f>
        <v>0.64168109953703711</v>
      </c>
      <c r="P207" t="s">
        <v>9</v>
      </c>
      <c r="Q207">
        <v>-113</v>
      </c>
      <c r="R207">
        <f>Table2579[[#This Row],[RSSI]]</f>
        <v>-113</v>
      </c>
      <c r="S207">
        <v>-7.5</v>
      </c>
    </row>
    <row r="208" spans="2:19" x14ac:dyDescent="0.25">
      <c r="B208">
        <f>160+2*(Table1468[[#This Row],[min value (corrected)]]-32)</f>
        <v>164</v>
      </c>
      <c r="C208">
        <f>MINUTE(Table1468[[#This Row],[Corrected time]])</f>
        <v>34</v>
      </c>
      <c r="D208" s="1">
        <v>0.6493380671296296</v>
      </c>
      <c r="E208" s="1">
        <f>Table1468[[#This Row],[Time]]-TIME(0,0,11)</f>
        <v>0.64921075231481484</v>
      </c>
      <c r="F208" t="s">
        <v>9</v>
      </c>
      <c r="G208" t="s">
        <v>39</v>
      </c>
      <c r="H208">
        <f t="shared" si="4"/>
        <v>-114</v>
      </c>
      <c r="I208">
        <v>-8.3000000000000007</v>
      </c>
      <c r="L208">
        <f>160+2*(Table2579[[#This Row],[min value (corrected)]]-23)</f>
        <v>162</v>
      </c>
      <c r="M208">
        <f>MINUTE(Table2579[[#This Row],[Corrected time]])</f>
        <v>24</v>
      </c>
      <c r="N208" s="1">
        <v>0.64180903935185185</v>
      </c>
      <c r="O208" s="1">
        <f>Table2579[[#This Row],[Time]]-TIME(0,0,10)</f>
        <v>0.64169329861111113</v>
      </c>
      <c r="P208" t="s">
        <v>13</v>
      </c>
      <c r="Q208">
        <f>Q207</f>
        <v>-113</v>
      </c>
      <c r="R208">
        <f>Table2579[[#This Row],[RSSI]]</f>
        <v>-113</v>
      </c>
      <c r="S208">
        <f>S207</f>
        <v>-7.5</v>
      </c>
    </row>
    <row r="209" spans="2:19" x14ac:dyDescent="0.25">
      <c r="B209">
        <f>160+2*(Table1468[[#This Row],[min value (corrected)]]-32)</f>
        <v>164</v>
      </c>
      <c r="C209">
        <f>MINUTE(Table1468[[#This Row],[Corrected time]])</f>
        <v>34</v>
      </c>
      <c r="D209" s="1">
        <v>0.64935025462962959</v>
      </c>
      <c r="E209" s="1">
        <f>Table1468[[#This Row],[Time]]-TIME(0,0,11)</f>
        <v>0.64922293981481483</v>
      </c>
      <c r="F209" t="s">
        <v>13</v>
      </c>
      <c r="G209" t="str">
        <f>G208</f>
        <v>-114.0,</v>
      </c>
      <c r="H209">
        <f t="shared" si="4"/>
        <v>-114</v>
      </c>
      <c r="I209">
        <f>I208</f>
        <v>-8.3000000000000007</v>
      </c>
      <c r="L209">
        <f>160+2*(Table2579[[#This Row],[min value (corrected)]]-23)</f>
        <v>162</v>
      </c>
      <c r="M209">
        <f>MINUTE(Table2579[[#This Row],[Corrected time]])</f>
        <v>24</v>
      </c>
      <c r="N209" s="1">
        <v>0.64182122685185183</v>
      </c>
      <c r="O209" s="1">
        <f>Table2579[[#This Row],[Time]]-TIME(0,0,10)</f>
        <v>0.64170548611111111</v>
      </c>
      <c r="P209" t="s">
        <v>9</v>
      </c>
      <c r="Q209">
        <v>-113</v>
      </c>
      <c r="R209">
        <f>Table2579[[#This Row],[RSSI]]</f>
        <v>-113</v>
      </c>
      <c r="S209">
        <v>-8.5</v>
      </c>
    </row>
    <row r="210" spans="2:19" x14ac:dyDescent="0.25">
      <c r="B210">
        <f>160+2*(Table1468[[#This Row],[min value (corrected)]]-32)</f>
        <v>164</v>
      </c>
      <c r="C210">
        <f>MINUTE(Table1468[[#This Row],[Corrected time]])</f>
        <v>34</v>
      </c>
      <c r="D210" s="1">
        <v>0.64936244212962968</v>
      </c>
      <c r="E210" s="1">
        <f>Table1468[[#This Row],[Time]]-TIME(0,0,11)</f>
        <v>0.64923512731481492</v>
      </c>
      <c r="F210" t="s">
        <v>9</v>
      </c>
      <c r="G210" t="s">
        <v>37</v>
      </c>
      <c r="H210">
        <f t="shared" si="4"/>
        <v>-113</v>
      </c>
      <c r="I210">
        <v>-8</v>
      </c>
      <c r="L210">
        <f>160+2*(Table2579[[#This Row],[min value (corrected)]]-23)</f>
        <v>162</v>
      </c>
      <c r="M210">
        <f>MINUTE(Table2579[[#This Row],[Corrected time]])</f>
        <v>24</v>
      </c>
      <c r="N210" s="1">
        <v>0.64183340277777778</v>
      </c>
      <c r="O210" s="1">
        <f>Table2579[[#This Row],[Time]]-TIME(0,0,10)</f>
        <v>0.64171766203703706</v>
      </c>
      <c r="P210" t="s">
        <v>9</v>
      </c>
      <c r="Q210">
        <v>-113</v>
      </c>
      <c r="R210">
        <f>Table2579[[#This Row],[RSSI]]</f>
        <v>-113</v>
      </c>
      <c r="S210">
        <v>-8.3000000000000007</v>
      </c>
    </row>
    <row r="211" spans="2:19" x14ac:dyDescent="0.25">
      <c r="B211">
        <f>160+2*(Table1468[[#This Row],[min value (corrected)]]-32)</f>
        <v>164</v>
      </c>
      <c r="C211">
        <f>MINUTE(Table1468[[#This Row],[Corrected time]])</f>
        <v>34</v>
      </c>
      <c r="D211" s="1">
        <v>0.64937462962962966</v>
      </c>
      <c r="E211" s="1">
        <f>Table1468[[#This Row],[Time]]-TIME(0,0,11)</f>
        <v>0.6492473148148149</v>
      </c>
      <c r="F211" t="s">
        <v>9</v>
      </c>
      <c r="G211" t="s">
        <v>39</v>
      </c>
      <c r="H211">
        <f t="shared" si="4"/>
        <v>-114</v>
      </c>
      <c r="I211">
        <v>-8.5</v>
      </c>
      <c r="L211">
        <f>160+2*(Table2579[[#This Row],[min value (corrected)]]-23)</f>
        <v>162</v>
      </c>
      <c r="M211">
        <f>MINUTE(Table2579[[#This Row],[Corrected time]])</f>
        <v>24</v>
      </c>
      <c r="N211" s="1">
        <v>0.64184561342592594</v>
      </c>
      <c r="O211" s="1">
        <f>Table2579[[#This Row],[Time]]-TIME(0,0,10)</f>
        <v>0.64172987268518522</v>
      </c>
      <c r="P211" t="s">
        <v>9</v>
      </c>
      <c r="Q211">
        <v>-112</v>
      </c>
      <c r="R211">
        <f>Table2579[[#This Row],[RSSI]]</f>
        <v>-112</v>
      </c>
      <c r="S211">
        <v>-7.7</v>
      </c>
    </row>
    <row r="212" spans="2:19" x14ac:dyDescent="0.25">
      <c r="B212">
        <f>160+2*(Table1468[[#This Row],[min value (corrected)]]-32)</f>
        <v>164</v>
      </c>
      <c r="C212">
        <f>MINUTE(Table1468[[#This Row],[Corrected time]])</f>
        <v>34</v>
      </c>
      <c r="D212" s="1">
        <v>0.64938681712962965</v>
      </c>
      <c r="E212" s="1">
        <f>Table1468[[#This Row],[Time]]-TIME(0,0,11)</f>
        <v>0.64925950231481488</v>
      </c>
      <c r="F212" t="s">
        <v>9</v>
      </c>
      <c r="G212" t="s">
        <v>39</v>
      </c>
      <c r="H212">
        <f t="shared" si="4"/>
        <v>-114</v>
      </c>
      <c r="I212">
        <v>-8.8000000000000007</v>
      </c>
      <c r="L212">
        <f>160+2*(Table2579[[#This Row],[min value (corrected)]]-23)</f>
        <v>162</v>
      </c>
      <c r="M212">
        <f>MINUTE(Table2579[[#This Row],[Corrected time]])</f>
        <v>24</v>
      </c>
      <c r="N212" s="1">
        <v>0.64185778935185189</v>
      </c>
      <c r="O212" s="1">
        <f>Table2579[[#This Row],[Time]]-TIME(0,0,10)</f>
        <v>0.64174204861111117</v>
      </c>
      <c r="P212" t="s">
        <v>9</v>
      </c>
      <c r="Q212">
        <v>-113</v>
      </c>
      <c r="R212">
        <f>Table2579[[#This Row],[RSSI]]</f>
        <v>-113</v>
      </c>
      <c r="S212">
        <v>-7.7</v>
      </c>
    </row>
    <row r="213" spans="2:19" x14ac:dyDescent="0.25">
      <c r="B213">
        <f>160+2*(Table1468[[#This Row],[min value (corrected)]]-32)</f>
        <v>164</v>
      </c>
      <c r="C213">
        <f>MINUTE(Table1468[[#This Row],[Corrected time]])</f>
        <v>34</v>
      </c>
      <c r="D213" s="1">
        <v>0.64939900462962963</v>
      </c>
      <c r="E213" s="1">
        <f>Table1468[[#This Row],[Time]]-TIME(0,0,11)</f>
        <v>0.64927168981481487</v>
      </c>
      <c r="F213" t="s">
        <v>13</v>
      </c>
      <c r="G213" t="str">
        <f t="shared" ref="G213:G214" si="7">G212</f>
        <v>-114.0,</v>
      </c>
      <c r="H213">
        <f t="shared" si="4"/>
        <v>-114</v>
      </c>
      <c r="I213">
        <f t="shared" ref="I213:I214" si="8">I212</f>
        <v>-8.8000000000000007</v>
      </c>
      <c r="L213">
        <f>160+2*(Table2579[[#This Row],[min value (corrected)]]-23)</f>
        <v>162</v>
      </c>
      <c r="M213">
        <f>MINUTE(Table2579[[#This Row],[Corrected time]])</f>
        <v>24</v>
      </c>
      <c r="N213" s="1">
        <v>0.64186998842592591</v>
      </c>
      <c r="O213" s="1">
        <f>Table2579[[#This Row],[Time]]-TIME(0,0,10)</f>
        <v>0.64175424768518519</v>
      </c>
      <c r="P213" t="s">
        <v>9</v>
      </c>
      <c r="Q213">
        <v>-113</v>
      </c>
      <c r="R213">
        <f>Table2579[[#This Row],[RSSI]]</f>
        <v>-113</v>
      </c>
      <c r="S213">
        <v>-7.2</v>
      </c>
    </row>
    <row r="214" spans="2:19" x14ac:dyDescent="0.25">
      <c r="B214">
        <f>160+2*(Table1468[[#This Row],[min value (corrected)]]-32)</f>
        <v>164</v>
      </c>
      <c r="C214">
        <f>MINUTE(Table1468[[#This Row],[Corrected time]])</f>
        <v>34</v>
      </c>
      <c r="D214" s="1">
        <v>0.64941119212962961</v>
      </c>
      <c r="E214" s="1">
        <f>Table1468[[#This Row],[Time]]-TIME(0,0,11)</f>
        <v>0.64928387731481485</v>
      </c>
      <c r="F214" t="s">
        <v>13</v>
      </c>
      <c r="G214" t="str">
        <f t="shared" si="7"/>
        <v>-114.0,</v>
      </c>
      <c r="H214">
        <f t="shared" ref="H214:H277" si="9">VALUE(LEFT(G214,LEN(G214)-1))</f>
        <v>-114</v>
      </c>
      <c r="I214">
        <f t="shared" si="8"/>
        <v>-8.8000000000000007</v>
      </c>
      <c r="L214">
        <f>160+2*(Table2579[[#This Row],[min value (corrected)]]-23)</f>
        <v>162</v>
      </c>
      <c r="M214">
        <f>MINUTE(Table2579[[#This Row],[Corrected time]])</f>
        <v>24</v>
      </c>
      <c r="N214" s="1">
        <v>0.64188215277777783</v>
      </c>
      <c r="O214" s="1">
        <f>Table2579[[#This Row],[Time]]-TIME(0,0,10)</f>
        <v>0.6417664120370371</v>
      </c>
      <c r="P214" t="s">
        <v>9</v>
      </c>
      <c r="Q214">
        <v>-113</v>
      </c>
      <c r="R214">
        <f>Table2579[[#This Row],[RSSI]]</f>
        <v>-113</v>
      </c>
      <c r="S214">
        <v>-7.7</v>
      </c>
    </row>
    <row r="215" spans="2:19" x14ac:dyDescent="0.25">
      <c r="B215">
        <f>160+2*(Table1468[[#This Row],[min value (corrected)]]-32)</f>
        <v>164</v>
      </c>
      <c r="C215">
        <f>MINUTE(Table1468[[#This Row],[Corrected time]])</f>
        <v>34</v>
      </c>
      <c r="D215" s="1">
        <v>0.64942337962962959</v>
      </c>
      <c r="E215" s="1">
        <f>Table1468[[#This Row],[Time]]-TIME(0,0,11)</f>
        <v>0.64929606481481483</v>
      </c>
      <c r="F215" t="s">
        <v>9</v>
      </c>
      <c r="G215" t="s">
        <v>37</v>
      </c>
      <c r="H215">
        <f t="shared" si="9"/>
        <v>-113</v>
      </c>
      <c r="I215">
        <v>-8.5</v>
      </c>
      <c r="L215">
        <f>160+2*(Table2579[[#This Row],[min value (corrected)]]-23)</f>
        <v>162</v>
      </c>
      <c r="M215">
        <f>MINUTE(Table2579[[#This Row],[Corrected time]])</f>
        <v>24</v>
      </c>
      <c r="N215" s="1">
        <v>0.64189436342592598</v>
      </c>
      <c r="O215" s="1">
        <f>Table2579[[#This Row],[Time]]-TIME(0,0,10)</f>
        <v>0.64177862268518526</v>
      </c>
      <c r="P215" t="s">
        <v>9</v>
      </c>
      <c r="Q215">
        <v>-113</v>
      </c>
      <c r="R215">
        <f>Table2579[[#This Row],[RSSI]]</f>
        <v>-113</v>
      </c>
      <c r="S215">
        <v>-7.5</v>
      </c>
    </row>
    <row r="216" spans="2:19" x14ac:dyDescent="0.25">
      <c r="B216">
        <f>160+2*(Table1468[[#This Row],[min value (corrected)]]-32)</f>
        <v>166</v>
      </c>
      <c r="C216">
        <f>MINUTE(Table1468[[#This Row],[Corrected time]])</f>
        <v>35</v>
      </c>
      <c r="D216" s="1">
        <v>0.64943555555555554</v>
      </c>
      <c r="E216" s="1">
        <f>Table1468[[#This Row],[Time]]-TIME(0,0,11)</f>
        <v>0.64930824074074078</v>
      </c>
      <c r="F216" t="s">
        <v>9</v>
      </c>
      <c r="G216" t="s">
        <v>39</v>
      </c>
      <c r="H216">
        <f t="shared" si="9"/>
        <v>-114</v>
      </c>
      <c r="I216">
        <v>-8.8000000000000007</v>
      </c>
      <c r="L216">
        <f>160+2*(Table2579[[#This Row],[min value (corrected)]]-23)</f>
        <v>162</v>
      </c>
      <c r="M216">
        <f>MINUTE(Table2579[[#This Row],[Corrected time]])</f>
        <v>24</v>
      </c>
      <c r="N216" s="1">
        <v>0.64190655092592597</v>
      </c>
      <c r="O216" s="1">
        <f>Table2579[[#This Row],[Time]]-TIME(0,0,10)</f>
        <v>0.64179081018518525</v>
      </c>
      <c r="P216" t="s">
        <v>9</v>
      </c>
      <c r="Q216">
        <v>-111</v>
      </c>
      <c r="R216">
        <f>Table2579[[#This Row],[RSSI]]</f>
        <v>-111</v>
      </c>
      <c r="S216">
        <v>-6.7</v>
      </c>
    </row>
    <row r="217" spans="2:19" x14ac:dyDescent="0.25">
      <c r="B217">
        <f>160+2*(Table1468[[#This Row],[min value (corrected)]]-32)</f>
        <v>166</v>
      </c>
      <c r="C217">
        <f>MINUTE(Table1468[[#This Row],[Corrected time]])</f>
        <v>35</v>
      </c>
      <c r="D217" s="1">
        <v>0.64944775462962967</v>
      </c>
      <c r="E217" s="1">
        <f>Table1468[[#This Row],[Time]]-TIME(0,0,11)</f>
        <v>0.64932043981481491</v>
      </c>
      <c r="F217" t="s">
        <v>9</v>
      </c>
      <c r="G217" t="s">
        <v>37</v>
      </c>
      <c r="H217">
        <f t="shared" si="9"/>
        <v>-113</v>
      </c>
      <c r="I217">
        <v>-9.3000000000000007</v>
      </c>
      <c r="L217">
        <f>160+2*(Table2579[[#This Row],[min value (corrected)]]-23)</f>
        <v>162</v>
      </c>
      <c r="M217">
        <f>MINUTE(Table2579[[#This Row],[Corrected time]])</f>
        <v>24</v>
      </c>
      <c r="N217" s="1">
        <v>0.64191873842592595</v>
      </c>
      <c r="O217" s="1">
        <f>Table2579[[#This Row],[Time]]-TIME(0,0,10)</f>
        <v>0.64180299768518523</v>
      </c>
      <c r="P217" t="s">
        <v>9</v>
      </c>
      <c r="Q217">
        <v>-114</v>
      </c>
      <c r="R217">
        <f>Table2579[[#This Row],[RSSI]]</f>
        <v>-114</v>
      </c>
      <c r="S217">
        <v>-8.5</v>
      </c>
    </row>
    <row r="218" spans="2:19" x14ac:dyDescent="0.25">
      <c r="B218">
        <f>160+2*(Table1468[[#This Row],[min value (corrected)]]-32)</f>
        <v>166</v>
      </c>
      <c r="C218">
        <f>MINUTE(Table1468[[#This Row],[Corrected time]])</f>
        <v>35</v>
      </c>
      <c r="D218" s="1">
        <v>0.64945994212962965</v>
      </c>
      <c r="E218" s="1">
        <f>Table1468[[#This Row],[Time]]-TIME(0,0,11)</f>
        <v>0.64933262731481489</v>
      </c>
      <c r="F218" t="s">
        <v>9</v>
      </c>
      <c r="G218" t="s">
        <v>39</v>
      </c>
      <c r="H218">
        <f t="shared" si="9"/>
        <v>-114</v>
      </c>
      <c r="I218">
        <v>-9.3000000000000007</v>
      </c>
      <c r="L218">
        <f>160+2*(Table2579[[#This Row],[min value (corrected)]]-23)</f>
        <v>162</v>
      </c>
      <c r="M218">
        <f>MINUTE(Table2579[[#This Row],[Corrected time]])</f>
        <v>24</v>
      </c>
      <c r="N218" s="1">
        <v>0.64193091435185179</v>
      </c>
      <c r="O218" s="1">
        <f>Table2579[[#This Row],[Time]]-TIME(0,0,10)</f>
        <v>0.64181517361111107</v>
      </c>
      <c r="P218" t="s">
        <v>9</v>
      </c>
      <c r="Q218">
        <v>-113</v>
      </c>
      <c r="R218">
        <f>Table2579[[#This Row],[RSSI]]</f>
        <v>-113</v>
      </c>
      <c r="S218">
        <v>-8</v>
      </c>
    </row>
    <row r="219" spans="2:19" x14ac:dyDescent="0.25">
      <c r="B219">
        <f>160+2*(Table1468[[#This Row],[min value (corrected)]]-32)</f>
        <v>166</v>
      </c>
      <c r="C219">
        <f>MINUTE(Table1468[[#This Row],[Corrected time]])</f>
        <v>35</v>
      </c>
      <c r="D219" s="1">
        <v>0.64947212962962964</v>
      </c>
      <c r="E219" s="1">
        <f>Table1468[[#This Row],[Time]]-TIME(0,0,11)</f>
        <v>0.64934481481481487</v>
      </c>
      <c r="F219" t="s">
        <v>13</v>
      </c>
      <c r="G219" t="str">
        <f>G218</f>
        <v>-114.0,</v>
      </c>
      <c r="H219">
        <f t="shared" si="9"/>
        <v>-114</v>
      </c>
      <c r="I219">
        <f>I218</f>
        <v>-9.3000000000000007</v>
      </c>
      <c r="L219">
        <f>160+2*(Table2579[[#This Row],[min value (corrected)]]-23)</f>
        <v>162</v>
      </c>
      <c r="M219">
        <f>MINUTE(Table2579[[#This Row],[Corrected time]])</f>
        <v>24</v>
      </c>
      <c r="N219" s="1">
        <v>0.64194310185185188</v>
      </c>
      <c r="O219" s="1">
        <f>Table2579[[#This Row],[Time]]-TIME(0,0,10)</f>
        <v>0.64182736111111116</v>
      </c>
      <c r="P219" t="s">
        <v>9</v>
      </c>
      <c r="Q219">
        <v>-113</v>
      </c>
      <c r="R219">
        <f>Table2579[[#This Row],[RSSI]]</f>
        <v>-113</v>
      </c>
      <c r="S219">
        <v>-8</v>
      </c>
    </row>
    <row r="220" spans="2:19" x14ac:dyDescent="0.25">
      <c r="B220">
        <f>160+2*(Table1468[[#This Row],[min value (corrected)]]-32)</f>
        <v>166</v>
      </c>
      <c r="C220">
        <f>MINUTE(Table1468[[#This Row],[Corrected time]])</f>
        <v>35</v>
      </c>
      <c r="D220" s="1">
        <v>0.64948429398148144</v>
      </c>
      <c r="E220" s="1">
        <f>Table1468[[#This Row],[Time]]-TIME(0,0,11)</f>
        <v>0.64935697916666668</v>
      </c>
      <c r="F220" t="s">
        <v>9</v>
      </c>
      <c r="G220" t="s">
        <v>39</v>
      </c>
      <c r="H220">
        <f t="shared" si="9"/>
        <v>-114</v>
      </c>
      <c r="I220">
        <v>-8.5</v>
      </c>
      <c r="L220">
        <f>160+2*(Table2579[[#This Row],[min value (corrected)]]-23)</f>
        <v>162</v>
      </c>
      <c r="M220">
        <f>MINUTE(Table2579[[#This Row],[Corrected time]])</f>
        <v>24</v>
      </c>
      <c r="N220" s="1">
        <v>0.6419553009259259</v>
      </c>
      <c r="O220" s="1">
        <f>Table2579[[#This Row],[Time]]-TIME(0,0,10)</f>
        <v>0.64183956018518518</v>
      </c>
      <c r="P220" t="s">
        <v>9</v>
      </c>
      <c r="Q220">
        <v>-113</v>
      </c>
      <c r="R220">
        <f>Table2579[[#This Row],[RSSI]]</f>
        <v>-113</v>
      </c>
      <c r="S220">
        <v>-8</v>
      </c>
    </row>
    <row r="221" spans="2:19" x14ac:dyDescent="0.25">
      <c r="B221">
        <f>160+2*(Table1468[[#This Row],[min value (corrected)]]-32)</f>
        <v>166</v>
      </c>
      <c r="C221">
        <f>MINUTE(Table1468[[#This Row],[Corrected time]])</f>
        <v>35</v>
      </c>
      <c r="D221" s="1">
        <v>0.6494965046296296</v>
      </c>
      <c r="E221" s="1">
        <f>Table1468[[#This Row],[Time]]-TIME(0,0,11)</f>
        <v>0.64936918981481484</v>
      </c>
      <c r="F221" t="s">
        <v>13</v>
      </c>
      <c r="G221" t="str">
        <f>G220</f>
        <v>-114.0,</v>
      </c>
      <c r="H221">
        <f t="shared" si="9"/>
        <v>-114</v>
      </c>
      <c r="I221">
        <f>I220</f>
        <v>-8.5</v>
      </c>
      <c r="L221">
        <f>160+2*(Table2579[[#This Row],[min value (corrected)]]-23)</f>
        <v>162</v>
      </c>
      <c r="M221">
        <f>MINUTE(Table2579[[#This Row],[Corrected time]])</f>
        <v>24</v>
      </c>
      <c r="N221" s="1">
        <v>0.64196747685185185</v>
      </c>
      <c r="O221" s="1">
        <f>Table2579[[#This Row],[Time]]-TIME(0,0,10)</f>
        <v>0.64185173611111113</v>
      </c>
      <c r="P221" t="s">
        <v>9</v>
      </c>
      <c r="Q221">
        <v>-113</v>
      </c>
      <c r="R221">
        <f>Table2579[[#This Row],[RSSI]]</f>
        <v>-113</v>
      </c>
      <c r="S221">
        <v>-7.5</v>
      </c>
    </row>
    <row r="222" spans="2:19" x14ac:dyDescent="0.25">
      <c r="B222">
        <f>160+2*(Table1468[[#This Row],[min value (corrected)]]-32)</f>
        <v>166</v>
      </c>
      <c r="C222">
        <f>MINUTE(Table1468[[#This Row],[Corrected time]])</f>
        <v>35</v>
      </c>
      <c r="D222" s="1">
        <v>0.64950869212962958</v>
      </c>
      <c r="E222" s="1">
        <f>Table1468[[#This Row],[Time]]-TIME(0,0,11)</f>
        <v>0.64938137731481482</v>
      </c>
      <c r="F222" t="s">
        <v>9</v>
      </c>
      <c r="G222" t="s">
        <v>43</v>
      </c>
      <c r="H222">
        <f t="shared" si="9"/>
        <v>-115</v>
      </c>
      <c r="I222">
        <v>-8.8000000000000007</v>
      </c>
      <c r="L222">
        <f>160+2*(Table2579[[#This Row],[min value (corrected)]]-23)</f>
        <v>162</v>
      </c>
      <c r="M222">
        <f>MINUTE(Table2579[[#This Row],[Corrected time]])</f>
        <v>24</v>
      </c>
      <c r="N222" s="1">
        <v>0.64197967592592597</v>
      </c>
      <c r="O222" s="1">
        <f>Table2579[[#This Row],[Time]]-TIME(0,0,10)</f>
        <v>0.64186393518518525</v>
      </c>
      <c r="P222" t="s">
        <v>9</v>
      </c>
      <c r="Q222">
        <v>-113</v>
      </c>
      <c r="R222">
        <f>Table2579[[#This Row],[RSSI]]</f>
        <v>-113</v>
      </c>
      <c r="S222">
        <v>-7.2</v>
      </c>
    </row>
    <row r="223" spans="2:19" x14ac:dyDescent="0.25">
      <c r="B223">
        <f>160+2*(Table1468[[#This Row],[min value (corrected)]]-32)</f>
        <v>166</v>
      </c>
      <c r="C223">
        <f>MINUTE(Table1468[[#This Row],[Corrected time]])</f>
        <v>35</v>
      </c>
      <c r="D223" s="1">
        <v>0.64952087962962968</v>
      </c>
      <c r="E223" s="1">
        <f>Table1468[[#This Row],[Time]]-TIME(0,0,11)</f>
        <v>0.64939356481481492</v>
      </c>
      <c r="F223" t="s">
        <v>9</v>
      </c>
      <c r="G223" t="s">
        <v>39</v>
      </c>
      <c r="H223">
        <f t="shared" si="9"/>
        <v>-114</v>
      </c>
      <c r="I223">
        <v>-8.3000000000000007</v>
      </c>
      <c r="L223">
        <f>160+2*(Table2579[[#This Row],[min value (corrected)]]-23)</f>
        <v>162</v>
      </c>
      <c r="M223">
        <f>MINUTE(Table2579[[#This Row],[Corrected time]])</f>
        <v>24</v>
      </c>
      <c r="N223" s="1">
        <v>0.64199184027777778</v>
      </c>
      <c r="O223" s="1">
        <f>Table2579[[#This Row],[Time]]-TIME(0,0,10)</f>
        <v>0.64187609953703706</v>
      </c>
      <c r="P223" t="s">
        <v>9</v>
      </c>
      <c r="Q223">
        <v>-113</v>
      </c>
      <c r="R223">
        <f>Table2579[[#This Row],[RSSI]]</f>
        <v>-113</v>
      </c>
      <c r="S223">
        <v>-8.5</v>
      </c>
    </row>
    <row r="224" spans="2:19" x14ac:dyDescent="0.25">
      <c r="B224">
        <f>160+2*(Table1468[[#This Row],[min value (corrected)]]-32)</f>
        <v>166</v>
      </c>
      <c r="C224">
        <f>MINUTE(Table1468[[#This Row],[Corrected time]])</f>
        <v>35</v>
      </c>
      <c r="D224" s="1">
        <v>0.64953305555555563</v>
      </c>
      <c r="E224" s="1">
        <f>Table1468[[#This Row],[Time]]-TIME(0,0,11)</f>
        <v>0.64940574074074087</v>
      </c>
      <c r="F224" t="s">
        <v>9</v>
      </c>
      <c r="G224" t="s">
        <v>39</v>
      </c>
      <c r="H224">
        <f t="shared" si="9"/>
        <v>-114</v>
      </c>
      <c r="I224">
        <v>-8</v>
      </c>
      <c r="L224">
        <f>160+2*(Table2579[[#This Row],[min value (corrected)]]-23)</f>
        <v>162</v>
      </c>
      <c r="M224">
        <f>MINUTE(Table2579[[#This Row],[Corrected time]])</f>
        <v>24</v>
      </c>
      <c r="N224" s="1">
        <v>0.64200402777777776</v>
      </c>
      <c r="O224" s="1">
        <f>Table2579[[#This Row],[Time]]-TIME(0,0,10)</f>
        <v>0.64188828703703704</v>
      </c>
      <c r="P224" t="s">
        <v>9</v>
      </c>
      <c r="Q224">
        <v>-113</v>
      </c>
      <c r="R224">
        <f>Table2579[[#This Row],[RSSI]]</f>
        <v>-113</v>
      </c>
      <c r="S224">
        <v>-7.5</v>
      </c>
    </row>
    <row r="225" spans="2:19" x14ac:dyDescent="0.25">
      <c r="B225">
        <f>160+2*(Table1468[[#This Row],[min value (corrected)]]-32)</f>
        <v>166</v>
      </c>
      <c r="C225">
        <f>MINUTE(Table1468[[#This Row],[Corrected time]])</f>
        <v>35</v>
      </c>
      <c r="D225" s="1">
        <v>0.64954524305555561</v>
      </c>
      <c r="E225" s="1">
        <f>Table1468[[#This Row],[Time]]-TIME(0,0,11)</f>
        <v>0.64941792824074085</v>
      </c>
      <c r="F225" t="s">
        <v>9</v>
      </c>
      <c r="G225" t="s">
        <v>37</v>
      </c>
      <c r="H225">
        <f t="shared" si="9"/>
        <v>-113</v>
      </c>
      <c r="I225">
        <v>-7.5</v>
      </c>
      <c r="L225">
        <f>160+2*(Table2579[[#This Row],[min value (corrected)]]-23)</f>
        <v>162</v>
      </c>
      <c r="M225">
        <f>MINUTE(Table2579[[#This Row],[Corrected time]])</f>
        <v>24</v>
      </c>
      <c r="N225" s="1">
        <v>0.64201622685185178</v>
      </c>
      <c r="O225" s="1">
        <f>Table2579[[#This Row],[Time]]-TIME(0,0,10)</f>
        <v>0.64190048611111106</v>
      </c>
      <c r="P225" t="s">
        <v>9</v>
      </c>
      <c r="Q225">
        <v>-113</v>
      </c>
      <c r="R225">
        <f>Table2579[[#This Row],[RSSI]]</f>
        <v>-113</v>
      </c>
      <c r="S225">
        <v>-7.5</v>
      </c>
    </row>
    <row r="226" spans="2:19" x14ac:dyDescent="0.25">
      <c r="B226">
        <f>160+2*(Table1468[[#This Row],[min value (corrected)]]-32)</f>
        <v>166</v>
      </c>
      <c r="C226">
        <f>MINUTE(Table1468[[#This Row],[Corrected time]])</f>
        <v>35</v>
      </c>
      <c r="D226" s="1">
        <v>0.64955744212962963</v>
      </c>
      <c r="E226" s="1">
        <f>Table1468[[#This Row],[Time]]-TIME(0,0,11)</f>
        <v>0.64943012731481486</v>
      </c>
      <c r="F226" t="s">
        <v>9</v>
      </c>
      <c r="G226" t="s">
        <v>39</v>
      </c>
      <c r="H226">
        <f t="shared" si="9"/>
        <v>-114</v>
      </c>
      <c r="I226">
        <v>-8.3000000000000007</v>
      </c>
      <c r="L226">
        <f>160+2*(Table2579[[#This Row],[min value (corrected)]]-23)</f>
        <v>162</v>
      </c>
      <c r="M226">
        <f>MINUTE(Table2579[[#This Row],[Corrected time]])</f>
        <v>24</v>
      </c>
      <c r="N226" s="1">
        <v>0.64202842592592591</v>
      </c>
      <c r="O226" s="1">
        <f>Table2579[[#This Row],[Time]]-TIME(0,0,10)</f>
        <v>0.64191268518518518</v>
      </c>
      <c r="P226" t="s">
        <v>9</v>
      </c>
      <c r="Q226">
        <v>-112</v>
      </c>
      <c r="R226">
        <f>Table2579[[#This Row],[RSSI]]</f>
        <v>-112</v>
      </c>
      <c r="S226">
        <v>-7</v>
      </c>
    </row>
    <row r="227" spans="2:19" x14ac:dyDescent="0.25">
      <c r="B227">
        <f>160+2*(Table1468[[#This Row],[min value (corrected)]]-32)</f>
        <v>166</v>
      </c>
      <c r="C227">
        <f>MINUTE(Table1468[[#This Row],[Corrected time]])</f>
        <v>35</v>
      </c>
      <c r="D227" s="1">
        <v>0.64956961805555558</v>
      </c>
      <c r="E227" s="1">
        <f>Table1468[[#This Row],[Time]]-TIME(0,0,11)</f>
        <v>0.64944230324074081</v>
      </c>
      <c r="F227" t="s">
        <v>9</v>
      </c>
      <c r="G227" t="s">
        <v>39</v>
      </c>
      <c r="H227">
        <f t="shared" si="9"/>
        <v>-114</v>
      </c>
      <c r="I227">
        <v>-9</v>
      </c>
      <c r="L227">
        <f>160+2*(Table2579[[#This Row],[min value (corrected)]]-23)</f>
        <v>162</v>
      </c>
      <c r="M227">
        <f>MINUTE(Table2579[[#This Row],[Corrected time]])</f>
        <v>24</v>
      </c>
      <c r="N227" s="1">
        <v>0.64204060185185186</v>
      </c>
      <c r="O227" s="1">
        <f>Table2579[[#This Row],[Time]]-TIME(0,0,10)</f>
        <v>0.64192486111111113</v>
      </c>
      <c r="P227" t="s">
        <v>9</v>
      </c>
      <c r="Q227">
        <v>-113</v>
      </c>
      <c r="R227">
        <f>Table2579[[#This Row],[RSSI]]</f>
        <v>-113</v>
      </c>
      <c r="S227">
        <v>-7.2</v>
      </c>
    </row>
    <row r="228" spans="2:19" x14ac:dyDescent="0.25">
      <c r="B228">
        <f>160+2*(Table1468[[#This Row],[min value (corrected)]]-32)</f>
        <v>166</v>
      </c>
      <c r="C228">
        <f>MINUTE(Table1468[[#This Row],[Corrected time]])</f>
        <v>35</v>
      </c>
      <c r="D228" s="1">
        <v>0.64958181712962959</v>
      </c>
      <c r="E228" s="1">
        <f>Table1468[[#This Row],[Time]]-TIME(0,0,11)</f>
        <v>0.64945450231481483</v>
      </c>
      <c r="F228" t="s">
        <v>9</v>
      </c>
      <c r="G228" t="s">
        <v>39</v>
      </c>
      <c r="H228">
        <f t="shared" si="9"/>
        <v>-114</v>
      </c>
      <c r="I228">
        <v>-8.3000000000000007</v>
      </c>
      <c r="L228">
        <f>160+2*(Table2579[[#This Row],[min value (corrected)]]-23)</f>
        <v>162</v>
      </c>
      <c r="M228">
        <f>MINUTE(Table2579[[#This Row],[Corrected time]])</f>
        <v>24</v>
      </c>
      <c r="N228" s="1">
        <v>0.64205280092592598</v>
      </c>
      <c r="O228" s="1">
        <f>Table2579[[#This Row],[Time]]-TIME(0,0,10)</f>
        <v>0.64193706018518526</v>
      </c>
      <c r="P228" t="s">
        <v>9</v>
      </c>
      <c r="Q228">
        <v>-113</v>
      </c>
      <c r="R228">
        <f>Table2579[[#This Row],[RSSI]]</f>
        <v>-113</v>
      </c>
      <c r="S228">
        <v>-7.5</v>
      </c>
    </row>
    <row r="229" spans="2:19" x14ac:dyDescent="0.25">
      <c r="B229">
        <f>160+2*(Table1468[[#This Row],[min value (corrected)]]-32)</f>
        <v>166</v>
      </c>
      <c r="C229">
        <f>MINUTE(Table1468[[#This Row],[Corrected time]])</f>
        <v>35</v>
      </c>
      <c r="D229" s="1">
        <v>0.64959400462962957</v>
      </c>
      <c r="E229" s="1">
        <f>Table1468[[#This Row],[Time]]-TIME(0,0,11)</f>
        <v>0.64946668981481481</v>
      </c>
      <c r="F229" t="s">
        <v>9</v>
      </c>
      <c r="G229" t="s">
        <v>37</v>
      </c>
      <c r="H229">
        <f t="shared" si="9"/>
        <v>-113</v>
      </c>
      <c r="I229">
        <v>-7.7</v>
      </c>
      <c r="L229">
        <f>160+2*(Table2579[[#This Row],[min value (corrected)]]-23)</f>
        <v>162</v>
      </c>
      <c r="M229">
        <f>MINUTE(Table2579[[#This Row],[Corrected time]])</f>
        <v>24</v>
      </c>
      <c r="N229" s="1">
        <v>0.64206498842592596</v>
      </c>
      <c r="O229" s="1">
        <f>Table2579[[#This Row],[Time]]-TIME(0,0,10)</f>
        <v>0.64194924768518524</v>
      </c>
      <c r="P229" t="s">
        <v>9</v>
      </c>
      <c r="Q229">
        <v>-113</v>
      </c>
      <c r="R229">
        <f>Table2579[[#This Row],[RSSI]]</f>
        <v>-113</v>
      </c>
      <c r="S229">
        <v>-7.7</v>
      </c>
    </row>
    <row r="230" spans="2:19" x14ac:dyDescent="0.25">
      <c r="B230">
        <f>160+2*(Table1468[[#This Row],[min value (corrected)]]-32)</f>
        <v>166</v>
      </c>
      <c r="C230">
        <f>MINUTE(Table1468[[#This Row],[Corrected time]])</f>
        <v>35</v>
      </c>
      <c r="D230" s="1">
        <v>0.64960619212962967</v>
      </c>
      <c r="E230" s="1">
        <f>Table1468[[#This Row],[Time]]-TIME(0,0,11)</f>
        <v>0.64947887731481491</v>
      </c>
      <c r="F230" t="s">
        <v>13</v>
      </c>
      <c r="G230" t="str">
        <f>G229</f>
        <v>-113.0,</v>
      </c>
      <c r="H230">
        <f t="shared" si="9"/>
        <v>-113</v>
      </c>
      <c r="I230">
        <f>I229</f>
        <v>-7.7</v>
      </c>
      <c r="L230">
        <f>160+2*(Table2579[[#This Row],[min value (corrected)]]-23)</f>
        <v>162</v>
      </c>
      <c r="M230">
        <f>MINUTE(Table2579[[#This Row],[Corrected time]])</f>
        <v>24</v>
      </c>
      <c r="N230" s="1">
        <v>0.64207717592592595</v>
      </c>
      <c r="O230" s="1">
        <f>Table2579[[#This Row],[Time]]-TIME(0,0,10)</f>
        <v>0.64196143518518523</v>
      </c>
      <c r="P230" t="s">
        <v>9</v>
      </c>
      <c r="Q230">
        <v>-113</v>
      </c>
      <c r="R230">
        <f>Table2579[[#This Row],[RSSI]]</f>
        <v>-113</v>
      </c>
      <c r="S230">
        <v>-7.2</v>
      </c>
    </row>
    <row r="231" spans="2:19" x14ac:dyDescent="0.25">
      <c r="B231">
        <f>160+2*(Table1468[[#This Row],[min value (corrected)]]-32)</f>
        <v>166</v>
      </c>
      <c r="C231">
        <f>MINUTE(Table1468[[#This Row],[Corrected time]])</f>
        <v>35</v>
      </c>
      <c r="D231" s="1">
        <v>0.64961837962962965</v>
      </c>
      <c r="E231" s="1">
        <f>Table1468[[#This Row],[Time]]-TIME(0,0,11)</f>
        <v>0.64949106481481489</v>
      </c>
      <c r="F231" t="s">
        <v>9</v>
      </c>
      <c r="G231" t="s">
        <v>39</v>
      </c>
      <c r="H231">
        <f t="shared" si="9"/>
        <v>-114</v>
      </c>
      <c r="I231">
        <v>-8</v>
      </c>
      <c r="L231">
        <f>160+2*(Table2579[[#This Row],[min value (corrected)]]-23)</f>
        <v>162</v>
      </c>
      <c r="M231">
        <f>MINUTE(Table2579[[#This Row],[Corrected time]])</f>
        <v>24</v>
      </c>
      <c r="N231" s="1">
        <v>0.64208935185185179</v>
      </c>
      <c r="O231" s="1">
        <f>Table2579[[#This Row],[Time]]-TIME(0,0,10)</f>
        <v>0.64197361111111106</v>
      </c>
      <c r="P231" t="s">
        <v>9</v>
      </c>
      <c r="Q231">
        <v>-114</v>
      </c>
      <c r="R231">
        <f>Table2579[[#This Row],[RSSI]]</f>
        <v>-114</v>
      </c>
      <c r="S231">
        <v>-8.5</v>
      </c>
    </row>
    <row r="232" spans="2:19" x14ac:dyDescent="0.25">
      <c r="B232">
        <f>160+2*(Table1468[[#This Row],[min value (corrected)]]-32)</f>
        <v>166</v>
      </c>
      <c r="C232">
        <f>MINUTE(Table1468[[#This Row],[Corrected time]])</f>
        <v>35</v>
      </c>
      <c r="D232" s="1">
        <v>0.64963056712962963</v>
      </c>
      <c r="E232" s="1">
        <f>Table1468[[#This Row],[Time]]-TIME(0,0,11)</f>
        <v>0.64950325231481487</v>
      </c>
      <c r="F232" t="s">
        <v>9</v>
      </c>
      <c r="G232" t="s">
        <v>39</v>
      </c>
      <c r="H232">
        <f t="shared" si="9"/>
        <v>-114</v>
      </c>
      <c r="I232">
        <v>-8.3000000000000007</v>
      </c>
      <c r="L232">
        <f>160+2*(Table2579[[#This Row],[min value (corrected)]]-23)</f>
        <v>162</v>
      </c>
      <c r="M232">
        <f>MINUTE(Table2579[[#This Row],[Corrected time]])</f>
        <v>24</v>
      </c>
      <c r="N232" s="1">
        <v>0.64210153935185177</v>
      </c>
      <c r="O232" s="1">
        <f>Table2579[[#This Row],[Time]]-TIME(0,0,10)</f>
        <v>0.64198579861111105</v>
      </c>
      <c r="P232" t="s">
        <v>9</v>
      </c>
      <c r="Q232">
        <v>-113</v>
      </c>
      <c r="R232">
        <f>Table2579[[#This Row],[RSSI]]</f>
        <v>-113</v>
      </c>
      <c r="S232">
        <v>-8</v>
      </c>
    </row>
    <row r="233" spans="2:19" x14ac:dyDescent="0.25">
      <c r="B233">
        <f>160+2*(Table1468[[#This Row],[min value (corrected)]]-32)</f>
        <v>166</v>
      </c>
      <c r="C233">
        <f>MINUTE(Table1468[[#This Row],[Corrected time]])</f>
        <v>35</v>
      </c>
      <c r="D233" s="1">
        <v>0.64964274305555558</v>
      </c>
      <c r="E233" s="1">
        <f>Table1468[[#This Row],[Time]]-TIME(0,0,11)</f>
        <v>0.64951542824074082</v>
      </c>
      <c r="F233" t="s">
        <v>13</v>
      </c>
      <c r="G233" t="str">
        <f>G232</f>
        <v>-114.0,</v>
      </c>
      <c r="H233">
        <f t="shared" si="9"/>
        <v>-114</v>
      </c>
      <c r="I233">
        <f>I232</f>
        <v>-8.3000000000000007</v>
      </c>
      <c r="L233">
        <f>160+2*(Table2579[[#This Row],[min value (corrected)]]-23)</f>
        <v>162</v>
      </c>
      <c r="M233">
        <f>MINUTE(Table2579[[#This Row],[Corrected time]])</f>
        <v>24</v>
      </c>
      <c r="N233" s="1">
        <v>0.64211372685185186</v>
      </c>
      <c r="O233" s="1">
        <f>Table2579[[#This Row],[Time]]-TIME(0,0,10)</f>
        <v>0.64199798611111114</v>
      </c>
      <c r="P233" t="s">
        <v>9</v>
      </c>
      <c r="Q233">
        <v>-113</v>
      </c>
      <c r="R233">
        <f>Table2579[[#This Row],[RSSI]]</f>
        <v>-113</v>
      </c>
      <c r="S233">
        <v>-8</v>
      </c>
    </row>
    <row r="234" spans="2:19" x14ac:dyDescent="0.25">
      <c r="B234">
        <f>160+2*(Table1468[[#This Row],[min value (corrected)]]-32)</f>
        <v>166</v>
      </c>
      <c r="C234">
        <f>MINUTE(Table1468[[#This Row],[Corrected time]])</f>
        <v>35</v>
      </c>
      <c r="D234" s="1">
        <v>0.6496549421296296</v>
      </c>
      <c r="E234" s="1">
        <f>Table1468[[#This Row],[Time]]-TIME(0,0,11)</f>
        <v>0.64952762731481484</v>
      </c>
      <c r="F234" t="s">
        <v>9</v>
      </c>
      <c r="G234" t="s">
        <v>39</v>
      </c>
      <c r="H234">
        <f t="shared" si="9"/>
        <v>-114</v>
      </c>
      <c r="I234">
        <v>-8</v>
      </c>
      <c r="L234">
        <f>160+2*(Table2579[[#This Row],[min value (corrected)]]-23)</f>
        <v>162</v>
      </c>
      <c r="M234">
        <f>MINUTE(Table2579[[#This Row],[Corrected time]])</f>
        <v>24</v>
      </c>
      <c r="N234" s="1">
        <v>0.64212591435185185</v>
      </c>
      <c r="O234" s="1">
        <f>Table2579[[#This Row],[Time]]-TIME(0,0,10)</f>
        <v>0.64201017361111112</v>
      </c>
      <c r="P234" t="s">
        <v>9</v>
      </c>
      <c r="Q234">
        <v>-113</v>
      </c>
      <c r="R234">
        <f>Table2579[[#This Row],[RSSI]]</f>
        <v>-113</v>
      </c>
      <c r="S234">
        <v>-7.5</v>
      </c>
    </row>
    <row r="235" spans="2:19" x14ac:dyDescent="0.25">
      <c r="B235">
        <f>160+2*(Table1468[[#This Row],[min value (corrected)]]-32)</f>
        <v>166</v>
      </c>
      <c r="C235">
        <f>MINUTE(Table1468[[#This Row],[Corrected time]])</f>
        <v>35</v>
      </c>
      <c r="D235" s="1">
        <v>0.64966712962962958</v>
      </c>
      <c r="E235" s="1">
        <f>Table1468[[#This Row],[Time]]-TIME(0,0,11)</f>
        <v>0.64953981481481482</v>
      </c>
      <c r="F235" t="s">
        <v>9</v>
      </c>
      <c r="G235" t="s">
        <v>39</v>
      </c>
      <c r="H235">
        <f t="shared" si="9"/>
        <v>-114</v>
      </c>
      <c r="I235">
        <v>-8.8000000000000007</v>
      </c>
      <c r="L235">
        <f>160+2*(Table2579[[#This Row],[min value (corrected)]]-23)</f>
        <v>162</v>
      </c>
      <c r="M235">
        <f>MINUTE(Table2579[[#This Row],[Corrected time]])</f>
        <v>24</v>
      </c>
      <c r="N235" s="1">
        <v>0.64213810185185194</v>
      </c>
      <c r="O235" s="1">
        <f>Table2579[[#This Row],[Time]]-TIME(0,0,10)</f>
        <v>0.64202236111111122</v>
      </c>
      <c r="P235" t="s">
        <v>9</v>
      </c>
      <c r="Q235">
        <v>-113</v>
      </c>
      <c r="R235">
        <f>Table2579[[#This Row],[RSSI]]</f>
        <v>-113</v>
      </c>
      <c r="S235">
        <v>-8</v>
      </c>
    </row>
    <row r="236" spans="2:19" x14ac:dyDescent="0.25">
      <c r="B236">
        <f>160+2*(Table1468[[#This Row],[min value (corrected)]]-32)</f>
        <v>166</v>
      </c>
      <c r="C236">
        <f>MINUTE(Table1468[[#This Row],[Corrected time]])</f>
        <v>35</v>
      </c>
      <c r="D236" s="1">
        <v>0.64967931712962956</v>
      </c>
      <c r="E236" s="1">
        <f>Table1468[[#This Row],[Time]]-TIME(0,0,11)</f>
        <v>0.6495520023148148</v>
      </c>
      <c r="F236" t="s">
        <v>9</v>
      </c>
      <c r="G236" t="s">
        <v>39</v>
      </c>
      <c r="H236">
        <f t="shared" si="9"/>
        <v>-114</v>
      </c>
      <c r="I236">
        <v>-8.5</v>
      </c>
      <c r="L236">
        <f>160+2*(Table2579[[#This Row],[min value (corrected)]]-23)</f>
        <v>162</v>
      </c>
      <c r="M236">
        <f>MINUTE(Table2579[[#This Row],[Corrected time]])</f>
        <v>24</v>
      </c>
      <c r="N236" s="1">
        <v>0.64215028935185192</v>
      </c>
      <c r="O236" s="1">
        <f>Table2579[[#This Row],[Time]]-TIME(0,0,10)</f>
        <v>0.6420345486111112</v>
      </c>
      <c r="P236" t="s">
        <v>9</v>
      </c>
      <c r="Q236">
        <v>-113</v>
      </c>
      <c r="R236">
        <f>Table2579[[#This Row],[RSSI]]</f>
        <v>-113</v>
      </c>
      <c r="S236">
        <v>-8</v>
      </c>
    </row>
    <row r="237" spans="2:19" x14ac:dyDescent="0.25">
      <c r="B237">
        <f>160+2*(Table1468[[#This Row],[min value (corrected)]]-32)</f>
        <v>166</v>
      </c>
      <c r="C237">
        <f>MINUTE(Table1468[[#This Row],[Corrected time]])</f>
        <v>35</v>
      </c>
      <c r="D237" s="1">
        <v>0.64969149305555562</v>
      </c>
      <c r="E237" s="1">
        <f>Table1468[[#This Row],[Time]]-TIME(0,0,11)</f>
        <v>0.64956417824074086</v>
      </c>
      <c r="F237" t="s">
        <v>9</v>
      </c>
      <c r="G237" t="s">
        <v>37</v>
      </c>
      <c r="H237">
        <f t="shared" si="9"/>
        <v>-113</v>
      </c>
      <c r="I237">
        <v>-8</v>
      </c>
      <c r="L237">
        <f>160+2*(Table2579[[#This Row],[min value (corrected)]]-23)</f>
        <v>162</v>
      </c>
      <c r="M237">
        <f>MINUTE(Table2579[[#This Row],[Corrected time]])</f>
        <v>24</v>
      </c>
      <c r="N237" s="1">
        <v>0.64216248842592594</v>
      </c>
      <c r="O237" s="1">
        <f>Table2579[[#This Row],[Time]]-TIME(0,0,10)</f>
        <v>0.64204674768518522</v>
      </c>
      <c r="P237" t="s">
        <v>9</v>
      </c>
      <c r="Q237">
        <v>-113</v>
      </c>
      <c r="R237">
        <f>Table2579[[#This Row],[RSSI]]</f>
        <v>-113</v>
      </c>
      <c r="S237">
        <v>-7.5</v>
      </c>
    </row>
    <row r="238" spans="2:19" x14ac:dyDescent="0.25">
      <c r="B238">
        <f>160+2*(Table1468[[#This Row],[min value (corrected)]]-32)</f>
        <v>166</v>
      </c>
      <c r="C238">
        <f>MINUTE(Table1468[[#This Row],[Corrected time]])</f>
        <v>35</v>
      </c>
      <c r="D238" s="1">
        <v>0.64970369212962964</v>
      </c>
      <c r="E238" s="1">
        <f>Table1468[[#This Row],[Time]]-TIME(0,0,11)</f>
        <v>0.64957637731481488</v>
      </c>
      <c r="F238" t="s">
        <v>13</v>
      </c>
      <c r="G238" t="str">
        <f>G237</f>
        <v>-113.0,</v>
      </c>
      <c r="H238">
        <f t="shared" si="9"/>
        <v>-113</v>
      </c>
      <c r="I238">
        <f>I237</f>
        <v>-8</v>
      </c>
      <c r="L238">
        <f>160+2*(Table2579[[#This Row],[min value (corrected)]]-23)</f>
        <v>162</v>
      </c>
      <c r="M238">
        <f>MINUTE(Table2579[[#This Row],[Corrected time]])</f>
        <v>24</v>
      </c>
      <c r="N238" s="1">
        <v>0.64217467592592592</v>
      </c>
      <c r="O238" s="1">
        <f>Table2579[[#This Row],[Time]]-TIME(0,0,10)</f>
        <v>0.6420589351851852</v>
      </c>
      <c r="P238" t="s">
        <v>9</v>
      </c>
      <c r="Q238">
        <v>-113</v>
      </c>
      <c r="R238">
        <f>Table2579[[#This Row],[RSSI]]</f>
        <v>-113</v>
      </c>
      <c r="S238">
        <v>-7.5</v>
      </c>
    </row>
    <row r="239" spans="2:19" x14ac:dyDescent="0.25">
      <c r="B239">
        <f>160+2*(Table1468[[#This Row],[min value (corrected)]]-32)</f>
        <v>166</v>
      </c>
      <c r="C239">
        <f>MINUTE(Table1468[[#This Row],[Corrected time]])</f>
        <v>35</v>
      </c>
      <c r="D239" s="1">
        <v>0.64971587962962962</v>
      </c>
      <c r="E239" s="1">
        <f>Table1468[[#This Row],[Time]]-TIME(0,0,11)</f>
        <v>0.64958856481481486</v>
      </c>
      <c r="F239" t="s">
        <v>9</v>
      </c>
      <c r="G239" t="s">
        <v>39</v>
      </c>
      <c r="H239">
        <f t="shared" si="9"/>
        <v>-114</v>
      </c>
      <c r="I239">
        <v>-9.3000000000000007</v>
      </c>
      <c r="L239">
        <f>160+2*(Table2579[[#This Row],[min value (corrected)]]-23)</f>
        <v>162</v>
      </c>
      <c r="M239">
        <f>MINUTE(Table2579[[#This Row],[Corrected time]])</f>
        <v>24</v>
      </c>
      <c r="N239" s="1">
        <v>0.64218685185185187</v>
      </c>
      <c r="O239" s="1">
        <f>Table2579[[#This Row],[Time]]-TIME(0,0,10)</f>
        <v>0.64207111111111115</v>
      </c>
      <c r="P239" t="s">
        <v>9</v>
      </c>
      <c r="Q239">
        <v>-113</v>
      </c>
      <c r="R239">
        <f>Table2579[[#This Row],[RSSI]]</f>
        <v>-113</v>
      </c>
      <c r="S239">
        <v>-7.7</v>
      </c>
    </row>
    <row r="240" spans="2:19" x14ac:dyDescent="0.25">
      <c r="B240">
        <f>160+2*(Table1468[[#This Row],[min value (corrected)]]-32)</f>
        <v>166</v>
      </c>
      <c r="C240">
        <f>MINUTE(Table1468[[#This Row],[Corrected time]])</f>
        <v>35</v>
      </c>
      <c r="D240" s="1">
        <v>0.64972806712962961</v>
      </c>
      <c r="E240" s="1">
        <f>Table1468[[#This Row],[Time]]-TIME(0,0,11)</f>
        <v>0.64960075231481484</v>
      </c>
      <c r="F240" t="s">
        <v>9</v>
      </c>
      <c r="G240" t="s">
        <v>37</v>
      </c>
      <c r="H240">
        <f t="shared" si="9"/>
        <v>-113</v>
      </c>
      <c r="I240">
        <v>-8</v>
      </c>
      <c r="L240">
        <f>160+2*(Table2579[[#This Row],[min value (corrected)]]-23)</f>
        <v>162</v>
      </c>
      <c r="M240">
        <f>MINUTE(Table2579[[#This Row],[Corrected time]])</f>
        <v>24</v>
      </c>
      <c r="N240" s="1">
        <v>0.64219903935185185</v>
      </c>
      <c r="O240" s="1">
        <f>Table2579[[#This Row],[Time]]-TIME(0,0,10)</f>
        <v>0.64208329861111113</v>
      </c>
      <c r="P240" t="s">
        <v>9</v>
      </c>
      <c r="Q240">
        <v>-113</v>
      </c>
      <c r="R240">
        <f>Table2579[[#This Row],[RSSI]]</f>
        <v>-113</v>
      </c>
      <c r="S240">
        <v>-7.2</v>
      </c>
    </row>
    <row r="241" spans="2:19" x14ac:dyDescent="0.25">
      <c r="B241">
        <f>160+2*(Table1468[[#This Row],[min value (corrected)]]-32)</f>
        <v>166</v>
      </c>
      <c r="C241">
        <f>MINUTE(Table1468[[#This Row],[Corrected time]])</f>
        <v>35</v>
      </c>
      <c r="D241" s="1">
        <v>0.64974025462962959</v>
      </c>
      <c r="E241" s="1">
        <f>Table1468[[#This Row],[Time]]-TIME(0,0,11)</f>
        <v>0.64961293981481483</v>
      </c>
      <c r="F241" t="s">
        <v>13</v>
      </c>
      <c r="G241" t="str">
        <f t="shared" ref="G241:G242" si="10">G240</f>
        <v>-113.0,</v>
      </c>
      <c r="H241">
        <f t="shared" si="9"/>
        <v>-113</v>
      </c>
      <c r="I241">
        <f t="shared" ref="I241:I242" si="11">I240</f>
        <v>-8</v>
      </c>
      <c r="L241">
        <f>160+2*(Table2579[[#This Row],[min value (corrected)]]-23)</f>
        <v>162</v>
      </c>
      <c r="M241">
        <f>MINUTE(Table2579[[#This Row],[Corrected time]])</f>
        <v>24</v>
      </c>
      <c r="N241" s="1">
        <v>0.64221123842592587</v>
      </c>
      <c r="O241" s="1">
        <f>Table2579[[#This Row],[Time]]-TIME(0,0,10)</f>
        <v>0.64209549768518515</v>
      </c>
      <c r="P241" t="s">
        <v>9</v>
      </c>
      <c r="Q241">
        <v>-113</v>
      </c>
      <c r="R241">
        <f>Table2579[[#This Row],[RSSI]]</f>
        <v>-113</v>
      </c>
      <c r="S241">
        <v>-9</v>
      </c>
    </row>
    <row r="242" spans="2:19" x14ac:dyDescent="0.25">
      <c r="B242">
        <f>160+2*(Table1468[[#This Row],[min value (corrected)]]-32)</f>
        <v>166</v>
      </c>
      <c r="C242">
        <f>MINUTE(Table1468[[#This Row],[Corrected time]])</f>
        <v>35</v>
      </c>
      <c r="D242" s="1">
        <v>0.64975241898148139</v>
      </c>
      <c r="E242" s="1">
        <f>Table1468[[#This Row],[Time]]-TIME(0,0,11)</f>
        <v>0.64962510416666663</v>
      </c>
      <c r="F242" t="s">
        <v>13</v>
      </c>
      <c r="G242" t="str">
        <f t="shared" si="10"/>
        <v>-113.0,</v>
      </c>
      <c r="H242">
        <f t="shared" si="9"/>
        <v>-113</v>
      </c>
      <c r="I242">
        <f t="shared" si="11"/>
        <v>-8</v>
      </c>
      <c r="L242">
        <f>160+2*(Table2579[[#This Row],[min value (corrected)]]-23)</f>
        <v>162</v>
      </c>
      <c r="M242">
        <f>MINUTE(Table2579[[#This Row],[Corrected time]])</f>
        <v>24</v>
      </c>
      <c r="N242" s="1">
        <v>0.64222340277777779</v>
      </c>
      <c r="O242" s="1">
        <f>Table2579[[#This Row],[Time]]-TIME(0,0,10)</f>
        <v>0.64210766203703706</v>
      </c>
      <c r="P242" t="s">
        <v>13</v>
      </c>
      <c r="Q242">
        <f>Q241</f>
        <v>-113</v>
      </c>
      <c r="R242">
        <f>Table2579[[#This Row],[RSSI]]</f>
        <v>-113</v>
      </c>
      <c r="S242">
        <f>S241</f>
        <v>-9</v>
      </c>
    </row>
    <row r="243" spans="2:19" x14ac:dyDescent="0.25">
      <c r="B243">
        <f>160+2*(Table1468[[#This Row],[min value (corrected)]]-32)</f>
        <v>166</v>
      </c>
      <c r="C243">
        <f>MINUTE(Table1468[[#This Row],[Corrected time]])</f>
        <v>35</v>
      </c>
      <c r="D243" s="1">
        <v>0.64976461805555552</v>
      </c>
      <c r="E243" s="1">
        <f>Table1468[[#This Row],[Time]]-TIME(0,0,11)</f>
        <v>0.64963730324074076</v>
      </c>
      <c r="F243" t="s">
        <v>9</v>
      </c>
      <c r="G243" t="s">
        <v>39</v>
      </c>
      <c r="H243">
        <f t="shared" si="9"/>
        <v>-114</v>
      </c>
      <c r="I243">
        <v>-8.5</v>
      </c>
      <c r="L243">
        <f>160+2*(Table2579[[#This Row],[min value (corrected)]]-23)</f>
        <v>162</v>
      </c>
      <c r="M243">
        <f>MINUTE(Table2579[[#This Row],[Corrected time]])</f>
        <v>24</v>
      </c>
      <c r="N243" s="1">
        <v>0.64223560185185191</v>
      </c>
      <c r="O243" s="1">
        <f>Table2579[[#This Row],[Time]]-TIME(0,0,10)</f>
        <v>0.64211986111111119</v>
      </c>
      <c r="P243" t="s">
        <v>9</v>
      </c>
      <c r="Q243">
        <v>-112</v>
      </c>
      <c r="R243">
        <f>Table2579[[#This Row],[RSSI]]</f>
        <v>-112</v>
      </c>
      <c r="S243">
        <v>-7</v>
      </c>
    </row>
    <row r="244" spans="2:19" x14ac:dyDescent="0.25">
      <c r="B244">
        <f>160+2*(Table1468[[#This Row],[min value (corrected)]]-32)</f>
        <v>166</v>
      </c>
      <c r="C244">
        <f>MINUTE(Table1468[[#This Row],[Corrected time]])</f>
        <v>35</v>
      </c>
      <c r="D244" s="1">
        <v>0.64977681712962965</v>
      </c>
      <c r="E244" s="1">
        <f>Table1468[[#This Row],[Time]]-TIME(0,0,11)</f>
        <v>0.64964950231481489</v>
      </c>
      <c r="F244" t="s">
        <v>9</v>
      </c>
      <c r="G244" t="s">
        <v>37</v>
      </c>
      <c r="H244">
        <f t="shared" si="9"/>
        <v>-113</v>
      </c>
      <c r="I244">
        <v>-7.7</v>
      </c>
      <c r="L244">
        <f>160+2*(Table2579[[#This Row],[min value (corrected)]]-23)</f>
        <v>162</v>
      </c>
      <c r="M244">
        <f>MINUTE(Table2579[[#This Row],[Corrected time]])</f>
        <v>24</v>
      </c>
      <c r="N244" s="1">
        <v>0.64224778935185189</v>
      </c>
      <c r="O244" s="1">
        <f>Table2579[[#This Row],[Time]]-TIME(0,0,10)</f>
        <v>0.64213204861111117</v>
      </c>
      <c r="P244" t="s">
        <v>9</v>
      </c>
      <c r="Q244">
        <v>-114</v>
      </c>
      <c r="R244">
        <f>Table2579[[#This Row],[RSSI]]</f>
        <v>-114</v>
      </c>
      <c r="S244">
        <v>-8.5</v>
      </c>
    </row>
    <row r="245" spans="2:19" x14ac:dyDescent="0.25">
      <c r="B245">
        <f>160+2*(Table1468[[#This Row],[min value (corrected)]]-32)</f>
        <v>166</v>
      </c>
      <c r="C245">
        <f>MINUTE(Table1468[[#This Row],[Corrected time]])</f>
        <v>35</v>
      </c>
      <c r="D245" s="1">
        <v>0.64978900462962963</v>
      </c>
      <c r="E245" s="1">
        <f>Table1468[[#This Row],[Time]]-TIME(0,0,11)</f>
        <v>0.64966168981481487</v>
      </c>
      <c r="F245" t="s">
        <v>9</v>
      </c>
      <c r="G245" t="s">
        <v>39</v>
      </c>
      <c r="H245">
        <f t="shared" si="9"/>
        <v>-114</v>
      </c>
      <c r="I245">
        <v>-8.5</v>
      </c>
      <c r="L245">
        <f>160+2*(Table2579[[#This Row],[min value (corrected)]]-23)</f>
        <v>162</v>
      </c>
      <c r="M245">
        <f>MINUTE(Table2579[[#This Row],[Corrected time]])</f>
        <v>24</v>
      </c>
      <c r="N245" s="1">
        <v>0.64225998842592591</v>
      </c>
      <c r="O245" s="1">
        <f>Table2579[[#This Row],[Time]]-TIME(0,0,10)</f>
        <v>0.64214424768518519</v>
      </c>
      <c r="P245" t="s">
        <v>9</v>
      </c>
      <c r="Q245">
        <v>-113</v>
      </c>
      <c r="R245">
        <f>Table2579[[#This Row],[RSSI]]</f>
        <v>-113</v>
      </c>
      <c r="S245">
        <v>-7.7</v>
      </c>
    </row>
    <row r="246" spans="2:19" x14ac:dyDescent="0.25">
      <c r="B246">
        <f>160+2*(Table1468[[#This Row],[min value (corrected)]]-32)</f>
        <v>166</v>
      </c>
      <c r="C246">
        <f>MINUTE(Table1468[[#This Row],[Corrected time]])</f>
        <v>35</v>
      </c>
      <c r="D246" s="1">
        <v>0.64980118055555558</v>
      </c>
      <c r="E246" s="1">
        <f>Table1468[[#This Row],[Time]]-TIME(0,0,11)</f>
        <v>0.64967386574074082</v>
      </c>
      <c r="F246" t="s">
        <v>9</v>
      </c>
      <c r="G246" t="s">
        <v>44</v>
      </c>
      <c r="H246">
        <f t="shared" si="9"/>
        <v>-109</v>
      </c>
      <c r="I246">
        <v>-8.3000000000000007</v>
      </c>
      <c r="L246">
        <f>160+2*(Table2579[[#This Row],[min value (corrected)]]-23)</f>
        <v>162</v>
      </c>
      <c r="M246">
        <f>MINUTE(Table2579[[#This Row],[Corrected time]])</f>
        <v>24</v>
      </c>
      <c r="N246" s="1">
        <v>0.64227217592592589</v>
      </c>
      <c r="O246" s="1">
        <f>Table2579[[#This Row],[Time]]-TIME(0,0,10)</f>
        <v>0.64215643518518517</v>
      </c>
      <c r="P246" t="s">
        <v>9</v>
      </c>
      <c r="Q246">
        <v>-114</v>
      </c>
      <c r="R246">
        <f>Table2579[[#This Row],[RSSI]]</f>
        <v>-114</v>
      </c>
      <c r="S246">
        <v>-8.3000000000000007</v>
      </c>
    </row>
    <row r="247" spans="2:19" x14ac:dyDescent="0.25">
      <c r="B247">
        <f>160+2*(Table1468[[#This Row],[min value (corrected)]]-32)</f>
        <v>166</v>
      </c>
      <c r="C247">
        <f>MINUTE(Table1468[[#This Row],[Corrected time]])</f>
        <v>35</v>
      </c>
      <c r="D247" s="1">
        <v>0.64981336805555556</v>
      </c>
      <c r="E247" s="1">
        <f>Table1468[[#This Row],[Time]]-TIME(0,0,11)</f>
        <v>0.6496860532407408</v>
      </c>
      <c r="F247" t="s">
        <v>9</v>
      </c>
      <c r="G247" t="s">
        <v>37</v>
      </c>
      <c r="H247">
        <f t="shared" si="9"/>
        <v>-113</v>
      </c>
      <c r="I247">
        <v>-7.5</v>
      </c>
      <c r="L247">
        <f>160+2*(Table2579[[#This Row],[min value (corrected)]]-23)</f>
        <v>162</v>
      </c>
      <c r="M247">
        <f>MINUTE(Table2579[[#This Row],[Corrected time]])</f>
        <v>24</v>
      </c>
      <c r="N247" s="1">
        <v>0.64228435185185184</v>
      </c>
      <c r="O247" s="1">
        <f>Table2579[[#This Row],[Time]]-TIME(0,0,10)</f>
        <v>0.64216861111111112</v>
      </c>
      <c r="P247" t="s">
        <v>9</v>
      </c>
      <c r="Q247">
        <v>-113</v>
      </c>
      <c r="R247">
        <f>Table2579[[#This Row],[RSSI]]</f>
        <v>-113</v>
      </c>
      <c r="S247">
        <v>-7.2</v>
      </c>
    </row>
    <row r="248" spans="2:19" x14ac:dyDescent="0.25">
      <c r="B248">
        <f>160+2*(Table1468[[#This Row],[min value (corrected)]]-32)</f>
        <v>166</v>
      </c>
      <c r="C248">
        <f>MINUTE(Table1468[[#This Row],[Corrected time]])</f>
        <v>35</v>
      </c>
      <c r="D248" s="1">
        <v>0.64982556712962958</v>
      </c>
      <c r="E248" s="1">
        <f>Table1468[[#This Row],[Time]]-TIME(0,0,11)</f>
        <v>0.64969825231481482</v>
      </c>
      <c r="F248" t="s">
        <v>9</v>
      </c>
      <c r="G248" t="s">
        <v>39</v>
      </c>
      <c r="H248">
        <f t="shared" si="9"/>
        <v>-114</v>
      </c>
      <c r="I248">
        <v>-8.5</v>
      </c>
      <c r="L248">
        <f>160+2*(Table2579[[#This Row],[min value (corrected)]]-23)</f>
        <v>162</v>
      </c>
      <c r="M248">
        <f>MINUTE(Table2579[[#This Row],[Corrected time]])</f>
        <v>24</v>
      </c>
      <c r="N248" s="1">
        <v>0.64229655092592586</v>
      </c>
      <c r="O248" s="1">
        <f>Table2579[[#This Row],[Time]]-TIME(0,0,10)</f>
        <v>0.64218081018518514</v>
      </c>
      <c r="P248" t="s">
        <v>9</v>
      </c>
      <c r="Q248">
        <v>-113</v>
      </c>
      <c r="R248">
        <f>Table2579[[#This Row],[RSSI]]</f>
        <v>-113</v>
      </c>
      <c r="S248">
        <v>-8</v>
      </c>
    </row>
    <row r="249" spans="2:19" x14ac:dyDescent="0.25">
      <c r="B249">
        <f>160+2*(Table1468[[#This Row],[min value (corrected)]]-32)</f>
        <v>166</v>
      </c>
      <c r="C249">
        <f>MINUTE(Table1468[[#This Row],[Corrected time]])</f>
        <v>35</v>
      </c>
      <c r="D249" s="1">
        <v>0.64983775462962967</v>
      </c>
      <c r="E249" s="1">
        <f>Table1468[[#This Row],[Time]]-TIME(0,0,11)</f>
        <v>0.64971043981481491</v>
      </c>
      <c r="F249" t="s">
        <v>13</v>
      </c>
      <c r="G249" t="str">
        <f>G248</f>
        <v>-114.0,</v>
      </c>
      <c r="H249">
        <f t="shared" si="9"/>
        <v>-114</v>
      </c>
      <c r="I249">
        <f>I248</f>
        <v>-8.5</v>
      </c>
      <c r="L249">
        <f>160+2*(Table2579[[#This Row],[min value (corrected)]]-23)</f>
        <v>162</v>
      </c>
      <c r="M249">
        <f>MINUTE(Table2579[[#This Row],[Corrected time]])</f>
        <v>24</v>
      </c>
      <c r="N249" s="1">
        <v>0.64230872685185192</v>
      </c>
      <c r="O249" s="1">
        <f>Table2579[[#This Row],[Time]]-TIME(0,0,10)</f>
        <v>0.6421929861111112</v>
      </c>
      <c r="P249" t="s">
        <v>13</v>
      </c>
      <c r="Q249">
        <f>Q248</f>
        <v>-113</v>
      </c>
      <c r="R249">
        <f>Table2579[[#This Row],[RSSI]]</f>
        <v>-113</v>
      </c>
      <c r="S249">
        <f>S248</f>
        <v>-8</v>
      </c>
    </row>
    <row r="250" spans="2:19" x14ac:dyDescent="0.25">
      <c r="B250">
        <f>160+2*(Table1468[[#This Row],[min value (corrected)]]-32)</f>
        <v>166</v>
      </c>
      <c r="C250">
        <f>MINUTE(Table1468[[#This Row],[Corrected time]])</f>
        <v>35</v>
      </c>
      <c r="D250" s="1">
        <v>0.64984993055555551</v>
      </c>
      <c r="E250" s="1">
        <f>Table1468[[#This Row],[Time]]-TIME(0,0,11)</f>
        <v>0.64972261574074075</v>
      </c>
      <c r="F250" t="s">
        <v>9</v>
      </c>
      <c r="G250" t="s">
        <v>37</v>
      </c>
      <c r="H250">
        <f t="shared" si="9"/>
        <v>-113</v>
      </c>
      <c r="I250">
        <v>-7.5</v>
      </c>
      <c r="L250">
        <f>160+2*(Table2579[[#This Row],[min value (corrected)]]-23)</f>
        <v>162</v>
      </c>
      <c r="M250">
        <f>MINUTE(Table2579[[#This Row],[Corrected time]])</f>
        <v>24</v>
      </c>
      <c r="N250" s="1">
        <v>0.6423209143518519</v>
      </c>
      <c r="O250" s="1">
        <f>Table2579[[#This Row],[Time]]-TIME(0,0,10)</f>
        <v>0.64220517361111118</v>
      </c>
      <c r="P250" t="s">
        <v>9</v>
      </c>
      <c r="Q250">
        <v>-111</v>
      </c>
      <c r="R250">
        <f>Table2579[[#This Row],[RSSI]]</f>
        <v>-111</v>
      </c>
      <c r="S250">
        <v>-7.5</v>
      </c>
    </row>
    <row r="251" spans="2:19" x14ac:dyDescent="0.25">
      <c r="B251">
        <f>160+2*(Table1468[[#This Row],[min value (corrected)]]-32)</f>
        <v>166</v>
      </c>
      <c r="C251">
        <f>MINUTE(Table1468[[#This Row],[Corrected time]])</f>
        <v>35</v>
      </c>
      <c r="D251" s="1">
        <v>0.64986212962962964</v>
      </c>
      <c r="E251" s="1">
        <f>Table1468[[#This Row],[Time]]-TIME(0,0,11)</f>
        <v>0.64973481481481488</v>
      </c>
      <c r="F251" t="s">
        <v>9</v>
      </c>
      <c r="G251" t="s">
        <v>39</v>
      </c>
      <c r="H251">
        <f t="shared" si="9"/>
        <v>-114</v>
      </c>
      <c r="I251">
        <v>-8.8000000000000007</v>
      </c>
      <c r="L251">
        <f>160+2*(Table2579[[#This Row],[min value (corrected)]]-23)</f>
        <v>162</v>
      </c>
      <c r="M251">
        <f>MINUTE(Table2579[[#This Row],[Corrected time]])</f>
        <v>24</v>
      </c>
      <c r="N251" s="1">
        <v>0.64233310185185188</v>
      </c>
      <c r="O251" s="1">
        <f>Table2579[[#This Row],[Time]]-TIME(0,0,10)</f>
        <v>0.64221736111111116</v>
      </c>
      <c r="P251" t="s">
        <v>9</v>
      </c>
      <c r="Q251">
        <v>-113</v>
      </c>
      <c r="R251">
        <f>Table2579[[#This Row],[RSSI]]</f>
        <v>-113</v>
      </c>
      <c r="S251">
        <v>-7.7</v>
      </c>
    </row>
    <row r="252" spans="2:19" x14ac:dyDescent="0.25">
      <c r="B252">
        <f>160+2*(Table1468[[#This Row],[min value (corrected)]]-32)</f>
        <v>166</v>
      </c>
      <c r="C252">
        <f>MINUTE(Table1468[[#This Row],[Corrected time]])</f>
        <v>35</v>
      </c>
      <c r="D252" s="1">
        <v>0.64987431712962962</v>
      </c>
      <c r="E252" s="1">
        <f>Table1468[[#This Row],[Time]]-TIME(0,0,11)</f>
        <v>0.64974700231481486</v>
      </c>
      <c r="F252" t="s">
        <v>9</v>
      </c>
      <c r="G252" t="s">
        <v>39</v>
      </c>
      <c r="H252">
        <f t="shared" si="9"/>
        <v>-114</v>
      </c>
      <c r="I252">
        <v>-8.8000000000000007</v>
      </c>
      <c r="L252">
        <f>160+2*(Table2579[[#This Row],[min value (corrected)]]-23)</f>
        <v>162</v>
      </c>
      <c r="M252">
        <f>MINUTE(Table2579[[#This Row],[Corrected time]])</f>
        <v>24</v>
      </c>
      <c r="N252" s="1">
        <v>0.6423453009259259</v>
      </c>
      <c r="O252" s="1">
        <f>Table2579[[#This Row],[Time]]-TIME(0,0,10)</f>
        <v>0.64222956018518518</v>
      </c>
      <c r="P252" t="s">
        <v>9</v>
      </c>
      <c r="Q252">
        <v>-113</v>
      </c>
      <c r="R252">
        <f>Table2579[[#This Row],[RSSI]]</f>
        <v>-113</v>
      </c>
      <c r="S252">
        <v>-7</v>
      </c>
    </row>
    <row r="253" spans="2:19" x14ac:dyDescent="0.25">
      <c r="B253">
        <f>160+2*(Table1468[[#This Row],[min value (corrected)]]-32)</f>
        <v>166</v>
      </c>
      <c r="C253">
        <f>MINUTE(Table1468[[#This Row],[Corrected time]])</f>
        <v>35</v>
      </c>
      <c r="D253" s="1">
        <v>0.64988650462962971</v>
      </c>
      <c r="E253" s="1">
        <f>Table1468[[#This Row],[Time]]-TIME(0,0,11)</f>
        <v>0.64975918981481495</v>
      </c>
      <c r="F253" t="s">
        <v>13</v>
      </c>
      <c r="G253" t="str">
        <f>G252</f>
        <v>-114.0,</v>
      </c>
      <c r="H253">
        <f t="shared" si="9"/>
        <v>-114</v>
      </c>
      <c r="I253">
        <f>I252</f>
        <v>-8.8000000000000007</v>
      </c>
      <c r="L253">
        <f>160+2*(Table2579[[#This Row],[min value (corrected)]]-23)</f>
        <v>162</v>
      </c>
      <c r="M253">
        <f>MINUTE(Table2579[[#This Row],[Corrected time]])</f>
        <v>24</v>
      </c>
      <c r="N253" s="1">
        <v>0.64235747685185185</v>
      </c>
      <c r="O253" s="1">
        <f>Table2579[[#This Row],[Time]]-TIME(0,0,10)</f>
        <v>0.64224173611111113</v>
      </c>
      <c r="P253" t="s">
        <v>9</v>
      </c>
      <c r="Q253">
        <v>-113</v>
      </c>
      <c r="R253">
        <f>Table2579[[#This Row],[RSSI]]</f>
        <v>-113</v>
      </c>
      <c r="S253">
        <v>-8</v>
      </c>
    </row>
    <row r="254" spans="2:19" x14ac:dyDescent="0.25">
      <c r="B254">
        <f>160+2*(Table1468[[#This Row],[min value (corrected)]]-32)</f>
        <v>166</v>
      </c>
      <c r="C254">
        <f>MINUTE(Table1468[[#This Row],[Corrected time]])</f>
        <v>35</v>
      </c>
      <c r="D254" s="1">
        <v>0.6498986921296297</v>
      </c>
      <c r="E254" s="1">
        <f>Table1468[[#This Row],[Time]]-TIME(0,0,11)</f>
        <v>0.64977137731481494</v>
      </c>
      <c r="F254" t="s">
        <v>9</v>
      </c>
      <c r="G254" t="s">
        <v>39</v>
      </c>
      <c r="H254">
        <f t="shared" si="9"/>
        <v>-114</v>
      </c>
      <c r="I254">
        <v>-9</v>
      </c>
      <c r="L254">
        <f>160+2*(Table2579[[#This Row],[min value (corrected)]]-23)</f>
        <v>162</v>
      </c>
      <c r="M254">
        <f>MINUTE(Table2579[[#This Row],[Corrected time]])</f>
        <v>24</v>
      </c>
      <c r="N254" s="1">
        <v>0.64236967592592586</v>
      </c>
      <c r="O254" s="1">
        <f>Table2579[[#This Row],[Time]]-TIME(0,0,10)</f>
        <v>0.64225393518518514</v>
      </c>
      <c r="P254" t="s">
        <v>9</v>
      </c>
      <c r="Q254">
        <v>-112</v>
      </c>
      <c r="R254">
        <f>Table2579[[#This Row],[RSSI]]</f>
        <v>-112</v>
      </c>
      <c r="S254">
        <v>-7.5</v>
      </c>
    </row>
    <row r="255" spans="2:19" x14ac:dyDescent="0.25">
      <c r="B255">
        <f>160+2*(Table1468[[#This Row],[min value (corrected)]]-32)</f>
        <v>166</v>
      </c>
      <c r="C255">
        <f>MINUTE(Table1468[[#This Row],[Corrected time]])</f>
        <v>35</v>
      </c>
      <c r="D255" s="1">
        <v>0.64991087962962968</v>
      </c>
      <c r="E255" s="1">
        <f>Table1468[[#This Row],[Time]]-TIME(0,0,11)</f>
        <v>0.64978356481481492</v>
      </c>
      <c r="F255" t="s">
        <v>9</v>
      </c>
      <c r="G255" t="s">
        <v>39</v>
      </c>
      <c r="H255">
        <f t="shared" si="9"/>
        <v>-114</v>
      </c>
      <c r="I255">
        <v>-8.5</v>
      </c>
      <c r="L255">
        <f>160+2*(Table2579[[#This Row],[min value (corrected)]]-23)</f>
        <v>162</v>
      </c>
      <c r="M255">
        <f>MINUTE(Table2579[[#This Row],[Corrected time]])</f>
        <v>24</v>
      </c>
      <c r="N255" s="1">
        <v>0.64238186342592585</v>
      </c>
      <c r="O255" s="1">
        <f>Table2579[[#This Row],[Time]]-TIME(0,0,10)</f>
        <v>0.64226612268518513</v>
      </c>
      <c r="P255" t="s">
        <v>9</v>
      </c>
      <c r="Q255">
        <v>-113</v>
      </c>
      <c r="R255">
        <f>Table2579[[#This Row],[RSSI]]</f>
        <v>-113</v>
      </c>
      <c r="S255">
        <v>-7.7</v>
      </c>
    </row>
    <row r="256" spans="2:19" x14ac:dyDescent="0.25">
      <c r="B256">
        <f>160+2*(Table1468[[#This Row],[min value (corrected)]]-32)</f>
        <v>166</v>
      </c>
      <c r="C256">
        <f>MINUTE(Table1468[[#This Row],[Corrected time]])</f>
        <v>35</v>
      </c>
      <c r="D256" s="1">
        <v>0.64992306712962966</v>
      </c>
      <c r="E256" s="1">
        <f>Table1468[[#This Row],[Time]]-TIME(0,0,11)</f>
        <v>0.6497957523148149</v>
      </c>
      <c r="F256" t="s">
        <v>13</v>
      </c>
      <c r="G256" t="str">
        <f>G255</f>
        <v>-114.0,</v>
      </c>
      <c r="H256">
        <f t="shared" si="9"/>
        <v>-114</v>
      </c>
      <c r="I256">
        <f>I255</f>
        <v>-8.5</v>
      </c>
      <c r="L256">
        <f>160+2*(Table2579[[#This Row],[min value (corrected)]]-23)</f>
        <v>162</v>
      </c>
      <c r="M256">
        <f>MINUTE(Table2579[[#This Row],[Corrected time]])</f>
        <v>24</v>
      </c>
      <c r="N256" s="1">
        <v>0.64239403935185191</v>
      </c>
      <c r="O256" s="1">
        <f>Table2579[[#This Row],[Time]]-TIME(0,0,10)</f>
        <v>0.64227829861111119</v>
      </c>
      <c r="P256" t="s">
        <v>9</v>
      </c>
      <c r="Q256">
        <v>-113</v>
      </c>
      <c r="R256">
        <f>Table2579[[#This Row],[RSSI]]</f>
        <v>-113</v>
      </c>
      <c r="S256">
        <v>-7.7</v>
      </c>
    </row>
    <row r="257" spans="2:19" x14ac:dyDescent="0.25">
      <c r="B257">
        <f>160+2*(Table1468[[#This Row],[min value (corrected)]]-32)</f>
        <v>166</v>
      </c>
      <c r="C257">
        <f>MINUTE(Table1468[[#This Row],[Corrected time]])</f>
        <v>35</v>
      </c>
      <c r="D257" s="1">
        <v>0.64993525462962964</v>
      </c>
      <c r="E257" s="1">
        <f>Table1468[[#This Row],[Time]]-TIME(0,0,11)</f>
        <v>0.64980793981481488</v>
      </c>
      <c r="F257" t="s">
        <v>9</v>
      </c>
      <c r="G257" t="s">
        <v>39</v>
      </c>
      <c r="H257">
        <f t="shared" si="9"/>
        <v>-114</v>
      </c>
      <c r="I257">
        <v>-8.5</v>
      </c>
      <c r="L257">
        <f>160+2*(Table2579[[#This Row],[min value (corrected)]]-23)</f>
        <v>162</v>
      </c>
      <c r="M257">
        <f>MINUTE(Table2579[[#This Row],[Corrected time]])</f>
        <v>24</v>
      </c>
      <c r="N257" s="1">
        <v>0.64240622685185189</v>
      </c>
      <c r="O257" s="1">
        <f>Table2579[[#This Row],[Time]]-TIME(0,0,10)</f>
        <v>0.64229048611111117</v>
      </c>
      <c r="P257" t="s">
        <v>9</v>
      </c>
      <c r="Q257">
        <v>-113</v>
      </c>
      <c r="R257">
        <f>Table2579[[#This Row],[RSSI]]</f>
        <v>-113</v>
      </c>
      <c r="S257">
        <v>-8</v>
      </c>
    </row>
    <row r="258" spans="2:19" x14ac:dyDescent="0.25">
      <c r="B258">
        <f>160+2*(Table1468[[#This Row],[min value (corrected)]]-32)</f>
        <v>166</v>
      </c>
      <c r="C258">
        <f>MINUTE(Table1468[[#This Row],[Corrected time]])</f>
        <v>35</v>
      </c>
      <c r="D258" s="1">
        <v>0.64994744212962963</v>
      </c>
      <c r="E258" s="1">
        <f>Table1468[[#This Row],[Time]]-TIME(0,0,11)</f>
        <v>0.64982012731481487</v>
      </c>
      <c r="F258" t="s">
        <v>13</v>
      </c>
      <c r="G258" t="str">
        <f>G257</f>
        <v>-114.0,</v>
      </c>
      <c r="H258">
        <f t="shared" si="9"/>
        <v>-114</v>
      </c>
      <c r="I258">
        <f>I257</f>
        <v>-8.5</v>
      </c>
      <c r="L258">
        <f>160+2*(Table2579[[#This Row],[min value (corrected)]]-23)</f>
        <v>162</v>
      </c>
      <c r="M258">
        <f>MINUTE(Table2579[[#This Row],[Corrected time]])</f>
        <v>24</v>
      </c>
      <c r="N258" s="1">
        <v>0.64241841435185187</v>
      </c>
      <c r="O258" s="1">
        <f>Table2579[[#This Row],[Time]]-TIME(0,0,10)</f>
        <v>0.64230267361111115</v>
      </c>
      <c r="P258" t="s">
        <v>9</v>
      </c>
      <c r="Q258">
        <v>-113</v>
      </c>
      <c r="R258">
        <f>Table2579[[#This Row],[RSSI]]</f>
        <v>-113</v>
      </c>
      <c r="S258">
        <v>-7.7</v>
      </c>
    </row>
    <row r="259" spans="2:19" x14ac:dyDescent="0.25">
      <c r="B259">
        <f>160+2*(Table1468[[#This Row],[min value (corrected)]]-32)</f>
        <v>166</v>
      </c>
      <c r="C259">
        <f>MINUTE(Table1468[[#This Row],[Corrected time]])</f>
        <v>35</v>
      </c>
      <c r="D259" s="1">
        <v>0.64995962962962961</v>
      </c>
      <c r="E259" s="1">
        <f>Table1468[[#This Row],[Time]]-TIME(0,0,11)</f>
        <v>0.64983231481481485</v>
      </c>
      <c r="F259" t="s">
        <v>9</v>
      </c>
      <c r="G259" t="s">
        <v>39</v>
      </c>
      <c r="H259">
        <f t="shared" si="9"/>
        <v>-114</v>
      </c>
      <c r="I259">
        <v>-8.5</v>
      </c>
      <c r="L259">
        <f>160+2*(Table2579[[#This Row],[min value (corrected)]]-23)</f>
        <v>162</v>
      </c>
      <c r="M259">
        <f>MINUTE(Table2579[[#This Row],[Corrected time]])</f>
        <v>24</v>
      </c>
      <c r="N259" s="1">
        <v>0.64243060185185186</v>
      </c>
      <c r="O259" s="1">
        <f>Table2579[[#This Row],[Time]]-TIME(0,0,10)</f>
        <v>0.64231486111111114</v>
      </c>
      <c r="P259" t="s">
        <v>9</v>
      </c>
      <c r="Q259">
        <v>-113</v>
      </c>
      <c r="R259">
        <f>Table2579[[#This Row],[RSSI]]</f>
        <v>-113</v>
      </c>
      <c r="S259">
        <v>-8.5</v>
      </c>
    </row>
    <row r="260" spans="2:19" x14ac:dyDescent="0.25">
      <c r="B260">
        <f>160+2*(Table1468[[#This Row],[min value (corrected)]]-32)</f>
        <v>166</v>
      </c>
      <c r="C260">
        <f>MINUTE(Table1468[[#This Row],[Corrected time]])</f>
        <v>35</v>
      </c>
      <c r="D260" s="1">
        <v>0.6499718171296297</v>
      </c>
      <c r="E260" s="1">
        <f>Table1468[[#This Row],[Time]]-TIME(0,0,11)</f>
        <v>0.64984450231481494</v>
      </c>
      <c r="F260" t="s">
        <v>9</v>
      </c>
      <c r="G260" t="s">
        <v>37</v>
      </c>
      <c r="H260">
        <f t="shared" si="9"/>
        <v>-113</v>
      </c>
      <c r="I260">
        <v>-8</v>
      </c>
      <c r="L260">
        <f>160+2*(Table2579[[#This Row],[min value (corrected)]]-23)</f>
        <v>162</v>
      </c>
      <c r="M260">
        <f>MINUTE(Table2579[[#This Row],[Corrected time]])</f>
        <v>24</v>
      </c>
      <c r="N260" s="1">
        <v>0.64244280092592587</v>
      </c>
      <c r="O260" s="1">
        <f>Table2579[[#This Row],[Time]]-TIME(0,0,10)</f>
        <v>0.64232706018518515</v>
      </c>
      <c r="P260" t="s">
        <v>13</v>
      </c>
      <c r="Q260">
        <f>Q259</f>
        <v>-113</v>
      </c>
      <c r="R260">
        <f>Table2579[[#This Row],[RSSI]]</f>
        <v>-113</v>
      </c>
      <c r="S260">
        <f>S259</f>
        <v>-8.5</v>
      </c>
    </row>
    <row r="261" spans="2:19" x14ac:dyDescent="0.25">
      <c r="B261">
        <f>160+2*(Table1468[[#This Row],[min value (corrected)]]-32)</f>
        <v>166</v>
      </c>
      <c r="C261">
        <f>MINUTE(Table1468[[#This Row],[Corrected time]])</f>
        <v>35</v>
      </c>
      <c r="D261" s="1">
        <v>0.64998399305555554</v>
      </c>
      <c r="E261" s="1">
        <f>Table1468[[#This Row],[Time]]-TIME(0,0,11)</f>
        <v>0.64985667824074078</v>
      </c>
      <c r="F261" t="s">
        <v>9</v>
      </c>
      <c r="G261" t="s">
        <v>39</v>
      </c>
      <c r="H261">
        <f t="shared" si="9"/>
        <v>-114</v>
      </c>
      <c r="I261">
        <v>-8.8000000000000007</v>
      </c>
      <c r="L261">
        <f>160+2*(Table2579[[#This Row],[min value (corrected)]]-23)</f>
        <v>162</v>
      </c>
      <c r="M261">
        <f>MINUTE(Table2579[[#This Row],[Corrected time]])</f>
        <v>24</v>
      </c>
      <c r="N261" s="1">
        <v>0.64245497685185182</v>
      </c>
      <c r="O261" s="1">
        <f>Table2579[[#This Row],[Time]]-TIME(0,0,10)</f>
        <v>0.6423392361111111</v>
      </c>
      <c r="P261" t="s">
        <v>9</v>
      </c>
      <c r="Q261">
        <v>-113</v>
      </c>
      <c r="R261">
        <f>Table2579[[#This Row],[RSSI]]</f>
        <v>-113</v>
      </c>
      <c r="S261">
        <v>-7.7</v>
      </c>
    </row>
    <row r="262" spans="2:19" x14ac:dyDescent="0.25">
      <c r="B262">
        <f>160+2*(Table1468[[#This Row],[min value (corrected)]]-32)</f>
        <v>166</v>
      </c>
      <c r="C262">
        <f>MINUTE(Table1468[[#This Row],[Corrected time]])</f>
        <v>35</v>
      </c>
      <c r="D262" s="1">
        <v>0.64999619212962967</v>
      </c>
      <c r="E262" s="1">
        <f>Table1468[[#This Row],[Time]]-TIME(0,0,11)</f>
        <v>0.64986887731481491</v>
      </c>
      <c r="F262" t="s">
        <v>9</v>
      </c>
      <c r="G262" t="s">
        <v>39</v>
      </c>
      <c r="H262">
        <f t="shared" si="9"/>
        <v>-114</v>
      </c>
      <c r="I262">
        <v>-8.5</v>
      </c>
      <c r="L262">
        <f>160+2*(Table2579[[#This Row],[min value (corrected)]]-23)</f>
        <v>162</v>
      </c>
      <c r="M262">
        <f>MINUTE(Table2579[[#This Row],[Corrected time]])</f>
        <v>24</v>
      </c>
      <c r="N262" s="1">
        <v>0.6424671643518518</v>
      </c>
      <c r="O262" s="1">
        <f>Table2579[[#This Row],[Time]]-TIME(0,0,10)</f>
        <v>0.64235142361111108</v>
      </c>
      <c r="P262" t="s">
        <v>13</v>
      </c>
      <c r="Q262">
        <f>Q261</f>
        <v>-113</v>
      </c>
      <c r="R262">
        <f>Table2579[[#This Row],[RSSI]]</f>
        <v>-113</v>
      </c>
      <c r="S262">
        <f>S261</f>
        <v>-7.7</v>
      </c>
    </row>
    <row r="263" spans="2:19" x14ac:dyDescent="0.25">
      <c r="B263">
        <f>160+2*(Table1468[[#This Row],[min value (corrected)]]-32)</f>
        <v>166</v>
      </c>
      <c r="C263">
        <f>MINUTE(Table1468[[#This Row],[Corrected time]])</f>
        <v>35</v>
      </c>
      <c r="D263" s="1">
        <v>0.65000836805555551</v>
      </c>
      <c r="E263" s="1">
        <f>Table1468[[#This Row],[Time]]-TIME(0,0,11)</f>
        <v>0.64988105324074075</v>
      </c>
      <c r="F263" t="s">
        <v>9</v>
      </c>
      <c r="G263" t="s">
        <v>37</v>
      </c>
      <c r="H263">
        <f t="shared" si="9"/>
        <v>-113</v>
      </c>
      <c r="I263">
        <v>-8.3000000000000007</v>
      </c>
      <c r="L263">
        <f>160+2*(Table2579[[#This Row],[min value (corrected)]]-23)</f>
        <v>164</v>
      </c>
      <c r="M263">
        <f>MINUTE(Table2579[[#This Row],[Corrected time]])</f>
        <v>25</v>
      </c>
      <c r="N263" s="1">
        <v>0.6424793518518519</v>
      </c>
      <c r="O263" s="1">
        <f>Table2579[[#This Row],[Time]]-TIME(0,0,10)</f>
        <v>0.64236361111111118</v>
      </c>
      <c r="P263" t="s">
        <v>9</v>
      </c>
      <c r="Q263">
        <v>-114</v>
      </c>
      <c r="R263">
        <f>Table2579[[#This Row],[RSSI]]</f>
        <v>-114</v>
      </c>
      <c r="S263">
        <v>-9.5</v>
      </c>
    </row>
    <row r="264" spans="2:19" x14ac:dyDescent="0.25">
      <c r="B264">
        <f>160+2*(Table1468[[#This Row],[min value (corrected)]]-32)</f>
        <v>166</v>
      </c>
      <c r="C264">
        <f>MINUTE(Table1468[[#This Row],[Corrected time]])</f>
        <v>35</v>
      </c>
      <c r="D264" s="1">
        <v>0.65002055555555549</v>
      </c>
      <c r="E264" s="1">
        <f>Table1468[[#This Row],[Time]]-TIME(0,0,11)</f>
        <v>0.64989324074074073</v>
      </c>
      <c r="F264" t="s">
        <v>9</v>
      </c>
      <c r="G264" t="s">
        <v>37</v>
      </c>
      <c r="H264">
        <f t="shared" si="9"/>
        <v>-113</v>
      </c>
      <c r="I264">
        <v>-8.3000000000000007</v>
      </c>
      <c r="L264">
        <f>160+2*(Table2579[[#This Row],[min value (corrected)]]-23)</f>
        <v>164</v>
      </c>
      <c r="M264">
        <f>MINUTE(Table2579[[#This Row],[Corrected time]])</f>
        <v>25</v>
      </c>
      <c r="N264" s="1">
        <v>0.64249155092592591</v>
      </c>
      <c r="O264" s="1">
        <f>Table2579[[#This Row],[Time]]-TIME(0,0,10)</f>
        <v>0.64237581018518519</v>
      </c>
      <c r="P264" t="s">
        <v>13</v>
      </c>
      <c r="Q264">
        <f>Q263</f>
        <v>-114</v>
      </c>
      <c r="R264">
        <f>Table2579[[#This Row],[RSSI]]</f>
        <v>-114</v>
      </c>
      <c r="S264">
        <f>S263</f>
        <v>-9.5</v>
      </c>
    </row>
    <row r="265" spans="2:19" x14ac:dyDescent="0.25">
      <c r="B265">
        <f>160+2*(Table1468[[#This Row],[min value (corrected)]]-32)</f>
        <v>166</v>
      </c>
      <c r="C265">
        <f>MINUTE(Table1468[[#This Row],[Corrected time]])</f>
        <v>35</v>
      </c>
      <c r="D265" s="1">
        <v>0.65003275462962962</v>
      </c>
      <c r="E265" s="1">
        <f>Table1468[[#This Row],[Time]]-TIME(0,0,11)</f>
        <v>0.64990543981481486</v>
      </c>
      <c r="F265" t="s">
        <v>13</v>
      </c>
      <c r="G265" t="str">
        <f>G264</f>
        <v>-113.0,</v>
      </c>
      <c r="H265">
        <f t="shared" si="9"/>
        <v>-113</v>
      </c>
      <c r="I265">
        <f>I264</f>
        <v>-8.3000000000000007</v>
      </c>
      <c r="L265">
        <f>160+2*(Table2579[[#This Row],[min value (corrected)]]-23)</f>
        <v>164</v>
      </c>
      <c r="M265">
        <f>MINUTE(Table2579[[#This Row],[Corrected time]])</f>
        <v>25</v>
      </c>
      <c r="N265" s="1">
        <v>0.64250372685185186</v>
      </c>
      <c r="O265" s="1">
        <f>Table2579[[#This Row],[Time]]-TIME(0,0,10)</f>
        <v>0.64238798611111114</v>
      </c>
      <c r="P265" t="s">
        <v>9</v>
      </c>
      <c r="Q265">
        <v>-114</v>
      </c>
      <c r="R265">
        <f>Table2579[[#This Row],[RSSI]]</f>
        <v>-114</v>
      </c>
      <c r="S265">
        <v>-8.5</v>
      </c>
    </row>
    <row r="266" spans="2:19" x14ac:dyDescent="0.25">
      <c r="B266">
        <f>160+2*(Table1468[[#This Row],[min value (corrected)]]-32)</f>
        <v>166</v>
      </c>
      <c r="C266">
        <f>MINUTE(Table1468[[#This Row],[Corrected time]])</f>
        <v>35</v>
      </c>
      <c r="D266" s="1">
        <v>0.6500449421296296</v>
      </c>
      <c r="E266" s="1">
        <f>Table1468[[#This Row],[Time]]-TIME(0,0,11)</f>
        <v>0.64991762731481484</v>
      </c>
      <c r="F266" t="s">
        <v>9</v>
      </c>
      <c r="G266" t="s">
        <v>37</v>
      </c>
      <c r="H266">
        <f t="shared" si="9"/>
        <v>-113</v>
      </c>
      <c r="I266">
        <v>-8.3000000000000007</v>
      </c>
      <c r="L266">
        <f>160+2*(Table2579[[#This Row],[min value (corrected)]]-23)</f>
        <v>164</v>
      </c>
      <c r="M266">
        <f>MINUTE(Table2579[[#This Row],[Corrected time]])</f>
        <v>25</v>
      </c>
      <c r="N266" s="1">
        <v>0.64251590277777781</v>
      </c>
      <c r="O266" s="1">
        <f>Table2579[[#This Row],[Time]]-TIME(0,0,10)</f>
        <v>0.64240016203703709</v>
      </c>
      <c r="P266" t="s">
        <v>9</v>
      </c>
      <c r="Q266">
        <v>-115</v>
      </c>
      <c r="R266">
        <f>Table2579[[#This Row],[RSSI]]</f>
        <v>-115</v>
      </c>
      <c r="S266">
        <v>-9</v>
      </c>
    </row>
    <row r="267" spans="2:19" x14ac:dyDescent="0.25">
      <c r="B267">
        <f>160+2*(Table1468[[#This Row],[min value (corrected)]]-32)</f>
        <v>166</v>
      </c>
      <c r="C267">
        <f>MINUTE(Table1468[[#This Row],[Corrected time]])</f>
        <v>35</v>
      </c>
      <c r="D267" s="1">
        <v>0.65005712962962969</v>
      </c>
      <c r="E267" s="1">
        <f>Table1468[[#This Row],[Time]]-TIME(0,0,11)</f>
        <v>0.64992981481481493</v>
      </c>
      <c r="F267" t="s">
        <v>9</v>
      </c>
      <c r="G267" t="s">
        <v>37</v>
      </c>
      <c r="H267">
        <f t="shared" si="9"/>
        <v>-113</v>
      </c>
      <c r="I267">
        <v>-7.7</v>
      </c>
      <c r="L267">
        <f>160+2*(Table2579[[#This Row],[min value (corrected)]]-23)</f>
        <v>164</v>
      </c>
      <c r="M267">
        <f>MINUTE(Table2579[[#This Row],[Corrected time]])</f>
        <v>25</v>
      </c>
      <c r="N267" s="1">
        <v>0.64252810185185183</v>
      </c>
      <c r="O267" s="1">
        <f>Table2579[[#This Row],[Time]]-TIME(0,0,10)</f>
        <v>0.64241236111111111</v>
      </c>
      <c r="P267" t="s">
        <v>9</v>
      </c>
      <c r="Q267">
        <v>-113</v>
      </c>
      <c r="R267">
        <f>Table2579[[#This Row],[RSSI]]</f>
        <v>-113</v>
      </c>
      <c r="S267">
        <v>-8.8000000000000007</v>
      </c>
    </row>
    <row r="268" spans="2:19" x14ac:dyDescent="0.25">
      <c r="B268">
        <f>160+2*(Table1468[[#This Row],[min value (corrected)]]-32)</f>
        <v>166</v>
      </c>
      <c r="C268">
        <f>MINUTE(Table1468[[#This Row],[Corrected time]])</f>
        <v>35</v>
      </c>
      <c r="D268" s="1">
        <v>0.65006931712962968</v>
      </c>
      <c r="E268" s="1">
        <f>Table1468[[#This Row],[Time]]-TIME(0,0,11)</f>
        <v>0.64994200231481492</v>
      </c>
      <c r="F268" t="s">
        <v>9</v>
      </c>
      <c r="G268" t="s">
        <v>39</v>
      </c>
      <c r="H268">
        <f t="shared" si="9"/>
        <v>-114</v>
      </c>
      <c r="I268">
        <v>-8.3000000000000007</v>
      </c>
      <c r="L268">
        <f>160+2*(Table2579[[#This Row],[min value (corrected)]]-23)</f>
        <v>164</v>
      </c>
      <c r="M268">
        <f>MINUTE(Table2579[[#This Row],[Corrected time]])</f>
        <v>25</v>
      </c>
      <c r="N268" s="1">
        <v>0.64254030092592596</v>
      </c>
      <c r="O268" s="1">
        <f>Table2579[[#This Row],[Time]]-TIME(0,0,10)</f>
        <v>0.64242456018518523</v>
      </c>
      <c r="P268" t="s">
        <v>13</v>
      </c>
      <c r="Q268">
        <f>Q267</f>
        <v>-113</v>
      </c>
      <c r="R268">
        <f>Table2579[[#This Row],[RSSI]]</f>
        <v>-113</v>
      </c>
      <c r="S268">
        <f>S267</f>
        <v>-8.8000000000000007</v>
      </c>
    </row>
    <row r="269" spans="2:19" x14ac:dyDescent="0.25">
      <c r="B269">
        <f>160+2*(Table1468[[#This Row],[min value (corrected)]]-32)</f>
        <v>166</v>
      </c>
      <c r="C269">
        <f>MINUTE(Table1468[[#This Row],[Corrected time]])</f>
        <v>35</v>
      </c>
      <c r="D269" s="1">
        <v>0.65008149305555551</v>
      </c>
      <c r="E269" s="1">
        <f>Table1468[[#This Row],[Time]]-TIME(0,0,11)</f>
        <v>0.64995417824074075</v>
      </c>
      <c r="F269" t="s">
        <v>13</v>
      </c>
      <c r="G269" t="str">
        <f t="shared" ref="G269:G275" si="12">G268</f>
        <v>-114.0,</v>
      </c>
      <c r="H269">
        <f t="shared" si="9"/>
        <v>-114</v>
      </c>
      <c r="I269">
        <f t="shared" ref="I269:I275" si="13">I268</f>
        <v>-8.3000000000000007</v>
      </c>
      <c r="L269">
        <f>160+2*(Table2579[[#This Row],[min value (corrected)]]-23)</f>
        <v>164</v>
      </c>
      <c r="M269">
        <f>MINUTE(Table2579[[#This Row],[Corrected time]])</f>
        <v>25</v>
      </c>
      <c r="N269" s="1">
        <v>0.64255247685185179</v>
      </c>
      <c r="O269" s="1">
        <f>Table2579[[#This Row],[Time]]-TIME(0,0,10)</f>
        <v>0.64243673611111107</v>
      </c>
      <c r="P269" t="s">
        <v>9</v>
      </c>
      <c r="Q269">
        <v>-114</v>
      </c>
      <c r="R269">
        <f>Table2579[[#This Row],[RSSI]]</f>
        <v>-114</v>
      </c>
      <c r="S269">
        <v>-8.5</v>
      </c>
    </row>
    <row r="270" spans="2:19" x14ac:dyDescent="0.25">
      <c r="B270">
        <f>160+2*(Table1468[[#This Row],[min value (corrected)]]-32)</f>
        <v>166</v>
      </c>
      <c r="C270">
        <f>MINUTE(Table1468[[#This Row],[Corrected time]])</f>
        <v>35</v>
      </c>
      <c r="D270" s="1">
        <v>0.65009369212962964</v>
      </c>
      <c r="E270" s="1">
        <f>Table1468[[#This Row],[Time]]-TIME(0,0,11)</f>
        <v>0.64996637731481488</v>
      </c>
      <c r="F270" t="s">
        <v>13</v>
      </c>
      <c r="G270" t="str">
        <f t="shared" si="12"/>
        <v>-114.0,</v>
      </c>
      <c r="H270">
        <f t="shared" si="9"/>
        <v>-114</v>
      </c>
      <c r="I270">
        <f t="shared" si="13"/>
        <v>-8.3000000000000007</v>
      </c>
      <c r="L270">
        <f>160+2*(Table2579[[#This Row],[min value (corrected)]]-23)</f>
        <v>164</v>
      </c>
      <c r="M270">
        <f>MINUTE(Table2579[[#This Row],[Corrected time]])</f>
        <v>25</v>
      </c>
      <c r="N270" s="1">
        <v>0.64256465277777786</v>
      </c>
      <c r="O270" s="1">
        <f>Table2579[[#This Row],[Time]]-TIME(0,0,10)</f>
        <v>0.64244891203703713</v>
      </c>
      <c r="P270" t="s">
        <v>13</v>
      </c>
      <c r="Q270">
        <f>Q269</f>
        <v>-114</v>
      </c>
      <c r="R270">
        <f>Table2579[[#This Row],[RSSI]]</f>
        <v>-114</v>
      </c>
      <c r="S270">
        <f>S269</f>
        <v>-8.5</v>
      </c>
    </row>
    <row r="271" spans="2:19" x14ac:dyDescent="0.25">
      <c r="B271">
        <f>160+2*(Table1468[[#This Row],[min value (corrected)]]-32)</f>
        <v>166</v>
      </c>
      <c r="C271">
        <f>MINUTE(Table1468[[#This Row],[Corrected time]])</f>
        <v>35</v>
      </c>
      <c r="D271" s="1">
        <v>0.65010587962962962</v>
      </c>
      <c r="E271" s="1">
        <f>Table1468[[#This Row],[Time]]-TIME(0,0,11)</f>
        <v>0.64997856481481486</v>
      </c>
      <c r="F271" t="s">
        <v>13</v>
      </c>
      <c r="G271" t="str">
        <f t="shared" si="12"/>
        <v>-114.0,</v>
      </c>
      <c r="H271">
        <f t="shared" si="9"/>
        <v>-114</v>
      </c>
      <c r="I271">
        <f t="shared" si="13"/>
        <v>-8.3000000000000007</v>
      </c>
      <c r="L271">
        <f>160+2*(Table2579[[#This Row],[min value (corrected)]]-23)</f>
        <v>164</v>
      </c>
      <c r="M271">
        <f>MINUTE(Table2579[[#This Row],[Corrected time]])</f>
        <v>25</v>
      </c>
      <c r="N271" s="1">
        <v>0.64257686342592601</v>
      </c>
      <c r="O271" s="1">
        <f>Table2579[[#This Row],[Time]]-TIME(0,0,10)</f>
        <v>0.64246112268518529</v>
      </c>
      <c r="P271" t="s">
        <v>9</v>
      </c>
      <c r="Q271">
        <v>-114</v>
      </c>
      <c r="R271">
        <f>Table2579[[#This Row],[RSSI]]</f>
        <v>-114</v>
      </c>
      <c r="S271">
        <v>-8.3000000000000007</v>
      </c>
    </row>
    <row r="272" spans="2:19" x14ac:dyDescent="0.25">
      <c r="B272">
        <f>160+2*(Table1468[[#This Row],[min value (corrected)]]-32)</f>
        <v>166</v>
      </c>
      <c r="C272">
        <f>MINUTE(Table1468[[#This Row],[Corrected time]])</f>
        <v>35</v>
      </c>
      <c r="D272" s="1">
        <v>0.65011806712962961</v>
      </c>
      <c r="E272" s="1">
        <f>Table1468[[#This Row],[Time]]-TIME(0,0,11)</f>
        <v>0.64999075231481485</v>
      </c>
      <c r="F272" t="s">
        <v>13</v>
      </c>
      <c r="G272" t="str">
        <f t="shared" si="12"/>
        <v>-114.0,</v>
      </c>
      <c r="H272">
        <f t="shared" si="9"/>
        <v>-114</v>
      </c>
      <c r="I272">
        <f t="shared" si="13"/>
        <v>-8.3000000000000007</v>
      </c>
      <c r="L272">
        <f>160+2*(Table2579[[#This Row],[min value (corrected)]]-23)</f>
        <v>164</v>
      </c>
      <c r="M272">
        <f>MINUTE(Table2579[[#This Row],[Corrected time]])</f>
        <v>25</v>
      </c>
      <c r="N272" s="1">
        <v>0.642589050925926</v>
      </c>
      <c r="O272" s="1">
        <f>Table2579[[#This Row],[Time]]-TIME(0,0,10)</f>
        <v>0.64247331018518528</v>
      </c>
      <c r="P272" t="s">
        <v>13</v>
      </c>
      <c r="Q272">
        <f t="shared" ref="Q272:Q275" si="14">Q271</f>
        <v>-114</v>
      </c>
      <c r="R272">
        <f>Table2579[[#This Row],[RSSI]]</f>
        <v>-114</v>
      </c>
      <c r="S272">
        <f t="shared" ref="S272:S275" si="15">S271</f>
        <v>-8.3000000000000007</v>
      </c>
    </row>
    <row r="273" spans="2:19" x14ac:dyDescent="0.25">
      <c r="B273">
        <f>160+2*(Table1468[[#This Row],[min value (corrected)]]-32)</f>
        <v>168</v>
      </c>
      <c r="C273">
        <f>MINUTE(Table1468[[#This Row],[Corrected time]])</f>
        <v>36</v>
      </c>
      <c r="D273" s="1">
        <v>0.65013025462962959</v>
      </c>
      <c r="E273" s="1">
        <f>Table1468[[#This Row],[Time]]-TIME(0,0,11)</f>
        <v>0.65000293981481483</v>
      </c>
      <c r="F273" t="s">
        <v>13</v>
      </c>
      <c r="G273" t="str">
        <f t="shared" si="12"/>
        <v>-114.0,</v>
      </c>
      <c r="H273">
        <f t="shared" si="9"/>
        <v>-114</v>
      </c>
      <c r="I273">
        <f t="shared" si="13"/>
        <v>-8.3000000000000007</v>
      </c>
      <c r="L273">
        <f>160+2*(Table2579[[#This Row],[min value (corrected)]]-23)</f>
        <v>164</v>
      </c>
      <c r="M273">
        <f>MINUTE(Table2579[[#This Row],[Corrected time]])</f>
        <v>25</v>
      </c>
      <c r="N273" s="1">
        <v>0.64260123842592598</v>
      </c>
      <c r="O273" s="1">
        <f>Table2579[[#This Row],[Time]]-TIME(0,0,10)</f>
        <v>0.64248549768518526</v>
      </c>
      <c r="P273" t="s">
        <v>13</v>
      </c>
      <c r="Q273">
        <f t="shared" si="14"/>
        <v>-114</v>
      </c>
      <c r="R273">
        <f>Table2579[[#This Row],[RSSI]]</f>
        <v>-114</v>
      </c>
      <c r="S273">
        <f t="shared" si="15"/>
        <v>-8.3000000000000007</v>
      </c>
    </row>
    <row r="274" spans="2:19" x14ac:dyDescent="0.25">
      <c r="B274">
        <f>160+2*(Table1468[[#This Row],[min value (corrected)]]-32)</f>
        <v>168</v>
      </c>
      <c r="C274">
        <f>MINUTE(Table1468[[#This Row],[Corrected time]])</f>
        <v>36</v>
      </c>
      <c r="D274" s="1">
        <v>0.65014244212962968</v>
      </c>
      <c r="E274" s="1">
        <f>Table1468[[#This Row],[Time]]-TIME(0,0,11)</f>
        <v>0.65001512731481492</v>
      </c>
      <c r="F274" t="s">
        <v>13</v>
      </c>
      <c r="G274" t="str">
        <f t="shared" si="12"/>
        <v>-114.0,</v>
      </c>
      <c r="H274">
        <f t="shared" si="9"/>
        <v>-114</v>
      </c>
      <c r="I274">
        <f t="shared" si="13"/>
        <v>-8.3000000000000007</v>
      </c>
      <c r="L274">
        <f>160+2*(Table2579[[#This Row],[min value (corrected)]]-23)</f>
        <v>164</v>
      </c>
      <c r="M274">
        <f>MINUTE(Table2579[[#This Row],[Corrected time]])</f>
        <v>25</v>
      </c>
      <c r="N274" s="1">
        <v>0.64261341435185182</v>
      </c>
      <c r="O274" s="1">
        <f>Table2579[[#This Row],[Time]]-TIME(0,0,10)</f>
        <v>0.6424976736111111</v>
      </c>
      <c r="P274" t="s">
        <v>13</v>
      </c>
      <c r="Q274">
        <f t="shared" si="14"/>
        <v>-114</v>
      </c>
      <c r="R274">
        <f>Table2579[[#This Row],[RSSI]]</f>
        <v>-114</v>
      </c>
      <c r="S274">
        <f t="shared" si="15"/>
        <v>-8.3000000000000007</v>
      </c>
    </row>
    <row r="275" spans="2:19" x14ac:dyDescent="0.25">
      <c r="B275">
        <f>160+2*(Table1468[[#This Row],[min value (corrected)]]-32)</f>
        <v>168</v>
      </c>
      <c r="C275">
        <f>MINUTE(Table1468[[#This Row],[Corrected time]])</f>
        <v>36</v>
      </c>
      <c r="D275" s="1">
        <v>0.65015462962962967</v>
      </c>
      <c r="E275" s="1">
        <f>Table1468[[#This Row],[Time]]-TIME(0,0,11)</f>
        <v>0.6500273148148149</v>
      </c>
      <c r="F275" t="s">
        <v>13</v>
      </c>
      <c r="G275" t="str">
        <f t="shared" si="12"/>
        <v>-114.0,</v>
      </c>
      <c r="H275">
        <f t="shared" si="9"/>
        <v>-114</v>
      </c>
      <c r="I275">
        <f t="shared" si="13"/>
        <v>-8.3000000000000007</v>
      </c>
      <c r="L275">
        <f>160+2*(Table2579[[#This Row],[min value (corrected)]]-23)</f>
        <v>164</v>
      </c>
      <c r="M275">
        <f>MINUTE(Table2579[[#This Row],[Corrected time]])</f>
        <v>25</v>
      </c>
      <c r="N275" s="1">
        <v>0.6426256018518518</v>
      </c>
      <c r="O275" s="1">
        <f>Table2579[[#This Row],[Time]]-TIME(0,0,10)</f>
        <v>0.64250986111111108</v>
      </c>
      <c r="P275" t="s">
        <v>27</v>
      </c>
      <c r="Q275">
        <f t="shared" si="14"/>
        <v>-114</v>
      </c>
      <c r="R275">
        <f>Table2579[[#This Row],[RSSI]]</f>
        <v>-114</v>
      </c>
      <c r="S275">
        <f t="shared" si="15"/>
        <v>-8.3000000000000007</v>
      </c>
    </row>
    <row r="276" spans="2:19" x14ac:dyDescent="0.25">
      <c r="B276">
        <f>160+2*(Table1468[[#This Row],[min value (corrected)]]-32)</f>
        <v>168</v>
      </c>
      <c r="C276">
        <f>MINUTE(Table1468[[#This Row],[Corrected time]])</f>
        <v>36</v>
      </c>
      <c r="D276" s="1">
        <v>0.65016679398148147</v>
      </c>
      <c r="E276" s="1">
        <f>Table1468[[#This Row],[Time]]-TIME(0,0,11)</f>
        <v>0.65003947916666671</v>
      </c>
      <c r="F276" t="s">
        <v>9</v>
      </c>
      <c r="G276" t="s">
        <v>39</v>
      </c>
      <c r="H276">
        <f t="shared" si="9"/>
        <v>-114</v>
      </c>
      <c r="I276">
        <v>-8.8000000000000007</v>
      </c>
      <c r="L276">
        <f>160+2*(Table2579[[#This Row],[min value (corrected)]]-23)</f>
        <v>164</v>
      </c>
      <c r="M276">
        <f>MINUTE(Table2579[[#This Row],[Corrected time]])</f>
        <v>25</v>
      </c>
      <c r="N276" s="1">
        <v>0.64263780092592593</v>
      </c>
      <c r="O276" s="1">
        <f>Table2579[[#This Row],[Time]]-TIME(0,0,10)</f>
        <v>0.64252206018518521</v>
      </c>
      <c r="P276" t="s">
        <v>9</v>
      </c>
      <c r="Q276">
        <v>-113</v>
      </c>
      <c r="R276">
        <f>Table2579[[#This Row],[RSSI]]</f>
        <v>-113</v>
      </c>
      <c r="S276">
        <v>-8.5</v>
      </c>
    </row>
    <row r="277" spans="2:19" x14ac:dyDescent="0.25">
      <c r="B277">
        <f>160+2*(Table1468[[#This Row],[min value (corrected)]]-32)</f>
        <v>168</v>
      </c>
      <c r="C277">
        <f>MINUTE(Table1468[[#This Row],[Corrected time]])</f>
        <v>36</v>
      </c>
      <c r="D277" s="1">
        <v>0.65017900462962963</v>
      </c>
      <c r="E277" s="1">
        <f>Table1468[[#This Row],[Time]]-TIME(0,0,11)</f>
        <v>0.65005168981481487</v>
      </c>
      <c r="F277" t="s">
        <v>9</v>
      </c>
      <c r="G277" t="s">
        <v>37</v>
      </c>
      <c r="H277">
        <f t="shared" si="9"/>
        <v>-113</v>
      </c>
      <c r="I277">
        <v>-7.7</v>
      </c>
      <c r="L277">
        <f>160+2*(Table2579[[#This Row],[min value (corrected)]]-23)</f>
        <v>164</v>
      </c>
      <c r="M277">
        <f>MINUTE(Table2579[[#This Row],[Corrected time]])</f>
        <v>25</v>
      </c>
      <c r="N277" s="1">
        <v>0.64264998842592591</v>
      </c>
      <c r="O277" s="1">
        <f>Table2579[[#This Row],[Time]]-TIME(0,0,10)</f>
        <v>0.64253424768518519</v>
      </c>
      <c r="P277" t="s">
        <v>13</v>
      </c>
      <c r="Q277">
        <f t="shared" ref="Q277:Q278" si="16">Q276</f>
        <v>-113</v>
      </c>
      <c r="R277">
        <f>Table2579[[#This Row],[RSSI]]</f>
        <v>-113</v>
      </c>
      <c r="S277">
        <f t="shared" ref="S277:S278" si="17">S276</f>
        <v>-8.5</v>
      </c>
    </row>
    <row r="278" spans="2:19" x14ac:dyDescent="0.25">
      <c r="B278">
        <f>160+2*(Table1468[[#This Row],[min value (corrected)]]-32)</f>
        <v>168</v>
      </c>
      <c r="C278">
        <f>MINUTE(Table1468[[#This Row],[Corrected time]])</f>
        <v>36</v>
      </c>
      <c r="D278" s="1">
        <v>0.65019119212962961</v>
      </c>
      <c r="E278" s="1">
        <f>Table1468[[#This Row],[Time]]-TIME(0,0,11)</f>
        <v>0.65006387731481485</v>
      </c>
      <c r="F278" t="s">
        <v>9</v>
      </c>
      <c r="G278" t="s">
        <v>39</v>
      </c>
      <c r="H278">
        <f t="shared" ref="H278:H341" si="18">VALUE(LEFT(G278,LEN(G278)-1))</f>
        <v>-114</v>
      </c>
      <c r="I278">
        <v>-8.3000000000000007</v>
      </c>
      <c r="L278">
        <f>160+2*(Table2579[[#This Row],[min value (corrected)]]-23)</f>
        <v>164</v>
      </c>
      <c r="M278">
        <f>MINUTE(Table2579[[#This Row],[Corrected time]])</f>
        <v>25</v>
      </c>
      <c r="N278" s="1">
        <v>0.64266216435185186</v>
      </c>
      <c r="O278" s="1">
        <f>Table2579[[#This Row],[Time]]-TIME(0,0,10)</f>
        <v>0.64254642361111114</v>
      </c>
      <c r="P278" t="s">
        <v>13</v>
      </c>
      <c r="Q278">
        <f t="shared" si="16"/>
        <v>-113</v>
      </c>
      <c r="R278">
        <f>Table2579[[#This Row],[RSSI]]</f>
        <v>-113</v>
      </c>
      <c r="S278">
        <f t="shared" si="17"/>
        <v>-8.5</v>
      </c>
    </row>
    <row r="279" spans="2:19" x14ac:dyDescent="0.25">
      <c r="B279">
        <f>160+2*(Table1468[[#This Row],[min value (corrected)]]-32)</f>
        <v>168</v>
      </c>
      <c r="C279">
        <f>MINUTE(Table1468[[#This Row],[Corrected time]])</f>
        <v>36</v>
      </c>
      <c r="D279" s="1">
        <v>0.6502033796296296</v>
      </c>
      <c r="E279" s="1">
        <f>Table1468[[#This Row],[Time]]-TIME(0,0,11)</f>
        <v>0.65007606481481484</v>
      </c>
      <c r="F279" t="s">
        <v>9</v>
      </c>
      <c r="G279" t="s">
        <v>39</v>
      </c>
      <c r="H279">
        <f t="shared" si="18"/>
        <v>-114</v>
      </c>
      <c r="I279">
        <v>-8.3000000000000007</v>
      </c>
      <c r="L279">
        <f>160+2*(Table2579[[#This Row],[min value (corrected)]]-23)</f>
        <v>164</v>
      </c>
      <c r="M279">
        <f>MINUTE(Table2579[[#This Row],[Corrected time]])</f>
        <v>25</v>
      </c>
      <c r="N279" s="1">
        <v>0.64267435185185184</v>
      </c>
      <c r="O279" s="1">
        <f>Table2579[[#This Row],[Time]]-TIME(0,0,10)</f>
        <v>0.64255861111111112</v>
      </c>
      <c r="P279" t="s">
        <v>9</v>
      </c>
      <c r="Q279">
        <v>-114</v>
      </c>
      <c r="R279">
        <f>Table2579[[#This Row],[RSSI]]</f>
        <v>-114</v>
      </c>
      <c r="S279">
        <v>-8.5</v>
      </c>
    </row>
    <row r="280" spans="2:19" x14ac:dyDescent="0.25">
      <c r="B280">
        <f>160+2*(Table1468[[#This Row],[min value (corrected)]]-32)</f>
        <v>168</v>
      </c>
      <c r="C280">
        <f>MINUTE(Table1468[[#This Row],[Corrected time]])</f>
        <v>36</v>
      </c>
      <c r="D280" s="1">
        <v>0.65021555555555555</v>
      </c>
      <c r="E280" s="1">
        <f>Table1468[[#This Row],[Time]]-TIME(0,0,11)</f>
        <v>0.65008824074074079</v>
      </c>
      <c r="F280" t="s">
        <v>13</v>
      </c>
      <c r="G280" t="str">
        <f t="shared" ref="G280:G281" si="19">G279</f>
        <v>-114.0,</v>
      </c>
      <c r="H280">
        <f t="shared" si="18"/>
        <v>-114</v>
      </c>
      <c r="I280">
        <f t="shared" ref="I280:I281" si="20">I279</f>
        <v>-8.3000000000000007</v>
      </c>
      <c r="L280">
        <f>160+2*(Table2579[[#This Row],[min value (corrected)]]-23)</f>
        <v>164</v>
      </c>
      <c r="M280">
        <f>MINUTE(Table2579[[#This Row],[Corrected time]])</f>
        <v>25</v>
      </c>
      <c r="N280" s="1">
        <v>0.64268655092592597</v>
      </c>
      <c r="O280" s="1">
        <f>Table2579[[#This Row],[Time]]-TIME(0,0,10)</f>
        <v>0.64257081018518525</v>
      </c>
      <c r="P280" t="s">
        <v>9</v>
      </c>
      <c r="Q280">
        <v>-114</v>
      </c>
      <c r="R280">
        <f>Table2579[[#This Row],[RSSI]]</f>
        <v>-114</v>
      </c>
      <c r="S280">
        <v>-8.3000000000000007</v>
      </c>
    </row>
    <row r="281" spans="2:19" x14ac:dyDescent="0.25">
      <c r="B281">
        <f>160+2*(Table1468[[#This Row],[min value (corrected)]]-32)</f>
        <v>168</v>
      </c>
      <c r="C281">
        <f>MINUTE(Table1468[[#This Row],[Corrected time]])</f>
        <v>36</v>
      </c>
      <c r="D281" s="1">
        <v>0.65022775462962967</v>
      </c>
      <c r="E281" s="1">
        <f>Table1468[[#This Row],[Time]]-TIME(0,0,11)</f>
        <v>0.65010043981481491</v>
      </c>
      <c r="F281" t="s">
        <v>13</v>
      </c>
      <c r="G281" t="str">
        <f t="shared" si="19"/>
        <v>-114.0,</v>
      </c>
      <c r="H281">
        <f t="shared" si="18"/>
        <v>-114</v>
      </c>
      <c r="I281">
        <f t="shared" si="20"/>
        <v>-8.3000000000000007</v>
      </c>
      <c r="L281">
        <f>160+2*(Table2579[[#This Row],[min value (corrected)]]-23)</f>
        <v>164</v>
      </c>
      <c r="M281">
        <f>MINUTE(Table2579[[#This Row],[Corrected time]])</f>
        <v>25</v>
      </c>
      <c r="N281" s="1">
        <v>0.64269873842592595</v>
      </c>
      <c r="O281" s="1">
        <f>Table2579[[#This Row],[Time]]-TIME(0,0,10)</f>
        <v>0.64258299768518523</v>
      </c>
      <c r="P281" t="s">
        <v>9</v>
      </c>
      <c r="Q281">
        <v>-114</v>
      </c>
      <c r="R281">
        <f>Table2579[[#This Row],[RSSI]]</f>
        <v>-114</v>
      </c>
      <c r="S281">
        <v>-8.5</v>
      </c>
    </row>
    <row r="282" spans="2:19" x14ac:dyDescent="0.25">
      <c r="B282">
        <f>160+2*(Table1468[[#This Row],[min value (corrected)]]-32)</f>
        <v>168</v>
      </c>
      <c r="C282">
        <f>MINUTE(Table1468[[#This Row],[Corrected time]])</f>
        <v>36</v>
      </c>
      <c r="D282" s="1">
        <v>0.65023993055555562</v>
      </c>
      <c r="E282" s="1">
        <f>Table1468[[#This Row],[Time]]-TIME(0,0,11)</f>
        <v>0.65011261574074086</v>
      </c>
      <c r="F282" t="s">
        <v>9</v>
      </c>
      <c r="G282" t="s">
        <v>37</v>
      </c>
      <c r="H282">
        <f t="shared" si="18"/>
        <v>-113</v>
      </c>
      <c r="I282">
        <v>-8.5</v>
      </c>
      <c r="L282">
        <f>160+2*(Table2579[[#This Row],[min value (corrected)]]-23)</f>
        <v>164</v>
      </c>
      <c r="M282">
        <f>MINUTE(Table2579[[#This Row],[Corrected time]])</f>
        <v>25</v>
      </c>
      <c r="N282" s="1">
        <v>0.64271092592592594</v>
      </c>
      <c r="O282" s="1">
        <f>Table2579[[#This Row],[Time]]-TIME(0,0,10)</f>
        <v>0.64259518518518521</v>
      </c>
      <c r="P282" t="s">
        <v>9</v>
      </c>
      <c r="Q282">
        <v>-114</v>
      </c>
      <c r="R282">
        <f>Table2579[[#This Row],[RSSI]]</f>
        <v>-114</v>
      </c>
      <c r="S282">
        <v>-9</v>
      </c>
    </row>
    <row r="283" spans="2:19" x14ac:dyDescent="0.25">
      <c r="B283">
        <f>160+2*(Table1468[[#This Row],[min value (corrected)]]-32)</f>
        <v>168</v>
      </c>
      <c r="C283">
        <f>MINUTE(Table1468[[#This Row],[Corrected time]])</f>
        <v>36</v>
      </c>
      <c r="D283" s="1">
        <v>0.65025212962962964</v>
      </c>
      <c r="E283" s="1">
        <f>Table1468[[#This Row],[Time]]-TIME(0,0,11)</f>
        <v>0.65012481481481488</v>
      </c>
      <c r="F283" t="s">
        <v>9</v>
      </c>
      <c r="G283" t="s">
        <v>39</v>
      </c>
      <c r="H283">
        <f t="shared" si="18"/>
        <v>-114</v>
      </c>
      <c r="I283">
        <v>-9</v>
      </c>
      <c r="L283">
        <f>160+2*(Table2579[[#This Row],[min value (corrected)]]-23)</f>
        <v>164</v>
      </c>
      <c r="M283">
        <f>MINUTE(Table2579[[#This Row],[Corrected time]])</f>
        <v>25</v>
      </c>
      <c r="N283" s="1">
        <v>0.64272309027777774</v>
      </c>
      <c r="O283" s="1">
        <f>Table2579[[#This Row],[Time]]-TIME(0,0,10)</f>
        <v>0.64260734953703702</v>
      </c>
      <c r="P283" t="s">
        <v>9</v>
      </c>
      <c r="Q283">
        <v>-114</v>
      </c>
      <c r="R283">
        <f>Table2579[[#This Row],[RSSI]]</f>
        <v>-114</v>
      </c>
      <c r="S283">
        <v>-8.5</v>
      </c>
    </row>
    <row r="284" spans="2:19" x14ac:dyDescent="0.25">
      <c r="B284">
        <f>160+2*(Table1468[[#This Row],[min value (corrected)]]-32)</f>
        <v>168</v>
      </c>
      <c r="C284">
        <f>MINUTE(Table1468[[#This Row],[Corrected time]])</f>
        <v>36</v>
      </c>
      <c r="D284" s="1">
        <v>0.65026430555555559</v>
      </c>
      <c r="E284" s="1">
        <f>Table1468[[#This Row],[Time]]-TIME(0,0,11)</f>
        <v>0.65013699074074083</v>
      </c>
      <c r="F284" t="s">
        <v>9</v>
      </c>
      <c r="G284" t="s">
        <v>43</v>
      </c>
      <c r="H284">
        <f t="shared" si="18"/>
        <v>-115</v>
      </c>
      <c r="I284">
        <v>-9</v>
      </c>
      <c r="L284">
        <f>160+2*(Table2579[[#This Row],[min value (corrected)]]-23)</f>
        <v>164</v>
      </c>
      <c r="M284">
        <f>MINUTE(Table2579[[#This Row],[Corrected time]])</f>
        <v>25</v>
      </c>
      <c r="N284" s="1">
        <v>0.64273528935185187</v>
      </c>
      <c r="O284" s="1">
        <f>Table2579[[#This Row],[Time]]-TIME(0,0,10)</f>
        <v>0.64261954861111115</v>
      </c>
      <c r="P284" t="s">
        <v>13</v>
      </c>
      <c r="Q284">
        <f>Q283</f>
        <v>-114</v>
      </c>
      <c r="R284">
        <f>Table2579[[#This Row],[RSSI]]</f>
        <v>-114</v>
      </c>
      <c r="S284">
        <f>S283</f>
        <v>-8.5</v>
      </c>
    </row>
    <row r="285" spans="2:19" x14ac:dyDescent="0.25">
      <c r="B285">
        <f>160+2*(Table1468[[#This Row],[min value (corrected)]]-32)</f>
        <v>168</v>
      </c>
      <c r="C285">
        <f>MINUTE(Table1468[[#This Row],[Corrected time]])</f>
        <v>36</v>
      </c>
      <c r="D285" s="1">
        <v>0.6502765046296296</v>
      </c>
      <c r="E285" s="1">
        <f>Table1468[[#This Row],[Time]]-TIME(0,0,11)</f>
        <v>0.65014918981481484</v>
      </c>
      <c r="F285" t="s">
        <v>9</v>
      </c>
      <c r="G285" t="s">
        <v>39</v>
      </c>
      <c r="H285">
        <f t="shared" si="18"/>
        <v>-114</v>
      </c>
      <c r="I285">
        <v>-8.5</v>
      </c>
      <c r="L285">
        <f>160+2*(Table2579[[#This Row],[min value (corrected)]]-23)</f>
        <v>164</v>
      </c>
      <c r="M285">
        <f>MINUTE(Table2579[[#This Row],[Corrected time]])</f>
        <v>25</v>
      </c>
      <c r="N285" s="1">
        <v>0.64274747685185185</v>
      </c>
      <c r="O285" s="1">
        <f>Table2579[[#This Row],[Time]]-TIME(0,0,10)</f>
        <v>0.64263173611111113</v>
      </c>
      <c r="P285" t="s">
        <v>9</v>
      </c>
      <c r="Q285">
        <v>-114</v>
      </c>
      <c r="R285">
        <f>Table2579[[#This Row],[RSSI]]</f>
        <v>-114</v>
      </c>
      <c r="S285">
        <v>-8.5</v>
      </c>
    </row>
    <row r="286" spans="2:19" x14ac:dyDescent="0.25">
      <c r="B286">
        <f>160+2*(Table1468[[#This Row],[min value (corrected)]]-32)</f>
        <v>168</v>
      </c>
      <c r="C286">
        <f>MINUTE(Table1468[[#This Row],[Corrected time]])</f>
        <v>36</v>
      </c>
      <c r="D286" s="1">
        <v>0.65028869212962959</v>
      </c>
      <c r="E286" s="1">
        <f>Table1468[[#This Row],[Time]]-TIME(0,0,11)</f>
        <v>0.65016137731481483</v>
      </c>
      <c r="F286" t="s">
        <v>13</v>
      </c>
      <c r="G286" t="str">
        <f>G285</f>
        <v>-114.0,</v>
      </c>
      <c r="H286">
        <f t="shared" si="18"/>
        <v>-114</v>
      </c>
      <c r="I286">
        <f>I285</f>
        <v>-8.5</v>
      </c>
      <c r="L286">
        <f>160+2*(Table2579[[#This Row],[min value (corrected)]]-23)</f>
        <v>164</v>
      </c>
      <c r="M286">
        <f>MINUTE(Table2579[[#This Row],[Corrected time]])</f>
        <v>25</v>
      </c>
      <c r="N286" s="1">
        <v>0.64275967592592598</v>
      </c>
      <c r="O286" s="1">
        <f>Table2579[[#This Row],[Time]]-TIME(0,0,10)</f>
        <v>0.64264393518518526</v>
      </c>
      <c r="P286" t="s">
        <v>9</v>
      </c>
      <c r="Q286">
        <v>-114</v>
      </c>
      <c r="R286">
        <f>Table2579[[#This Row],[RSSI]]</f>
        <v>-114</v>
      </c>
      <c r="S286">
        <v>-8.5</v>
      </c>
    </row>
    <row r="287" spans="2:19" x14ac:dyDescent="0.25">
      <c r="B287">
        <f>160+2*(Table1468[[#This Row],[min value (corrected)]]-32)</f>
        <v>168</v>
      </c>
      <c r="C287">
        <f>MINUTE(Table1468[[#This Row],[Corrected time]])</f>
        <v>36</v>
      </c>
      <c r="D287" s="1">
        <v>0.6503008564814815</v>
      </c>
      <c r="E287" s="1">
        <f>Table1468[[#This Row],[Time]]-TIME(0,0,11)</f>
        <v>0.65017354166666674</v>
      </c>
      <c r="F287" t="s">
        <v>9</v>
      </c>
      <c r="G287" t="s">
        <v>39</v>
      </c>
      <c r="H287">
        <f t="shared" si="18"/>
        <v>-114</v>
      </c>
      <c r="I287">
        <v>-8.5</v>
      </c>
      <c r="L287">
        <f>160+2*(Table2579[[#This Row],[min value (corrected)]]-23)</f>
        <v>164</v>
      </c>
      <c r="M287">
        <f>MINUTE(Table2579[[#This Row],[Corrected time]])</f>
        <v>25</v>
      </c>
      <c r="N287" s="1">
        <v>0.64277185185185182</v>
      </c>
      <c r="O287" s="1">
        <f>Table2579[[#This Row],[Time]]-TIME(0,0,10)</f>
        <v>0.64265611111111109</v>
      </c>
      <c r="P287" t="s">
        <v>13</v>
      </c>
      <c r="Q287">
        <f>Q286</f>
        <v>-114</v>
      </c>
      <c r="R287">
        <f>Table2579[[#This Row],[RSSI]]</f>
        <v>-114</v>
      </c>
      <c r="S287">
        <f>S286</f>
        <v>-8.5</v>
      </c>
    </row>
    <row r="288" spans="2:19" x14ac:dyDescent="0.25">
      <c r="B288">
        <f>160+2*(Table1468[[#This Row],[min value (corrected)]]-32)</f>
        <v>168</v>
      </c>
      <c r="C288">
        <f>MINUTE(Table1468[[#This Row],[Corrected time]])</f>
        <v>36</v>
      </c>
      <c r="D288" s="1">
        <v>0.65031306712962966</v>
      </c>
      <c r="E288" s="1">
        <f>Table1468[[#This Row],[Time]]-TIME(0,0,11)</f>
        <v>0.6501857523148149</v>
      </c>
      <c r="F288" t="s">
        <v>9</v>
      </c>
      <c r="G288" t="s">
        <v>39</v>
      </c>
      <c r="H288">
        <f t="shared" si="18"/>
        <v>-114</v>
      </c>
      <c r="I288">
        <v>-10</v>
      </c>
      <c r="L288">
        <f>160+2*(Table2579[[#This Row],[min value (corrected)]]-23)</f>
        <v>164</v>
      </c>
      <c r="M288">
        <f>MINUTE(Table2579[[#This Row],[Corrected time]])</f>
        <v>25</v>
      </c>
      <c r="N288" s="1">
        <v>0.6427840393518518</v>
      </c>
      <c r="O288" s="1">
        <f>Table2579[[#This Row],[Time]]-TIME(0,0,10)</f>
        <v>0.64266829861111108</v>
      </c>
      <c r="P288" t="s">
        <v>9</v>
      </c>
      <c r="Q288">
        <v>-114</v>
      </c>
      <c r="R288">
        <f>Table2579[[#This Row],[RSSI]]</f>
        <v>-114</v>
      </c>
      <c r="S288">
        <v>-8.5</v>
      </c>
    </row>
    <row r="289" spans="2:19" x14ac:dyDescent="0.25">
      <c r="B289">
        <f>160+2*(Table1468[[#This Row],[min value (corrected)]]-32)</f>
        <v>168</v>
      </c>
      <c r="C289">
        <f>MINUTE(Table1468[[#This Row],[Corrected time]])</f>
        <v>36</v>
      </c>
      <c r="D289" s="1">
        <v>0.65032524305555561</v>
      </c>
      <c r="E289" s="1">
        <f>Table1468[[#This Row],[Time]]-TIME(0,0,11)</f>
        <v>0.65019792824074085</v>
      </c>
      <c r="F289" t="s">
        <v>13</v>
      </c>
      <c r="G289" t="str">
        <f t="shared" ref="G289:G290" si="21">G288</f>
        <v>-114.0,</v>
      </c>
      <c r="H289">
        <f t="shared" si="18"/>
        <v>-114</v>
      </c>
      <c r="I289">
        <f t="shared" ref="I289:I290" si="22">I288</f>
        <v>-10</v>
      </c>
      <c r="L289">
        <f>160+2*(Table2579[[#This Row],[min value (corrected)]]-23)</f>
        <v>164</v>
      </c>
      <c r="M289">
        <f>MINUTE(Table2579[[#This Row],[Corrected time]])</f>
        <v>25</v>
      </c>
      <c r="N289" s="1">
        <v>0.64279622685185178</v>
      </c>
      <c r="O289" s="1">
        <f>Table2579[[#This Row],[Time]]-TIME(0,0,10)</f>
        <v>0.64268048611111106</v>
      </c>
      <c r="P289" t="s">
        <v>13</v>
      </c>
      <c r="Q289">
        <f>Q288</f>
        <v>-114</v>
      </c>
      <c r="R289">
        <f>Table2579[[#This Row],[RSSI]]</f>
        <v>-114</v>
      </c>
      <c r="S289">
        <f>S288</f>
        <v>-8.5</v>
      </c>
    </row>
    <row r="290" spans="2:19" x14ac:dyDescent="0.25">
      <c r="B290">
        <f>160+2*(Table1468[[#This Row],[min value (corrected)]]-32)</f>
        <v>168</v>
      </c>
      <c r="C290">
        <f>MINUTE(Table1468[[#This Row],[Corrected time]])</f>
        <v>36</v>
      </c>
      <c r="D290" s="1">
        <v>0.65033744212962963</v>
      </c>
      <c r="E290" s="1">
        <f>Table1468[[#This Row],[Time]]-TIME(0,0,11)</f>
        <v>0.65021012731481487</v>
      </c>
      <c r="F290" t="s">
        <v>13</v>
      </c>
      <c r="G290" t="str">
        <f t="shared" si="21"/>
        <v>-114.0,</v>
      </c>
      <c r="H290">
        <f t="shared" si="18"/>
        <v>-114</v>
      </c>
      <c r="I290">
        <f t="shared" si="22"/>
        <v>-10</v>
      </c>
      <c r="L290">
        <f>160+2*(Table2579[[#This Row],[min value (corrected)]]-23)</f>
        <v>164</v>
      </c>
      <c r="M290">
        <f>MINUTE(Table2579[[#This Row],[Corrected time]])</f>
        <v>25</v>
      </c>
      <c r="N290" s="1">
        <v>0.64280841435185176</v>
      </c>
      <c r="O290" s="1">
        <f>Table2579[[#This Row],[Time]]-TIME(0,0,10)</f>
        <v>0.64269267361111104</v>
      </c>
      <c r="P290" t="s">
        <v>9</v>
      </c>
      <c r="Q290">
        <v>-114</v>
      </c>
      <c r="R290">
        <f>Table2579[[#This Row],[RSSI]]</f>
        <v>-114</v>
      </c>
      <c r="S290">
        <v>-8.8000000000000007</v>
      </c>
    </row>
    <row r="291" spans="2:19" x14ac:dyDescent="0.25">
      <c r="B291">
        <f>160+2*(Table1468[[#This Row],[min value (corrected)]]-32)</f>
        <v>168</v>
      </c>
      <c r="C291">
        <f>MINUTE(Table1468[[#This Row],[Corrected time]])</f>
        <v>36</v>
      </c>
      <c r="D291" s="1">
        <v>0.65034961805555558</v>
      </c>
      <c r="E291" s="1">
        <f>Table1468[[#This Row],[Time]]-TIME(0,0,11)</f>
        <v>0.65022230324074082</v>
      </c>
      <c r="F291" t="s">
        <v>9</v>
      </c>
      <c r="G291" t="s">
        <v>39</v>
      </c>
      <c r="H291">
        <f t="shared" si="18"/>
        <v>-114</v>
      </c>
      <c r="I291">
        <v>-8.3000000000000007</v>
      </c>
      <c r="L291">
        <f>160+2*(Table2579[[#This Row],[min value (corrected)]]-23)</f>
        <v>164</v>
      </c>
      <c r="M291">
        <f>MINUTE(Table2579[[#This Row],[Corrected time]])</f>
        <v>25</v>
      </c>
      <c r="N291" s="1">
        <v>0.64282060185185186</v>
      </c>
      <c r="O291" s="1">
        <f>Table2579[[#This Row],[Time]]-TIME(0,0,10)</f>
        <v>0.64270486111111114</v>
      </c>
      <c r="P291" t="s">
        <v>13</v>
      </c>
      <c r="Q291">
        <f t="shared" ref="Q291:Q293" si="23">Q290</f>
        <v>-114</v>
      </c>
      <c r="R291">
        <f>Table2579[[#This Row],[RSSI]]</f>
        <v>-114</v>
      </c>
      <c r="S291">
        <f t="shared" ref="S291:S293" si="24">S290</f>
        <v>-8.8000000000000007</v>
      </c>
    </row>
    <row r="292" spans="2:19" x14ac:dyDescent="0.25">
      <c r="B292">
        <f>160+2*(Table1468[[#This Row],[min value (corrected)]]-32)</f>
        <v>168</v>
      </c>
      <c r="C292">
        <f>MINUTE(Table1468[[#This Row],[Corrected time]])</f>
        <v>36</v>
      </c>
      <c r="D292" s="1">
        <v>0.65036180555555556</v>
      </c>
      <c r="E292" s="1">
        <f>Table1468[[#This Row],[Time]]-TIME(0,0,11)</f>
        <v>0.6502344907407408</v>
      </c>
      <c r="F292" t="s">
        <v>9</v>
      </c>
      <c r="G292" t="s">
        <v>39</v>
      </c>
      <c r="H292">
        <f t="shared" si="18"/>
        <v>-114</v>
      </c>
      <c r="I292">
        <v>-9</v>
      </c>
      <c r="L292">
        <f>160+2*(Table2579[[#This Row],[min value (corrected)]]-23)</f>
        <v>164</v>
      </c>
      <c r="M292">
        <f>MINUTE(Table2579[[#This Row],[Corrected time]])</f>
        <v>25</v>
      </c>
      <c r="N292" s="1">
        <v>0.64283278935185184</v>
      </c>
      <c r="O292" s="1">
        <f>Table2579[[#This Row],[Time]]-TIME(0,0,10)</f>
        <v>0.64271704861111112</v>
      </c>
      <c r="P292" t="s">
        <v>13</v>
      </c>
      <c r="Q292">
        <f t="shared" si="23"/>
        <v>-114</v>
      </c>
      <c r="R292">
        <f>Table2579[[#This Row],[RSSI]]</f>
        <v>-114</v>
      </c>
      <c r="S292">
        <f t="shared" si="24"/>
        <v>-8.8000000000000007</v>
      </c>
    </row>
    <row r="293" spans="2:19" x14ac:dyDescent="0.25">
      <c r="B293">
        <f>160+2*(Table1468[[#This Row],[min value (corrected)]]-32)</f>
        <v>168</v>
      </c>
      <c r="C293">
        <f>MINUTE(Table1468[[#This Row],[Corrected time]])</f>
        <v>36</v>
      </c>
      <c r="D293" s="1">
        <v>0.65037399305555554</v>
      </c>
      <c r="E293" s="1">
        <f>Table1468[[#This Row],[Time]]-TIME(0,0,11)</f>
        <v>0.65024667824074078</v>
      </c>
      <c r="F293" t="s">
        <v>9</v>
      </c>
      <c r="G293" t="s">
        <v>37</v>
      </c>
      <c r="H293">
        <f t="shared" si="18"/>
        <v>-113</v>
      </c>
      <c r="I293">
        <v>-8</v>
      </c>
      <c r="L293">
        <f>160+2*(Table2579[[#This Row],[min value (corrected)]]-23)</f>
        <v>164</v>
      </c>
      <c r="M293">
        <f>MINUTE(Table2579[[#This Row],[Corrected time]])</f>
        <v>25</v>
      </c>
      <c r="N293" s="1">
        <v>0.64284497685185182</v>
      </c>
      <c r="O293" s="1">
        <f>Table2579[[#This Row],[Time]]-TIME(0,0,10)</f>
        <v>0.6427292361111111</v>
      </c>
      <c r="P293" t="s">
        <v>13</v>
      </c>
      <c r="Q293">
        <f t="shared" si="23"/>
        <v>-114</v>
      </c>
      <c r="R293">
        <f>Table2579[[#This Row],[RSSI]]</f>
        <v>-114</v>
      </c>
      <c r="S293">
        <f t="shared" si="24"/>
        <v>-8.8000000000000007</v>
      </c>
    </row>
    <row r="294" spans="2:19" x14ac:dyDescent="0.25">
      <c r="B294">
        <f>160+2*(Table1468[[#This Row],[min value (corrected)]]-32)</f>
        <v>168</v>
      </c>
      <c r="C294">
        <f>MINUTE(Table1468[[#This Row],[Corrected time]])</f>
        <v>36</v>
      </c>
      <c r="D294" s="1">
        <v>0.65038619212962956</v>
      </c>
      <c r="E294" s="1">
        <f>Table1468[[#This Row],[Time]]-TIME(0,0,11)</f>
        <v>0.6502588773148148</v>
      </c>
      <c r="F294" t="s">
        <v>9</v>
      </c>
      <c r="G294" t="s">
        <v>39</v>
      </c>
      <c r="H294">
        <f t="shared" si="18"/>
        <v>-114</v>
      </c>
      <c r="I294">
        <v>-8.8000000000000007</v>
      </c>
      <c r="L294">
        <f>160+2*(Table2579[[#This Row],[min value (corrected)]]-23)</f>
        <v>164</v>
      </c>
      <c r="M294">
        <f>MINUTE(Table2579[[#This Row],[Corrected time]])</f>
        <v>25</v>
      </c>
      <c r="N294" s="1">
        <v>0.64285716435185181</v>
      </c>
      <c r="O294" s="1">
        <f>Table2579[[#This Row],[Time]]-TIME(0,0,10)</f>
        <v>0.64274142361111108</v>
      </c>
      <c r="P294" t="s">
        <v>9</v>
      </c>
      <c r="Q294">
        <v>-114</v>
      </c>
      <c r="R294">
        <f>Table2579[[#This Row],[RSSI]]</f>
        <v>-114</v>
      </c>
      <c r="S294">
        <v>-8.8000000000000007</v>
      </c>
    </row>
    <row r="295" spans="2:19" x14ac:dyDescent="0.25">
      <c r="B295">
        <f>160+2*(Table1468[[#This Row],[min value (corrected)]]-32)</f>
        <v>168</v>
      </c>
      <c r="C295">
        <f>MINUTE(Table1468[[#This Row],[Corrected time]])</f>
        <v>36</v>
      </c>
      <c r="D295" s="1">
        <v>0.65039837962962965</v>
      </c>
      <c r="E295" s="1">
        <f>Table1468[[#This Row],[Time]]-TIME(0,0,11)</f>
        <v>0.65027106481481489</v>
      </c>
      <c r="F295" t="s">
        <v>9</v>
      </c>
      <c r="G295" t="s">
        <v>39</v>
      </c>
      <c r="H295">
        <f t="shared" si="18"/>
        <v>-114</v>
      </c>
      <c r="I295">
        <v>-8</v>
      </c>
      <c r="L295">
        <f>160+2*(Table2579[[#This Row],[min value (corrected)]]-23)</f>
        <v>164</v>
      </c>
      <c r="M295">
        <f>MINUTE(Table2579[[#This Row],[Corrected time]])</f>
        <v>25</v>
      </c>
      <c r="N295" s="1">
        <v>0.64286936342592593</v>
      </c>
      <c r="O295" s="1">
        <f>Table2579[[#This Row],[Time]]-TIME(0,0,10)</f>
        <v>0.64275362268518521</v>
      </c>
      <c r="P295" t="s">
        <v>13</v>
      </c>
      <c r="Q295">
        <f>Q294</f>
        <v>-114</v>
      </c>
      <c r="R295">
        <f>Table2579[[#This Row],[RSSI]]</f>
        <v>-114</v>
      </c>
      <c r="S295">
        <f>S294</f>
        <v>-8.8000000000000007</v>
      </c>
    </row>
    <row r="296" spans="2:19" x14ac:dyDescent="0.25">
      <c r="B296">
        <f>160+2*(Table1468[[#This Row],[min value (corrected)]]-32)</f>
        <v>168</v>
      </c>
      <c r="C296">
        <f>MINUTE(Table1468[[#This Row],[Corrected time]])</f>
        <v>36</v>
      </c>
      <c r="D296" s="1">
        <v>0.65041056712962964</v>
      </c>
      <c r="E296" s="1">
        <f>Table1468[[#This Row],[Time]]-TIME(0,0,11)</f>
        <v>0.65028325231481487</v>
      </c>
      <c r="F296" t="s">
        <v>9</v>
      </c>
      <c r="G296" t="s">
        <v>37</v>
      </c>
      <c r="H296">
        <f t="shared" si="18"/>
        <v>-113</v>
      </c>
      <c r="I296">
        <v>-8.8000000000000007</v>
      </c>
      <c r="L296">
        <f>160+2*(Table2579[[#This Row],[min value (corrected)]]-23)</f>
        <v>164</v>
      </c>
      <c r="M296">
        <f>MINUTE(Table2579[[#This Row],[Corrected time]])</f>
        <v>25</v>
      </c>
      <c r="N296" s="1">
        <v>0.64288153935185177</v>
      </c>
      <c r="O296" s="1">
        <f>Table2579[[#This Row],[Time]]-TIME(0,0,10)</f>
        <v>0.64276579861111105</v>
      </c>
      <c r="P296" t="s">
        <v>9</v>
      </c>
      <c r="Q296">
        <v>-113</v>
      </c>
      <c r="R296">
        <f>Table2579[[#This Row],[RSSI]]</f>
        <v>-113</v>
      </c>
      <c r="S296">
        <v>-8</v>
      </c>
    </row>
    <row r="297" spans="2:19" x14ac:dyDescent="0.25">
      <c r="B297">
        <f>160+2*(Table1468[[#This Row],[min value (corrected)]]-32)</f>
        <v>168</v>
      </c>
      <c r="C297">
        <f>MINUTE(Table1468[[#This Row],[Corrected time]])</f>
        <v>36</v>
      </c>
      <c r="D297" s="1">
        <v>0.65042273148148144</v>
      </c>
      <c r="E297" s="1">
        <f>Table1468[[#This Row],[Time]]-TIME(0,0,11)</f>
        <v>0.65029541666666668</v>
      </c>
      <c r="F297" t="s">
        <v>9</v>
      </c>
      <c r="G297" t="s">
        <v>39</v>
      </c>
      <c r="H297">
        <f t="shared" si="18"/>
        <v>-114</v>
      </c>
      <c r="I297">
        <v>-8.5</v>
      </c>
      <c r="L297">
        <f>160+2*(Table2579[[#This Row],[min value (corrected)]]-23)</f>
        <v>164</v>
      </c>
      <c r="M297">
        <f>MINUTE(Table2579[[#This Row],[Corrected time]])</f>
        <v>25</v>
      </c>
      <c r="N297" s="1">
        <v>0.6428937384259259</v>
      </c>
      <c r="O297" s="1">
        <f>Table2579[[#This Row],[Time]]-TIME(0,0,10)</f>
        <v>0.64277799768518518</v>
      </c>
      <c r="P297" t="s">
        <v>13</v>
      </c>
      <c r="Q297">
        <f>Q296</f>
        <v>-113</v>
      </c>
      <c r="R297">
        <f>Table2579[[#This Row],[RSSI]]</f>
        <v>-113</v>
      </c>
      <c r="S297">
        <f>S296</f>
        <v>-8</v>
      </c>
    </row>
    <row r="298" spans="2:19" x14ac:dyDescent="0.25">
      <c r="B298">
        <f>160+2*(Table1468[[#This Row],[min value (corrected)]]-32)</f>
        <v>168</v>
      </c>
      <c r="C298">
        <f>MINUTE(Table1468[[#This Row],[Corrected time]])</f>
        <v>36</v>
      </c>
      <c r="D298" s="1">
        <v>0.6504349421296296</v>
      </c>
      <c r="E298" s="1">
        <f>Table1468[[#This Row],[Time]]-TIME(0,0,11)</f>
        <v>0.65030762731481484</v>
      </c>
      <c r="F298" t="s">
        <v>13</v>
      </c>
      <c r="G298" t="str">
        <f>G297</f>
        <v>-114.0,</v>
      </c>
      <c r="H298">
        <f t="shared" si="18"/>
        <v>-114</v>
      </c>
      <c r="I298">
        <f>I297</f>
        <v>-8.5</v>
      </c>
      <c r="L298">
        <f>160+2*(Table2579[[#This Row],[min value (corrected)]]-23)</f>
        <v>164</v>
      </c>
      <c r="M298">
        <f>MINUTE(Table2579[[#This Row],[Corrected time]])</f>
        <v>25</v>
      </c>
      <c r="N298" s="1">
        <v>0.64290592592592588</v>
      </c>
      <c r="O298" s="1">
        <f>Table2579[[#This Row],[Time]]-TIME(0,0,10)</f>
        <v>0.64279018518518516</v>
      </c>
      <c r="P298" t="s">
        <v>9</v>
      </c>
      <c r="Q298">
        <v>-114</v>
      </c>
      <c r="R298">
        <f>Table2579[[#This Row],[RSSI]]</f>
        <v>-114</v>
      </c>
      <c r="S298">
        <v>-9.3000000000000007</v>
      </c>
    </row>
    <row r="299" spans="2:19" x14ac:dyDescent="0.25">
      <c r="B299">
        <f>160+2*(Table1468[[#This Row],[min value (corrected)]]-32)</f>
        <v>168</v>
      </c>
      <c r="C299">
        <f>MINUTE(Table1468[[#This Row],[Corrected time]])</f>
        <v>36</v>
      </c>
      <c r="D299" s="1">
        <v>0.65044712962962958</v>
      </c>
      <c r="E299" s="1">
        <f>Table1468[[#This Row],[Time]]-TIME(0,0,11)</f>
        <v>0.65031981481481482</v>
      </c>
      <c r="F299" t="s">
        <v>9</v>
      </c>
      <c r="G299" t="s">
        <v>37</v>
      </c>
      <c r="H299">
        <f t="shared" si="18"/>
        <v>-113</v>
      </c>
      <c r="I299">
        <v>-8</v>
      </c>
      <c r="L299">
        <f>160+2*(Table2579[[#This Row],[min value (corrected)]]-23)</f>
        <v>164</v>
      </c>
      <c r="M299">
        <f>MINUTE(Table2579[[#This Row],[Corrected time]])</f>
        <v>25</v>
      </c>
      <c r="N299" s="1">
        <v>0.64291811342592597</v>
      </c>
      <c r="O299" s="1">
        <f>Table2579[[#This Row],[Time]]-TIME(0,0,10)</f>
        <v>0.64280237268518525</v>
      </c>
      <c r="P299" t="s">
        <v>9</v>
      </c>
      <c r="Q299">
        <v>-114</v>
      </c>
      <c r="R299">
        <f>Table2579[[#This Row],[RSSI]]</f>
        <v>-114</v>
      </c>
      <c r="S299">
        <v>-9.3000000000000007</v>
      </c>
    </row>
    <row r="300" spans="2:19" x14ac:dyDescent="0.25">
      <c r="B300">
        <f>160+2*(Table1468[[#This Row],[min value (corrected)]]-32)</f>
        <v>168</v>
      </c>
      <c r="C300">
        <f>MINUTE(Table1468[[#This Row],[Corrected time]])</f>
        <v>36</v>
      </c>
      <c r="D300" s="1">
        <v>0.65045931712962957</v>
      </c>
      <c r="E300" s="1">
        <f>Table1468[[#This Row],[Time]]-TIME(0,0,11)</f>
        <v>0.65033200231481481</v>
      </c>
      <c r="F300" t="s">
        <v>9</v>
      </c>
      <c r="G300" t="s">
        <v>39</v>
      </c>
      <c r="H300">
        <f t="shared" si="18"/>
        <v>-114</v>
      </c>
      <c r="I300">
        <v>-9</v>
      </c>
      <c r="L300">
        <f>160+2*(Table2579[[#This Row],[min value (corrected)]]-23)</f>
        <v>164</v>
      </c>
      <c r="M300">
        <f>MINUTE(Table2579[[#This Row],[Corrected time]])</f>
        <v>25</v>
      </c>
      <c r="N300" s="1">
        <v>0.64293028935185192</v>
      </c>
      <c r="O300" s="1">
        <f>Table2579[[#This Row],[Time]]-TIME(0,0,10)</f>
        <v>0.6428145486111112</v>
      </c>
      <c r="P300" t="s">
        <v>9</v>
      </c>
      <c r="Q300">
        <v>-114</v>
      </c>
      <c r="R300">
        <f>Table2579[[#This Row],[RSSI]]</f>
        <v>-114</v>
      </c>
      <c r="S300">
        <v>-9.3000000000000007</v>
      </c>
    </row>
    <row r="301" spans="2:19" x14ac:dyDescent="0.25">
      <c r="B301">
        <f>160+2*(Table1468[[#This Row],[min value (corrected)]]-32)</f>
        <v>168</v>
      </c>
      <c r="C301">
        <f>MINUTE(Table1468[[#This Row],[Corrected time]])</f>
        <v>36</v>
      </c>
      <c r="D301" s="1">
        <v>0.65047150462962955</v>
      </c>
      <c r="E301" s="1">
        <f>Table1468[[#This Row],[Time]]-TIME(0,0,11)</f>
        <v>0.65034418981481479</v>
      </c>
      <c r="F301" t="s">
        <v>9</v>
      </c>
      <c r="G301" t="s">
        <v>39</v>
      </c>
      <c r="H301">
        <f t="shared" si="18"/>
        <v>-114</v>
      </c>
      <c r="I301">
        <v>-9.3000000000000007</v>
      </c>
      <c r="L301">
        <f>160+2*(Table2579[[#This Row],[min value (corrected)]]-23)</f>
        <v>164</v>
      </c>
      <c r="M301">
        <f>MINUTE(Table2579[[#This Row],[Corrected time]])</f>
        <v>25</v>
      </c>
      <c r="N301" s="1">
        <v>0.64294248842592594</v>
      </c>
      <c r="O301" s="1">
        <f>Table2579[[#This Row],[Time]]-TIME(0,0,10)</f>
        <v>0.64282674768518522</v>
      </c>
      <c r="P301" t="s">
        <v>9</v>
      </c>
      <c r="Q301">
        <v>-114</v>
      </c>
      <c r="R301">
        <f>Table2579[[#This Row],[RSSI]]</f>
        <v>-114</v>
      </c>
      <c r="S301">
        <v>-8.5</v>
      </c>
    </row>
    <row r="302" spans="2:19" x14ac:dyDescent="0.25">
      <c r="B302">
        <f>160+2*(Table1468[[#This Row],[min value (corrected)]]-32)</f>
        <v>168</v>
      </c>
      <c r="C302">
        <f>MINUTE(Table1468[[#This Row],[Corrected time]])</f>
        <v>36</v>
      </c>
      <c r="D302" s="1">
        <v>0.65048368055555561</v>
      </c>
      <c r="E302" s="1">
        <f>Table1468[[#This Row],[Time]]-TIME(0,0,11)</f>
        <v>0.65035636574074085</v>
      </c>
      <c r="F302" t="s">
        <v>9</v>
      </c>
      <c r="G302" t="s">
        <v>39</v>
      </c>
      <c r="H302">
        <f t="shared" si="18"/>
        <v>-114</v>
      </c>
      <c r="I302">
        <v>-8.8000000000000007</v>
      </c>
      <c r="L302">
        <f>160+2*(Table2579[[#This Row],[min value (corrected)]]-23)</f>
        <v>164</v>
      </c>
      <c r="M302">
        <f>MINUTE(Table2579[[#This Row],[Corrected time]])</f>
        <v>25</v>
      </c>
      <c r="N302" s="1">
        <v>0.64295466435185189</v>
      </c>
      <c r="O302" s="1">
        <f>Table2579[[#This Row],[Time]]-TIME(0,0,10)</f>
        <v>0.64283892361111117</v>
      </c>
      <c r="P302" t="s">
        <v>13</v>
      </c>
      <c r="Q302">
        <f>Q301</f>
        <v>-114</v>
      </c>
      <c r="R302">
        <f>Table2579[[#This Row],[RSSI]]</f>
        <v>-114</v>
      </c>
      <c r="S302">
        <f>S301</f>
        <v>-8.5</v>
      </c>
    </row>
    <row r="303" spans="2:19" x14ac:dyDescent="0.25">
      <c r="B303">
        <f>160+2*(Table1468[[#This Row],[min value (corrected)]]-32)</f>
        <v>168</v>
      </c>
      <c r="C303">
        <f>MINUTE(Table1468[[#This Row],[Corrected time]])</f>
        <v>36</v>
      </c>
      <c r="D303" s="1">
        <v>0.65049587962962963</v>
      </c>
      <c r="E303" s="1">
        <f>Table1468[[#This Row],[Time]]-TIME(0,0,11)</f>
        <v>0.65036856481481486</v>
      </c>
      <c r="F303" t="s">
        <v>9</v>
      </c>
      <c r="G303" t="s">
        <v>39</v>
      </c>
      <c r="H303">
        <f t="shared" si="18"/>
        <v>-114</v>
      </c>
      <c r="I303">
        <v>-8</v>
      </c>
      <c r="L303">
        <f>160+2*(Table2579[[#This Row],[min value (corrected)]]-23)</f>
        <v>164</v>
      </c>
      <c r="M303">
        <f>MINUTE(Table2579[[#This Row],[Corrected time]])</f>
        <v>25</v>
      </c>
      <c r="N303" s="1">
        <v>0.64296685185185187</v>
      </c>
      <c r="O303" s="1">
        <f>Table2579[[#This Row],[Time]]-TIME(0,0,10)</f>
        <v>0.64285111111111115</v>
      </c>
      <c r="P303" t="s">
        <v>9</v>
      </c>
      <c r="Q303">
        <v>-114</v>
      </c>
      <c r="R303">
        <f>Table2579[[#This Row],[RSSI]]</f>
        <v>-114</v>
      </c>
      <c r="S303">
        <v>-8.5</v>
      </c>
    </row>
    <row r="304" spans="2:19" x14ac:dyDescent="0.25">
      <c r="B304">
        <f>160+2*(Table1468[[#This Row],[min value (corrected)]]-32)</f>
        <v>168</v>
      </c>
      <c r="C304">
        <f>MINUTE(Table1468[[#This Row],[Corrected time]])</f>
        <v>36</v>
      </c>
      <c r="D304" s="1">
        <v>0.65050805555555558</v>
      </c>
      <c r="E304" s="1">
        <f>Table1468[[#This Row],[Time]]-TIME(0,0,11)</f>
        <v>0.65038074074074081</v>
      </c>
      <c r="F304" t="s">
        <v>13</v>
      </c>
      <c r="G304" t="str">
        <f>G303</f>
        <v>-114.0,</v>
      </c>
      <c r="H304">
        <f t="shared" si="18"/>
        <v>-114</v>
      </c>
      <c r="I304">
        <f>I303</f>
        <v>-8</v>
      </c>
      <c r="L304">
        <f>160+2*(Table2579[[#This Row],[min value (corrected)]]-23)</f>
        <v>164</v>
      </c>
      <c r="M304">
        <f>MINUTE(Table2579[[#This Row],[Corrected time]])</f>
        <v>25</v>
      </c>
      <c r="N304" s="1">
        <v>0.64297903935185186</v>
      </c>
      <c r="O304" s="1">
        <f>Table2579[[#This Row],[Time]]-TIME(0,0,10)</f>
        <v>0.64286329861111113</v>
      </c>
      <c r="P304" t="s">
        <v>9</v>
      </c>
      <c r="Q304">
        <v>-114</v>
      </c>
      <c r="R304">
        <f>Table2579[[#This Row],[RSSI]]</f>
        <v>-114</v>
      </c>
      <c r="S304">
        <v>-10</v>
      </c>
    </row>
    <row r="305" spans="2:19" x14ac:dyDescent="0.25">
      <c r="B305">
        <f>160+2*(Table1468[[#This Row],[min value (corrected)]]-32)</f>
        <v>168</v>
      </c>
      <c r="C305">
        <f>MINUTE(Table1468[[#This Row],[Corrected time]])</f>
        <v>36</v>
      </c>
      <c r="D305" s="1">
        <v>0.65052025462962959</v>
      </c>
      <c r="E305" s="1">
        <f>Table1468[[#This Row],[Time]]-TIME(0,0,11)</f>
        <v>0.65039293981481483</v>
      </c>
      <c r="F305" t="s">
        <v>9</v>
      </c>
      <c r="G305" t="s">
        <v>39</v>
      </c>
      <c r="H305">
        <f t="shared" si="18"/>
        <v>-114</v>
      </c>
      <c r="I305">
        <v>-9.5</v>
      </c>
      <c r="L305">
        <f>160+2*(Table2579[[#This Row],[min value (corrected)]]-23)</f>
        <v>164</v>
      </c>
      <c r="M305">
        <f>MINUTE(Table2579[[#This Row],[Corrected time]])</f>
        <v>25</v>
      </c>
      <c r="N305" s="1">
        <v>0.64299122685185184</v>
      </c>
      <c r="O305" s="1">
        <f>Table2579[[#This Row],[Time]]-TIME(0,0,10)</f>
        <v>0.64287548611111112</v>
      </c>
      <c r="P305" t="s">
        <v>13</v>
      </c>
      <c r="Q305">
        <f>Q304</f>
        <v>-114</v>
      </c>
      <c r="R305">
        <f>Table2579[[#This Row],[RSSI]]</f>
        <v>-114</v>
      </c>
      <c r="S305">
        <f>S304</f>
        <v>-10</v>
      </c>
    </row>
    <row r="306" spans="2:19" x14ac:dyDescent="0.25">
      <c r="B306">
        <f>160+2*(Table1468[[#This Row],[min value (corrected)]]-32)</f>
        <v>168</v>
      </c>
      <c r="C306">
        <f>MINUTE(Table1468[[#This Row],[Corrected time]])</f>
        <v>36</v>
      </c>
      <c r="D306" s="1">
        <v>0.65053243055555554</v>
      </c>
      <c r="E306" s="1">
        <f>Table1468[[#This Row],[Time]]-TIME(0,0,11)</f>
        <v>0.65040511574074078</v>
      </c>
      <c r="F306" t="s">
        <v>9</v>
      </c>
      <c r="G306" t="s">
        <v>39</v>
      </c>
      <c r="H306">
        <f t="shared" si="18"/>
        <v>-114</v>
      </c>
      <c r="I306">
        <v>-8.8000000000000007</v>
      </c>
      <c r="L306">
        <f>160+2*(Table2579[[#This Row],[min value (corrected)]]-23)</f>
        <v>164</v>
      </c>
      <c r="M306">
        <f>MINUTE(Table2579[[#This Row],[Corrected time]])</f>
        <v>25</v>
      </c>
      <c r="N306" s="1">
        <v>0.64300342592592596</v>
      </c>
      <c r="O306" s="1">
        <f>Table2579[[#This Row],[Time]]-TIME(0,0,10)</f>
        <v>0.64288768518518524</v>
      </c>
      <c r="P306" t="s">
        <v>9</v>
      </c>
      <c r="Q306">
        <v>-114</v>
      </c>
      <c r="R306">
        <f>Table2579[[#This Row],[RSSI]]</f>
        <v>-114</v>
      </c>
      <c r="S306">
        <v>-9.3000000000000007</v>
      </c>
    </row>
    <row r="307" spans="2:19" x14ac:dyDescent="0.25">
      <c r="B307">
        <f>160+2*(Table1468[[#This Row],[min value (corrected)]]-32)</f>
        <v>168</v>
      </c>
      <c r="C307">
        <f>MINUTE(Table1468[[#This Row],[Corrected time]])</f>
        <v>36</v>
      </c>
      <c r="D307" s="1">
        <v>0.65054462962962956</v>
      </c>
      <c r="E307" s="1">
        <f>Table1468[[#This Row],[Time]]-TIME(0,0,11)</f>
        <v>0.6504173148148148</v>
      </c>
      <c r="F307" t="s">
        <v>9</v>
      </c>
      <c r="G307" t="s">
        <v>39</v>
      </c>
      <c r="H307">
        <f t="shared" si="18"/>
        <v>-114</v>
      </c>
      <c r="I307">
        <v>-8.5</v>
      </c>
      <c r="L307">
        <f>160+2*(Table2579[[#This Row],[min value (corrected)]]-23)</f>
        <v>164</v>
      </c>
      <c r="M307">
        <f>MINUTE(Table2579[[#This Row],[Corrected time]])</f>
        <v>25</v>
      </c>
      <c r="N307" s="1">
        <v>0.64301561342592595</v>
      </c>
      <c r="O307" s="1">
        <f>Table2579[[#This Row],[Time]]-TIME(0,0,10)</f>
        <v>0.64289987268518523</v>
      </c>
      <c r="P307" t="s">
        <v>9</v>
      </c>
      <c r="Q307">
        <v>-113</v>
      </c>
      <c r="R307">
        <f>Table2579[[#This Row],[RSSI]]</f>
        <v>-113</v>
      </c>
      <c r="S307">
        <v>-8</v>
      </c>
    </row>
    <row r="308" spans="2:19" x14ac:dyDescent="0.25">
      <c r="B308">
        <f>160+2*(Table1468[[#This Row],[min value (corrected)]]-32)</f>
        <v>168</v>
      </c>
      <c r="C308">
        <f>MINUTE(Table1468[[#This Row],[Corrected time]])</f>
        <v>36</v>
      </c>
      <c r="D308" s="1">
        <v>0.65055681712962954</v>
      </c>
      <c r="E308" s="1">
        <f>Table1468[[#This Row],[Time]]-TIME(0,0,11)</f>
        <v>0.65042950231481478</v>
      </c>
      <c r="F308" t="s">
        <v>9</v>
      </c>
      <c r="G308" t="s">
        <v>37</v>
      </c>
      <c r="H308">
        <f t="shared" si="18"/>
        <v>-113</v>
      </c>
      <c r="I308">
        <v>-7.5</v>
      </c>
      <c r="L308">
        <f>160+2*(Table2579[[#This Row],[min value (corrected)]]-23)</f>
        <v>164</v>
      </c>
      <c r="M308">
        <f>MINUTE(Table2579[[#This Row],[Corrected time]])</f>
        <v>25</v>
      </c>
      <c r="N308" s="1">
        <v>0.64302780092592593</v>
      </c>
      <c r="O308" s="1">
        <f>Table2579[[#This Row],[Time]]-TIME(0,0,10)</f>
        <v>0.64291206018518521</v>
      </c>
      <c r="P308" t="s">
        <v>13</v>
      </c>
      <c r="Q308">
        <f t="shared" ref="Q308:Q309" si="25">Q307</f>
        <v>-113</v>
      </c>
      <c r="R308">
        <f>Table2579[[#This Row],[RSSI]]</f>
        <v>-113</v>
      </c>
      <c r="S308">
        <f t="shared" ref="S308:S309" si="26">S307</f>
        <v>-8</v>
      </c>
    </row>
    <row r="309" spans="2:19" x14ac:dyDescent="0.25">
      <c r="B309">
        <f>160+2*(Table1468[[#This Row],[min value (corrected)]]-32)</f>
        <v>168</v>
      </c>
      <c r="C309">
        <f>MINUTE(Table1468[[#This Row],[Corrected time]])</f>
        <v>36</v>
      </c>
      <c r="D309" s="1">
        <v>0.65056900462962963</v>
      </c>
      <c r="E309" s="1">
        <f>Table1468[[#This Row],[Time]]-TIME(0,0,11)</f>
        <v>0.65044168981481487</v>
      </c>
      <c r="F309" t="s">
        <v>9</v>
      </c>
      <c r="G309" t="s">
        <v>39</v>
      </c>
      <c r="H309">
        <f t="shared" si="18"/>
        <v>-114</v>
      </c>
      <c r="I309">
        <v>-8.5</v>
      </c>
      <c r="L309">
        <f>160+2*(Table2579[[#This Row],[min value (corrected)]]-23)</f>
        <v>164</v>
      </c>
      <c r="M309">
        <f>MINUTE(Table2579[[#This Row],[Corrected time]])</f>
        <v>25</v>
      </c>
      <c r="N309" s="1">
        <v>0.64303997685185188</v>
      </c>
      <c r="O309" s="1">
        <f>Table2579[[#This Row],[Time]]-TIME(0,0,10)</f>
        <v>0.64292423611111116</v>
      </c>
      <c r="P309" t="s">
        <v>13</v>
      </c>
      <c r="Q309">
        <f t="shared" si="25"/>
        <v>-113</v>
      </c>
      <c r="R309">
        <f>Table2579[[#This Row],[RSSI]]</f>
        <v>-113</v>
      </c>
      <c r="S309">
        <f t="shared" si="26"/>
        <v>-8</v>
      </c>
    </row>
    <row r="310" spans="2:19" x14ac:dyDescent="0.25">
      <c r="B310">
        <f>160+2*(Table1468[[#This Row],[min value (corrected)]]-32)</f>
        <v>168</v>
      </c>
      <c r="C310">
        <f>MINUTE(Table1468[[#This Row],[Corrected time]])</f>
        <v>36</v>
      </c>
      <c r="D310" s="1">
        <v>0.65058119212962962</v>
      </c>
      <c r="E310" s="1">
        <f>Table1468[[#This Row],[Time]]-TIME(0,0,11)</f>
        <v>0.65045387731481485</v>
      </c>
      <c r="F310" t="s">
        <v>9</v>
      </c>
      <c r="G310" t="s">
        <v>39</v>
      </c>
      <c r="H310">
        <f t="shared" si="18"/>
        <v>-114</v>
      </c>
      <c r="I310">
        <v>-8.8000000000000007</v>
      </c>
      <c r="L310">
        <f>160+2*(Table2579[[#This Row],[min value (corrected)]]-23)</f>
        <v>164</v>
      </c>
      <c r="M310">
        <f>MINUTE(Table2579[[#This Row],[Corrected time]])</f>
        <v>25</v>
      </c>
      <c r="N310" s="1">
        <v>0.6430521759259259</v>
      </c>
      <c r="O310" s="1">
        <f>Table2579[[#This Row],[Time]]-TIME(0,0,10)</f>
        <v>0.64293643518518517</v>
      </c>
      <c r="P310" t="s">
        <v>9</v>
      </c>
      <c r="Q310">
        <v>-114</v>
      </c>
      <c r="R310">
        <f>Table2579[[#This Row],[RSSI]]</f>
        <v>-114</v>
      </c>
      <c r="S310">
        <v>-8.5</v>
      </c>
    </row>
    <row r="311" spans="2:19" x14ac:dyDescent="0.25">
      <c r="B311">
        <f>160+2*(Table1468[[#This Row],[min value (corrected)]]-32)</f>
        <v>168</v>
      </c>
      <c r="C311">
        <f>MINUTE(Table1468[[#This Row],[Corrected time]])</f>
        <v>36</v>
      </c>
      <c r="D311" s="1">
        <v>0.6505933796296296</v>
      </c>
      <c r="E311" s="1">
        <f>Table1468[[#This Row],[Time]]-TIME(0,0,11)</f>
        <v>0.65046606481481484</v>
      </c>
      <c r="F311" t="s">
        <v>9</v>
      </c>
      <c r="G311" t="s">
        <v>39</v>
      </c>
      <c r="H311">
        <f t="shared" si="18"/>
        <v>-114</v>
      </c>
      <c r="I311">
        <v>-8.5</v>
      </c>
      <c r="L311">
        <f>160+2*(Table2579[[#This Row],[min value (corrected)]]-23)</f>
        <v>164</v>
      </c>
      <c r="M311">
        <f>MINUTE(Table2579[[#This Row],[Corrected time]])</f>
        <v>25</v>
      </c>
      <c r="N311" s="1">
        <v>0.64306435185185185</v>
      </c>
      <c r="O311" s="1">
        <f>Table2579[[#This Row],[Time]]-TIME(0,0,10)</f>
        <v>0.64294861111111112</v>
      </c>
      <c r="P311" t="s">
        <v>13</v>
      </c>
      <c r="Q311">
        <f>Q310</f>
        <v>-114</v>
      </c>
      <c r="R311">
        <f>Table2579[[#This Row],[RSSI]]</f>
        <v>-114</v>
      </c>
      <c r="S311">
        <f>S310</f>
        <v>-8.5</v>
      </c>
    </row>
    <row r="312" spans="2:19" x14ac:dyDescent="0.25">
      <c r="B312">
        <f>160+2*(Table1468[[#This Row],[min value (corrected)]]-32)</f>
        <v>168</v>
      </c>
      <c r="C312">
        <f>MINUTE(Table1468[[#This Row],[Corrected time]])</f>
        <v>36</v>
      </c>
      <c r="D312" s="1">
        <v>0.65060556712962969</v>
      </c>
      <c r="E312" s="1">
        <f>Table1468[[#This Row],[Time]]-TIME(0,0,11)</f>
        <v>0.65047825231481493</v>
      </c>
      <c r="F312" t="s">
        <v>9</v>
      </c>
      <c r="G312" t="s">
        <v>39</v>
      </c>
      <c r="H312">
        <f t="shared" si="18"/>
        <v>-114</v>
      </c>
      <c r="I312">
        <v>-8.8000000000000007</v>
      </c>
      <c r="L312">
        <f>160+2*(Table2579[[#This Row],[min value (corrected)]]-23)</f>
        <v>164</v>
      </c>
      <c r="M312">
        <f>MINUTE(Table2579[[#This Row],[Corrected time]])</f>
        <v>25</v>
      </c>
      <c r="N312" s="1">
        <v>0.64307655092592586</v>
      </c>
      <c r="O312" s="1">
        <f>Table2579[[#This Row],[Time]]-TIME(0,0,10)</f>
        <v>0.64296081018518514</v>
      </c>
      <c r="P312" t="s">
        <v>9</v>
      </c>
      <c r="Q312">
        <v>-111</v>
      </c>
      <c r="R312">
        <f>Table2579[[#This Row],[RSSI]]</f>
        <v>-111</v>
      </c>
      <c r="S312">
        <v>-9</v>
      </c>
    </row>
    <row r="313" spans="2:19" x14ac:dyDescent="0.25">
      <c r="B313">
        <f>160+2*(Table1468[[#This Row],[min value (corrected)]]-32)</f>
        <v>168</v>
      </c>
      <c r="C313">
        <f>MINUTE(Table1468[[#This Row],[Corrected time]])</f>
        <v>36</v>
      </c>
      <c r="D313" s="1">
        <v>0.65061774305555553</v>
      </c>
      <c r="E313" s="1">
        <f>Table1468[[#This Row],[Time]]-TIME(0,0,11)</f>
        <v>0.65049042824074077</v>
      </c>
      <c r="F313" t="s">
        <v>9</v>
      </c>
      <c r="G313" t="s">
        <v>39</v>
      </c>
      <c r="H313">
        <f t="shared" si="18"/>
        <v>-114</v>
      </c>
      <c r="I313">
        <v>-9</v>
      </c>
      <c r="L313">
        <f>160+2*(Table2579[[#This Row],[min value (corrected)]]-23)</f>
        <v>164</v>
      </c>
      <c r="M313">
        <f>MINUTE(Table2579[[#This Row],[Corrected time]])</f>
        <v>25</v>
      </c>
      <c r="N313" s="1">
        <v>0.64308872685185192</v>
      </c>
      <c r="O313" s="1">
        <f>Table2579[[#This Row],[Time]]-TIME(0,0,10)</f>
        <v>0.6429729861111112</v>
      </c>
      <c r="P313" t="s">
        <v>9</v>
      </c>
      <c r="Q313">
        <v>-113</v>
      </c>
      <c r="R313">
        <f>Table2579[[#This Row],[RSSI]]</f>
        <v>-113</v>
      </c>
      <c r="S313">
        <v>-8.5</v>
      </c>
    </row>
    <row r="314" spans="2:19" x14ac:dyDescent="0.25">
      <c r="B314">
        <f>160+2*(Table1468[[#This Row],[min value (corrected)]]-32)</f>
        <v>168</v>
      </c>
      <c r="C314">
        <f>MINUTE(Table1468[[#This Row],[Corrected time]])</f>
        <v>36</v>
      </c>
      <c r="D314" s="1">
        <v>0.65062994212962966</v>
      </c>
      <c r="E314" s="1">
        <f>Table1468[[#This Row],[Time]]-TIME(0,0,11)</f>
        <v>0.6505026273148149</v>
      </c>
      <c r="F314" t="s">
        <v>13</v>
      </c>
      <c r="G314" t="str">
        <f t="shared" ref="G314:G316" si="27">G313</f>
        <v>-114.0,</v>
      </c>
      <c r="H314">
        <f t="shared" si="18"/>
        <v>-114</v>
      </c>
      <c r="I314">
        <f t="shared" ref="I314:I316" si="28">I313</f>
        <v>-9</v>
      </c>
      <c r="L314">
        <f>160+2*(Table2579[[#This Row],[min value (corrected)]]-23)</f>
        <v>164</v>
      </c>
      <c r="M314">
        <f>MINUTE(Table2579[[#This Row],[Corrected time]])</f>
        <v>25</v>
      </c>
      <c r="N314" s="1">
        <v>0.64310090277777776</v>
      </c>
      <c r="O314" s="1">
        <f>Table2579[[#This Row],[Time]]-TIME(0,0,10)</f>
        <v>0.64298516203703704</v>
      </c>
      <c r="P314" t="s">
        <v>13</v>
      </c>
      <c r="Q314">
        <f t="shared" ref="Q314:Q315" si="29">Q313</f>
        <v>-113</v>
      </c>
      <c r="R314">
        <f>Table2579[[#This Row],[RSSI]]</f>
        <v>-113</v>
      </c>
      <c r="S314">
        <f t="shared" ref="S314:S315" si="30">S313</f>
        <v>-8.5</v>
      </c>
    </row>
    <row r="315" spans="2:19" x14ac:dyDescent="0.25">
      <c r="B315">
        <f>160+2*(Table1468[[#This Row],[min value (corrected)]]-32)</f>
        <v>168</v>
      </c>
      <c r="C315">
        <f>MINUTE(Table1468[[#This Row],[Corrected time]])</f>
        <v>36</v>
      </c>
      <c r="D315" s="1">
        <v>0.6506421180555555</v>
      </c>
      <c r="E315" s="1">
        <f>Table1468[[#This Row],[Time]]-TIME(0,0,11)</f>
        <v>0.65051480324074074</v>
      </c>
      <c r="F315" t="s">
        <v>13</v>
      </c>
      <c r="G315" t="str">
        <f t="shared" si="27"/>
        <v>-114.0,</v>
      </c>
      <c r="H315">
        <f t="shared" si="18"/>
        <v>-114</v>
      </c>
      <c r="I315">
        <f t="shared" si="28"/>
        <v>-9</v>
      </c>
      <c r="L315">
        <f>160+2*(Table2579[[#This Row],[min value (corrected)]]-23)</f>
        <v>164</v>
      </c>
      <c r="M315">
        <f>MINUTE(Table2579[[#This Row],[Corrected time]])</f>
        <v>25</v>
      </c>
      <c r="N315" s="1">
        <v>0.64311311342592592</v>
      </c>
      <c r="O315" s="1">
        <f>Table2579[[#This Row],[Time]]-TIME(0,0,10)</f>
        <v>0.6429973726851852</v>
      </c>
      <c r="P315" t="s">
        <v>13</v>
      </c>
      <c r="Q315">
        <f t="shared" si="29"/>
        <v>-113</v>
      </c>
      <c r="R315">
        <f>Table2579[[#This Row],[RSSI]]</f>
        <v>-113</v>
      </c>
      <c r="S315">
        <f t="shared" si="30"/>
        <v>-8.5</v>
      </c>
    </row>
    <row r="316" spans="2:19" x14ac:dyDescent="0.25">
      <c r="B316">
        <f>160+2*(Table1468[[#This Row],[min value (corrected)]]-32)</f>
        <v>168</v>
      </c>
      <c r="C316">
        <f>MINUTE(Table1468[[#This Row],[Corrected time]])</f>
        <v>36</v>
      </c>
      <c r="D316" s="1">
        <v>0.65065431712962962</v>
      </c>
      <c r="E316" s="1">
        <f>Table1468[[#This Row],[Time]]-TIME(0,0,11)</f>
        <v>0.65052700231481486</v>
      </c>
      <c r="F316" t="s">
        <v>13</v>
      </c>
      <c r="G316" t="str">
        <f t="shared" si="27"/>
        <v>-114.0,</v>
      </c>
      <c r="H316">
        <f t="shared" si="18"/>
        <v>-114</v>
      </c>
      <c r="I316">
        <f t="shared" si="28"/>
        <v>-9</v>
      </c>
      <c r="L316">
        <f>160+2*(Table2579[[#This Row],[min value (corrected)]]-23)</f>
        <v>164</v>
      </c>
      <c r="M316">
        <f>MINUTE(Table2579[[#This Row],[Corrected time]])</f>
        <v>25</v>
      </c>
      <c r="N316" s="1">
        <v>0.6431253009259259</v>
      </c>
      <c r="O316" s="1">
        <f>Table2579[[#This Row],[Time]]-TIME(0,0,10)</f>
        <v>0.64300956018518518</v>
      </c>
      <c r="P316" t="s">
        <v>9</v>
      </c>
      <c r="Q316">
        <v>-113</v>
      </c>
      <c r="R316">
        <f>Table2579[[#This Row],[RSSI]]</f>
        <v>-113</v>
      </c>
      <c r="S316">
        <v>-8.3000000000000007</v>
      </c>
    </row>
    <row r="317" spans="2:19" x14ac:dyDescent="0.25">
      <c r="B317">
        <f>160+2*(Table1468[[#This Row],[min value (corrected)]]-32)</f>
        <v>168</v>
      </c>
      <c r="C317">
        <f>MINUTE(Table1468[[#This Row],[Corrected time]])</f>
        <v>36</v>
      </c>
      <c r="D317" s="1">
        <v>0.65066650462962972</v>
      </c>
      <c r="E317" s="1">
        <f>Table1468[[#This Row],[Time]]-TIME(0,0,11)</f>
        <v>0.65053918981481496</v>
      </c>
      <c r="F317" t="s">
        <v>9</v>
      </c>
      <c r="G317" t="s">
        <v>37</v>
      </c>
      <c r="H317">
        <f t="shared" si="18"/>
        <v>-113</v>
      </c>
      <c r="I317">
        <v>-8.8000000000000007</v>
      </c>
      <c r="L317">
        <f>160+2*(Table2579[[#This Row],[min value (corrected)]]-23)</f>
        <v>164</v>
      </c>
      <c r="M317">
        <f>MINUTE(Table2579[[#This Row],[Corrected time]])</f>
        <v>25</v>
      </c>
      <c r="N317" s="1">
        <v>0.64313748842592589</v>
      </c>
      <c r="O317" s="1">
        <f>Table2579[[#This Row],[Time]]-TIME(0,0,10)</f>
        <v>0.64302174768518516</v>
      </c>
      <c r="P317" t="s">
        <v>9</v>
      </c>
      <c r="Q317">
        <v>-114</v>
      </c>
      <c r="R317">
        <f>Table2579[[#This Row],[RSSI]]</f>
        <v>-114</v>
      </c>
      <c r="S317">
        <v>-9</v>
      </c>
    </row>
    <row r="318" spans="2:19" x14ac:dyDescent="0.25">
      <c r="B318">
        <f>160+2*(Table1468[[#This Row],[min value (corrected)]]-32)</f>
        <v>168</v>
      </c>
      <c r="C318">
        <f>MINUTE(Table1468[[#This Row],[Corrected time]])</f>
        <v>36</v>
      </c>
      <c r="D318" s="1">
        <v>0.6506786921296297</v>
      </c>
      <c r="E318" s="1">
        <f>Table1468[[#This Row],[Time]]-TIME(0,0,11)</f>
        <v>0.65055137731481494</v>
      </c>
      <c r="F318" t="s">
        <v>9</v>
      </c>
      <c r="G318" t="s">
        <v>37</v>
      </c>
      <c r="H318">
        <f t="shared" si="18"/>
        <v>-113</v>
      </c>
      <c r="I318">
        <v>-8</v>
      </c>
      <c r="L318">
        <f>160+2*(Table2579[[#This Row],[min value (corrected)]]-23)</f>
        <v>164</v>
      </c>
      <c r="M318">
        <f>MINUTE(Table2579[[#This Row],[Corrected time]])</f>
        <v>25</v>
      </c>
      <c r="N318" s="1">
        <v>0.64314966435185184</v>
      </c>
      <c r="O318" s="1">
        <f>Table2579[[#This Row],[Time]]-TIME(0,0,10)</f>
        <v>0.64303392361111111</v>
      </c>
      <c r="P318" t="s">
        <v>9</v>
      </c>
      <c r="Q318">
        <v>-114</v>
      </c>
      <c r="R318">
        <f>Table2579[[#This Row],[RSSI]]</f>
        <v>-114</v>
      </c>
      <c r="S318">
        <v>-9</v>
      </c>
    </row>
    <row r="319" spans="2:19" x14ac:dyDescent="0.25">
      <c r="B319">
        <f>160+2*(Table1468[[#This Row],[min value (corrected)]]-32)</f>
        <v>168</v>
      </c>
      <c r="C319">
        <f>MINUTE(Table1468[[#This Row],[Corrected time]])</f>
        <v>36</v>
      </c>
      <c r="D319" s="1">
        <v>0.65069086805555554</v>
      </c>
      <c r="E319" s="1">
        <f>Table1468[[#This Row],[Time]]-TIME(0,0,11)</f>
        <v>0.65056355324074078</v>
      </c>
      <c r="F319" t="s">
        <v>9</v>
      </c>
      <c r="G319" t="s">
        <v>41</v>
      </c>
      <c r="H319">
        <f t="shared" si="18"/>
        <v>-111</v>
      </c>
      <c r="I319">
        <v>-9</v>
      </c>
      <c r="L319">
        <f>160+2*(Table2579[[#This Row],[min value (corrected)]]-23)</f>
        <v>164</v>
      </c>
      <c r="M319">
        <f>MINUTE(Table2579[[#This Row],[Corrected time]])</f>
        <v>25</v>
      </c>
      <c r="N319" s="1">
        <v>0.64316186342592585</v>
      </c>
      <c r="O319" s="1">
        <f>Table2579[[#This Row],[Time]]-TIME(0,0,10)</f>
        <v>0.64304612268518513</v>
      </c>
      <c r="P319" t="s">
        <v>13</v>
      </c>
      <c r="Q319">
        <f t="shared" ref="Q319:Q322" si="31">Q318</f>
        <v>-114</v>
      </c>
      <c r="R319">
        <f>Table2579[[#This Row],[RSSI]]</f>
        <v>-114</v>
      </c>
      <c r="S319">
        <f t="shared" ref="S319:S322" si="32">S318</f>
        <v>-9</v>
      </c>
    </row>
    <row r="320" spans="2:19" x14ac:dyDescent="0.25">
      <c r="B320">
        <f>160+2*(Table1468[[#This Row],[min value (corrected)]]-32)</f>
        <v>168</v>
      </c>
      <c r="C320">
        <f>MINUTE(Table1468[[#This Row],[Corrected time]])</f>
        <v>36</v>
      </c>
      <c r="D320" s="1">
        <v>0.65070306712962966</v>
      </c>
      <c r="E320" s="1">
        <f>Table1468[[#This Row],[Time]]-TIME(0,0,11)</f>
        <v>0.6505757523148149</v>
      </c>
      <c r="F320" t="s">
        <v>9</v>
      </c>
      <c r="G320" t="s">
        <v>39</v>
      </c>
      <c r="H320">
        <f t="shared" si="18"/>
        <v>-114</v>
      </c>
      <c r="I320">
        <v>-9.3000000000000007</v>
      </c>
      <c r="L320">
        <f>160+2*(Table2579[[#This Row],[min value (corrected)]]-23)</f>
        <v>166</v>
      </c>
      <c r="M320">
        <f>MINUTE(Table2579[[#This Row],[Corrected time]])</f>
        <v>26</v>
      </c>
      <c r="N320" s="1">
        <v>0.64317403935185191</v>
      </c>
      <c r="O320" s="1">
        <f>Table2579[[#This Row],[Time]]-TIME(0,0,10)</f>
        <v>0.64305829861111119</v>
      </c>
      <c r="P320" t="s">
        <v>13</v>
      </c>
      <c r="Q320">
        <f t="shared" si="31"/>
        <v>-114</v>
      </c>
      <c r="R320">
        <f>Table2579[[#This Row],[RSSI]]</f>
        <v>-114</v>
      </c>
      <c r="S320">
        <f t="shared" si="32"/>
        <v>-9</v>
      </c>
    </row>
    <row r="321" spans="2:19" x14ac:dyDescent="0.25">
      <c r="B321">
        <f>160+2*(Table1468[[#This Row],[min value (corrected)]]-32)</f>
        <v>168</v>
      </c>
      <c r="C321">
        <f>MINUTE(Table1468[[#This Row],[Corrected time]])</f>
        <v>36</v>
      </c>
      <c r="D321" s="1">
        <v>0.6507152430555555</v>
      </c>
      <c r="E321" s="1">
        <f>Table1468[[#This Row],[Time]]-TIME(0,0,11)</f>
        <v>0.65058792824074074</v>
      </c>
      <c r="F321" t="s">
        <v>9</v>
      </c>
      <c r="G321" t="s">
        <v>43</v>
      </c>
      <c r="H321">
        <f t="shared" si="18"/>
        <v>-115</v>
      </c>
      <c r="I321">
        <v>-9.8000000000000007</v>
      </c>
      <c r="L321">
        <f>160+2*(Table2579[[#This Row],[min value (corrected)]]-23)</f>
        <v>166</v>
      </c>
      <c r="M321">
        <f>MINUTE(Table2579[[#This Row],[Corrected time]])</f>
        <v>26</v>
      </c>
      <c r="N321" s="1">
        <v>0.64318623842592593</v>
      </c>
      <c r="O321" s="1">
        <f>Table2579[[#This Row],[Time]]-TIME(0,0,10)</f>
        <v>0.64307049768518521</v>
      </c>
      <c r="P321" t="s">
        <v>13</v>
      </c>
      <c r="Q321">
        <f t="shared" si="31"/>
        <v>-114</v>
      </c>
      <c r="R321">
        <f>Table2579[[#This Row],[RSSI]]</f>
        <v>-114</v>
      </c>
      <c r="S321">
        <f t="shared" si="32"/>
        <v>-9</v>
      </c>
    </row>
    <row r="322" spans="2:19" x14ac:dyDescent="0.25">
      <c r="B322">
        <f>160+2*(Table1468[[#This Row],[min value (corrected)]]-32)</f>
        <v>168</v>
      </c>
      <c r="C322">
        <f>MINUTE(Table1468[[#This Row],[Corrected time]])</f>
        <v>36</v>
      </c>
      <c r="D322" s="1">
        <v>0.65072744212962963</v>
      </c>
      <c r="E322" s="1">
        <f>Table1468[[#This Row],[Time]]-TIME(0,0,11)</f>
        <v>0.65060012731481487</v>
      </c>
      <c r="F322" t="s">
        <v>9</v>
      </c>
      <c r="G322" t="s">
        <v>37</v>
      </c>
      <c r="H322">
        <f t="shared" si="18"/>
        <v>-113</v>
      </c>
      <c r="I322">
        <v>-8.3000000000000007</v>
      </c>
      <c r="L322">
        <f>160+2*(Table2579[[#This Row],[min value (corrected)]]-23)</f>
        <v>166</v>
      </c>
      <c r="M322">
        <f>MINUTE(Table2579[[#This Row],[Corrected time]])</f>
        <v>26</v>
      </c>
      <c r="N322" s="1">
        <v>0.64319841435185188</v>
      </c>
      <c r="O322" s="1">
        <f>Table2579[[#This Row],[Time]]-TIME(0,0,10)</f>
        <v>0.64308267361111116</v>
      </c>
      <c r="P322" t="s">
        <v>13</v>
      </c>
      <c r="Q322">
        <f t="shared" si="31"/>
        <v>-114</v>
      </c>
      <c r="R322">
        <f>Table2579[[#This Row],[RSSI]]</f>
        <v>-114</v>
      </c>
      <c r="S322">
        <f t="shared" si="32"/>
        <v>-9</v>
      </c>
    </row>
    <row r="323" spans="2:19" x14ac:dyDescent="0.25">
      <c r="B323">
        <f>160+2*(Table1468[[#This Row],[min value (corrected)]]-32)</f>
        <v>168</v>
      </c>
      <c r="C323">
        <f>MINUTE(Table1468[[#This Row],[Corrected time]])</f>
        <v>36</v>
      </c>
      <c r="D323" s="1">
        <v>0.65073960648148155</v>
      </c>
      <c r="E323" s="1">
        <f>Table1468[[#This Row],[Time]]-TIME(0,0,11)</f>
        <v>0.65061229166666679</v>
      </c>
      <c r="F323" t="s">
        <v>9</v>
      </c>
      <c r="G323" t="s">
        <v>37</v>
      </c>
      <c r="H323">
        <f t="shared" si="18"/>
        <v>-113</v>
      </c>
      <c r="I323">
        <v>-8</v>
      </c>
      <c r="L323">
        <f>160+2*(Table2579[[#This Row],[min value (corrected)]]-23)</f>
        <v>166</v>
      </c>
      <c r="M323">
        <f>MINUTE(Table2579[[#This Row],[Corrected time]])</f>
        <v>26</v>
      </c>
      <c r="N323" s="1">
        <v>0.64321060185185186</v>
      </c>
      <c r="O323" s="1">
        <f>Table2579[[#This Row],[Time]]-TIME(0,0,10)</f>
        <v>0.64309486111111114</v>
      </c>
      <c r="P323" t="s">
        <v>9</v>
      </c>
      <c r="Q323">
        <v>-114</v>
      </c>
      <c r="R323">
        <f>Table2579[[#This Row],[RSSI]]</f>
        <v>-114</v>
      </c>
      <c r="S323">
        <v>-9.3000000000000007</v>
      </c>
    </row>
    <row r="324" spans="2:19" x14ac:dyDescent="0.25">
      <c r="B324">
        <f>160+2*(Table1468[[#This Row],[min value (corrected)]]-32)</f>
        <v>168</v>
      </c>
      <c r="C324">
        <f>MINUTE(Table1468[[#This Row],[Corrected time]])</f>
        <v>36</v>
      </c>
      <c r="D324" s="1">
        <v>0.65075181712962971</v>
      </c>
      <c r="E324" s="1">
        <f>Table1468[[#This Row],[Time]]-TIME(0,0,11)</f>
        <v>0.65062450231481495</v>
      </c>
      <c r="F324" t="s">
        <v>13</v>
      </c>
      <c r="G324" t="str">
        <f>G323</f>
        <v>-113.0,</v>
      </c>
      <c r="H324">
        <f t="shared" si="18"/>
        <v>-113</v>
      </c>
      <c r="I324">
        <f>I323</f>
        <v>-8</v>
      </c>
      <c r="L324">
        <f>160+2*(Table2579[[#This Row],[min value (corrected)]]-23)</f>
        <v>166</v>
      </c>
      <c r="M324">
        <f>MINUTE(Table2579[[#This Row],[Corrected time]])</f>
        <v>26</v>
      </c>
      <c r="N324" s="1">
        <v>0.64322278935185184</v>
      </c>
      <c r="O324" s="1">
        <f>Table2579[[#This Row],[Time]]-TIME(0,0,10)</f>
        <v>0.64310704861111112</v>
      </c>
      <c r="P324" t="s">
        <v>9</v>
      </c>
      <c r="Q324">
        <v>-113</v>
      </c>
      <c r="R324">
        <f>Table2579[[#This Row],[RSSI]]</f>
        <v>-113</v>
      </c>
      <c r="S324">
        <v>-8.3000000000000007</v>
      </c>
    </row>
    <row r="325" spans="2:19" x14ac:dyDescent="0.25">
      <c r="B325">
        <f>160+2*(Table1468[[#This Row],[min value (corrected)]]-32)</f>
        <v>168</v>
      </c>
      <c r="C325">
        <f>MINUTE(Table1468[[#This Row],[Corrected time]])</f>
        <v>36</v>
      </c>
      <c r="D325" s="1">
        <v>0.65076399305555555</v>
      </c>
      <c r="E325" s="1">
        <f>Table1468[[#This Row],[Time]]-TIME(0,0,11)</f>
        <v>0.65063667824074078</v>
      </c>
      <c r="F325" t="s">
        <v>9</v>
      </c>
      <c r="G325" t="s">
        <v>37</v>
      </c>
      <c r="H325">
        <f t="shared" si="18"/>
        <v>-113</v>
      </c>
      <c r="I325">
        <v>-8.5</v>
      </c>
      <c r="L325">
        <f>160+2*(Table2579[[#This Row],[min value (corrected)]]-23)</f>
        <v>166</v>
      </c>
      <c r="M325">
        <f>MINUTE(Table2579[[#This Row],[Corrected time]])</f>
        <v>26</v>
      </c>
      <c r="N325" s="1">
        <v>0.64323497685185183</v>
      </c>
      <c r="O325" s="1">
        <f>Table2579[[#This Row],[Time]]-TIME(0,0,10)</f>
        <v>0.6431192361111111</v>
      </c>
      <c r="P325" t="s">
        <v>9</v>
      </c>
      <c r="Q325">
        <v>-114</v>
      </c>
      <c r="R325">
        <f>Table2579[[#This Row],[RSSI]]</f>
        <v>-114</v>
      </c>
      <c r="S325">
        <v>-8.8000000000000007</v>
      </c>
    </row>
    <row r="326" spans="2:19" x14ac:dyDescent="0.25">
      <c r="B326">
        <f>160+2*(Table1468[[#This Row],[min value (corrected)]]-32)</f>
        <v>168</v>
      </c>
      <c r="C326">
        <f>MINUTE(Table1468[[#This Row],[Corrected time]])</f>
        <v>36</v>
      </c>
      <c r="D326" s="1">
        <v>0.65077618055555553</v>
      </c>
      <c r="E326" s="1">
        <f>Table1468[[#This Row],[Time]]-TIME(0,0,11)</f>
        <v>0.65064886574074077</v>
      </c>
      <c r="F326" t="s">
        <v>13</v>
      </c>
      <c r="G326" t="str">
        <f t="shared" ref="G326:G327" si="33">G325</f>
        <v>-113.0,</v>
      </c>
      <c r="H326">
        <f t="shared" si="18"/>
        <v>-113</v>
      </c>
      <c r="I326">
        <f t="shared" ref="I326:I327" si="34">I325</f>
        <v>-8.5</v>
      </c>
      <c r="L326">
        <f>160+2*(Table2579[[#This Row],[min value (corrected)]]-23)</f>
        <v>166</v>
      </c>
      <c r="M326">
        <f>MINUTE(Table2579[[#This Row],[Corrected time]])</f>
        <v>26</v>
      </c>
      <c r="N326" s="1">
        <v>0.64324716435185181</v>
      </c>
      <c r="O326" s="1">
        <f>Table2579[[#This Row],[Time]]-TIME(0,0,10)</f>
        <v>0.64313142361111109</v>
      </c>
      <c r="P326" t="s">
        <v>9</v>
      </c>
      <c r="Q326">
        <v>-114</v>
      </c>
      <c r="R326">
        <f>Table2579[[#This Row],[RSSI]]</f>
        <v>-114</v>
      </c>
      <c r="S326">
        <v>-9.3000000000000007</v>
      </c>
    </row>
    <row r="327" spans="2:19" x14ac:dyDescent="0.25">
      <c r="B327">
        <f>160+2*(Table1468[[#This Row],[min value (corrected)]]-32)</f>
        <v>168</v>
      </c>
      <c r="C327">
        <f>MINUTE(Table1468[[#This Row],[Corrected time]])</f>
        <v>36</v>
      </c>
      <c r="D327" s="1">
        <v>0.65078836805555551</v>
      </c>
      <c r="E327" s="1">
        <f>Table1468[[#This Row],[Time]]-TIME(0,0,11)</f>
        <v>0.65066105324074075</v>
      </c>
      <c r="F327" t="s">
        <v>13</v>
      </c>
      <c r="G327" t="str">
        <f t="shared" si="33"/>
        <v>-113.0,</v>
      </c>
      <c r="H327">
        <f t="shared" si="18"/>
        <v>-113</v>
      </c>
      <c r="I327">
        <f t="shared" si="34"/>
        <v>-8.5</v>
      </c>
      <c r="L327">
        <f>160+2*(Table2579[[#This Row],[min value (corrected)]]-23)</f>
        <v>166</v>
      </c>
      <c r="M327">
        <f>MINUTE(Table2579[[#This Row],[Corrected time]])</f>
        <v>26</v>
      </c>
      <c r="N327" s="1">
        <v>0.6432593518518519</v>
      </c>
      <c r="O327" s="1">
        <f>Table2579[[#This Row],[Time]]-TIME(0,0,10)</f>
        <v>0.64314361111111118</v>
      </c>
      <c r="P327" t="s">
        <v>9</v>
      </c>
      <c r="Q327">
        <v>-113</v>
      </c>
      <c r="R327">
        <f>Table2579[[#This Row],[RSSI]]</f>
        <v>-113</v>
      </c>
      <c r="S327">
        <v>-8.5</v>
      </c>
    </row>
    <row r="328" spans="2:19" x14ac:dyDescent="0.25">
      <c r="B328">
        <f>160+2*(Table1468[[#This Row],[min value (corrected)]]-32)</f>
        <v>168</v>
      </c>
      <c r="C328">
        <f>MINUTE(Table1468[[#This Row],[Corrected time]])</f>
        <v>36</v>
      </c>
      <c r="D328" s="1">
        <v>0.65080055555555549</v>
      </c>
      <c r="E328" s="1">
        <f>Table1468[[#This Row],[Time]]-TIME(0,0,11)</f>
        <v>0.65067324074074073</v>
      </c>
      <c r="F328" t="s">
        <v>9</v>
      </c>
      <c r="G328" t="s">
        <v>37</v>
      </c>
      <c r="H328">
        <f t="shared" si="18"/>
        <v>-113</v>
      </c>
      <c r="I328">
        <v>-8.8000000000000007</v>
      </c>
      <c r="L328">
        <f>160+2*(Table2579[[#This Row],[min value (corrected)]]-23)</f>
        <v>166</v>
      </c>
      <c r="M328">
        <f>MINUTE(Table2579[[#This Row],[Corrected time]])</f>
        <v>26</v>
      </c>
      <c r="N328" s="1">
        <v>0.64327155092592592</v>
      </c>
      <c r="O328" s="1">
        <f>Table2579[[#This Row],[Time]]-TIME(0,0,10)</f>
        <v>0.64315581018518519</v>
      </c>
      <c r="P328" t="s">
        <v>9</v>
      </c>
      <c r="Q328">
        <v>-109</v>
      </c>
      <c r="R328">
        <f>Table2579[[#This Row],[RSSI]]</f>
        <v>-109</v>
      </c>
      <c r="S328">
        <v>-7.7</v>
      </c>
    </row>
    <row r="329" spans="2:19" x14ac:dyDescent="0.25">
      <c r="B329">
        <f>160+2*(Table1468[[#This Row],[min value (corrected)]]-32)</f>
        <v>168</v>
      </c>
      <c r="C329">
        <f>MINUTE(Table1468[[#This Row],[Corrected time]])</f>
        <v>36</v>
      </c>
      <c r="D329" s="1">
        <v>0.65081274305555548</v>
      </c>
      <c r="E329" s="1">
        <f>Table1468[[#This Row],[Time]]-TIME(0,0,11)</f>
        <v>0.65068542824074072</v>
      </c>
      <c r="F329" t="s">
        <v>13</v>
      </c>
      <c r="G329" t="str">
        <f>G328</f>
        <v>-113.0,</v>
      </c>
      <c r="H329">
        <f t="shared" si="18"/>
        <v>-113</v>
      </c>
      <c r="I329">
        <f>I328</f>
        <v>-8.8000000000000007</v>
      </c>
      <c r="L329">
        <f>160+2*(Table2579[[#This Row],[min value (corrected)]]-23)</f>
        <v>166</v>
      </c>
      <c r="M329">
        <f>MINUTE(Table2579[[#This Row],[Corrected time]])</f>
        <v>26</v>
      </c>
      <c r="N329" s="1">
        <v>0.6432837384259259</v>
      </c>
      <c r="O329" s="1">
        <f>Table2579[[#This Row],[Time]]-TIME(0,0,10)</f>
        <v>0.64316799768518518</v>
      </c>
      <c r="P329" t="s">
        <v>13</v>
      </c>
      <c r="Q329">
        <f>Q328</f>
        <v>-109</v>
      </c>
      <c r="R329">
        <f>Table2579[[#This Row],[RSSI]]</f>
        <v>-109</v>
      </c>
      <c r="S329">
        <f>S328</f>
        <v>-7.7</v>
      </c>
    </row>
    <row r="330" spans="2:19" x14ac:dyDescent="0.25">
      <c r="B330">
        <f>160+2*(Table1468[[#This Row],[min value (corrected)]]-32)</f>
        <v>170</v>
      </c>
      <c r="C330">
        <f>MINUTE(Table1468[[#This Row],[Corrected time]])</f>
        <v>37</v>
      </c>
      <c r="D330" s="1">
        <v>0.65082493055555557</v>
      </c>
      <c r="E330" s="1">
        <f>Table1468[[#This Row],[Time]]-TIME(0,0,11)</f>
        <v>0.65069761574074081</v>
      </c>
      <c r="F330" t="s">
        <v>9</v>
      </c>
      <c r="G330" t="s">
        <v>38</v>
      </c>
      <c r="H330">
        <f t="shared" si="18"/>
        <v>-110</v>
      </c>
      <c r="I330">
        <v>-8.3000000000000007</v>
      </c>
      <c r="L330">
        <f>160+2*(Table2579[[#This Row],[min value (corrected)]]-23)</f>
        <v>166</v>
      </c>
      <c r="M330">
        <f>MINUTE(Table2579[[#This Row],[Corrected time]])</f>
        <v>26</v>
      </c>
      <c r="N330" s="1">
        <v>0.64329591435185185</v>
      </c>
      <c r="O330" s="1">
        <f>Table2579[[#This Row],[Time]]-TIME(0,0,10)</f>
        <v>0.64318017361111113</v>
      </c>
      <c r="P330" t="s">
        <v>9</v>
      </c>
      <c r="Q330">
        <v>-115</v>
      </c>
      <c r="R330">
        <f>Table2579[[#This Row],[RSSI]]</f>
        <v>-115</v>
      </c>
      <c r="S330">
        <v>-9.3000000000000007</v>
      </c>
    </row>
    <row r="331" spans="2:19" x14ac:dyDescent="0.25">
      <c r="B331">
        <f>160+2*(Table1468[[#This Row],[min value (corrected)]]-32)</f>
        <v>170</v>
      </c>
      <c r="C331">
        <f>MINUTE(Table1468[[#This Row],[Corrected time]])</f>
        <v>37</v>
      </c>
      <c r="D331" s="1">
        <v>0.65083711805555555</v>
      </c>
      <c r="E331" s="1">
        <f>Table1468[[#This Row],[Time]]-TIME(0,0,11)</f>
        <v>0.65070980324074079</v>
      </c>
      <c r="F331" t="s">
        <v>9</v>
      </c>
      <c r="G331" t="s">
        <v>39</v>
      </c>
      <c r="H331">
        <f t="shared" si="18"/>
        <v>-114</v>
      </c>
      <c r="I331">
        <v>-8.5</v>
      </c>
      <c r="L331">
        <f>160+2*(Table2579[[#This Row],[min value (corrected)]]-23)</f>
        <v>166</v>
      </c>
      <c r="M331">
        <f>MINUTE(Table2579[[#This Row],[Corrected time]])</f>
        <v>26</v>
      </c>
      <c r="N331" s="1">
        <v>0.64330810185185183</v>
      </c>
      <c r="O331" s="1">
        <f>Table2579[[#This Row],[Time]]-TIME(0,0,10)</f>
        <v>0.64319236111111111</v>
      </c>
      <c r="P331" t="s">
        <v>9</v>
      </c>
      <c r="Q331">
        <v>-114</v>
      </c>
      <c r="R331">
        <f>Table2579[[#This Row],[RSSI]]</f>
        <v>-114</v>
      </c>
      <c r="S331">
        <v>-9</v>
      </c>
    </row>
    <row r="332" spans="2:19" x14ac:dyDescent="0.25">
      <c r="B332">
        <f>160+2*(Table1468[[#This Row],[min value (corrected)]]-32)</f>
        <v>170</v>
      </c>
      <c r="C332">
        <f>MINUTE(Table1468[[#This Row],[Corrected time]])</f>
        <v>37</v>
      </c>
      <c r="D332" s="1">
        <v>0.6508492939814815</v>
      </c>
      <c r="E332" s="1">
        <f>Table1468[[#This Row],[Time]]-TIME(0,0,11)</f>
        <v>0.65072197916666674</v>
      </c>
      <c r="F332" t="s">
        <v>13</v>
      </c>
      <c r="G332" t="str">
        <f>G331</f>
        <v>-114.0,</v>
      </c>
      <c r="H332">
        <f t="shared" si="18"/>
        <v>-114</v>
      </c>
      <c r="I332">
        <f>I331</f>
        <v>-8.5</v>
      </c>
      <c r="L332">
        <f>160+2*(Table2579[[#This Row],[min value (corrected)]]-23)</f>
        <v>166</v>
      </c>
      <c r="M332">
        <f>MINUTE(Table2579[[#This Row],[Corrected time]])</f>
        <v>26</v>
      </c>
      <c r="N332" s="1">
        <v>0.64332030092592596</v>
      </c>
      <c r="O332" s="1">
        <f>Table2579[[#This Row],[Time]]-TIME(0,0,10)</f>
        <v>0.64320456018518524</v>
      </c>
      <c r="P332" t="s">
        <v>9</v>
      </c>
      <c r="Q332">
        <v>-114</v>
      </c>
      <c r="R332">
        <f>Table2579[[#This Row],[RSSI]]</f>
        <v>-114</v>
      </c>
      <c r="S332">
        <v>-8.3000000000000007</v>
      </c>
    </row>
    <row r="333" spans="2:19" x14ac:dyDescent="0.25">
      <c r="B333">
        <f>160+2*(Table1468[[#This Row],[min value (corrected)]]-32)</f>
        <v>170</v>
      </c>
      <c r="C333">
        <f>MINUTE(Table1468[[#This Row],[Corrected time]])</f>
        <v>37</v>
      </c>
      <c r="D333" s="1">
        <v>0.65086149305555552</v>
      </c>
      <c r="E333" s="1">
        <f>Table1468[[#This Row],[Time]]-TIME(0,0,11)</f>
        <v>0.65073417824074076</v>
      </c>
      <c r="F333" t="s">
        <v>9</v>
      </c>
      <c r="G333" t="s">
        <v>37</v>
      </c>
      <c r="H333">
        <f t="shared" si="18"/>
        <v>-113</v>
      </c>
      <c r="I333">
        <v>-7.7</v>
      </c>
      <c r="L333">
        <f>160+2*(Table2579[[#This Row],[min value (corrected)]]-23)</f>
        <v>166</v>
      </c>
      <c r="M333">
        <f>MINUTE(Table2579[[#This Row],[Corrected time]])</f>
        <v>26</v>
      </c>
      <c r="N333" s="1">
        <v>0.6433324768518518</v>
      </c>
      <c r="O333" s="1">
        <f>Table2579[[#This Row],[Time]]-TIME(0,0,10)</f>
        <v>0.64321673611111108</v>
      </c>
      <c r="P333" t="s">
        <v>13</v>
      </c>
      <c r="Q333">
        <f>Q332</f>
        <v>-114</v>
      </c>
      <c r="R333">
        <f>Table2579[[#This Row],[RSSI]]</f>
        <v>-114</v>
      </c>
      <c r="S333">
        <f>S332</f>
        <v>-8.3000000000000007</v>
      </c>
    </row>
    <row r="334" spans="2:19" x14ac:dyDescent="0.25">
      <c r="B334">
        <f>160+2*(Table1468[[#This Row],[min value (corrected)]]-32)</f>
        <v>170</v>
      </c>
      <c r="C334">
        <f>MINUTE(Table1468[[#This Row],[Corrected time]])</f>
        <v>37</v>
      </c>
      <c r="D334" s="1">
        <v>0.6508736805555555</v>
      </c>
      <c r="E334" s="1">
        <f>Table1468[[#This Row],[Time]]-TIME(0,0,11)</f>
        <v>0.65074636574074074</v>
      </c>
      <c r="F334" t="s">
        <v>9</v>
      </c>
      <c r="G334" t="s">
        <v>37</v>
      </c>
      <c r="H334">
        <f t="shared" si="18"/>
        <v>-113</v>
      </c>
      <c r="I334">
        <v>-9</v>
      </c>
      <c r="L334">
        <f>160+2*(Table2579[[#This Row],[min value (corrected)]]-23)</f>
        <v>166</v>
      </c>
      <c r="M334">
        <f>MINUTE(Table2579[[#This Row],[Corrected time]])</f>
        <v>26</v>
      </c>
      <c r="N334" s="1">
        <v>0.64334467592592592</v>
      </c>
      <c r="O334" s="1">
        <f>Table2579[[#This Row],[Time]]-TIME(0,0,10)</f>
        <v>0.6432289351851852</v>
      </c>
      <c r="P334" t="s">
        <v>9</v>
      </c>
      <c r="Q334">
        <v>-112</v>
      </c>
      <c r="R334">
        <f>Table2579[[#This Row],[RSSI]]</f>
        <v>-112</v>
      </c>
      <c r="S334">
        <v>-9.3000000000000007</v>
      </c>
    </row>
    <row r="335" spans="2:19" x14ac:dyDescent="0.25">
      <c r="B335">
        <f>160+2*(Table1468[[#This Row],[min value (corrected)]]-32)</f>
        <v>170</v>
      </c>
      <c r="C335">
        <f>MINUTE(Table1468[[#This Row],[Corrected time]])</f>
        <v>37</v>
      </c>
      <c r="D335" s="1">
        <v>0.65088586805555548</v>
      </c>
      <c r="E335" s="1">
        <f>Table1468[[#This Row],[Time]]-TIME(0,0,11)</f>
        <v>0.65075855324074072</v>
      </c>
      <c r="F335" t="s">
        <v>9</v>
      </c>
      <c r="G335" t="s">
        <v>37</v>
      </c>
      <c r="H335">
        <f t="shared" si="18"/>
        <v>-113</v>
      </c>
      <c r="I335">
        <v>-7.2</v>
      </c>
      <c r="L335">
        <f>160+2*(Table2579[[#This Row],[min value (corrected)]]-23)</f>
        <v>166</v>
      </c>
      <c r="M335">
        <f>MINUTE(Table2579[[#This Row],[Corrected time]])</f>
        <v>26</v>
      </c>
      <c r="N335" s="1">
        <v>0.64335684027777784</v>
      </c>
      <c r="O335" s="1">
        <f>Table2579[[#This Row],[Time]]-TIME(0,0,10)</f>
        <v>0.64324109953703712</v>
      </c>
      <c r="P335" t="s">
        <v>9</v>
      </c>
      <c r="Q335">
        <v>-114</v>
      </c>
      <c r="R335">
        <f>Table2579[[#This Row],[RSSI]]</f>
        <v>-114</v>
      </c>
      <c r="S335">
        <v>-8.5</v>
      </c>
    </row>
    <row r="336" spans="2:19" x14ac:dyDescent="0.25">
      <c r="B336">
        <f>160+2*(Table1468[[#This Row],[min value (corrected)]]-32)</f>
        <v>170</v>
      </c>
      <c r="C336">
        <f>MINUTE(Table1468[[#This Row],[Corrected time]])</f>
        <v>37</v>
      </c>
      <c r="D336" s="1">
        <v>0.65089805555555547</v>
      </c>
      <c r="E336" s="1">
        <f>Table1468[[#This Row],[Time]]-TIME(0,0,11)</f>
        <v>0.65077074074074071</v>
      </c>
      <c r="F336" t="s">
        <v>9</v>
      </c>
      <c r="G336" t="s">
        <v>37</v>
      </c>
      <c r="H336">
        <f t="shared" si="18"/>
        <v>-113</v>
      </c>
      <c r="I336">
        <v>-8.3000000000000007</v>
      </c>
      <c r="L336">
        <f>160+2*(Table2579[[#This Row],[min value (corrected)]]-23)</f>
        <v>166</v>
      </c>
      <c r="M336">
        <f>MINUTE(Table2579[[#This Row],[Corrected time]])</f>
        <v>26</v>
      </c>
      <c r="N336" s="1">
        <v>0.64336903935185186</v>
      </c>
      <c r="O336" s="1">
        <f>Table2579[[#This Row],[Time]]-TIME(0,0,10)</f>
        <v>0.64325329861111114</v>
      </c>
      <c r="P336" t="s">
        <v>9</v>
      </c>
      <c r="Q336">
        <v>-114</v>
      </c>
      <c r="R336">
        <f>Table2579[[#This Row],[RSSI]]</f>
        <v>-114</v>
      </c>
      <c r="S336">
        <v>-9</v>
      </c>
    </row>
    <row r="337" spans="2:19" x14ac:dyDescent="0.25">
      <c r="B337">
        <f>160+2*(Table1468[[#This Row],[min value (corrected)]]-32)</f>
        <v>170</v>
      </c>
      <c r="C337">
        <f>MINUTE(Table1468[[#This Row],[Corrected time]])</f>
        <v>37</v>
      </c>
      <c r="D337" s="1">
        <v>0.65091024305555556</v>
      </c>
      <c r="E337" s="1">
        <f>Table1468[[#This Row],[Time]]-TIME(0,0,11)</f>
        <v>0.6507829282407408</v>
      </c>
      <c r="F337" t="s">
        <v>9</v>
      </c>
      <c r="G337" t="s">
        <v>39</v>
      </c>
      <c r="H337">
        <f t="shared" si="18"/>
        <v>-114</v>
      </c>
      <c r="I337">
        <v>-8.5</v>
      </c>
      <c r="L337">
        <f>160+2*(Table2579[[#This Row],[min value (corrected)]]-23)</f>
        <v>166</v>
      </c>
      <c r="M337">
        <f>MINUTE(Table2579[[#This Row],[Corrected time]])</f>
        <v>26</v>
      </c>
      <c r="N337" s="1">
        <v>0.64338122685185184</v>
      </c>
      <c r="O337" s="1">
        <f>Table2579[[#This Row],[Time]]-TIME(0,0,10)</f>
        <v>0.64326548611111112</v>
      </c>
      <c r="P337" t="s">
        <v>9</v>
      </c>
      <c r="Q337">
        <v>-114</v>
      </c>
      <c r="R337">
        <f>Table2579[[#This Row],[RSSI]]</f>
        <v>-114</v>
      </c>
      <c r="S337">
        <v>-8.3000000000000007</v>
      </c>
    </row>
    <row r="338" spans="2:19" x14ac:dyDescent="0.25">
      <c r="B338">
        <f>160+2*(Table1468[[#This Row],[min value (corrected)]]-32)</f>
        <v>170</v>
      </c>
      <c r="C338">
        <f>MINUTE(Table1468[[#This Row],[Corrected time]])</f>
        <v>37</v>
      </c>
      <c r="D338" s="1">
        <v>0.65092243055555554</v>
      </c>
      <c r="E338" s="1">
        <f>Table1468[[#This Row],[Time]]-TIME(0,0,11)</f>
        <v>0.65079511574074078</v>
      </c>
      <c r="F338" t="s">
        <v>9</v>
      </c>
      <c r="G338" t="s">
        <v>39</v>
      </c>
      <c r="H338">
        <f t="shared" si="18"/>
        <v>-114</v>
      </c>
      <c r="I338">
        <v>-8.5</v>
      </c>
      <c r="L338">
        <f>160+2*(Table2579[[#This Row],[min value (corrected)]]-23)</f>
        <v>166</v>
      </c>
      <c r="M338">
        <f>MINUTE(Table2579[[#This Row],[Corrected time]])</f>
        <v>26</v>
      </c>
      <c r="N338" s="1">
        <v>0.64339342592592597</v>
      </c>
      <c r="O338" s="1">
        <f>Table2579[[#This Row],[Time]]-TIME(0,0,10)</f>
        <v>0.64327768518518524</v>
      </c>
      <c r="P338" t="s">
        <v>13</v>
      </c>
      <c r="Q338">
        <f>Q337</f>
        <v>-114</v>
      </c>
      <c r="R338">
        <f>Table2579[[#This Row],[RSSI]]</f>
        <v>-114</v>
      </c>
      <c r="S338">
        <f>S337</f>
        <v>-8.3000000000000007</v>
      </c>
    </row>
    <row r="339" spans="2:19" x14ac:dyDescent="0.25">
      <c r="B339">
        <f>160+2*(Table1468[[#This Row],[min value (corrected)]]-32)</f>
        <v>170</v>
      </c>
      <c r="C339">
        <f>MINUTE(Table1468[[#This Row],[Corrected time]])</f>
        <v>37</v>
      </c>
      <c r="D339" s="1">
        <v>0.65093461805555553</v>
      </c>
      <c r="E339" s="1">
        <f>Table1468[[#This Row],[Time]]-TIME(0,0,11)</f>
        <v>0.65080730324074076</v>
      </c>
      <c r="F339" t="s">
        <v>9</v>
      </c>
      <c r="G339" t="s">
        <v>37</v>
      </c>
      <c r="H339">
        <f t="shared" si="18"/>
        <v>-113</v>
      </c>
      <c r="I339">
        <v>-8.8000000000000007</v>
      </c>
      <c r="L339">
        <f>160+2*(Table2579[[#This Row],[min value (corrected)]]-23)</f>
        <v>166</v>
      </c>
      <c r="M339">
        <f>MINUTE(Table2579[[#This Row],[Corrected time]])</f>
        <v>26</v>
      </c>
      <c r="N339" s="1">
        <v>0.64340559027777777</v>
      </c>
      <c r="O339" s="1">
        <f>Table2579[[#This Row],[Time]]-TIME(0,0,10)</f>
        <v>0.64328984953703705</v>
      </c>
      <c r="P339" t="s">
        <v>9</v>
      </c>
      <c r="Q339">
        <v>-115</v>
      </c>
      <c r="R339">
        <f>Table2579[[#This Row],[RSSI]]</f>
        <v>-115</v>
      </c>
      <c r="S339">
        <v>-9.3000000000000007</v>
      </c>
    </row>
    <row r="340" spans="2:19" x14ac:dyDescent="0.25">
      <c r="B340">
        <f>160+2*(Table1468[[#This Row],[min value (corrected)]]-32)</f>
        <v>170</v>
      </c>
      <c r="C340">
        <f>MINUTE(Table1468[[#This Row],[Corrected time]])</f>
        <v>37</v>
      </c>
      <c r="D340" s="1">
        <v>0.65094680555555551</v>
      </c>
      <c r="E340" s="1">
        <f>Table1468[[#This Row],[Time]]-TIME(0,0,11)</f>
        <v>0.65081949074074075</v>
      </c>
      <c r="F340" t="s">
        <v>9</v>
      </c>
      <c r="G340" t="s">
        <v>37</v>
      </c>
      <c r="H340">
        <f t="shared" si="18"/>
        <v>-113</v>
      </c>
      <c r="I340">
        <v>-7.7</v>
      </c>
      <c r="L340">
        <f>160+2*(Table2579[[#This Row],[min value (corrected)]]-23)</f>
        <v>166</v>
      </c>
      <c r="M340">
        <f>MINUTE(Table2579[[#This Row],[Corrected time]])</f>
        <v>26</v>
      </c>
      <c r="N340" s="1">
        <v>0.64341780092592593</v>
      </c>
      <c r="O340" s="1">
        <f>Table2579[[#This Row],[Time]]-TIME(0,0,10)</f>
        <v>0.64330206018518521</v>
      </c>
      <c r="P340" t="s">
        <v>9</v>
      </c>
      <c r="Q340">
        <v>-113</v>
      </c>
      <c r="R340">
        <f>Table2579[[#This Row],[RSSI]]</f>
        <v>-113</v>
      </c>
      <c r="S340">
        <v>-8</v>
      </c>
    </row>
    <row r="341" spans="2:19" x14ac:dyDescent="0.25">
      <c r="B341">
        <f>160+2*(Table1468[[#This Row],[min value (corrected)]]-32)</f>
        <v>170</v>
      </c>
      <c r="C341">
        <f>MINUTE(Table1468[[#This Row],[Corrected time]])</f>
        <v>37</v>
      </c>
      <c r="D341" s="1">
        <v>0.65095898148148146</v>
      </c>
      <c r="E341" s="1">
        <f>Table1468[[#This Row],[Time]]-TIME(0,0,11)</f>
        <v>0.6508316666666667</v>
      </c>
      <c r="F341" t="s">
        <v>9</v>
      </c>
      <c r="G341" t="s">
        <v>39</v>
      </c>
      <c r="H341">
        <f t="shared" si="18"/>
        <v>-114</v>
      </c>
      <c r="I341">
        <v>-8.5</v>
      </c>
      <c r="L341">
        <f>160+2*(Table2579[[#This Row],[min value (corrected)]]-23)</f>
        <v>166</v>
      </c>
      <c r="M341">
        <f>MINUTE(Table2579[[#This Row],[Corrected time]])</f>
        <v>26</v>
      </c>
      <c r="N341" s="1">
        <v>0.64342998842592591</v>
      </c>
      <c r="O341" s="1">
        <f>Table2579[[#This Row],[Time]]-TIME(0,0,10)</f>
        <v>0.64331424768518519</v>
      </c>
      <c r="P341" t="s">
        <v>13</v>
      </c>
      <c r="Q341">
        <f>Q340</f>
        <v>-113</v>
      </c>
      <c r="R341">
        <f>Table2579[[#This Row],[RSSI]]</f>
        <v>-113</v>
      </c>
      <c r="S341">
        <f>S340</f>
        <v>-8</v>
      </c>
    </row>
    <row r="342" spans="2:19" x14ac:dyDescent="0.25">
      <c r="B342">
        <f>160+2*(Table1468[[#This Row],[min value (corrected)]]-32)</f>
        <v>170</v>
      </c>
      <c r="C342">
        <f>MINUTE(Table1468[[#This Row],[Corrected time]])</f>
        <v>37</v>
      </c>
      <c r="D342" s="1">
        <v>0.65097116898148144</v>
      </c>
      <c r="E342" s="1">
        <f>Table1468[[#This Row],[Time]]-TIME(0,0,11)</f>
        <v>0.65084385416666668</v>
      </c>
      <c r="F342" t="s">
        <v>9</v>
      </c>
      <c r="G342" t="s">
        <v>39</v>
      </c>
      <c r="H342">
        <f t="shared" ref="H342:H405" si="35">VALUE(LEFT(G342,LEN(G342)-1))</f>
        <v>-114</v>
      </c>
      <c r="I342">
        <v>-8.5</v>
      </c>
      <c r="L342">
        <f>160+2*(Table2579[[#This Row],[min value (corrected)]]-23)</f>
        <v>166</v>
      </c>
      <c r="M342">
        <f>MINUTE(Table2579[[#This Row],[Corrected time]])</f>
        <v>26</v>
      </c>
      <c r="N342" s="1">
        <v>0.64344216435185186</v>
      </c>
      <c r="O342" s="1">
        <f>Table2579[[#This Row],[Time]]-TIME(0,0,10)</f>
        <v>0.64332642361111114</v>
      </c>
      <c r="P342" t="s">
        <v>9</v>
      </c>
      <c r="Q342">
        <v>-113</v>
      </c>
      <c r="R342">
        <f>Table2579[[#This Row],[RSSI]]</f>
        <v>-113</v>
      </c>
      <c r="S342">
        <v>-8.3000000000000007</v>
      </c>
    </row>
    <row r="343" spans="2:19" x14ac:dyDescent="0.25">
      <c r="B343">
        <f>160+2*(Table1468[[#This Row],[min value (corrected)]]-32)</f>
        <v>170</v>
      </c>
      <c r="C343">
        <f>MINUTE(Table1468[[#This Row],[Corrected time]])</f>
        <v>37</v>
      </c>
      <c r="D343" s="1">
        <v>0.65098336805555557</v>
      </c>
      <c r="E343" s="1">
        <f>Table1468[[#This Row],[Time]]-TIME(0,0,11)</f>
        <v>0.65085605324074081</v>
      </c>
      <c r="F343" t="s">
        <v>9</v>
      </c>
      <c r="G343" t="s">
        <v>39</v>
      </c>
      <c r="H343">
        <f t="shared" si="35"/>
        <v>-114</v>
      </c>
      <c r="I343">
        <v>-8</v>
      </c>
      <c r="L343">
        <f>160+2*(Table2579[[#This Row],[min value (corrected)]]-23)</f>
        <v>166</v>
      </c>
      <c r="M343">
        <f>MINUTE(Table2579[[#This Row],[Corrected time]])</f>
        <v>26</v>
      </c>
      <c r="N343" s="1">
        <v>0.64345435185185185</v>
      </c>
      <c r="O343" s="1">
        <f>Table2579[[#This Row],[Time]]-TIME(0,0,10)</f>
        <v>0.64333861111111112</v>
      </c>
      <c r="P343" t="s">
        <v>9</v>
      </c>
      <c r="Q343">
        <v>-114</v>
      </c>
      <c r="R343">
        <f>Table2579[[#This Row],[RSSI]]</f>
        <v>-114</v>
      </c>
      <c r="S343">
        <v>-8.8000000000000007</v>
      </c>
    </row>
    <row r="344" spans="2:19" x14ac:dyDescent="0.25">
      <c r="B344">
        <f>160+2*(Table1468[[#This Row],[min value (corrected)]]-32)</f>
        <v>170</v>
      </c>
      <c r="C344">
        <f>MINUTE(Table1468[[#This Row],[Corrected time]])</f>
        <v>37</v>
      </c>
      <c r="D344" s="1">
        <v>0.65099555555555555</v>
      </c>
      <c r="E344" s="1">
        <f>Table1468[[#This Row],[Time]]-TIME(0,0,11)</f>
        <v>0.65086824074074079</v>
      </c>
      <c r="F344" t="s">
        <v>13</v>
      </c>
      <c r="G344" t="str">
        <f t="shared" ref="G344:G345" si="36">G343</f>
        <v>-114.0,</v>
      </c>
      <c r="H344">
        <f t="shared" si="35"/>
        <v>-114</v>
      </c>
      <c r="I344">
        <f t="shared" ref="I344:I345" si="37">I343</f>
        <v>-8</v>
      </c>
      <c r="L344">
        <f>160+2*(Table2579[[#This Row],[min value (corrected)]]-23)</f>
        <v>166</v>
      </c>
      <c r="M344">
        <f>MINUTE(Table2579[[#This Row],[Corrected time]])</f>
        <v>26</v>
      </c>
      <c r="N344" s="1">
        <v>0.64346653935185183</v>
      </c>
      <c r="O344" s="1">
        <f>Table2579[[#This Row],[Time]]-TIME(0,0,10)</f>
        <v>0.64335079861111111</v>
      </c>
      <c r="P344" t="s">
        <v>9</v>
      </c>
      <c r="Q344">
        <v>-114</v>
      </c>
      <c r="R344">
        <f>Table2579[[#This Row],[RSSI]]</f>
        <v>-114</v>
      </c>
      <c r="S344">
        <v>-9</v>
      </c>
    </row>
    <row r="345" spans="2:19" x14ac:dyDescent="0.25">
      <c r="B345">
        <f>160+2*(Table1468[[#This Row],[min value (corrected)]]-32)</f>
        <v>170</v>
      </c>
      <c r="C345">
        <f>MINUTE(Table1468[[#This Row],[Corrected time]])</f>
        <v>37</v>
      </c>
      <c r="D345" s="1">
        <v>0.6510077314814815</v>
      </c>
      <c r="E345" s="1">
        <f>Table1468[[#This Row],[Time]]-TIME(0,0,11)</f>
        <v>0.65088041666666674</v>
      </c>
      <c r="F345" t="s">
        <v>13</v>
      </c>
      <c r="G345" t="str">
        <f t="shared" si="36"/>
        <v>-114.0,</v>
      </c>
      <c r="H345">
        <f t="shared" si="35"/>
        <v>-114</v>
      </c>
      <c r="I345">
        <f t="shared" si="37"/>
        <v>-8</v>
      </c>
      <c r="L345">
        <f>160+2*(Table2579[[#This Row],[min value (corrected)]]-23)</f>
        <v>166</v>
      </c>
      <c r="M345">
        <f>MINUTE(Table2579[[#This Row],[Corrected time]])</f>
        <v>26</v>
      </c>
      <c r="N345" s="1">
        <v>0.64347872685185181</v>
      </c>
      <c r="O345" s="1">
        <f>Table2579[[#This Row],[Time]]-TIME(0,0,10)</f>
        <v>0.64336298611111109</v>
      </c>
      <c r="P345" t="s">
        <v>13</v>
      </c>
      <c r="Q345">
        <f>Q344</f>
        <v>-114</v>
      </c>
      <c r="R345">
        <f>Table2579[[#This Row],[RSSI]]</f>
        <v>-114</v>
      </c>
      <c r="S345">
        <f>S344</f>
        <v>-9</v>
      </c>
    </row>
    <row r="346" spans="2:19" x14ac:dyDescent="0.25">
      <c r="B346">
        <f>160+2*(Table1468[[#This Row],[min value (corrected)]]-32)</f>
        <v>170</v>
      </c>
      <c r="C346">
        <f>MINUTE(Table1468[[#This Row],[Corrected time]])</f>
        <v>37</v>
      </c>
      <c r="D346" s="1">
        <v>0.65101993055555563</v>
      </c>
      <c r="E346" s="1">
        <f>Table1468[[#This Row],[Time]]-TIME(0,0,11)</f>
        <v>0.65089261574074087</v>
      </c>
      <c r="F346" t="s">
        <v>9</v>
      </c>
      <c r="G346" t="s">
        <v>37</v>
      </c>
      <c r="H346">
        <f t="shared" si="35"/>
        <v>-113</v>
      </c>
      <c r="I346">
        <v>-7.5</v>
      </c>
      <c r="L346">
        <f>160+2*(Table2579[[#This Row],[min value (corrected)]]-23)</f>
        <v>166</v>
      </c>
      <c r="M346">
        <f>MINUTE(Table2579[[#This Row],[Corrected time]])</f>
        <v>26</v>
      </c>
      <c r="N346" s="1">
        <v>0.64349092592592594</v>
      </c>
      <c r="O346" s="1">
        <f>Table2579[[#This Row],[Time]]-TIME(0,0,10)</f>
        <v>0.64337518518518522</v>
      </c>
      <c r="P346" t="s">
        <v>9</v>
      </c>
      <c r="Q346">
        <v>-114</v>
      </c>
      <c r="R346">
        <f>Table2579[[#This Row],[RSSI]]</f>
        <v>-114</v>
      </c>
      <c r="S346">
        <v>-8.8000000000000007</v>
      </c>
    </row>
    <row r="347" spans="2:19" x14ac:dyDescent="0.25">
      <c r="B347">
        <f>160+2*(Table1468[[#This Row],[min value (corrected)]]-32)</f>
        <v>170</v>
      </c>
      <c r="C347">
        <f>MINUTE(Table1468[[#This Row],[Corrected time]])</f>
        <v>37</v>
      </c>
      <c r="D347" s="1">
        <v>0.65103211805555561</v>
      </c>
      <c r="E347" s="1">
        <f>Table1468[[#This Row],[Time]]-TIME(0,0,11)</f>
        <v>0.65090480324074085</v>
      </c>
      <c r="F347" t="s">
        <v>9</v>
      </c>
      <c r="G347" t="s">
        <v>37</v>
      </c>
      <c r="H347">
        <f t="shared" si="35"/>
        <v>-113</v>
      </c>
      <c r="I347">
        <v>-8</v>
      </c>
      <c r="L347">
        <f>160+2*(Table2579[[#This Row],[min value (corrected)]]-23)</f>
        <v>166</v>
      </c>
      <c r="M347">
        <f>MINUTE(Table2579[[#This Row],[Corrected time]])</f>
        <v>26</v>
      </c>
      <c r="N347" s="1">
        <v>0.64350311342592592</v>
      </c>
      <c r="O347" s="1">
        <f>Table2579[[#This Row],[Time]]-TIME(0,0,10)</f>
        <v>0.6433873726851852</v>
      </c>
      <c r="P347" t="s">
        <v>9</v>
      </c>
      <c r="Q347">
        <v>-114</v>
      </c>
      <c r="R347">
        <f>Table2579[[#This Row],[RSSI]]</f>
        <v>-114</v>
      </c>
      <c r="S347">
        <v>-9</v>
      </c>
    </row>
    <row r="348" spans="2:19" x14ac:dyDescent="0.25">
      <c r="B348">
        <f>160+2*(Table1468[[#This Row],[min value (corrected)]]-32)</f>
        <v>170</v>
      </c>
      <c r="C348">
        <f>MINUTE(Table1468[[#This Row],[Corrected time]])</f>
        <v>37</v>
      </c>
      <c r="D348" s="1">
        <v>0.65104430555555559</v>
      </c>
      <c r="E348" s="1">
        <f>Table1468[[#This Row],[Time]]-TIME(0,0,11)</f>
        <v>0.65091699074074083</v>
      </c>
      <c r="F348" t="s">
        <v>9</v>
      </c>
      <c r="G348" t="s">
        <v>39</v>
      </c>
      <c r="H348">
        <f t="shared" si="35"/>
        <v>-114</v>
      </c>
      <c r="I348">
        <v>-8.3000000000000007</v>
      </c>
      <c r="L348">
        <f>160+2*(Table2579[[#This Row],[min value (corrected)]]-23)</f>
        <v>166</v>
      </c>
      <c r="M348">
        <f>MINUTE(Table2579[[#This Row],[Corrected time]])</f>
        <v>26</v>
      </c>
      <c r="N348" s="1">
        <v>0.64351527777777784</v>
      </c>
      <c r="O348" s="1">
        <f>Table2579[[#This Row],[Time]]-TIME(0,0,10)</f>
        <v>0.64339953703703712</v>
      </c>
      <c r="P348" t="s">
        <v>9</v>
      </c>
      <c r="Q348">
        <v>-114</v>
      </c>
      <c r="R348">
        <f>Table2579[[#This Row],[RSSI]]</f>
        <v>-114</v>
      </c>
      <c r="S348">
        <v>-8.8000000000000007</v>
      </c>
    </row>
    <row r="349" spans="2:19" x14ac:dyDescent="0.25">
      <c r="B349">
        <f>160+2*(Table1468[[#This Row],[min value (corrected)]]-32)</f>
        <v>170</v>
      </c>
      <c r="C349">
        <f>MINUTE(Table1468[[#This Row],[Corrected time]])</f>
        <v>37</v>
      </c>
      <c r="D349" s="1">
        <v>0.65105648148148143</v>
      </c>
      <c r="E349" s="1">
        <f>Table1468[[#This Row],[Time]]-TIME(0,0,11)</f>
        <v>0.65092916666666667</v>
      </c>
      <c r="F349" t="s">
        <v>9</v>
      </c>
      <c r="G349" t="s">
        <v>39</v>
      </c>
      <c r="H349">
        <f t="shared" si="35"/>
        <v>-114</v>
      </c>
      <c r="I349">
        <v>-8.3000000000000007</v>
      </c>
      <c r="L349">
        <f>160+2*(Table2579[[#This Row],[min value (corrected)]]-23)</f>
        <v>166</v>
      </c>
      <c r="M349">
        <f>MINUTE(Table2579[[#This Row],[Corrected time]])</f>
        <v>26</v>
      </c>
      <c r="N349" s="1">
        <v>0.64352747685185185</v>
      </c>
      <c r="O349" s="1">
        <f>Table2579[[#This Row],[Time]]-TIME(0,0,10)</f>
        <v>0.64341173611111113</v>
      </c>
      <c r="P349" t="s">
        <v>13</v>
      </c>
      <c r="Q349">
        <f>Q348</f>
        <v>-114</v>
      </c>
      <c r="R349">
        <f>Table2579[[#This Row],[RSSI]]</f>
        <v>-114</v>
      </c>
      <c r="S349">
        <f>S348</f>
        <v>-8.8000000000000007</v>
      </c>
    </row>
    <row r="350" spans="2:19" x14ac:dyDescent="0.25">
      <c r="B350">
        <f>160+2*(Table1468[[#This Row],[min value (corrected)]]-32)</f>
        <v>170</v>
      </c>
      <c r="C350">
        <f>MINUTE(Table1468[[#This Row],[Corrected time]])</f>
        <v>37</v>
      </c>
      <c r="D350" s="1">
        <v>0.65106868055555556</v>
      </c>
      <c r="E350" s="1">
        <f>Table1468[[#This Row],[Time]]-TIME(0,0,11)</f>
        <v>0.6509413657407408</v>
      </c>
      <c r="F350" t="s">
        <v>9</v>
      </c>
      <c r="G350" t="s">
        <v>39</v>
      </c>
      <c r="H350">
        <f t="shared" si="35"/>
        <v>-114</v>
      </c>
      <c r="I350">
        <v>-7.7</v>
      </c>
      <c r="L350">
        <f>160+2*(Table2579[[#This Row],[min value (corrected)]]-23)</f>
        <v>166</v>
      </c>
      <c r="M350">
        <f>MINUTE(Table2579[[#This Row],[Corrected time]])</f>
        <v>26</v>
      </c>
      <c r="N350" s="1">
        <v>0.64353967592592598</v>
      </c>
      <c r="O350" s="1">
        <f>Table2579[[#This Row],[Time]]-TIME(0,0,10)</f>
        <v>0.64342393518518526</v>
      </c>
      <c r="P350" t="s">
        <v>9</v>
      </c>
      <c r="Q350">
        <v>-113</v>
      </c>
      <c r="R350">
        <f>Table2579[[#This Row],[RSSI]]</f>
        <v>-113</v>
      </c>
      <c r="S350">
        <v>-8.5</v>
      </c>
    </row>
    <row r="351" spans="2:19" x14ac:dyDescent="0.25">
      <c r="B351">
        <f>160+2*(Table1468[[#This Row],[min value (corrected)]]-32)</f>
        <v>170</v>
      </c>
      <c r="C351">
        <f>MINUTE(Table1468[[#This Row],[Corrected time]])</f>
        <v>37</v>
      </c>
      <c r="D351" s="1">
        <v>0.65108086805555554</v>
      </c>
      <c r="E351" s="1">
        <f>Table1468[[#This Row],[Time]]-TIME(0,0,11)</f>
        <v>0.65095355324074078</v>
      </c>
      <c r="F351" t="s">
        <v>9</v>
      </c>
      <c r="G351" t="s">
        <v>37</v>
      </c>
      <c r="H351">
        <f t="shared" si="35"/>
        <v>-113</v>
      </c>
      <c r="I351">
        <v>-7.7</v>
      </c>
      <c r="L351">
        <f>160+2*(Table2579[[#This Row],[min value (corrected)]]-23)</f>
        <v>166</v>
      </c>
      <c r="M351">
        <f>MINUTE(Table2579[[#This Row],[Corrected time]])</f>
        <v>26</v>
      </c>
      <c r="N351" s="1">
        <v>0.64355186342592596</v>
      </c>
      <c r="O351" s="1">
        <f>Table2579[[#This Row],[Time]]-TIME(0,0,10)</f>
        <v>0.64343612268518524</v>
      </c>
      <c r="P351" t="s">
        <v>9</v>
      </c>
      <c r="Q351">
        <v>-114</v>
      </c>
      <c r="R351">
        <f>Table2579[[#This Row],[RSSI]]</f>
        <v>-114</v>
      </c>
      <c r="S351">
        <v>-8.5</v>
      </c>
    </row>
    <row r="352" spans="2:19" x14ac:dyDescent="0.25">
      <c r="B352">
        <f>160+2*(Table1468[[#This Row],[min value (corrected)]]-32)</f>
        <v>170</v>
      </c>
      <c r="C352">
        <f>MINUTE(Table1468[[#This Row],[Corrected time]])</f>
        <v>37</v>
      </c>
      <c r="D352" s="1">
        <v>0.65109305555555563</v>
      </c>
      <c r="E352" s="1">
        <f>Table1468[[#This Row],[Time]]-TIME(0,0,11)</f>
        <v>0.65096574074074087</v>
      </c>
      <c r="F352" t="s">
        <v>13</v>
      </c>
      <c r="G352" t="str">
        <f>G351</f>
        <v>-113.0,</v>
      </c>
      <c r="H352">
        <f t="shared" si="35"/>
        <v>-113</v>
      </c>
      <c r="I352">
        <f>I351</f>
        <v>-7.7</v>
      </c>
      <c r="L352">
        <f>160+2*(Table2579[[#This Row],[min value (corrected)]]-23)</f>
        <v>166</v>
      </c>
      <c r="M352">
        <f>MINUTE(Table2579[[#This Row],[Corrected time]])</f>
        <v>26</v>
      </c>
      <c r="N352" s="1">
        <v>0.64356402777777777</v>
      </c>
      <c r="O352" s="1">
        <f>Table2579[[#This Row],[Time]]-TIME(0,0,10)</f>
        <v>0.64344828703703705</v>
      </c>
      <c r="P352" t="s">
        <v>9</v>
      </c>
      <c r="Q352">
        <v>-113</v>
      </c>
      <c r="R352">
        <f>Table2579[[#This Row],[RSSI]]</f>
        <v>-113</v>
      </c>
      <c r="S352">
        <v>-7.5</v>
      </c>
    </row>
    <row r="353" spans="2:19" x14ac:dyDescent="0.25">
      <c r="B353">
        <f>160+2*(Table1468[[#This Row],[min value (corrected)]]-32)</f>
        <v>170</v>
      </c>
      <c r="C353">
        <f>MINUTE(Table1468[[#This Row],[Corrected time]])</f>
        <v>37</v>
      </c>
      <c r="D353" s="1">
        <v>0.65110524305555562</v>
      </c>
      <c r="E353" s="1">
        <f>Table1468[[#This Row],[Time]]-TIME(0,0,11)</f>
        <v>0.65097792824074086</v>
      </c>
      <c r="F353" t="s">
        <v>9</v>
      </c>
      <c r="G353" t="s">
        <v>37</v>
      </c>
      <c r="H353">
        <f t="shared" si="35"/>
        <v>-113</v>
      </c>
      <c r="I353">
        <v>-7.7</v>
      </c>
      <c r="L353">
        <f>160+2*(Table2579[[#This Row],[min value (corrected)]]-23)</f>
        <v>166</v>
      </c>
      <c r="M353">
        <f>MINUTE(Table2579[[#This Row],[Corrected time]])</f>
        <v>26</v>
      </c>
      <c r="N353" s="1">
        <v>0.64357623842592593</v>
      </c>
      <c r="O353" s="1">
        <f>Table2579[[#This Row],[Time]]-TIME(0,0,10)</f>
        <v>0.64346049768518521</v>
      </c>
      <c r="P353" t="s">
        <v>9</v>
      </c>
      <c r="Q353">
        <v>-114</v>
      </c>
      <c r="R353">
        <f>Table2579[[#This Row],[RSSI]]</f>
        <v>-114</v>
      </c>
      <c r="S353">
        <v>-8.5</v>
      </c>
    </row>
    <row r="354" spans="2:19" x14ac:dyDescent="0.25">
      <c r="B354">
        <f>160+2*(Table1468[[#This Row],[min value (corrected)]]-32)</f>
        <v>170</v>
      </c>
      <c r="C354">
        <f>MINUTE(Table1468[[#This Row],[Corrected time]])</f>
        <v>37</v>
      </c>
      <c r="D354" s="1">
        <v>0.6511174305555556</v>
      </c>
      <c r="E354" s="1">
        <f>Table1468[[#This Row],[Time]]-TIME(0,0,11)</f>
        <v>0.65099011574074084</v>
      </c>
      <c r="F354" t="s">
        <v>9</v>
      </c>
      <c r="G354" t="s">
        <v>37</v>
      </c>
      <c r="H354">
        <f t="shared" si="35"/>
        <v>-113</v>
      </c>
      <c r="I354">
        <v>-7.7</v>
      </c>
      <c r="L354">
        <f>160+2*(Table2579[[#This Row],[min value (corrected)]]-23)</f>
        <v>166</v>
      </c>
      <c r="M354">
        <f>MINUTE(Table2579[[#This Row],[Corrected time]])</f>
        <v>26</v>
      </c>
      <c r="N354" s="1">
        <v>0.64358842592592591</v>
      </c>
      <c r="O354" s="1">
        <f>Table2579[[#This Row],[Time]]-TIME(0,0,10)</f>
        <v>0.64347268518518519</v>
      </c>
      <c r="P354" t="s">
        <v>9</v>
      </c>
      <c r="Q354">
        <v>-114</v>
      </c>
      <c r="R354">
        <f>Table2579[[#This Row],[RSSI]]</f>
        <v>-114</v>
      </c>
      <c r="S354">
        <v>-8.8000000000000007</v>
      </c>
    </row>
    <row r="355" spans="2:19" x14ac:dyDescent="0.25">
      <c r="B355">
        <f>160+2*(Table1468[[#This Row],[min value (corrected)]]-32)</f>
        <v>170</v>
      </c>
      <c r="C355">
        <f>MINUTE(Table1468[[#This Row],[Corrected time]])</f>
        <v>37</v>
      </c>
      <c r="D355" s="1">
        <v>0.65112961805555558</v>
      </c>
      <c r="E355" s="1">
        <f>Table1468[[#This Row],[Time]]-TIME(0,0,11)</f>
        <v>0.65100230324074082</v>
      </c>
      <c r="F355" t="s">
        <v>9</v>
      </c>
      <c r="G355" t="s">
        <v>39</v>
      </c>
      <c r="H355">
        <f t="shared" si="35"/>
        <v>-114</v>
      </c>
      <c r="I355">
        <v>-9</v>
      </c>
      <c r="L355">
        <f>160+2*(Table2579[[#This Row],[min value (corrected)]]-23)</f>
        <v>166</v>
      </c>
      <c r="M355">
        <f>MINUTE(Table2579[[#This Row],[Corrected time]])</f>
        <v>26</v>
      </c>
      <c r="N355" s="1">
        <v>0.64360060185185186</v>
      </c>
      <c r="O355" s="1">
        <f>Table2579[[#This Row],[Time]]-TIME(0,0,10)</f>
        <v>0.64348486111111114</v>
      </c>
      <c r="P355" t="s">
        <v>13</v>
      </c>
      <c r="Q355">
        <f>Q354</f>
        <v>-114</v>
      </c>
      <c r="R355">
        <f>Table2579[[#This Row],[RSSI]]</f>
        <v>-114</v>
      </c>
      <c r="S355">
        <f>S354</f>
        <v>-8.8000000000000007</v>
      </c>
    </row>
    <row r="356" spans="2:19" x14ac:dyDescent="0.25">
      <c r="B356">
        <f>160+2*(Table1468[[#This Row],[min value (corrected)]]-32)</f>
        <v>170</v>
      </c>
      <c r="C356">
        <f>MINUTE(Table1468[[#This Row],[Corrected time]])</f>
        <v>37</v>
      </c>
      <c r="D356" s="1">
        <v>0.65114180555555556</v>
      </c>
      <c r="E356" s="1">
        <f>Table1468[[#This Row],[Time]]-TIME(0,0,11)</f>
        <v>0.6510144907407408</v>
      </c>
      <c r="F356" t="s">
        <v>9</v>
      </c>
      <c r="G356" t="s">
        <v>39</v>
      </c>
      <c r="H356">
        <f t="shared" si="35"/>
        <v>-114</v>
      </c>
      <c r="I356">
        <v>-8.8000000000000007</v>
      </c>
      <c r="L356">
        <f>160+2*(Table2579[[#This Row],[min value (corrected)]]-23)</f>
        <v>166</v>
      </c>
      <c r="M356">
        <f>MINUTE(Table2579[[#This Row],[Corrected time]])</f>
        <v>26</v>
      </c>
      <c r="N356" s="1">
        <v>0.64361278935185184</v>
      </c>
      <c r="O356" s="1">
        <f>Table2579[[#This Row],[Time]]-TIME(0,0,10)</f>
        <v>0.64349704861111112</v>
      </c>
      <c r="P356" t="s">
        <v>9</v>
      </c>
      <c r="Q356">
        <v>-115</v>
      </c>
      <c r="R356">
        <f>Table2579[[#This Row],[RSSI]]</f>
        <v>-115</v>
      </c>
      <c r="S356">
        <v>-9.8000000000000007</v>
      </c>
    </row>
    <row r="357" spans="2:19" x14ac:dyDescent="0.25">
      <c r="B357">
        <f>160+2*(Table1468[[#This Row],[min value (corrected)]]-32)</f>
        <v>170</v>
      </c>
      <c r="C357">
        <f>MINUTE(Table1468[[#This Row],[Corrected time]])</f>
        <v>37</v>
      </c>
      <c r="D357" s="1">
        <v>0.65115399305555555</v>
      </c>
      <c r="E357" s="1">
        <f>Table1468[[#This Row],[Time]]-TIME(0,0,11)</f>
        <v>0.65102667824074079</v>
      </c>
      <c r="F357" t="s">
        <v>9</v>
      </c>
      <c r="G357" t="s">
        <v>39</v>
      </c>
      <c r="H357">
        <f t="shared" si="35"/>
        <v>-114</v>
      </c>
      <c r="I357">
        <v>-8.8000000000000007</v>
      </c>
      <c r="L357">
        <f>160+2*(Table2579[[#This Row],[min value (corrected)]]-23)</f>
        <v>166</v>
      </c>
      <c r="M357">
        <f>MINUTE(Table2579[[#This Row],[Corrected time]])</f>
        <v>26</v>
      </c>
      <c r="N357" s="1">
        <v>0.64362497685185183</v>
      </c>
      <c r="O357" s="1">
        <f>Table2579[[#This Row],[Time]]-TIME(0,0,10)</f>
        <v>0.6435092361111111</v>
      </c>
      <c r="P357" t="s">
        <v>9</v>
      </c>
      <c r="Q357">
        <v>-113</v>
      </c>
      <c r="R357">
        <f>Table2579[[#This Row],[RSSI]]</f>
        <v>-113</v>
      </c>
      <c r="S357">
        <v>-7.7</v>
      </c>
    </row>
    <row r="358" spans="2:19" x14ac:dyDescent="0.25">
      <c r="B358">
        <f>160+2*(Table1468[[#This Row],[min value (corrected)]]-32)</f>
        <v>170</v>
      </c>
      <c r="C358">
        <f>MINUTE(Table1468[[#This Row],[Corrected time]])</f>
        <v>37</v>
      </c>
      <c r="D358" s="1">
        <v>0.6511661689814815</v>
      </c>
      <c r="E358" s="1">
        <f>Table1468[[#This Row],[Time]]-TIME(0,0,11)</f>
        <v>0.65103885416666674</v>
      </c>
      <c r="F358" t="s">
        <v>9</v>
      </c>
      <c r="G358" t="s">
        <v>39</v>
      </c>
      <c r="H358">
        <f t="shared" si="35"/>
        <v>-114</v>
      </c>
      <c r="I358">
        <v>-8.3000000000000007</v>
      </c>
      <c r="L358">
        <f>160+2*(Table2579[[#This Row],[min value (corrected)]]-23)</f>
        <v>166</v>
      </c>
      <c r="M358">
        <f>MINUTE(Table2579[[#This Row],[Corrected time]])</f>
        <v>26</v>
      </c>
      <c r="N358" s="1">
        <v>0.64363716435185181</v>
      </c>
      <c r="O358" s="1">
        <f>Table2579[[#This Row],[Time]]-TIME(0,0,10)</f>
        <v>0.64352142361111109</v>
      </c>
      <c r="P358" t="s">
        <v>9</v>
      </c>
      <c r="Q358">
        <v>-114</v>
      </c>
      <c r="R358">
        <f>Table2579[[#This Row],[RSSI]]</f>
        <v>-114</v>
      </c>
      <c r="S358">
        <v>-8.8000000000000007</v>
      </c>
    </row>
    <row r="359" spans="2:19" x14ac:dyDescent="0.25">
      <c r="B359">
        <f>160+2*(Table1468[[#This Row],[min value (corrected)]]-32)</f>
        <v>170</v>
      </c>
      <c r="C359">
        <f>MINUTE(Table1468[[#This Row],[Corrected time]])</f>
        <v>37</v>
      </c>
      <c r="D359" s="1">
        <v>0.65117836805555562</v>
      </c>
      <c r="E359" s="1">
        <f>Table1468[[#This Row],[Time]]-TIME(0,0,11)</f>
        <v>0.65105105324074086</v>
      </c>
      <c r="F359" t="s">
        <v>9</v>
      </c>
      <c r="G359" t="s">
        <v>39</v>
      </c>
      <c r="H359">
        <f t="shared" si="35"/>
        <v>-114</v>
      </c>
      <c r="I359">
        <v>-9</v>
      </c>
      <c r="L359">
        <f>160+2*(Table2579[[#This Row],[min value (corrected)]]-23)</f>
        <v>166</v>
      </c>
      <c r="M359">
        <f>MINUTE(Table2579[[#This Row],[Corrected time]])</f>
        <v>26</v>
      </c>
      <c r="N359" s="1">
        <v>0.64364935185185179</v>
      </c>
      <c r="O359" s="1">
        <f>Table2579[[#This Row],[Time]]-TIME(0,0,10)</f>
        <v>0.64353361111111107</v>
      </c>
      <c r="P359" t="s">
        <v>13</v>
      </c>
      <c r="Q359">
        <f>Q358</f>
        <v>-114</v>
      </c>
      <c r="R359">
        <f>Table2579[[#This Row],[RSSI]]</f>
        <v>-114</v>
      </c>
      <c r="S359">
        <f>S358</f>
        <v>-8.8000000000000007</v>
      </c>
    </row>
    <row r="360" spans="2:19" x14ac:dyDescent="0.25">
      <c r="B360">
        <f>160+2*(Table1468[[#This Row],[min value (corrected)]]-32)</f>
        <v>170</v>
      </c>
      <c r="C360">
        <f>MINUTE(Table1468[[#This Row],[Corrected time]])</f>
        <v>37</v>
      </c>
      <c r="D360" s="1">
        <v>0.65119055555555561</v>
      </c>
      <c r="E360" s="1">
        <f>Table1468[[#This Row],[Time]]-TIME(0,0,11)</f>
        <v>0.65106324074074085</v>
      </c>
      <c r="F360" t="s">
        <v>9</v>
      </c>
      <c r="G360" t="s">
        <v>39</v>
      </c>
      <c r="H360">
        <f t="shared" si="35"/>
        <v>-114</v>
      </c>
      <c r="I360">
        <v>-8.8000000000000007</v>
      </c>
      <c r="L360">
        <f>160+2*(Table2579[[#This Row],[min value (corrected)]]-23)</f>
        <v>166</v>
      </c>
      <c r="M360">
        <f>MINUTE(Table2579[[#This Row],[Corrected time]])</f>
        <v>26</v>
      </c>
      <c r="N360" s="1">
        <v>0.64366155092592592</v>
      </c>
      <c r="O360" s="1">
        <f>Table2579[[#This Row],[Time]]-TIME(0,0,10)</f>
        <v>0.6435458101851852</v>
      </c>
      <c r="P360" t="s">
        <v>9</v>
      </c>
      <c r="Q360">
        <v>-114</v>
      </c>
      <c r="R360">
        <f>Table2579[[#This Row],[RSSI]]</f>
        <v>-114</v>
      </c>
      <c r="S360">
        <v>-9.3000000000000007</v>
      </c>
    </row>
    <row r="361" spans="2:19" x14ac:dyDescent="0.25">
      <c r="B361">
        <f>160+2*(Table1468[[#This Row],[min value (corrected)]]-32)</f>
        <v>170</v>
      </c>
      <c r="C361">
        <f>MINUTE(Table1468[[#This Row],[Corrected time]])</f>
        <v>37</v>
      </c>
      <c r="D361" s="1">
        <v>0.65120274305555559</v>
      </c>
      <c r="E361" s="1">
        <f>Table1468[[#This Row],[Time]]-TIME(0,0,11)</f>
        <v>0.65107542824074083</v>
      </c>
      <c r="F361" t="s">
        <v>9</v>
      </c>
      <c r="G361" t="s">
        <v>39</v>
      </c>
      <c r="H361">
        <f t="shared" si="35"/>
        <v>-114</v>
      </c>
      <c r="I361">
        <v>-8.3000000000000007</v>
      </c>
      <c r="L361">
        <f>160+2*(Table2579[[#This Row],[min value (corrected)]]-23)</f>
        <v>166</v>
      </c>
      <c r="M361">
        <f>MINUTE(Table2579[[#This Row],[Corrected time]])</f>
        <v>26</v>
      </c>
      <c r="N361" s="1">
        <v>0.64367372685185187</v>
      </c>
      <c r="O361" s="1">
        <f>Table2579[[#This Row],[Time]]-TIME(0,0,10)</f>
        <v>0.64355798611111115</v>
      </c>
      <c r="P361" t="s">
        <v>13</v>
      </c>
      <c r="Q361">
        <f>Q360</f>
        <v>-114</v>
      </c>
      <c r="R361">
        <f>Table2579[[#This Row],[RSSI]]</f>
        <v>-114</v>
      </c>
      <c r="S361">
        <f>S360</f>
        <v>-9.3000000000000007</v>
      </c>
    </row>
    <row r="362" spans="2:19" x14ac:dyDescent="0.25">
      <c r="B362">
        <f>160+2*(Table1468[[#This Row],[min value (corrected)]]-32)</f>
        <v>170</v>
      </c>
      <c r="C362">
        <f>MINUTE(Table1468[[#This Row],[Corrected time]])</f>
        <v>37</v>
      </c>
      <c r="D362" s="1">
        <v>0.65121493055555557</v>
      </c>
      <c r="E362" s="1">
        <f>Table1468[[#This Row],[Time]]-TIME(0,0,11)</f>
        <v>0.65108761574074081</v>
      </c>
      <c r="F362" t="s">
        <v>9</v>
      </c>
      <c r="G362" t="s">
        <v>37</v>
      </c>
      <c r="H362">
        <f t="shared" si="35"/>
        <v>-113</v>
      </c>
      <c r="I362">
        <v>-7.7</v>
      </c>
      <c r="L362">
        <f>160+2*(Table2579[[#This Row],[min value (corrected)]]-23)</f>
        <v>166</v>
      </c>
      <c r="M362">
        <f>MINUTE(Table2579[[#This Row],[Corrected time]])</f>
        <v>26</v>
      </c>
      <c r="N362" s="1">
        <v>0.64368591435185185</v>
      </c>
      <c r="O362" s="1">
        <f>Table2579[[#This Row],[Time]]-TIME(0,0,10)</f>
        <v>0.64357017361111113</v>
      </c>
      <c r="P362" t="s">
        <v>9</v>
      </c>
      <c r="Q362">
        <v>-114</v>
      </c>
      <c r="R362">
        <f>Table2579[[#This Row],[RSSI]]</f>
        <v>-114</v>
      </c>
      <c r="S362">
        <v>-9.3000000000000007</v>
      </c>
    </row>
    <row r="363" spans="2:19" x14ac:dyDescent="0.25">
      <c r="B363">
        <f>160+2*(Table1468[[#This Row],[min value (corrected)]]-32)</f>
        <v>170</v>
      </c>
      <c r="C363">
        <f>MINUTE(Table1468[[#This Row],[Corrected time]])</f>
        <v>37</v>
      </c>
      <c r="D363" s="1">
        <v>0.65122711805555555</v>
      </c>
      <c r="E363" s="1">
        <f>Table1468[[#This Row],[Time]]-TIME(0,0,11)</f>
        <v>0.65109980324074079</v>
      </c>
      <c r="F363" t="s">
        <v>27</v>
      </c>
      <c r="G363" t="str">
        <f>G362</f>
        <v>-113.0,</v>
      </c>
      <c r="H363">
        <f t="shared" si="35"/>
        <v>-113</v>
      </c>
      <c r="I363">
        <f>I362</f>
        <v>-7.7</v>
      </c>
      <c r="L363">
        <f>160+2*(Table2579[[#This Row],[min value (corrected)]]-23)</f>
        <v>166</v>
      </c>
      <c r="M363">
        <f>MINUTE(Table2579[[#This Row],[Corrected time]])</f>
        <v>26</v>
      </c>
      <c r="N363" s="1">
        <v>0.64369811342592598</v>
      </c>
      <c r="O363" s="1">
        <f>Table2579[[#This Row],[Time]]-TIME(0,0,10)</f>
        <v>0.64358237268518526</v>
      </c>
      <c r="P363" t="s">
        <v>9</v>
      </c>
      <c r="Q363">
        <v>-113</v>
      </c>
      <c r="R363">
        <f>Table2579[[#This Row],[RSSI]]</f>
        <v>-113</v>
      </c>
      <c r="S363">
        <v>-8.8000000000000007</v>
      </c>
    </row>
    <row r="364" spans="2:19" x14ac:dyDescent="0.25">
      <c r="B364">
        <f>160+2*(Table1468[[#This Row],[min value (corrected)]]-32)</f>
        <v>170</v>
      </c>
      <c r="C364">
        <f>MINUTE(Table1468[[#This Row],[Corrected time]])</f>
        <v>37</v>
      </c>
      <c r="D364" s="1">
        <v>0.65122711805555555</v>
      </c>
      <c r="E364" s="1">
        <f>Table1468[[#This Row],[Time]]-TIME(0,0,11)</f>
        <v>0.65109980324074079</v>
      </c>
      <c r="F364" t="s">
        <v>9</v>
      </c>
      <c r="G364" t="s">
        <v>37</v>
      </c>
      <c r="H364">
        <f t="shared" si="35"/>
        <v>-113</v>
      </c>
      <c r="I364">
        <v>-8.5</v>
      </c>
      <c r="L364">
        <f>160+2*(Table2579[[#This Row],[min value (corrected)]]-23)</f>
        <v>166</v>
      </c>
      <c r="M364">
        <f>MINUTE(Table2579[[#This Row],[Corrected time]])</f>
        <v>26</v>
      </c>
      <c r="N364" s="1">
        <v>0.64371028935185193</v>
      </c>
      <c r="O364" s="1">
        <f>Table2579[[#This Row],[Time]]-TIME(0,0,10)</f>
        <v>0.64359454861111121</v>
      </c>
      <c r="P364" t="s">
        <v>9</v>
      </c>
      <c r="Q364">
        <v>-114</v>
      </c>
      <c r="R364">
        <f>Table2579[[#This Row],[RSSI]]</f>
        <v>-114</v>
      </c>
      <c r="S364">
        <v>-9</v>
      </c>
    </row>
    <row r="365" spans="2:19" x14ac:dyDescent="0.25">
      <c r="B365">
        <f>160+2*(Table1468[[#This Row],[min value (corrected)]]-32)</f>
        <v>170</v>
      </c>
      <c r="C365">
        <f>MINUTE(Table1468[[#This Row],[Corrected time]])</f>
        <v>37</v>
      </c>
      <c r="D365" s="1">
        <v>0.65125149305555552</v>
      </c>
      <c r="E365" s="1">
        <f>Table1468[[#This Row],[Time]]-TIME(0,0,11)</f>
        <v>0.65112417824074076</v>
      </c>
      <c r="F365" t="s">
        <v>9</v>
      </c>
      <c r="G365" t="s">
        <v>37</v>
      </c>
      <c r="H365">
        <f t="shared" si="35"/>
        <v>-113</v>
      </c>
      <c r="I365">
        <v>-7.7</v>
      </c>
      <c r="L365">
        <f>160+2*(Table2579[[#This Row],[min value (corrected)]]-23)</f>
        <v>166</v>
      </c>
      <c r="M365">
        <f>MINUTE(Table2579[[#This Row],[Corrected time]])</f>
        <v>26</v>
      </c>
      <c r="N365" s="1">
        <v>0.64372246527777777</v>
      </c>
      <c r="O365" s="1">
        <f>Table2579[[#This Row],[Time]]-TIME(0,0,10)</f>
        <v>0.64360672453703704</v>
      </c>
      <c r="P365" t="s">
        <v>13</v>
      </c>
      <c r="Q365">
        <f>Q364</f>
        <v>-114</v>
      </c>
      <c r="R365">
        <f>Table2579[[#This Row],[RSSI]]</f>
        <v>-114</v>
      </c>
      <c r="S365">
        <f>S364</f>
        <v>-9</v>
      </c>
    </row>
    <row r="366" spans="2:19" x14ac:dyDescent="0.25">
      <c r="B366">
        <f>160+2*(Table1468[[#This Row],[min value (corrected)]]-32)</f>
        <v>170</v>
      </c>
      <c r="C366">
        <f>MINUTE(Table1468[[#This Row],[Corrected time]])</f>
        <v>37</v>
      </c>
      <c r="D366" s="1">
        <v>0.65126368055555561</v>
      </c>
      <c r="E366" s="1">
        <f>Table1468[[#This Row],[Time]]-TIME(0,0,11)</f>
        <v>0.65113636574074085</v>
      </c>
      <c r="F366" t="s">
        <v>13</v>
      </c>
      <c r="G366" t="str">
        <f t="shared" ref="G366:G369" si="38">G365</f>
        <v>-113.0,</v>
      </c>
      <c r="H366">
        <f t="shared" si="35"/>
        <v>-113</v>
      </c>
      <c r="I366">
        <f t="shared" ref="I366:I369" si="39">I365</f>
        <v>-7.7</v>
      </c>
      <c r="L366">
        <f>160+2*(Table2579[[#This Row],[min value (corrected)]]-23)</f>
        <v>166</v>
      </c>
      <c r="M366">
        <f>MINUTE(Table2579[[#This Row],[Corrected time]])</f>
        <v>26</v>
      </c>
      <c r="N366" s="1">
        <v>0.64373466435185189</v>
      </c>
      <c r="O366" s="1">
        <f>Table2579[[#This Row],[Time]]-TIME(0,0,10)</f>
        <v>0.64361892361111117</v>
      </c>
      <c r="P366" t="s">
        <v>9</v>
      </c>
      <c r="Q366">
        <v>-114</v>
      </c>
      <c r="R366">
        <f>Table2579[[#This Row],[RSSI]]</f>
        <v>-114</v>
      </c>
      <c r="S366">
        <v>-9.3000000000000007</v>
      </c>
    </row>
    <row r="367" spans="2:19" x14ac:dyDescent="0.25">
      <c r="B367">
        <f>160+2*(Table1468[[#This Row],[min value (corrected)]]-32)</f>
        <v>170</v>
      </c>
      <c r="C367">
        <f>MINUTE(Table1468[[#This Row],[Corrected time]])</f>
        <v>37</v>
      </c>
      <c r="D367" s="1">
        <v>0.6512758680555556</v>
      </c>
      <c r="E367" s="1">
        <f>Table1468[[#This Row],[Time]]-TIME(0,0,11)</f>
        <v>0.65114855324074083</v>
      </c>
      <c r="F367" t="s">
        <v>13</v>
      </c>
      <c r="G367" t="str">
        <f t="shared" si="38"/>
        <v>-113.0,</v>
      </c>
      <c r="H367">
        <f t="shared" si="35"/>
        <v>-113</v>
      </c>
      <c r="I367">
        <f t="shared" si="39"/>
        <v>-7.7</v>
      </c>
      <c r="L367">
        <f>160+2*(Table2579[[#This Row],[min value (corrected)]]-23)</f>
        <v>166</v>
      </c>
      <c r="M367">
        <f>MINUTE(Table2579[[#This Row],[Corrected time]])</f>
        <v>26</v>
      </c>
      <c r="N367" s="1">
        <v>0.64374686342592591</v>
      </c>
      <c r="O367" s="1">
        <f>Table2579[[#This Row],[Time]]-TIME(0,0,10)</f>
        <v>0.64363112268518519</v>
      </c>
      <c r="P367" t="s">
        <v>13</v>
      </c>
      <c r="Q367">
        <f>Q366</f>
        <v>-114</v>
      </c>
      <c r="R367">
        <f>Table2579[[#This Row],[RSSI]]</f>
        <v>-114</v>
      </c>
      <c r="S367">
        <f>S366</f>
        <v>-9.3000000000000007</v>
      </c>
    </row>
    <row r="368" spans="2:19" x14ac:dyDescent="0.25">
      <c r="B368">
        <f>160+2*(Table1468[[#This Row],[min value (corrected)]]-32)</f>
        <v>170</v>
      </c>
      <c r="C368">
        <f>MINUTE(Table1468[[#This Row],[Corrected time]])</f>
        <v>37</v>
      </c>
      <c r="D368" s="1">
        <v>0.65128805555555558</v>
      </c>
      <c r="E368" s="1">
        <f>Table1468[[#This Row],[Time]]-TIME(0,0,11)</f>
        <v>0.65116074074074082</v>
      </c>
      <c r="F368" t="s">
        <v>13</v>
      </c>
      <c r="G368" t="str">
        <f t="shared" si="38"/>
        <v>-113.0,</v>
      </c>
      <c r="H368">
        <f t="shared" si="35"/>
        <v>-113</v>
      </c>
      <c r="I368">
        <f t="shared" si="39"/>
        <v>-7.7</v>
      </c>
      <c r="L368">
        <f>160+2*(Table2579[[#This Row],[min value (corrected)]]-23)</f>
        <v>166</v>
      </c>
      <c r="M368">
        <f>MINUTE(Table2579[[#This Row],[Corrected time]])</f>
        <v>26</v>
      </c>
      <c r="N368" s="1">
        <v>0.64375903935185186</v>
      </c>
      <c r="O368" s="1">
        <f>Table2579[[#This Row],[Time]]-TIME(0,0,10)</f>
        <v>0.64364329861111114</v>
      </c>
      <c r="P368" t="s">
        <v>9</v>
      </c>
      <c r="Q368">
        <v>-113</v>
      </c>
      <c r="R368">
        <f>Table2579[[#This Row],[RSSI]]</f>
        <v>-113</v>
      </c>
      <c r="S368">
        <v>-8.3000000000000007</v>
      </c>
    </row>
    <row r="369" spans="2:19" x14ac:dyDescent="0.25">
      <c r="B369">
        <f>160+2*(Table1468[[#This Row],[min value (corrected)]]-32)</f>
        <v>170</v>
      </c>
      <c r="C369">
        <f>MINUTE(Table1468[[#This Row],[Corrected time]])</f>
        <v>37</v>
      </c>
      <c r="D369" s="1">
        <v>0.65130024305555556</v>
      </c>
      <c r="E369" s="1">
        <f>Table1468[[#This Row],[Time]]-TIME(0,0,11)</f>
        <v>0.6511729282407408</v>
      </c>
      <c r="F369" t="s">
        <v>13</v>
      </c>
      <c r="G369" t="str">
        <f t="shared" si="38"/>
        <v>-113.0,</v>
      </c>
      <c r="H369">
        <f t="shared" si="35"/>
        <v>-113</v>
      </c>
      <c r="I369">
        <f t="shared" si="39"/>
        <v>-7.7</v>
      </c>
      <c r="L369">
        <f>160+2*(Table2579[[#This Row],[min value (corrected)]]-23)</f>
        <v>166</v>
      </c>
      <c r="M369">
        <f>MINUTE(Table2579[[#This Row],[Corrected time]])</f>
        <v>26</v>
      </c>
      <c r="N369" s="1">
        <v>0.64377122685185184</v>
      </c>
      <c r="O369" s="1">
        <f>Table2579[[#This Row],[Time]]-TIME(0,0,10)</f>
        <v>0.64365548611111112</v>
      </c>
      <c r="P369" t="s">
        <v>9</v>
      </c>
      <c r="Q369">
        <v>-114</v>
      </c>
      <c r="R369">
        <f>Table2579[[#This Row],[RSSI]]</f>
        <v>-114</v>
      </c>
      <c r="S369">
        <v>-8.5</v>
      </c>
    </row>
    <row r="370" spans="2:19" x14ac:dyDescent="0.25">
      <c r="B370">
        <f>160+2*(Table1468[[#This Row],[min value (corrected)]]-32)</f>
        <v>170</v>
      </c>
      <c r="C370">
        <f>MINUTE(Table1468[[#This Row],[Corrected time]])</f>
        <v>37</v>
      </c>
      <c r="D370" s="1">
        <v>0.65131243055555554</v>
      </c>
      <c r="E370" s="1">
        <f>Table1468[[#This Row],[Time]]-TIME(0,0,11)</f>
        <v>0.65118511574074078</v>
      </c>
      <c r="F370" t="s">
        <v>9</v>
      </c>
      <c r="G370" t="s">
        <v>39</v>
      </c>
      <c r="H370">
        <f t="shared" si="35"/>
        <v>-114</v>
      </c>
      <c r="I370">
        <v>-9.5</v>
      </c>
      <c r="L370">
        <f>160+2*(Table2579[[#This Row],[min value (corrected)]]-23)</f>
        <v>166</v>
      </c>
      <c r="M370">
        <f>MINUTE(Table2579[[#This Row],[Corrected time]])</f>
        <v>26</v>
      </c>
      <c r="N370" s="1">
        <v>0.64378341435185193</v>
      </c>
      <c r="O370" s="1">
        <f>Table2579[[#This Row],[Time]]-TIME(0,0,10)</f>
        <v>0.64366767361111121</v>
      </c>
      <c r="P370" t="s">
        <v>13</v>
      </c>
      <c r="Q370">
        <f t="shared" ref="Q370:Q371" si="40">Q369</f>
        <v>-114</v>
      </c>
      <c r="R370">
        <f>Table2579[[#This Row],[RSSI]]</f>
        <v>-114</v>
      </c>
      <c r="S370">
        <f t="shared" ref="S370:S371" si="41">S369</f>
        <v>-8.5</v>
      </c>
    </row>
    <row r="371" spans="2:19" x14ac:dyDescent="0.25">
      <c r="B371">
        <f>160+2*(Table1468[[#This Row],[min value (corrected)]]-32)</f>
        <v>170</v>
      </c>
      <c r="C371">
        <f>MINUTE(Table1468[[#This Row],[Corrected time]])</f>
        <v>37</v>
      </c>
      <c r="D371" s="1">
        <v>0.65132461805555553</v>
      </c>
      <c r="E371" s="1">
        <f>Table1468[[#This Row],[Time]]-TIME(0,0,11)</f>
        <v>0.65119730324074077</v>
      </c>
      <c r="F371" t="s">
        <v>13</v>
      </c>
      <c r="G371" t="str">
        <f t="shared" ref="G371:G372" si="42">G370</f>
        <v>-114.0,</v>
      </c>
      <c r="H371">
        <f t="shared" si="35"/>
        <v>-114</v>
      </c>
      <c r="I371">
        <f t="shared" ref="I371:I372" si="43">I370</f>
        <v>-9.5</v>
      </c>
      <c r="L371">
        <f>160+2*(Table2579[[#This Row],[min value (corrected)]]-23)</f>
        <v>166</v>
      </c>
      <c r="M371">
        <f>MINUTE(Table2579[[#This Row],[Corrected time]])</f>
        <v>26</v>
      </c>
      <c r="N371" s="1">
        <v>0.64379560185185192</v>
      </c>
      <c r="O371" s="1">
        <f>Table2579[[#This Row],[Time]]-TIME(0,0,10)</f>
        <v>0.6436798611111112</v>
      </c>
      <c r="P371" t="s">
        <v>13</v>
      </c>
      <c r="Q371">
        <f t="shared" si="40"/>
        <v>-114</v>
      </c>
      <c r="R371">
        <f>Table2579[[#This Row],[RSSI]]</f>
        <v>-114</v>
      </c>
      <c r="S371">
        <f t="shared" si="41"/>
        <v>-8.5</v>
      </c>
    </row>
    <row r="372" spans="2:19" x14ac:dyDescent="0.25">
      <c r="B372">
        <f>160+2*(Table1468[[#This Row],[min value (corrected)]]-32)</f>
        <v>170</v>
      </c>
      <c r="C372">
        <f>MINUTE(Table1468[[#This Row],[Corrected time]])</f>
        <v>37</v>
      </c>
      <c r="D372" s="1">
        <v>0.65133680555555551</v>
      </c>
      <c r="E372" s="1">
        <f>Table1468[[#This Row],[Time]]-TIME(0,0,11)</f>
        <v>0.65120949074074075</v>
      </c>
      <c r="F372" t="s">
        <v>13</v>
      </c>
      <c r="G372" t="str">
        <f t="shared" si="42"/>
        <v>-114.0,</v>
      </c>
      <c r="H372">
        <f t="shared" si="35"/>
        <v>-114</v>
      </c>
      <c r="I372">
        <f t="shared" si="43"/>
        <v>-9.5</v>
      </c>
      <c r="L372">
        <f>160+2*(Table2579[[#This Row],[min value (corrected)]]-23)</f>
        <v>166</v>
      </c>
      <c r="M372">
        <f>MINUTE(Table2579[[#This Row],[Corrected time]])</f>
        <v>26</v>
      </c>
      <c r="N372" s="1">
        <v>0.64380780092592593</v>
      </c>
      <c r="O372" s="1">
        <f>Table2579[[#This Row],[Time]]-TIME(0,0,10)</f>
        <v>0.64369206018518521</v>
      </c>
      <c r="P372" t="s">
        <v>9</v>
      </c>
      <c r="Q372">
        <v>-114</v>
      </c>
      <c r="R372">
        <f>Table2579[[#This Row],[RSSI]]</f>
        <v>-114</v>
      </c>
      <c r="S372">
        <v>-8.5</v>
      </c>
    </row>
    <row r="373" spans="2:19" x14ac:dyDescent="0.25">
      <c r="B373">
        <f>160+2*(Table1468[[#This Row],[min value (corrected)]]-32)</f>
        <v>170</v>
      </c>
      <c r="C373">
        <f>MINUTE(Table1468[[#This Row],[Corrected time]])</f>
        <v>37</v>
      </c>
      <c r="D373" s="1">
        <v>0.6513489930555556</v>
      </c>
      <c r="E373" s="1">
        <f>Table1468[[#This Row],[Time]]-TIME(0,0,11)</f>
        <v>0.65122167824074084</v>
      </c>
      <c r="F373" t="s">
        <v>9</v>
      </c>
      <c r="G373" t="s">
        <v>41</v>
      </c>
      <c r="H373">
        <f t="shared" si="35"/>
        <v>-111</v>
      </c>
      <c r="I373">
        <v>-9</v>
      </c>
      <c r="L373">
        <f>160+2*(Table2579[[#This Row],[min value (corrected)]]-23)</f>
        <v>166</v>
      </c>
      <c r="M373">
        <f>MINUTE(Table2579[[#This Row],[Corrected time]])</f>
        <v>26</v>
      </c>
      <c r="N373" s="1">
        <v>0.64381997685185188</v>
      </c>
      <c r="O373" s="1">
        <f>Table2579[[#This Row],[Time]]-TIME(0,0,10)</f>
        <v>0.64370423611111116</v>
      </c>
      <c r="P373" t="s">
        <v>9</v>
      </c>
      <c r="Q373">
        <v>-114</v>
      </c>
      <c r="R373">
        <f>Table2579[[#This Row],[RSSI]]</f>
        <v>-114</v>
      </c>
      <c r="S373">
        <v>-9</v>
      </c>
    </row>
    <row r="374" spans="2:19" x14ac:dyDescent="0.25">
      <c r="B374">
        <f>160+2*(Table1468[[#This Row],[min value (corrected)]]-32)</f>
        <v>170</v>
      </c>
      <c r="C374">
        <f>MINUTE(Table1468[[#This Row],[Corrected time]])</f>
        <v>37</v>
      </c>
      <c r="D374" s="1">
        <v>0.65136118055555559</v>
      </c>
      <c r="E374" s="1">
        <f>Table1468[[#This Row],[Time]]-TIME(0,0,11)</f>
        <v>0.65123386574074082</v>
      </c>
      <c r="F374" t="s">
        <v>13</v>
      </c>
      <c r="G374" t="str">
        <f>G373</f>
        <v>-111.0,</v>
      </c>
      <c r="H374">
        <f t="shared" si="35"/>
        <v>-111</v>
      </c>
      <c r="I374">
        <f>I373</f>
        <v>-9</v>
      </c>
      <c r="L374">
        <f>160+2*(Table2579[[#This Row],[min value (corrected)]]-23)</f>
        <v>166</v>
      </c>
      <c r="M374">
        <f>MINUTE(Table2579[[#This Row],[Corrected time]])</f>
        <v>26</v>
      </c>
      <c r="N374" s="1">
        <v>0.64383216435185187</v>
      </c>
      <c r="O374" s="1">
        <f>Table2579[[#This Row],[Time]]-TIME(0,0,10)</f>
        <v>0.64371642361111114</v>
      </c>
      <c r="P374" t="s">
        <v>13</v>
      </c>
      <c r="Q374">
        <f>Q373</f>
        <v>-114</v>
      </c>
      <c r="R374">
        <f>Table2579[[#This Row],[RSSI]]</f>
        <v>-114</v>
      </c>
      <c r="S374">
        <f>S373</f>
        <v>-9</v>
      </c>
    </row>
    <row r="375" spans="2:19" x14ac:dyDescent="0.25">
      <c r="B375">
        <f>160+2*(Table1468[[#This Row],[min value (corrected)]]-32)</f>
        <v>170</v>
      </c>
      <c r="C375">
        <f>MINUTE(Table1468[[#This Row],[Corrected time]])</f>
        <v>37</v>
      </c>
      <c r="D375" s="1">
        <v>0.65137336805555557</v>
      </c>
      <c r="E375" s="1">
        <f>Table1468[[#This Row],[Time]]-TIME(0,0,11)</f>
        <v>0.65124605324074081</v>
      </c>
      <c r="F375" t="s">
        <v>9</v>
      </c>
      <c r="G375" t="s">
        <v>37</v>
      </c>
      <c r="H375">
        <f t="shared" si="35"/>
        <v>-113</v>
      </c>
      <c r="I375">
        <v>-8</v>
      </c>
      <c r="L375">
        <f>160+2*(Table2579[[#This Row],[min value (corrected)]]-23)</f>
        <v>166</v>
      </c>
      <c r="M375">
        <f>MINUTE(Table2579[[#This Row],[Corrected time]])</f>
        <v>26</v>
      </c>
      <c r="N375" s="1">
        <v>0.64384435185185185</v>
      </c>
      <c r="O375" s="1">
        <f>Table2579[[#This Row],[Time]]-TIME(0,0,10)</f>
        <v>0.64372861111111113</v>
      </c>
      <c r="P375" t="s">
        <v>9</v>
      </c>
      <c r="Q375">
        <v>-114</v>
      </c>
      <c r="R375">
        <f>Table2579[[#This Row],[RSSI]]</f>
        <v>-114</v>
      </c>
      <c r="S375">
        <v>-8</v>
      </c>
    </row>
    <row r="376" spans="2:19" x14ac:dyDescent="0.25">
      <c r="B376">
        <f>160+2*(Table1468[[#This Row],[min value (corrected)]]-32)</f>
        <v>170</v>
      </c>
      <c r="C376">
        <f>MINUTE(Table1468[[#This Row],[Corrected time]])</f>
        <v>37</v>
      </c>
      <c r="D376" s="1">
        <v>0.65138555555555555</v>
      </c>
      <c r="E376" s="1">
        <f>Table1468[[#This Row],[Time]]-TIME(0,0,11)</f>
        <v>0.65125824074074079</v>
      </c>
      <c r="F376" t="s">
        <v>9</v>
      </c>
      <c r="G376" t="s">
        <v>37</v>
      </c>
      <c r="H376">
        <f t="shared" si="35"/>
        <v>-113</v>
      </c>
      <c r="I376">
        <v>-8.3000000000000007</v>
      </c>
      <c r="L376">
        <f>160+2*(Table2579[[#This Row],[min value (corrected)]]-23)</f>
        <v>166</v>
      </c>
      <c r="M376">
        <f>MINUTE(Table2579[[#This Row],[Corrected time]])</f>
        <v>26</v>
      </c>
      <c r="N376" s="1">
        <v>0.64385653935185183</v>
      </c>
      <c r="O376" s="1">
        <f>Table2579[[#This Row],[Time]]-TIME(0,0,10)</f>
        <v>0.64374079861111111</v>
      </c>
      <c r="P376" t="s">
        <v>9</v>
      </c>
      <c r="Q376">
        <v>-113</v>
      </c>
      <c r="R376">
        <f>Table2579[[#This Row],[RSSI]]</f>
        <v>-113</v>
      </c>
      <c r="S376">
        <v>-8.3000000000000007</v>
      </c>
    </row>
    <row r="377" spans="2:19" x14ac:dyDescent="0.25">
      <c r="B377">
        <f>160+2*(Table1468[[#This Row],[min value (corrected)]]-32)</f>
        <v>170</v>
      </c>
      <c r="C377">
        <f>MINUTE(Table1468[[#This Row],[Corrected time]])</f>
        <v>37</v>
      </c>
      <c r="D377" s="1">
        <v>0.65139774305555553</v>
      </c>
      <c r="E377" s="1">
        <f>Table1468[[#This Row],[Time]]-TIME(0,0,11)</f>
        <v>0.65127042824074077</v>
      </c>
      <c r="F377" t="s">
        <v>9</v>
      </c>
      <c r="G377" t="s">
        <v>39</v>
      </c>
      <c r="H377">
        <f t="shared" si="35"/>
        <v>-114</v>
      </c>
      <c r="I377">
        <v>-8.8000000000000007</v>
      </c>
      <c r="L377">
        <f>160+2*(Table2579[[#This Row],[min value (corrected)]]-23)</f>
        <v>168</v>
      </c>
      <c r="M377">
        <f>MINUTE(Table2579[[#This Row],[Corrected time]])</f>
        <v>27</v>
      </c>
      <c r="N377" s="1">
        <v>0.64386872685185192</v>
      </c>
      <c r="O377" s="1">
        <f>Table2579[[#This Row],[Time]]-TIME(0,0,10)</f>
        <v>0.6437529861111112</v>
      </c>
      <c r="P377" t="s">
        <v>13</v>
      </c>
      <c r="Q377">
        <f>Q376</f>
        <v>-113</v>
      </c>
      <c r="R377">
        <f>Table2579[[#This Row],[RSSI]]</f>
        <v>-113</v>
      </c>
      <c r="S377">
        <f>S376</f>
        <v>-8.3000000000000007</v>
      </c>
    </row>
    <row r="378" spans="2:19" x14ac:dyDescent="0.25">
      <c r="B378">
        <f>160+2*(Table1468[[#This Row],[min value (corrected)]]-32)</f>
        <v>170</v>
      </c>
      <c r="C378">
        <f>MINUTE(Table1468[[#This Row],[Corrected time]])</f>
        <v>37</v>
      </c>
      <c r="D378" s="1">
        <v>0.65140993055555552</v>
      </c>
      <c r="E378" s="1">
        <f>Table1468[[#This Row],[Time]]-TIME(0,0,11)</f>
        <v>0.65128261574074076</v>
      </c>
      <c r="F378" t="s">
        <v>13</v>
      </c>
      <c r="G378" t="str">
        <f t="shared" ref="G378:G379" si="44">G377</f>
        <v>-114.0,</v>
      </c>
      <c r="H378">
        <f t="shared" si="35"/>
        <v>-114</v>
      </c>
      <c r="I378">
        <f t="shared" ref="I378:I379" si="45">I377</f>
        <v>-8.8000000000000007</v>
      </c>
      <c r="L378">
        <f>160+2*(Table2579[[#This Row],[min value (corrected)]]-23)</f>
        <v>168</v>
      </c>
      <c r="M378">
        <f>MINUTE(Table2579[[#This Row],[Corrected time]])</f>
        <v>27</v>
      </c>
      <c r="N378" s="1">
        <v>0.64388091435185191</v>
      </c>
      <c r="O378" s="1">
        <f>Table2579[[#This Row],[Time]]-TIME(0,0,10)</f>
        <v>0.64376517361111119</v>
      </c>
      <c r="P378" t="s">
        <v>9</v>
      </c>
      <c r="Q378">
        <v>-114</v>
      </c>
      <c r="R378">
        <f>Table2579[[#This Row],[RSSI]]</f>
        <v>-114</v>
      </c>
      <c r="S378">
        <v>-8.3000000000000007</v>
      </c>
    </row>
    <row r="379" spans="2:19" x14ac:dyDescent="0.25">
      <c r="B379">
        <f>160+2*(Table1468[[#This Row],[min value (corrected)]]-32)</f>
        <v>170</v>
      </c>
      <c r="C379">
        <f>MINUTE(Table1468[[#This Row],[Corrected time]])</f>
        <v>37</v>
      </c>
      <c r="D379" s="1">
        <v>0.65142210648148147</v>
      </c>
      <c r="E379" s="1">
        <f>Table1468[[#This Row],[Time]]-TIME(0,0,11)</f>
        <v>0.65129479166666671</v>
      </c>
      <c r="F379" t="s">
        <v>13</v>
      </c>
      <c r="G379" t="str">
        <f t="shared" si="44"/>
        <v>-114.0,</v>
      </c>
      <c r="H379">
        <f t="shared" si="35"/>
        <v>-114</v>
      </c>
      <c r="I379">
        <f t="shared" si="45"/>
        <v>-8.8000000000000007</v>
      </c>
      <c r="L379">
        <f>160+2*(Table2579[[#This Row],[min value (corrected)]]-23)</f>
        <v>168</v>
      </c>
      <c r="M379">
        <f>MINUTE(Table2579[[#This Row],[Corrected time]])</f>
        <v>27</v>
      </c>
      <c r="N379" s="1">
        <v>0.64389310185185189</v>
      </c>
      <c r="O379" s="1">
        <f>Table2579[[#This Row],[Time]]-TIME(0,0,10)</f>
        <v>0.64377736111111117</v>
      </c>
      <c r="P379" t="s">
        <v>9</v>
      </c>
      <c r="Q379">
        <v>-115</v>
      </c>
      <c r="R379">
        <f>Table2579[[#This Row],[RSSI]]</f>
        <v>-115</v>
      </c>
      <c r="S379">
        <v>-9</v>
      </c>
    </row>
    <row r="380" spans="2:19" x14ac:dyDescent="0.25">
      <c r="B380">
        <f>160+2*(Table1468[[#This Row],[min value (corrected)]]-32)</f>
        <v>170</v>
      </c>
      <c r="C380">
        <f>MINUTE(Table1468[[#This Row],[Corrected time]])</f>
        <v>37</v>
      </c>
      <c r="D380" s="1">
        <v>0.65143430555555559</v>
      </c>
      <c r="E380" s="1">
        <f>Table1468[[#This Row],[Time]]-TIME(0,0,11)</f>
        <v>0.65130699074074083</v>
      </c>
      <c r="F380" t="s">
        <v>9</v>
      </c>
      <c r="G380" t="s">
        <v>39</v>
      </c>
      <c r="H380">
        <f t="shared" si="35"/>
        <v>-114</v>
      </c>
      <c r="I380">
        <v>-8.8000000000000007</v>
      </c>
      <c r="L380">
        <f>160+2*(Table2579[[#This Row],[min value (corrected)]]-23)</f>
        <v>168</v>
      </c>
      <c r="M380">
        <f>MINUTE(Table2579[[#This Row],[Corrected time]])</f>
        <v>27</v>
      </c>
      <c r="N380" s="1">
        <v>0.64390528935185187</v>
      </c>
      <c r="O380" s="1">
        <f>Table2579[[#This Row],[Time]]-TIME(0,0,10)</f>
        <v>0.64378954861111115</v>
      </c>
      <c r="P380" t="s">
        <v>9</v>
      </c>
      <c r="Q380">
        <v>-113</v>
      </c>
      <c r="R380">
        <f>Table2579[[#This Row],[RSSI]]</f>
        <v>-113</v>
      </c>
      <c r="S380">
        <v>-8.8000000000000007</v>
      </c>
    </row>
    <row r="381" spans="2:19" x14ac:dyDescent="0.25">
      <c r="B381">
        <f>160+2*(Table1468[[#This Row],[min value (corrected)]]-32)</f>
        <v>170</v>
      </c>
      <c r="C381">
        <f>MINUTE(Table1468[[#This Row],[Corrected time]])</f>
        <v>37</v>
      </c>
      <c r="D381" s="1">
        <v>0.65144649305555558</v>
      </c>
      <c r="E381" s="1">
        <f>Table1468[[#This Row],[Time]]-TIME(0,0,11)</f>
        <v>0.65131917824074081</v>
      </c>
      <c r="F381" t="s">
        <v>9</v>
      </c>
      <c r="G381" t="s">
        <v>37</v>
      </c>
      <c r="H381">
        <f t="shared" si="35"/>
        <v>-113</v>
      </c>
      <c r="I381">
        <v>-7.5</v>
      </c>
      <c r="L381">
        <f>160+2*(Table2579[[#This Row],[min value (corrected)]]-23)</f>
        <v>168</v>
      </c>
      <c r="M381">
        <f>MINUTE(Table2579[[#This Row],[Corrected time]])</f>
        <v>27</v>
      </c>
      <c r="N381" s="1">
        <v>0.64391747685185186</v>
      </c>
      <c r="O381" s="1">
        <f>Table2579[[#This Row],[Time]]-TIME(0,0,10)</f>
        <v>0.64380173611111113</v>
      </c>
      <c r="P381" t="s">
        <v>9</v>
      </c>
      <c r="Q381">
        <v>-114</v>
      </c>
      <c r="R381">
        <f>Table2579[[#This Row],[RSSI]]</f>
        <v>-114</v>
      </c>
      <c r="S381">
        <v>-8</v>
      </c>
    </row>
    <row r="382" spans="2:19" x14ac:dyDescent="0.25">
      <c r="B382">
        <f>160+2*(Table1468[[#This Row],[min value (corrected)]]-32)</f>
        <v>170</v>
      </c>
      <c r="C382">
        <f>MINUTE(Table1468[[#This Row],[Corrected time]])</f>
        <v>37</v>
      </c>
      <c r="D382" s="1">
        <v>0.65145868055555556</v>
      </c>
      <c r="E382" s="1">
        <f>Table1468[[#This Row],[Time]]-TIME(0,0,11)</f>
        <v>0.6513313657407408</v>
      </c>
      <c r="F382" t="s">
        <v>9</v>
      </c>
      <c r="G382" t="s">
        <v>39</v>
      </c>
      <c r="H382">
        <f t="shared" si="35"/>
        <v>-114</v>
      </c>
      <c r="I382">
        <v>-8.3000000000000007</v>
      </c>
      <c r="L382">
        <f>160+2*(Table2579[[#This Row],[min value (corrected)]]-23)</f>
        <v>168</v>
      </c>
      <c r="M382">
        <f>MINUTE(Table2579[[#This Row],[Corrected time]])</f>
        <v>27</v>
      </c>
      <c r="N382" s="1">
        <v>0.64392966435185184</v>
      </c>
      <c r="O382" s="1">
        <f>Table2579[[#This Row],[Time]]-TIME(0,0,10)</f>
        <v>0.64381392361111112</v>
      </c>
      <c r="P382" t="s">
        <v>13</v>
      </c>
      <c r="Q382">
        <f>Q381</f>
        <v>-114</v>
      </c>
      <c r="R382">
        <f>Table2579[[#This Row],[RSSI]]</f>
        <v>-114</v>
      </c>
      <c r="S382">
        <f>S381</f>
        <v>-8</v>
      </c>
    </row>
    <row r="383" spans="2:19" x14ac:dyDescent="0.25">
      <c r="B383">
        <f>160+2*(Table1468[[#This Row],[min value (corrected)]]-32)</f>
        <v>170</v>
      </c>
      <c r="C383">
        <f>MINUTE(Table1468[[#This Row],[Corrected time]])</f>
        <v>37</v>
      </c>
      <c r="D383" s="1">
        <v>0.65147086805555554</v>
      </c>
      <c r="E383" s="1">
        <f>Table1468[[#This Row],[Time]]-TIME(0,0,11)</f>
        <v>0.65134355324074078</v>
      </c>
      <c r="F383" t="s">
        <v>9</v>
      </c>
      <c r="G383" t="s">
        <v>39</v>
      </c>
      <c r="H383">
        <f t="shared" si="35"/>
        <v>-114</v>
      </c>
      <c r="I383">
        <v>-9.3000000000000007</v>
      </c>
      <c r="L383">
        <f>160+2*(Table2579[[#This Row],[min value (corrected)]]-23)</f>
        <v>168</v>
      </c>
      <c r="M383">
        <f>MINUTE(Table2579[[#This Row],[Corrected time]])</f>
        <v>27</v>
      </c>
      <c r="N383" s="1">
        <v>0.64394185185185182</v>
      </c>
      <c r="O383" s="1">
        <f>Table2579[[#This Row],[Time]]-TIME(0,0,10)</f>
        <v>0.6438261111111111</v>
      </c>
      <c r="P383" t="s">
        <v>9</v>
      </c>
      <c r="Q383">
        <v>-114</v>
      </c>
      <c r="R383">
        <f>Table2579[[#This Row],[RSSI]]</f>
        <v>-114</v>
      </c>
      <c r="S383">
        <v>-8.5</v>
      </c>
    </row>
    <row r="384" spans="2:19" x14ac:dyDescent="0.25">
      <c r="B384">
        <f>160+2*(Table1468[[#This Row],[min value (corrected)]]-32)</f>
        <v>170</v>
      </c>
      <c r="C384">
        <f>MINUTE(Table1468[[#This Row],[Corrected time]])</f>
        <v>37</v>
      </c>
      <c r="D384" s="1">
        <v>0.65148305555555552</v>
      </c>
      <c r="E384" s="1">
        <f>Table1468[[#This Row],[Time]]-TIME(0,0,11)</f>
        <v>0.65135574074074076</v>
      </c>
      <c r="F384" t="s">
        <v>13</v>
      </c>
      <c r="G384" t="str">
        <f>G383</f>
        <v>-114.0,</v>
      </c>
      <c r="H384">
        <f t="shared" si="35"/>
        <v>-114</v>
      </c>
      <c r="I384">
        <f>I383</f>
        <v>-9.3000000000000007</v>
      </c>
      <c r="L384">
        <f>160+2*(Table2579[[#This Row],[min value (corrected)]]-23)</f>
        <v>168</v>
      </c>
      <c r="M384">
        <f>MINUTE(Table2579[[#This Row],[Corrected time]])</f>
        <v>27</v>
      </c>
      <c r="N384" s="1">
        <v>0.64395403935185191</v>
      </c>
      <c r="O384" s="1">
        <f>Table2579[[#This Row],[Time]]-TIME(0,0,10)</f>
        <v>0.64383829861111119</v>
      </c>
      <c r="P384" t="s">
        <v>9</v>
      </c>
      <c r="Q384">
        <v>-113</v>
      </c>
      <c r="R384">
        <f>Table2579[[#This Row],[RSSI]]</f>
        <v>-113</v>
      </c>
      <c r="S384">
        <v>-8</v>
      </c>
    </row>
    <row r="385" spans="2:19" x14ac:dyDescent="0.25">
      <c r="B385">
        <f>160+2*(Table1468[[#This Row],[min value (corrected)]]-32)</f>
        <v>170</v>
      </c>
      <c r="C385">
        <f>MINUTE(Table1468[[#This Row],[Corrected time]])</f>
        <v>37</v>
      </c>
      <c r="D385" s="1">
        <v>0.65149524305555551</v>
      </c>
      <c r="E385" s="1">
        <f>Table1468[[#This Row],[Time]]-TIME(0,0,11)</f>
        <v>0.65136792824074075</v>
      </c>
      <c r="F385" t="s">
        <v>9</v>
      </c>
      <c r="G385" t="s">
        <v>39</v>
      </c>
      <c r="H385">
        <f t="shared" si="35"/>
        <v>-114</v>
      </c>
      <c r="I385">
        <v>-9.3000000000000007</v>
      </c>
      <c r="L385">
        <f>160+2*(Table2579[[#This Row],[min value (corrected)]]-23)</f>
        <v>168</v>
      </c>
      <c r="M385">
        <f>MINUTE(Table2579[[#This Row],[Corrected time]])</f>
        <v>27</v>
      </c>
      <c r="N385" s="1">
        <v>0.6439662268518519</v>
      </c>
      <c r="O385" s="1">
        <f>Table2579[[#This Row],[Time]]-TIME(0,0,10)</f>
        <v>0.64385048611111118</v>
      </c>
      <c r="P385" t="s">
        <v>13</v>
      </c>
      <c r="Q385">
        <f>Q384</f>
        <v>-113</v>
      </c>
      <c r="R385">
        <f>Table2579[[#This Row],[RSSI]]</f>
        <v>-113</v>
      </c>
      <c r="S385">
        <f>S384</f>
        <v>-8</v>
      </c>
    </row>
    <row r="386" spans="2:19" x14ac:dyDescent="0.25">
      <c r="B386">
        <f>160+2*(Table1468[[#This Row],[min value (corrected)]]-32)</f>
        <v>170</v>
      </c>
      <c r="C386">
        <f>MINUTE(Table1468[[#This Row],[Corrected time]])</f>
        <v>37</v>
      </c>
      <c r="D386" s="1">
        <v>0.65150743055555549</v>
      </c>
      <c r="E386" s="1">
        <f>Table1468[[#This Row],[Time]]-TIME(0,0,11)</f>
        <v>0.65138011574074073</v>
      </c>
      <c r="F386" t="s">
        <v>9</v>
      </c>
      <c r="G386" t="s">
        <v>37</v>
      </c>
      <c r="H386">
        <f t="shared" si="35"/>
        <v>-113</v>
      </c>
      <c r="I386">
        <v>-9.3000000000000007</v>
      </c>
      <c r="L386">
        <f>160+2*(Table2579[[#This Row],[min value (corrected)]]-23)</f>
        <v>168</v>
      </c>
      <c r="M386">
        <f>MINUTE(Table2579[[#This Row],[Corrected time]])</f>
        <v>27</v>
      </c>
      <c r="N386" s="1">
        <v>0.64397841435185188</v>
      </c>
      <c r="O386" s="1">
        <f>Table2579[[#This Row],[Time]]-TIME(0,0,10)</f>
        <v>0.64386267361111116</v>
      </c>
      <c r="P386" t="s">
        <v>9</v>
      </c>
      <c r="Q386">
        <v>-114</v>
      </c>
      <c r="R386">
        <f>Table2579[[#This Row],[RSSI]]</f>
        <v>-114</v>
      </c>
      <c r="S386">
        <v>-8.5</v>
      </c>
    </row>
    <row r="387" spans="2:19" x14ac:dyDescent="0.25">
      <c r="B387">
        <f>160+2*(Table1468[[#This Row],[min value (corrected)]]-32)</f>
        <v>172</v>
      </c>
      <c r="C387">
        <f>MINUTE(Table1468[[#This Row],[Corrected time]])</f>
        <v>38</v>
      </c>
      <c r="D387" s="1">
        <v>0.65151961805555558</v>
      </c>
      <c r="E387" s="1">
        <f>Table1468[[#This Row],[Time]]-TIME(0,0,11)</f>
        <v>0.65139230324074082</v>
      </c>
      <c r="F387" t="s">
        <v>9</v>
      </c>
      <c r="G387" t="s">
        <v>40</v>
      </c>
      <c r="H387">
        <f t="shared" si="35"/>
        <v>-112</v>
      </c>
      <c r="I387">
        <v>-9</v>
      </c>
      <c r="L387">
        <f>160+2*(Table2579[[#This Row],[min value (corrected)]]-23)</f>
        <v>168</v>
      </c>
      <c r="M387">
        <f>MINUTE(Table2579[[#This Row],[Corrected time]])</f>
        <v>27</v>
      </c>
      <c r="N387" s="1">
        <v>0.64399060185185186</v>
      </c>
      <c r="O387" s="1">
        <f>Table2579[[#This Row],[Time]]-TIME(0,0,10)</f>
        <v>0.64387486111111114</v>
      </c>
      <c r="P387" t="s">
        <v>13</v>
      </c>
      <c r="Q387">
        <f t="shared" ref="Q387:Q389" si="46">Q386</f>
        <v>-114</v>
      </c>
      <c r="R387">
        <f>Table2579[[#This Row],[RSSI]]</f>
        <v>-114</v>
      </c>
      <c r="S387">
        <f t="shared" ref="S387:S389" si="47">S386</f>
        <v>-8.5</v>
      </c>
    </row>
    <row r="388" spans="2:19" x14ac:dyDescent="0.25">
      <c r="B388">
        <f>160+2*(Table1468[[#This Row],[min value (corrected)]]-32)</f>
        <v>172</v>
      </c>
      <c r="C388">
        <f>MINUTE(Table1468[[#This Row],[Corrected time]])</f>
        <v>38</v>
      </c>
      <c r="D388" s="1">
        <v>0.65153179398148153</v>
      </c>
      <c r="E388" s="1">
        <f>Table1468[[#This Row],[Time]]-TIME(0,0,11)</f>
        <v>0.65140447916666677</v>
      </c>
      <c r="F388" t="s">
        <v>9</v>
      </c>
      <c r="G388" t="s">
        <v>37</v>
      </c>
      <c r="H388">
        <f t="shared" si="35"/>
        <v>-113</v>
      </c>
      <c r="I388">
        <v>-7.5</v>
      </c>
      <c r="L388">
        <f>160+2*(Table2579[[#This Row],[min value (corrected)]]-23)</f>
        <v>168</v>
      </c>
      <c r="M388">
        <f>MINUTE(Table2579[[#This Row],[Corrected time]])</f>
        <v>27</v>
      </c>
      <c r="N388" s="1">
        <v>0.64400278935185185</v>
      </c>
      <c r="O388" s="1">
        <f>Table2579[[#This Row],[Time]]-TIME(0,0,10)</f>
        <v>0.64388704861111112</v>
      </c>
      <c r="P388" t="s">
        <v>13</v>
      </c>
      <c r="Q388">
        <f t="shared" si="46"/>
        <v>-114</v>
      </c>
      <c r="R388">
        <f>Table2579[[#This Row],[RSSI]]</f>
        <v>-114</v>
      </c>
      <c r="S388">
        <f t="shared" si="47"/>
        <v>-8.5</v>
      </c>
    </row>
    <row r="389" spans="2:19" x14ac:dyDescent="0.25">
      <c r="B389">
        <f>160+2*(Table1468[[#This Row],[min value (corrected)]]-32)</f>
        <v>172</v>
      </c>
      <c r="C389">
        <f>MINUTE(Table1468[[#This Row],[Corrected time]])</f>
        <v>38</v>
      </c>
      <c r="D389" s="1">
        <v>0.65154399305555555</v>
      </c>
      <c r="E389" s="1">
        <f>Table1468[[#This Row],[Time]]-TIME(0,0,11)</f>
        <v>0.65141667824074079</v>
      </c>
      <c r="F389" t="s">
        <v>13</v>
      </c>
      <c r="G389" t="str">
        <f>G388</f>
        <v>-113.0,</v>
      </c>
      <c r="H389">
        <f t="shared" si="35"/>
        <v>-113</v>
      </c>
      <c r="I389">
        <f>I388</f>
        <v>-7.5</v>
      </c>
      <c r="L389">
        <f>160+2*(Table2579[[#This Row],[min value (corrected)]]-23)</f>
        <v>168</v>
      </c>
      <c r="M389">
        <f>MINUTE(Table2579[[#This Row],[Corrected time]])</f>
        <v>27</v>
      </c>
      <c r="N389" s="1">
        <v>0.64401497685185183</v>
      </c>
      <c r="O389" s="1">
        <f>Table2579[[#This Row],[Time]]-TIME(0,0,10)</f>
        <v>0.64389923611111111</v>
      </c>
      <c r="P389" t="s">
        <v>13</v>
      </c>
      <c r="Q389">
        <f t="shared" si="46"/>
        <v>-114</v>
      </c>
      <c r="R389">
        <f>Table2579[[#This Row],[RSSI]]</f>
        <v>-114</v>
      </c>
      <c r="S389">
        <f t="shared" si="47"/>
        <v>-8.5</v>
      </c>
    </row>
    <row r="390" spans="2:19" x14ac:dyDescent="0.25">
      <c r="B390">
        <f>160+2*(Table1468[[#This Row],[min value (corrected)]]-32)</f>
        <v>172</v>
      </c>
      <c r="C390">
        <f>MINUTE(Table1468[[#This Row],[Corrected time]])</f>
        <v>38</v>
      </c>
      <c r="D390" s="1">
        <v>0.65155618055555553</v>
      </c>
      <c r="E390" s="1">
        <f>Table1468[[#This Row],[Time]]-TIME(0,0,11)</f>
        <v>0.65142886574074077</v>
      </c>
      <c r="F390" t="s">
        <v>9</v>
      </c>
      <c r="G390" t="s">
        <v>39</v>
      </c>
      <c r="H390">
        <f t="shared" si="35"/>
        <v>-114</v>
      </c>
      <c r="I390">
        <v>-8.5</v>
      </c>
      <c r="L390">
        <f>160+2*(Table2579[[#This Row],[min value (corrected)]]-23)</f>
        <v>168</v>
      </c>
      <c r="M390">
        <f>MINUTE(Table2579[[#This Row],[Corrected time]])</f>
        <v>27</v>
      </c>
      <c r="N390" s="1">
        <v>0.64402716435185181</v>
      </c>
      <c r="O390" s="1">
        <f>Table2579[[#This Row],[Time]]-TIME(0,0,10)</f>
        <v>0.64391142361111109</v>
      </c>
      <c r="P390" t="s">
        <v>9</v>
      </c>
      <c r="Q390">
        <v>-114</v>
      </c>
      <c r="R390">
        <f>Table2579[[#This Row],[RSSI]]</f>
        <v>-114</v>
      </c>
      <c r="S390">
        <v>-8.5</v>
      </c>
    </row>
    <row r="391" spans="2:19" x14ac:dyDescent="0.25">
      <c r="B391">
        <f>160+2*(Table1468[[#This Row],[min value (corrected)]]-32)</f>
        <v>172</v>
      </c>
      <c r="C391">
        <f>MINUTE(Table1468[[#This Row],[Corrected time]])</f>
        <v>38</v>
      </c>
      <c r="D391" s="1">
        <v>0.65156836805555551</v>
      </c>
      <c r="E391" s="1">
        <f>Table1468[[#This Row],[Time]]-TIME(0,0,11)</f>
        <v>0.65144105324074075</v>
      </c>
      <c r="F391" t="s">
        <v>13</v>
      </c>
      <c r="G391" t="str">
        <f>G390</f>
        <v>-114.0,</v>
      </c>
      <c r="H391">
        <f t="shared" si="35"/>
        <v>-114</v>
      </c>
      <c r="I391">
        <f>I390</f>
        <v>-8.5</v>
      </c>
      <c r="L391">
        <f>160+2*(Table2579[[#This Row],[min value (corrected)]]-23)</f>
        <v>168</v>
      </c>
      <c r="M391">
        <f>MINUTE(Table2579[[#This Row],[Corrected time]])</f>
        <v>27</v>
      </c>
      <c r="N391" s="1">
        <v>0.64403934027777787</v>
      </c>
      <c r="O391" s="1">
        <f>Table2579[[#This Row],[Time]]-TIME(0,0,10)</f>
        <v>0.64392359953703715</v>
      </c>
      <c r="P391" t="s">
        <v>9</v>
      </c>
      <c r="Q391">
        <v>-111</v>
      </c>
      <c r="R391">
        <f>Table2579[[#This Row],[RSSI]]</f>
        <v>-111</v>
      </c>
      <c r="S391">
        <v>-8.5</v>
      </c>
    </row>
    <row r="392" spans="2:19" x14ac:dyDescent="0.25">
      <c r="B392">
        <f>160+2*(Table1468[[#This Row],[min value (corrected)]]-32)</f>
        <v>172</v>
      </c>
      <c r="C392">
        <f>MINUTE(Table1468[[#This Row],[Corrected time]])</f>
        <v>38</v>
      </c>
      <c r="D392" s="1">
        <v>0.6515805555555555</v>
      </c>
      <c r="E392" s="1">
        <f>Table1468[[#This Row],[Time]]-TIME(0,0,11)</f>
        <v>0.65145324074074074</v>
      </c>
      <c r="F392" t="s">
        <v>9</v>
      </c>
      <c r="G392" t="s">
        <v>39</v>
      </c>
      <c r="H392">
        <f t="shared" si="35"/>
        <v>-114</v>
      </c>
      <c r="I392">
        <v>-8.3000000000000007</v>
      </c>
      <c r="L392">
        <f>160+2*(Table2579[[#This Row],[min value (corrected)]]-23)</f>
        <v>168</v>
      </c>
      <c r="M392">
        <f>MINUTE(Table2579[[#This Row],[Corrected time]])</f>
        <v>27</v>
      </c>
      <c r="N392" s="1">
        <v>0.64405153935185189</v>
      </c>
      <c r="O392" s="1">
        <f>Table2579[[#This Row],[Time]]-TIME(0,0,10)</f>
        <v>0.64393579861111117</v>
      </c>
      <c r="P392" t="s">
        <v>13</v>
      </c>
      <c r="Q392">
        <f t="shared" ref="Q392:Q393" si="48">Q391</f>
        <v>-111</v>
      </c>
      <c r="R392">
        <f>Table2579[[#This Row],[RSSI]]</f>
        <v>-111</v>
      </c>
      <c r="S392">
        <f t="shared" ref="S392:S393" si="49">S391</f>
        <v>-8.5</v>
      </c>
    </row>
    <row r="393" spans="2:19" x14ac:dyDescent="0.25">
      <c r="B393">
        <f>160+2*(Table1468[[#This Row],[min value (corrected)]]-32)</f>
        <v>172</v>
      </c>
      <c r="C393">
        <f>MINUTE(Table1468[[#This Row],[Corrected time]])</f>
        <v>38</v>
      </c>
      <c r="D393" s="1">
        <v>0.65159274305555548</v>
      </c>
      <c r="E393" s="1">
        <f>Table1468[[#This Row],[Time]]-TIME(0,0,11)</f>
        <v>0.65146542824074072</v>
      </c>
      <c r="F393" t="s">
        <v>13</v>
      </c>
      <c r="G393" t="str">
        <f t="shared" ref="G393:G395" si="50">G392</f>
        <v>-114.0,</v>
      </c>
      <c r="H393">
        <f t="shared" si="35"/>
        <v>-114</v>
      </c>
      <c r="I393">
        <f t="shared" ref="I393:I395" si="51">I392</f>
        <v>-8.3000000000000007</v>
      </c>
      <c r="L393">
        <f>160+2*(Table2579[[#This Row],[min value (corrected)]]-23)</f>
        <v>168</v>
      </c>
      <c r="M393">
        <f>MINUTE(Table2579[[#This Row],[Corrected time]])</f>
        <v>27</v>
      </c>
      <c r="N393" s="1">
        <v>0.64406372685185187</v>
      </c>
      <c r="O393" s="1">
        <f>Table2579[[#This Row],[Time]]-TIME(0,0,10)</f>
        <v>0.64394798611111115</v>
      </c>
      <c r="P393" t="s">
        <v>13</v>
      </c>
      <c r="Q393">
        <f t="shared" si="48"/>
        <v>-111</v>
      </c>
      <c r="R393">
        <f>Table2579[[#This Row],[RSSI]]</f>
        <v>-111</v>
      </c>
      <c r="S393">
        <f t="shared" si="49"/>
        <v>-8.5</v>
      </c>
    </row>
    <row r="394" spans="2:19" x14ac:dyDescent="0.25">
      <c r="B394">
        <f>160+2*(Table1468[[#This Row],[min value (corrected)]]-32)</f>
        <v>172</v>
      </c>
      <c r="C394">
        <f>MINUTE(Table1468[[#This Row],[Corrected time]])</f>
        <v>38</v>
      </c>
      <c r="D394" s="1">
        <v>0.65160493055555557</v>
      </c>
      <c r="E394" s="1">
        <f>Table1468[[#This Row],[Time]]-TIME(0,0,11)</f>
        <v>0.65147761574074081</v>
      </c>
      <c r="F394" t="s">
        <v>13</v>
      </c>
      <c r="G394" t="str">
        <f t="shared" si="50"/>
        <v>-114.0,</v>
      </c>
      <c r="H394">
        <f t="shared" si="35"/>
        <v>-114</v>
      </c>
      <c r="I394">
        <f t="shared" si="51"/>
        <v>-8.3000000000000007</v>
      </c>
      <c r="L394">
        <f>160+2*(Table2579[[#This Row],[min value (corrected)]]-23)</f>
        <v>168</v>
      </c>
      <c r="M394">
        <f>MINUTE(Table2579[[#This Row],[Corrected time]])</f>
        <v>27</v>
      </c>
      <c r="N394" s="1">
        <v>0.64407591435185185</v>
      </c>
      <c r="O394" s="1">
        <f>Table2579[[#This Row],[Time]]-TIME(0,0,10)</f>
        <v>0.64396017361111113</v>
      </c>
      <c r="P394" t="s">
        <v>9</v>
      </c>
      <c r="Q394">
        <v>-114</v>
      </c>
      <c r="R394">
        <f>Table2579[[#This Row],[RSSI]]</f>
        <v>-114</v>
      </c>
      <c r="S394">
        <v>-8.8000000000000007</v>
      </c>
    </row>
    <row r="395" spans="2:19" x14ac:dyDescent="0.25">
      <c r="B395">
        <f>160+2*(Table1468[[#This Row],[min value (corrected)]]-32)</f>
        <v>172</v>
      </c>
      <c r="C395">
        <f>MINUTE(Table1468[[#This Row],[Corrected time]])</f>
        <v>38</v>
      </c>
      <c r="D395" s="1">
        <v>0.65161711805555556</v>
      </c>
      <c r="E395" s="1">
        <f>Table1468[[#This Row],[Time]]-TIME(0,0,11)</f>
        <v>0.65148980324074079</v>
      </c>
      <c r="F395" t="s">
        <v>13</v>
      </c>
      <c r="G395" t="str">
        <f t="shared" si="50"/>
        <v>-114.0,</v>
      </c>
      <c r="H395">
        <f t="shared" si="35"/>
        <v>-114</v>
      </c>
      <c r="I395">
        <f t="shared" si="51"/>
        <v>-8.3000000000000007</v>
      </c>
      <c r="L395">
        <f>160+2*(Table2579[[#This Row],[min value (corrected)]]-23)</f>
        <v>168</v>
      </c>
      <c r="M395">
        <f>MINUTE(Table2579[[#This Row],[Corrected time]])</f>
        <v>27</v>
      </c>
      <c r="N395" s="1">
        <v>0.64408810185185184</v>
      </c>
      <c r="O395" s="1">
        <f>Table2579[[#This Row],[Time]]-TIME(0,0,10)</f>
        <v>0.64397236111111111</v>
      </c>
      <c r="P395" t="s">
        <v>13</v>
      </c>
      <c r="Q395">
        <f t="shared" ref="Q395:Q396" si="52">Q394</f>
        <v>-114</v>
      </c>
      <c r="R395">
        <f>Table2579[[#This Row],[RSSI]]</f>
        <v>-114</v>
      </c>
      <c r="S395">
        <f t="shared" ref="S395:S396" si="53">S394</f>
        <v>-8.8000000000000007</v>
      </c>
    </row>
    <row r="396" spans="2:19" x14ac:dyDescent="0.25">
      <c r="B396">
        <f>160+2*(Table1468[[#This Row],[min value (corrected)]]-32)</f>
        <v>172</v>
      </c>
      <c r="C396">
        <f>MINUTE(Table1468[[#This Row],[Corrected time]])</f>
        <v>38</v>
      </c>
      <c r="D396" s="1">
        <v>0.65162930555555554</v>
      </c>
      <c r="E396" s="1">
        <f>Table1468[[#This Row],[Time]]-TIME(0,0,11)</f>
        <v>0.65150199074074078</v>
      </c>
      <c r="F396" t="s">
        <v>9</v>
      </c>
      <c r="G396" t="s">
        <v>39</v>
      </c>
      <c r="H396">
        <f t="shared" si="35"/>
        <v>-114</v>
      </c>
      <c r="I396">
        <v>-9.3000000000000007</v>
      </c>
      <c r="L396">
        <f>160+2*(Table2579[[#This Row],[min value (corrected)]]-23)</f>
        <v>168</v>
      </c>
      <c r="M396">
        <f>MINUTE(Table2579[[#This Row],[Corrected time]])</f>
        <v>27</v>
      </c>
      <c r="N396" s="1">
        <v>0.64410028935185182</v>
      </c>
      <c r="O396" s="1">
        <f>Table2579[[#This Row],[Time]]-TIME(0,0,10)</f>
        <v>0.6439845486111111</v>
      </c>
      <c r="P396" t="s">
        <v>13</v>
      </c>
      <c r="Q396">
        <f t="shared" si="52"/>
        <v>-114</v>
      </c>
      <c r="R396">
        <f>Table2579[[#This Row],[RSSI]]</f>
        <v>-114</v>
      </c>
      <c r="S396">
        <f t="shared" si="53"/>
        <v>-8.8000000000000007</v>
      </c>
    </row>
    <row r="397" spans="2:19" x14ac:dyDescent="0.25">
      <c r="B397">
        <f>160+2*(Table1468[[#This Row],[min value (corrected)]]-32)</f>
        <v>172</v>
      </c>
      <c r="C397">
        <f>MINUTE(Table1468[[#This Row],[Corrected time]])</f>
        <v>38</v>
      </c>
      <c r="D397" s="1">
        <v>0.65164148148148149</v>
      </c>
      <c r="E397" s="1">
        <f>Table1468[[#This Row],[Time]]-TIME(0,0,11)</f>
        <v>0.65151416666666673</v>
      </c>
      <c r="F397" t="s">
        <v>9</v>
      </c>
      <c r="G397" t="s">
        <v>39</v>
      </c>
      <c r="H397">
        <f t="shared" si="35"/>
        <v>-114</v>
      </c>
      <c r="I397">
        <v>-8</v>
      </c>
      <c r="L397">
        <f>160+2*(Table2579[[#This Row],[min value (corrected)]]-23)</f>
        <v>168</v>
      </c>
      <c r="M397">
        <f>MINUTE(Table2579[[#This Row],[Corrected time]])</f>
        <v>27</v>
      </c>
      <c r="N397" s="1">
        <v>0.6441124768518518</v>
      </c>
      <c r="O397" s="1">
        <f>Table2579[[#This Row],[Time]]-TIME(0,0,10)</f>
        <v>0.64399673611111108</v>
      </c>
      <c r="P397" t="s">
        <v>9</v>
      </c>
      <c r="Q397">
        <v>-114</v>
      </c>
      <c r="R397">
        <f>Table2579[[#This Row],[RSSI]]</f>
        <v>-114</v>
      </c>
      <c r="S397">
        <v>-8.5</v>
      </c>
    </row>
    <row r="398" spans="2:19" x14ac:dyDescent="0.25">
      <c r="B398">
        <f>160+2*(Table1468[[#This Row],[min value (corrected)]]-32)</f>
        <v>172</v>
      </c>
      <c r="C398">
        <f>MINUTE(Table1468[[#This Row],[Corrected time]])</f>
        <v>38</v>
      </c>
      <c r="D398" s="1">
        <v>0.6516536805555555</v>
      </c>
      <c r="E398" s="1">
        <f>Table1468[[#This Row],[Time]]-TIME(0,0,11)</f>
        <v>0.65152636574074074</v>
      </c>
      <c r="F398" t="s">
        <v>9</v>
      </c>
      <c r="G398" t="s">
        <v>37</v>
      </c>
      <c r="H398">
        <f t="shared" si="35"/>
        <v>-113</v>
      </c>
      <c r="I398">
        <v>-8.5</v>
      </c>
      <c r="L398">
        <f>160+2*(Table2579[[#This Row],[min value (corrected)]]-23)</f>
        <v>168</v>
      </c>
      <c r="M398">
        <f>MINUTE(Table2579[[#This Row],[Corrected time]])</f>
        <v>27</v>
      </c>
      <c r="N398" s="1">
        <v>0.64412466435185189</v>
      </c>
      <c r="O398" s="1">
        <f>Table2579[[#This Row],[Time]]-TIME(0,0,10)</f>
        <v>0.64400892361111117</v>
      </c>
      <c r="P398" t="s">
        <v>9</v>
      </c>
      <c r="Q398">
        <v>-114</v>
      </c>
      <c r="R398">
        <f>Table2579[[#This Row],[RSSI]]</f>
        <v>-114</v>
      </c>
      <c r="S398">
        <v>-8.5</v>
      </c>
    </row>
    <row r="399" spans="2:19" x14ac:dyDescent="0.25">
      <c r="B399">
        <f>160+2*(Table1468[[#This Row],[min value (corrected)]]-32)</f>
        <v>172</v>
      </c>
      <c r="C399">
        <f>MINUTE(Table1468[[#This Row],[Corrected time]])</f>
        <v>38</v>
      </c>
      <c r="D399" s="1">
        <v>0.65166586805555549</v>
      </c>
      <c r="E399" s="1">
        <f>Table1468[[#This Row],[Time]]-TIME(0,0,11)</f>
        <v>0.65153855324074073</v>
      </c>
      <c r="F399" t="s">
        <v>9</v>
      </c>
      <c r="G399" t="s">
        <v>39</v>
      </c>
      <c r="H399">
        <f t="shared" si="35"/>
        <v>-114</v>
      </c>
      <c r="I399">
        <v>-8.5</v>
      </c>
      <c r="L399">
        <f>160+2*(Table2579[[#This Row],[min value (corrected)]]-23)</f>
        <v>168</v>
      </c>
      <c r="M399">
        <f>MINUTE(Table2579[[#This Row],[Corrected time]])</f>
        <v>27</v>
      </c>
      <c r="N399" s="1">
        <v>0.64413685185185188</v>
      </c>
      <c r="O399" s="1">
        <f>Table2579[[#This Row],[Time]]-TIME(0,0,10)</f>
        <v>0.64402111111111116</v>
      </c>
      <c r="P399" t="s">
        <v>9</v>
      </c>
      <c r="Q399">
        <v>-113</v>
      </c>
      <c r="R399">
        <f>Table2579[[#This Row],[RSSI]]</f>
        <v>-113</v>
      </c>
      <c r="S399">
        <v>-8.8000000000000007</v>
      </c>
    </row>
    <row r="400" spans="2:19" x14ac:dyDescent="0.25">
      <c r="B400">
        <f>160+2*(Table1468[[#This Row],[min value (corrected)]]-32)</f>
        <v>172</v>
      </c>
      <c r="C400">
        <f>MINUTE(Table1468[[#This Row],[Corrected time]])</f>
        <v>38</v>
      </c>
      <c r="D400" s="1">
        <v>0.65167805555555547</v>
      </c>
      <c r="E400" s="1">
        <f>Table1468[[#This Row],[Time]]-TIME(0,0,11)</f>
        <v>0.65155074074074071</v>
      </c>
      <c r="F400" t="s">
        <v>27</v>
      </c>
      <c r="G400" t="str">
        <f>G399</f>
        <v>-114.0,</v>
      </c>
      <c r="H400">
        <f t="shared" si="35"/>
        <v>-114</v>
      </c>
      <c r="I400">
        <f>I399</f>
        <v>-8.5</v>
      </c>
      <c r="L400">
        <f>160+2*(Table2579[[#This Row],[min value (corrected)]]-23)</f>
        <v>168</v>
      </c>
      <c r="M400">
        <f>MINUTE(Table2579[[#This Row],[Corrected time]])</f>
        <v>27</v>
      </c>
      <c r="N400" s="1">
        <v>0.64414903935185186</v>
      </c>
      <c r="O400" s="1">
        <f>Table2579[[#This Row],[Time]]-TIME(0,0,10)</f>
        <v>0.64403329861111114</v>
      </c>
      <c r="P400" t="s">
        <v>9</v>
      </c>
      <c r="Q400">
        <v>-114</v>
      </c>
      <c r="R400">
        <f>Table2579[[#This Row],[RSSI]]</f>
        <v>-114</v>
      </c>
      <c r="S400">
        <v>-8.8000000000000007</v>
      </c>
    </row>
    <row r="401" spans="2:19" x14ac:dyDescent="0.25">
      <c r="B401">
        <f>160+2*(Table1468[[#This Row],[min value (corrected)]]-32)</f>
        <v>172</v>
      </c>
      <c r="C401">
        <f>MINUTE(Table1468[[#This Row],[Corrected time]])</f>
        <v>38</v>
      </c>
      <c r="D401" s="1">
        <v>0.65167805555555547</v>
      </c>
      <c r="E401" s="1">
        <f>Table1468[[#This Row],[Time]]-TIME(0,0,11)</f>
        <v>0.65155074074074071</v>
      </c>
      <c r="F401" t="s">
        <v>9</v>
      </c>
      <c r="G401" t="s">
        <v>39</v>
      </c>
      <c r="H401">
        <f t="shared" si="35"/>
        <v>-114</v>
      </c>
      <c r="I401">
        <v>-8.3000000000000007</v>
      </c>
      <c r="L401">
        <f>160+2*(Table2579[[#This Row],[min value (corrected)]]-23)</f>
        <v>168</v>
      </c>
      <c r="M401">
        <f>MINUTE(Table2579[[#This Row],[Corrected time]])</f>
        <v>27</v>
      </c>
      <c r="N401" s="1">
        <v>0.64416122685185184</v>
      </c>
      <c r="O401" s="1">
        <f>Table2579[[#This Row],[Time]]-TIME(0,0,10)</f>
        <v>0.64404548611111112</v>
      </c>
      <c r="P401" t="s">
        <v>9</v>
      </c>
      <c r="Q401">
        <v>-115</v>
      </c>
      <c r="R401">
        <f>Table2579[[#This Row],[RSSI]]</f>
        <v>-115</v>
      </c>
      <c r="S401">
        <v>-9.3000000000000007</v>
      </c>
    </row>
    <row r="402" spans="2:19" x14ac:dyDescent="0.25">
      <c r="B402">
        <f>160+2*(Table1468[[#This Row],[min value (corrected)]]-32)</f>
        <v>172</v>
      </c>
      <c r="C402">
        <f>MINUTE(Table1468[[#This Row],[Corrected time]])</f>
        <v>38</v>
      </c>
      <c r="D402" s="1">
        <v>0.65170241898148151</v>
      </c>
      <c r="E402" s="1">
        <f>Table1468[[#This Row],[Time]]-TIME(0,0,11)</f>
        <v>0.65157510416666675</v>
      </c>
      <c r="F402" t="s">
        <v>9</v>
      </c>
      <c r="G402" t="s">
        <v>39</v>
      </c>
      <c r="H402">
        <f t="shared" si="35"/>
        <v>-114</v>
      </c>
      <c r="I402">
        <v>-8.5</v>
      </c>
      <c r="L402">
        <f>160+2*(Table2579[[#This Row],[min value (corrected)]]-23)</f>
        <v>168</v>
      </c>
      <c r="M402">
        <f>MINUTE(Table2579[[#This Row],[Corrected time]])</f>
        <v>27</v>
      </c>
      <c r="N402" s="1">
        <v>0.64417341435185183</v>
      </c>
      <c r="O402" s="1">
        <f>Table2579[[#This Row],[Time]]-TIME(0,0,10)</f>
        <v>0.6440576736111111</v>
      </c>
      <c r="P402" t="s">
        <v>9</v>
      </c>
      <c r="Q402">
        <v>-113</v>
      </c>
      <c r="R402">
        <f>Table2579[[#This Row],[RSSI]]</f>
        <v>-113</v>
      </c>
      <c r="S402">
        <v>-8</v>
      </c>
    </row>
    <row r="403" spans="2:19" x14ac:dyDescent="0.25">
      <c r="B403">
        <f>160+2*(Table1468[[#This Row],[min value (corrected)]]-32)</f>
        <v>172</v>
      </c>
      <c r="C403">
        <f>MINUTE(Table1468[[#This Row],[Corrected time]])</f>
        <v>38</v>
      </c>
      <c r="D403" s="1">
        <v>0.65171461805555553</v>
      </c>
      <c r="E403" s="1">
        <f>Table1468[[#This Row],[Time]]-TIME(0,0,11)</f>
        <v>0.65158730324074077</v>
      </c>
      <c r="F403" t="s">
        <v>9</v>
      </c>
      <c r="G403" t="s">
        <v>39</v>
      </c>
      <c r="H403">
        <f t="shared" si="35"/>
        <v>-114</v>
      </c>
      <c r="I403">
        <v>-8.8000000000000007</v>
      </c>
      <c r="L403">
        <f>160+2*(Table2579[[#This Row],[min value (corrected)]]-23)</f>
        <v>168</v>
      </c>
      <c r="M403">
        <f>MINUTE(Table2579[[#This Row],[Corrected time]])</f>
        <v>27</v>
      </c>
      <c r="N403" s="1">
        <v>0.64418560185185181</v>
      </c>
      <c r="O403" s="1">
        <f>Table2579[[#This Row],[Time]]-TIME(0,0,10)</f>
        <v>0.64406986111111109</v>
      </c>
      <c r="P403" t="s">
        <v>9</v>
      </c>
      <c r="Q403">
        <v>-113</v>
      </c>
      <c r="R403">
        <f>Table2579[[#This Row],[RSSI]]</f>
        <v>-113</v>
      </c>
      <c r="S403">
        <v>-7.7</v>
      </c>
    </row>
    <row r="404" spans="2:19" x14ac:dyDescent="0.25">
      <c r="B404">
        <f>160+2*(Table1468[[#This Row],[min value (corrected)]]-32)</f>
        <v>172</v>
      </c>
      <c r="C404">
        <f>MINUTE(Table1468[[#This Row],[Corrected time]])</f>
        <v>38</v>
      </c>
      <c r="D404" s="1">
        <v>0.65172680555555562</v>
      </c>
      <c r="E404" s="1">
        <f>Table1468[[#This Row],[Time]]-TIME(0,0,11)</f>
        <v>0.65159949074074086</v>
      </c>
      <c r="F404" t="s">
        <v>9</v>
      </c>
      <c r="G404" t="s">
        <v>39</v>
      </c>
      <c r="H404">
        <f t="shared" si="35"/>
        <v>-114</v>
      </c>
      <c r="I404">
        <v>-8.5</v>
      </c>
      <c r="L404">
        <f>160+2*(Table2579[[#This Row],[min value (corrected)]]-23)</f>
        <v>168</v>
      </c>
      <c r="M404">
        <f>MINUTE(Table2579[[#This Row],[Corrected time]])</f>
        <v>27</v>
      </c>
      <c r="N404" s="1">
        <v>0.64419777777777776</v>
      </c>
      <c r="O404" s="1">
        <f>Table2579[[#This Row],[Time]]-TIME(0,0,10)</f>
        <v>0.64408203703703704</v>
      </c>
      <c r="P404" t="s">
        <v>9</v>
      </c>
      <c r="Q404">
        <v>-114</v>
      </c>
      <c r="R404">
        <f>Table2579[[#This Row],[RSSI]]</f>
        <v>-114</v>
      </c>
      <c r="S404">
        <v>-8.3000000000000007</v>
      </c>
    </row>
    <row r="405" spans="2:19" x14ac:dyDescent="0.25">
      <c r="B405">
        <f>160+2*(Table1468[[#This Row],[min value (corrected)]]-32)</f>
        <v>172</v>
      </c>
      <c r="C405">
        <f>MINUTE(Table1468[[#This Row],[Corrected time]])</f>
        <v>38</v>
      </c>
      <c r="D405" s="1">
        <v>0.6517389930555556</v>
      </c>
      <c r="E405" s="1">
        <f>Table1468[[#This Row],[Time]]-TIME(0,0,11)</f>
        <v>0.65161167824074084</v>
      </c>
      <c r="F405" t="s">
        <v>9</v>
      </c>
      <c r="G405" t="s">
        <v>39</v>
      </c>
      <c r="H405">
        <f t="shared" si="35"/>
        <v>-114</v>
      </c>
      <c r="I405">
        <v>-7.7</v>
      </c>
      <c r="L405">
        <f>160+2*(Table2579[[#This Row],[min value (corrected)]]-23)</f>
        <v>168</v>
      </c>
      <c r="M405">
        <f>MINUTE(Table2579[[#This Row],[Corrected time]])</f>
        <v>27</v>
      </c>
      <c r="N405" s="1">
        <v>0.64420997685185188</v>
      </c>
      <c r="O405" s="1">
        <f>Table2579[[#This Row],[Time]]-TIME(0,0,10)</f>
        <v>0.64409423611111116</v>
      </c>
      <c r="P405" t="s">
        <v>9</v>
      </c>
      <c r="Q405">
        <v>-113</v>
      </c>
      <c r="R405">
        <f>Table2579[[#This Row],[RSSI]]</f>
        <v>-113</v>
      </c>
      <c r="S405">
        <v>-8.3000000000000007</v>
      </c>
    </row>
    <row r="406" spans="2:19" x14ac:dyDescent="0.25">
      <c r="B406">
        <f>160+2*(Table1468[[#This Row],[min value (corrected)]]-32)</f>
        <v>172</v>
      </c>
      <c r="C406">
        <f>MINUTE(Table1468[[#This Row],[Corrected time]])</f>
        <v>38</v>
      </c>
      <c r="D406" s="1">
        <v>0.65175118055555559</v>
      </c>
      <c r="E406" s="1">
        <f>Table1468[[#This Row],[Time]]-TIME(0,0,11)</f>
        <v>0.65162386574074083</v>
      </c>
      <c r="F406" t="s">
        <v>13</v>
      </c>
      <c r="G406" t="str">
        <f>G405</f>
        <v>-114.0,</v>
      </c>
      <c r="H406">
        <f t="shared" ref="H406:H469" si="54">VALUE(LEFT(G406,LEN(G406)-1))</f>
        <v>-114</v>
      </c>
      <c r="I406">
        <f>I405</f>
        <v>-7.7</v>
      </c>
      <c r="L406">
        <f>160+2*(Table2579[[#This Row],[min value (corrected)]]-23)</f>
        <v>168</v>
      </c>
      <c r="M406">
        <f>MINUTE(Table2579[[#This Row],[Corrected time]])</f>
        <v>27</v>
      </c>
      <c r="N406" s="1">
        <v>0.64422216435185187</v>
      </c>
      <c r="O406" s="1">
        <f>Table2579[[#This Row],[Time]]-TIME(0,0,10)</f>
        <v>0.64410642361111115</v>
      </c>
      <c r="P406" t="s">
        <v>9</v>
      </c>
      <c r="Q406">
        <v>-114</v>
      </c>
      <c r="R406">
        <f>Table2579[[#This Row],[RSSI]]</f>
        <v>-114</v>
      </c>
      <c r="S406">
        <v>-8.3000000000000007</v>
      </c>
    </row>
    <row r="407" spans="2:19" x14ac:dyDescent="0.25">
      <c r="B407">
        <f>160+2*(Table1468[[#This Row],[min value (corrected)]]-32)</f>
        <v>172</v>
      </c>
      <c r="C407">
        <f>MINUTE(Table1468[[#This Row],[Corrected time]])</f>
        <v>38</v>
      </c>
      <c r="D407" s="1">
        <v>0.65176336805555557</v>
      </c>
      <c r="E407" s="1">
        <f>Table1468[[#This Row],[Time]]-TIME(0,0,11)</f>
        <v>0.65163605324074081</v>
      </c>
      <c r="F407" t="s">
        <v>9</v>
      </c>
      <c r="G407" t="s">
        <v>37</v>
      </c>
      <c r="H407">
        <f t="shared" si="54"/>
        <v>-113</v>
      </c>
      <c r="I407">
        <v>-8.5</v>
      </c>
      <c r="L407">
        <f>160+2*(Table2579[[#This Row],[min value (corrected)]]-23)</f>
        <v>168</v>
      </c>
      <c r="M407">
        <f>MINUTE(Table2579[[#This Row],[Corrected time]])</f>
        <v>27</v>
      </c>
      <c r="N407" s="1">
        <v>0.64423434027777782</v>
      </c>
      <c r="O407" s="1">
        <f>Table2579[[#This Row],[Time]]-TIME(0,0,10)</f>
        <v>0.6441185995370371</v>
      </c>
      <c r="P407" t="s">
        <v>13</v>
      </c>
      <c r="Q407">
        <f>Q406</f>
        <v>-114</v>
      </c>
      <c r="R407">
        <f>Table2579[[#This Row],[RSSI]]</f>
        <v>-114</v>
      </c>
      <c r="S407">
        <f>S406</f>
        <v>-8.3000000000000007</v>
      </c>
    </row>
    <row r="408" spans="2:19" x14ac:dyDescent="0.25">
      <c r="B408">
        <f>160+2*(Table1468[[#This Row],[min value (corrected)]]-32)</f>
        <v>172</v>
      </c>
      <c r="C408">
        <f>MINUTE(Table1468[[#This Row],[Corrected time]])</f>
        <v>38</v>
      </c>
      <c r="D408" s="1">
        <v>0.65177555555555555</v>
      </c>
      <c r="E408" s="1">
        <f>Table1468[[#This Row],[Time]]-TIME(0,0,11)</f>
        <v>0.65164824074074079</v>
      </c>
      <c r="F408" t="s">
        <v>9</v>
      </c>
      <c r="G408" t="s">
        <v>37</v>
      </c>
      <c r="H408">
        <f t="shared" si="54"/>
        <v>-113</v>
      </c>
      <c r="I408">
        <v>-7.7</v>
      </c>
      <c r="L408">
        <f>160+2*(Table2579[[#This Row],[min value (corrected)]]-23)</f>
        <v>168</v>
      </c>
      <c r="M408">
        <f>MINUTE(Table2579[[#This Row],[Corrected time]])</f>
        <v>27</v>
      </c>
      <c r="N408" s="1">
        <v>0.6442465277777778</v>
      </c>
      <c r="O408" s="1">
        <f>Table2579[[#This Row],[Time]]-TIME(0,0,10)</f>
        <v>0.64413078703703708</v>
      </c>
      <c r="P408" t="s">
        <v>9</v>
      </c>
      <c r="Q408">
        <v>-114</v>
      </c>
      <c r="R408">
        <f>Table2579[[#This Row],[RSSI]]</f>
        <v>-114</v>
      </c>
      <c r="S408">
        <v>-8.5</v>
      </c>
    </row>
    <row r="409" spans="2:19" x14ac:dyDescent="0.25">
      <c r="B409">
        <f>160+2*(Table1468[[#This Row],[min value (corrected)]]-32)</f>
        <v>172</v>
      </c>
      <c r="C409">
        <f>MINUTE(Table1468[[#This Row],[Corrected time]])</f>
        <v>38</v>
      </c>
      <c r="D409" s="1">
        <v>0.65178774305555554</v>
      </c>
      <c r="E409" s="1">
        <f>Table1468[[#This Row],[Time]]-TIME(0,0,11)</f>
        <v>0.65166042824074077</v>
      </c>
      <c r="F409" t="s">
        <v>13</v>
      </c>
      <c r="G409" t="str">
        <f>G408</f>
        <v>-113.0,</v>
      </c>
      <c r="H409">
        <f t="shared" si="54"/>
        <v>-113</v>
      </c>
      <c r="I409">
        <f>I408</f>
        <v>-7.7</v>
      </c>
      <c r="L409">
        <f>160+2*(Table2579[[#This Row],[min value (corrected)]]-23)</f>
        <v>168</v>
      </c>
      <c r="M409">
        <f>MINUTE(Table2579[[#This Row],[Corrected time]])</f>
        <v>27</v>
      </c>
      <c r="N409" s="1">
        <v>0.64425872685185182</v>
      </c>
      <c r="O409" s="1">
        <f>Table2579[[#This Row],[Time]]-TIME(0,0,10)</f>
        <v>0.64414298611111109</v>
      </c>
      <c r="P409" t="s">
        <v>13</v>
      </c>
      <c r="Q409">
        <f>Q408</f>
        <v>-114</v>
      </c>
      <c r="R409">
        <f>Table2579[[#This Row],[RSSI]]</f>
        <v>-114</v>
      </c>
      <c r="S409">
        <f>S408</f>
        <v>-8.5</v>
      </c>
    </row>
    <row r="410" spans="2:19" x14ac:dyDescent="0.25">
      <c r="B410">
        <f>160+2*(Table1468[[#This Row],[min value (corrected)]]-32)</f>
        <v>172</v>
      </c>
      <c r="C410">
        <f>MINUTE(Table1468[[#This Row],[Corrected time]])</f>
        <v>38</v>
      </c>
      <c r="D410" s="1">
        <v>0.65179993055555563</v>
      </c>
      <c r="E410" s="1">
        <f>Table1468[[#This Row],[Time]]-TIME(0,0,11)</f>
        <v>0.65167261574074087</v>
      </c>
      <c r="F410" t="s">
        <v>9</v>
      </c>
      <c r="G410" t="s">
        <v>39</v>
      </c>
      <c r="H410">
        <f t="shared" si="54"/>
        <v>-114</v>
      </c>
      <c r="I410">
        <v>-8.3000000000000007</v>
      </c>
      <c r="L410">
        <f>160+2*(Table2579[[#This Row],[min value (corrected)]]-23)</f>
        <v>168</v>
      </c>
      <c r="M410">
        <f>MINUTE(Table2579[[#This Row],[Corrected time]])</f>
        <v>27</v>
      </c>
      <c r="N410" s="1">
        <v>0.6442709143518518</v>
      </c>
      <c r="O410" s="1">
        <f>Table2579[[#This Row],[Time]]-TIME(0,0,10)</f>
        <v>0.64415517361111108</v>
      </c>
      <c r="P410" t="s">
        <v>9</v>
      </c>
      <c r="Q410">
        <v>-114</v>
      </c>
      <c r="R410">
        <f>Table2579[[#This Row],[RSSI]]</f>
        <v>-114</v>
      </c>
      <c r="S410">
        <v>-8</v>
      </c>
    </row>
    <row r="411" spans="2:19" x14ac:dyDescent="0.25">
      <c r="B411">
        <f>160+2*(Table1468[[#This Row],[min value (corrected)]]-32)</f>
        <v>172</v>
      </c>
      <c r="C411">
        <f>MINUTE(Table1468[[#This Row],[Corrected time]])</f>
        <v>38</v>
      </c>
      <c r="D411" s="1">
        <v>0.65181211805555561</v>
      </c>
      <c r="E411" s="1">
        <f>Table1468[[#This Row],[Time]]-TIME(0,0,11)</f>
        <v>0.65168480324074085</v>
      </c>
      <c r="F411" t="s">
        <v>9</v>
      </c>
      <c r="G411" t="s">
        <v>39</v>
      </c>
      <c r="H411">
        <f t="shared" si="54"/>
        <v>-114</v>
      </c>
      <c r="I411">
        <v>-8.5</v>
      </c>
      <c r="L411">
        <f>160+2*(Table2579[[#This Row],[min value (corrected)]]-23)</f>
        <v>168</v>
      </c>
      <c r="M411">
        <f>MINUTE(Table2579[[#This Row],[Corrected time]])</f>
        <v>27</v>
      </c>
      <c r="N411" s="1">
        <v>0.64428310185185178</v>
      </c>
      <c r="O411" s="1">
        <f>Table2579[[#This Row],[Time]]-TIME(0,0,10)</f>
        <v>0.64416736111111106</v>
      </c>
      <c r="P411" t="s">
        <v>13</v>
      </c>
      <c r="Q411">
        <f>Q410</f>
        <v>-114</v>
      </c>
      <c r="R411">
        <f>Table2579[[#This Row],[RSSI]]</f>
        <v>-114</v>
      </c>
      <c r="S411">
        <f>S410</f>
        <v>-8</v>
      </c>
    </row>
    <row r="412" spans="2:19" x14ac:dyDescent="0.25">
      <c r="B412">
        <f>160+2*(Table1468[[#This Row],[min value (corrected)]]-32)</f>
        <v>172</v>
      </c>
      <c r="C412">
        <f>MINUTE(Table1468[[#This Row],[Corrected time]])</f>
        <v>38</v>
      </c>
      <c r="D412" s="1">
        <v>0.65182430555555559</v>
      </c>
      <c r="E412" s="1">
        <f>Table1468[[#This Row],[Time]]-TIME(0,0,11)</f>
        <v>0.65169699074074083</v>
      </c>
      <c r="F412" t="s">
        <v>9</v>
      </c>
      <c r="G412" t="s">
        <v>37</v>
      </c>
      <c r="H412">
        <f t="shared" si="54"/>
        <v>-113</v>
      </c>
      <c r="I412">
        <v>-8.5</v>
      </c>
      <c r="L412">
        <f>160+2*(Table2579[[#This Row],[min value (corrected)]]-23)</f>
        <v>168</v>
      </c>
      <c r="M412">
        <f>MINUTE(Table2579[[#This Row],[Corrected time]])</f>
        <v>27</v>
      </c>
      <c r="N412" s="1">
        <v>0.64429528935185187</v>
      </c>
      <c r="O412" s="1">
        <f>Table2579[[#This Row],[Time]]-TIME(0,0,10)</f>
        <v>0.64417954861111115</v>
      </c>
      <c r="P412" t="s">
        <v>9</v>
      </c>
      <c r="Q412">
        <v>-114</v>
      </c>
      <c r="R412">
        <f>Table2579[[#This Row],[RSSI]]</f>
        <v>-114</v>
      </c>
      <c r="S412">
        <v>-8.8000000000000007</v>
      </c>
    </row>
    <row r="413" spans="2:19" x14ac:dyDescent="0.25">
      <c r="B413">
        <f>160+2*(Table1468[[#This Row],[min value (corrected)]]-32)</f>
        <v>172</v>
      </c>
      <c r="C413">
        <f>MINUTE(Table1468[[#This Row],[Corrected time]])</f>
        <v>38</v>
      </c>
      <c r="D413" s="1">
        <v>0.65183649305555558</v>
      </c>
      <c r="E413" s="1">
        <f>Table1468[[#This Row],[Time]]-TIME(0,0,11)</f>
        <v>0.65170917824074082</v>
      </c>
      <c r="F413" t="s">
        <v>13</v>
      </c>
      <c r="G413" t="str">
        <f>G412</f>
        <v>-113.0,</v>
      </c>
      <c r="H413">
        <f t="shared" si="54"/>
        <v>-113</v>
      </c>
      <c r="I413">
        <f>I412</f>
        <v>-8.5</v>
      </c>
      <c r="L413">
        <f>160+2*(Table2579[[#This Row],[min value (corrected)]]-23)</f>
        <v>168</v>
      </c>
      <c r="M413">
        <f>MINUTE(Table2579[[#This Row],[Corrected time]])</f>
        <v>27</v>
      </c>
      <c r="N413" s="1">
        <v>0.64430747685185186</v>
      </c>
      <c r="O413" s="1">
        <f>Table2579[[#This Row],[Time]]-TIME(0,0,10)</f>
        <v>0.64419173611111114</v>
      </c>
      <c r="P413" t="s">
        <v>13</v>
      </c>
      <c r="Q413">
        <f>Q412</f>
        <v>-114</v>
      </c>
      <c r="R413">
        <f>Table2579[[#This Row],[RSSI]]</f>
        <v>-114</v>
      </c>
      <c r="S413">
        <f>S412</f>
        <v>-8.8000000000000007</v>
      </c>
    </row>
    <row r="414" spans="2:19" x14ac:dyDescent="0.25">
      <c r="B414">
        <f>160+2*(Table1468[[#This Row],[min value (corrected)]]-32)</f>
        <v>172</v>
      </c>
      <c r="C414">
        <f>MINUTE(Table1468[[#This Row],[Corrected time]])</f>
        <v>38</v>
      </c>
      <c r="D414" s="1">
        <v>0.65184866898148142</v>
      </c>
      <c r="E414" s="1">
        <f>Table1468[[#This Row],[Time]]-TIME(0,0,11)</f>
        <v>0.65172135416666666</v>
      </c>
      <c r="F414" t="s">
        <v>9</v>
      </c>
      <c r="G414" t="s">
        <v>37</v>
      </c>
      <c r="H414">
        <f t="shared" si="54"/>
        <v>-113</v>
      </c>
      <c r="I414">
        <v>-7.7</v>
      </c>
      <c r="L414">
        <f>160+2*(Table2579[[#This Row],[min value (corrected)]]-23)</f>
        <v>168</v>
      </c>
      <c r="M414">
        <f>MINUTE(Table2579[[#This Row],[Corrected time]])</f>
        <v>27</v>
      </c>
      <c r="N414" s="1">
        <v>0.64431966435185184</v>
      </c>
      <c r="O414" s="1">
        <f>Table2579[[#This Row],[Time]]-TIME(0,0,10)</f>
        <v>0.64420392361111112</v>
      </c>
      <c r="P414" t="s">
        <v>9</v>
      </c>
      <c r="Q414">
        <v>-111</v>
      </c>
      <c r="R414">
        <f>Table2579[[#This Row],[RSSI]]</f>
        <v>-111</v>
      </c>
      <c r="S414">
        <v>-9</v>
      </c>
    </row>
    <row r="415" spans="2:19" x14ac:dyDescent="0.25">
      <c r="B415">
        <f>160+2*(Table1468[[#This Row],[min value (corrected)]]-32)</f>
        <v>172</v>
      </c>
      <c r="C415">
        <f>MINUTE(Table1468[[#This Row],[Corrected time]])</f>
        <v>38</v>
      </c>
      <c r="D415" s="1">
        <v>0.65186086805555554</v>
      </c>
      <c r="E415" s="1">
        <f>Table1468[[#This Row],[Time]]-TIME(0,0,11)</f>
        <v>0.65173355324074078</v>
      </c>
      <c r="F415" t="s">
        <v>9</v>
      </c>
      <c r="G415" t="s">
        <v>39</v>
      </c>
      <c r="H415">
        <f t="shared" si="54"/>
        <v>-114</v>
      </c>
      <c r="I415">
        <v>-8.5</v>
      </c>
      <c r="L415">
        <f>160+2*(Table2579[[#This Row],[min value (corrected)]]-23)</f>
        <v>168</v>
      </c>
      <c r="M415">
        <f>MINUTE(Table2579[[#This Row],[Corrected time]])</f>
        <v>27</v>
      </c>
      <c r="N415" s="1">
        <v>0.64433185185185182</v>
      </c>
      <c r="O415" s="1">
        <f>Table2579[[#This Row],[Time]]-TIME(0,0,10)</f>
        <v>0.6442161111111111</v>
      </c>
      <c r="P415" t="s">
        <v>9</v>
      </c>
      <c r="Q415">
        <v>-114</v>
      </c>
      <c r="R415">
        <f>Table2579[[#This Row],[RSSI]]</f>
        <v>-114</v>
      </c>
      <c r="S415">
        <v>-8.8000000000000007</v>
      </c>
    </row>
    <row r="416" spans="2:19" x14ac:dyDescent="0.25">
      <c r="B416">
        <f>160+2*(Table1468[[#This Row],[min value (corrected)]]-32)</f>
        <v>172</v>
      </c>
      <c r="C416">
        <f>MINUTE(Table1468[[#This Row],[Corrected time]])</f>
        <v>38</v>
      </c>
      <c r="D416" s="1">
        <v>0.65187305555555553</v>
      </c>
      <c r="E416" s="1">
        <f>Table1468[[#This Row],[Time]]-TIME(0,0,11)</f>
        <v>0.65174574074074076</v>
      </c>
      <c r="F416" t="s">
        <v>9</v>
      </c>
      <c r="G416" t="s">
        <v>39</v>
      </c>
      <c r="H416">
        <f t="shared" si="54"/>
        <v>-114</v>
      </c>
      <c r="I416">
        <v>-8.3000000000000007</v>
      </c>
      <c r="L416">
        <f>160+2*(Table2579[[#This Row],[min value (corrected)]]-23)</f>
        <v>168</v>
      </c>
      <c r="M416">
        <f>MINUTE(Table2579[[#This Row],[Corrected time]])</f>
        <v>27</v>
      </c>
      <c r="N416" s="1">
        <v>0.64434403935185181</v>
      </c>
      <c r="O416" s="1">
        <f>Table2579[[#This Row],[Time]]-TIME(0,0,10)</f>
        <v>0.64422829861111108</v>
      </c>
      <c r="P416" t="s">
        <v>9</v>
      </c>
      <c r="Q416">
        <v>-113</v>
      </c>
      <c r="R416">
        <f>Table2579[[#This Row],[RSSI]]</f>
        <v>-113</v>
      </c>
      <c r="S416">
        <v>-9.3000000000000007</v>
      </c>
    </row>
    <row r="417" spans="2:19" x14ac:dyDescent="0.25">
      <c r="B417">
        <f>160+2*(Table1468[[#This Row],[min value (corrected)]]-32)</f>
        <v>172</v>
      </c>
      <c r="C417">
        <f>MINUTE(Table1468[[#This Row],[Corrected time]])</f>
        <v>38</v>
      </c>
      <c r="D417" s="1">
        <v>0.65188524305555562</v>
      </c>
      <c r="E417" s="1">
        <f>Table1468[[#This Row],[Time]]-TIME(0,0,11)</f>
        <v>0.65175792824074086</v>
      </c>
      <c r="F417" t="s">
        <v>9</v>
      </c>
      <c r="G417" t="s">
        <v>43</v>
      </c>
      <c r="H417">
        <f t="shared" si="54"/>
        <v>-115</v>
      </c>
      <c r="I417">
        <v>-9.5</v>
      </c>
      <c r="L417">
        <f>160+2*(Table2579[[#This Row],[min value (corrected)]]-23)</f>
        <v>168</v>
      </c>
      <c r="M417">
        <f>MINUTE(Table2579[[#This Row],[Corrected time]])</f>
        <v>27</v>
      </c>
      <c r="N417" s="1">
        <v>0.64435621527777776</v>
      </c>
      <c r="O417" s="1">
        <f>Table2579[[#This Row],[Time]]-TIME(0,0,10)</f>
        <v>0.64424047453703703</v>
      </c>
      <c r="P417" t="s">
        <v>9</v>
      </c>
      <c r="Q417">
        <v>-115</v>
      </c>
      <c r="R417">
        <f>Table2579[[#This Row],[RSSI]]</f>
        <v>-115</v>
      </c>
      <c r="S417">
        <v>-8.8000000000000007</v>
      </c>
    </row>
    <row r="418" spans="2:19" x14ac:dyDescent="0.25">
      <c r="B418">
        <f>160+2*(Table1468[[#This Row],[min value (corrected)]]-32)</f>
        <v>172</v>
      </c>
      <c r="C418">
        <f>MINUTE(Table1468[[#This Row],[Corrected time]])</f>
        <v>38</v>
      </c>
      <c r="D418" s="1">
        <v>0.6518974305555556</v>
      </c>
      <c r="E418" s="1">
        <f>Table1468[[#This Row],[Time]]-TIME(0,0,11)</f>
        <v>0.65177011574074084</v>
      </c>
      <c r="F418" t="s">
        <v>13</v>
      </c>
      <c r="G418" t="str">
        <f>G417</f>
        <v>-115.0,</v>
      </c>
      <c r="H418">
        <f t="shared" si="54"/>
        <v>-115</v>
      </c>
      <c r="I418">
        <f>I417</f>
        <v>-9.5</v>
      </c>
      <c r="L418">
        <f>160+2*(Table2579[[#This Row],[min value (corrected)]]-23)</f>
        <v>168</v>
      </c>
      <c r="M418">
        <f>MINUTE(Table2579[[#This Row],[Corrected time]])</f>
        <v>27</v>
      </c>
      <c r="N418" s="1">
        <v>0.64436841435185177</v>
      </c>
      <c r="O418" s="1">
        <f>Table2579[[#This Row],[Time]]-TIME(0,0,10)</f>
        <v>0.64425267361111105</v>
      </c>
      <c r="P418" t="s">
        <v>9</v>
      </c>
      <c r="Q418">
        <v>-111</v>
      </c>
      <c r="R418">
        <f>Table2579[[#This Row],[RSSI]]</f>
        <v>-111</v>
      </c>
      <c r="S418">
        <v>-9.3000000000000007</v>
      </c>
    </row>
    <row r="419" spans="2:19" x14ac:dyDescent="0.25">
      <c r="B419">
        <f>160+2*(Table1468[[#This Row],[min value (corrected)]]-32)</f>
        <v>172</v>
      </c>
      <c r="C419">
        <f>MINUTE(Table1468[[#This Row],[Corrected time]])</f>
        <v>38</v>
      </c>
      <c r="D419" s="1">
        <v>0.65190961805555558</v>
      </c>
      <c r="E419" s="1">
        <f>Table1468[[#This Row],[Time]]-TIME(0,0,11)</f>
        <v>0.65178230324074082</v>
      </c>
      <c r="F419" t="s">
        <v>9</v>
      </c>
      <c r="G419" t="s">
        <v>39</v>
      </c>
      <c r="H419">
        <f t="shared" si="54"/>
        <v>-114</v>
      </c>
      <c r="I419">
        <v>-8.8000000000000007</v>
      </c>
      <c r="L419">
        <f>160+2*(Table2579[[#This Row],[min value (corrected)]]-23)</f>
        <v>168</v>
      </c>
      <c r="M419">
        <f>MINUTE(Table2579[[#This Row],[Corrected time]])</f>
        <v>27</v>
      </c>
      <c r="N419" s="1">
        <v>0.64438060185185186</v>
      </c>
      <c r="O419" s="1">
        <f>Table2579[[#This Row],[Time]]-TIME(0,0,10)</f>
        <v>0.64426486111111114</v>
      </c>
      <c r="P419" t="s">
        <v>9</v>
      </c>
      <c r="Q419">
        <v>-113</v>
      </c>
      <c r="R419">
        <f>Table2579[[#This Row],[RSSI]]</f>
        <v>-113</v>
      </c>
      <c r="S419">
        <v>-8.5</v>
      </c>
    </row>
    <row r="420" spans="2:19" x14ac:dyDescent="0.25">
      <c r="B420">
        <f>160+2*(Table1468[[#This Row],[min value (corrected)]]-32)</f>
        <v>172</v>
      </c>
      <c r="C420">
        <f>MINUTE(Table1468[[#This Row],[Corrected time]])</f>
        <v>38</v>
      </c>
      <c r="D420" s="1">
        <v>0.65192180555555557</v>
      </c>
      <c r="E420" s="1">
        <f>Table1468[[#This Row],[Time]]-TIME(0,0,11)</f>
        <v>0.65179449074074081</v>
      </c>
      <c r="F420" t="s">
        <v>13</v>
      </c>
      <c r="G420" t="str">
        <f>G419</f>
        <v>-114.0,</v>
      </c>
      <c r="H420">
        <f t="shared" si="54"/>
        <v>-114</v>
      </c>
      <c r="I420">
        <f>I419</f>
        <v>-8.8000000000000007</v>
      </c>
      <c r="L420">
        <f>160+2*(Table2579[[#This Row],[min value (corrected)]]-23)</f>
        <v>168</v>
      </c>
      <c r="M420">
        <f>MINUTE(Table2579[[#This Row],[Corrected time]])</f>
        <v>27</v>
      </c>
      <c r="N420" s="1">
        <v>0.64439278935185185</v>
      </c>
      <c r="O420" s="1">
        <f>Table2579[[#This Row],[Time]]-TIME(0,0,10)</f>
        <v>0.64427704861111112</v>
      </c>
      <c r="P420" t="s">
        <v>9</v>
      </c>
      <c r="Q420">
        <v>-114</v>
      </c>
      <c r="R420">
        <f>Table2579[[#This Row],[RSSI]]</f>
        <v>-114</v>
      </c>
      <c r="S420">
        <v>-8.5</v>
      </c>
    </row>
    <row r="421" spans="2:19" x14ac:dyDescent="0.25">
      <c r="B421">
        <f>160+2*(Table1468[[#This Row],[min value (corrected)]]-32)</f>
        <v>172</v>
      </c>
      <c r="C421">
        <f>MINUTE(Table1468[[#This Row],[Corrected time]])</f>
        <v>38</v>
      </c>
      <c r="D421" s="1">
        <v>0.65193399305555555</v>
      </c>
      <c r="E421" s="1">
        <f>Table1468[[#This Row],[Time]]-TIME(0,0,11)</f>
        <v>0.65180667824074079</v>
      </c>
      <c r="F421" t="s">
        <v>9</v>
      </c>
      <c r="G421" t="s">
        <v>40</v>
      </c>
      <c r="H421">
        <f t="shared" si="54"/>
        <v>-112</v>
      </c>
      <c r="I421">
        <v>-8.5</v>
      </c>
      <c r="L421">
        <f>160+2*(Table2579[[#This Row],[min value (corrected)]]-23)</f>
        <v>168</v>
      </c>
      <c r="M421">
        <f>MINUTE(Table2579[[#This Row],[Corrected time]])</f>
        <v>27</v>
      </c>
      <c r="N421" s="1">
        <v>0.6444049652777778</v>
      </c>
      <c r="O421" s="1">
        <f>Table2579[[#This Row],[Time]]-TIME(0,0,10)</f>
        <v>0.64428922453703708</v>
      </c>
      <c r="P421" t="s">
        <v>13</v>
      </c>
      <c r="Q421">
        <f>Q420</f>
        <v>-114</v>
      </c>
      <c r="R421">
        <f>Table2579[[#This Row],[RSSI]]</f>
        <v>-114</v>
      </c>
      <c r="S421">
        <f>S420</f>
        <v>-8.5</v>
      </c>
    </row>
    <row r="422" spans="2:19" x14ac:dyDescent="0.25">
      <c r="B422">
        <f>160+2*(Table1468[[#This Row],[min value (corrected)]]-32)</f>
        <v>172</v>
      </c>
      <c r="C422">
        <f>MINUTE(Table1468[[#This Row],[Corrected time]])</f>
        <v>38</v>
      </c>
      <c r="D422" s="1">
        <v>0.65194618055555553</v>
      </c>
      <c r="E422" s="1">
        <f>Table1468[[#This Row],[Time]]-TIME(0,0,11)</f>
        <v>0.65181886574074077</v>
      </c>
      <c r="F422" t="s">
        <v>13</v>
      </c>
      <c r="G422" t="str">
        <f>G421</f>
        <v>-112.0,</v>
      </c>
      <c r="H422">
        <f t="shared" si="54"/>
        <v>-112</v>
      </c>
      <c r="I422">
        <f>I421</f>
        <v>-8.5</v>
      </c>
      <c r="L422">
        <f>160+2*(Table2579[[#This Row],[min value (corrected)]]-23)</f>
        <v>168</v>
      </c>
      <c r="M422">
        <f>MINUTE(Table2579[[#This Row],[Corrected time]])</f>
        <v>27</v>
      </c>
      <c r="N422" s="1">
        <v>0.64441716435185181</v>
      </c>
      <c r="O422" s="1">
        <f>Table2579[[#This Row],[Time]]-TIME(0,0,10)</f>
        <v>0.64430142361111109</v>
      </c>
      <c r="P422" t="s">
        <v>9</v>
      </c>
      <c r="Q422">
        <v>-113</v>
      </c>
      <c r="R422">
        <f>Table2579[[#This Row],[RSSI]]</f>
        <v>-113</v>
      </c>
      <c r="S422">
        <v>-8.8000000000000007</v>
      </c>
    </row>
    <row r="423" spans="2:19" x14ac:dyDescent="0.25">
      <c r="B423">
        <f>160+2*(Table1468[[#This Row],[min value (corrected)]]-32)</f>
        <v>172</v>
      </c>
      <c r="C423">
        <f>MINUTE(Table1468[[#This Row],[Corrected time]])</f>
        <v>38</v>
      </c>
      <c r="D423" s="1">
        <v>0.65195836805555563</v>
      </c>
      <c r="E423" s="1">
        <f>Table1468[[#This Row],[Time]]-TIME(0,0,11)</f>
        <v>0.65183105324074087</v>
      </c>
      <c r="F423" t="s">
        <v>9</v>
      </c>
      <c r="G423" t="s">
        <v>39</v>
      </c>
      <c r="H423">
        <f t="shared" si="54"/>
        <v>-114</v>
      </c>
      <c r="I423">
        <v>-8.8000000000000007</v>
      </c>
      <c r="L423">
        <f>160+2*(Table2579[[#This Row],[min value (corrected)]]-23)</f>
        <v>168</v>
      </c>
      <c r="M423">
        <f>MINUTE(Table2579[[#This Row],[Corrected time]])</f>
        <v>27</v>
      </c>
      <c r="N423" s="1">
        <v>0.64442935185185191</v>
      </c>
      <c r="O423" s="1">
        <f>Table2579[[#This Row],[Time]]-TIME(0,0,10)</f>
        <v>0.64431361111111118</v>
      </c>
      <c r="P423" t="s">
        <v>9</v>
      </c>
      <c r="Q423">
        <v>-114</v>
      </c>
      <c r="R423">
        <f>Table2579[[#This Row],[RSSI]]</f>
        <v>-114</v>
      </c>
      <c r="S423">
        <v>-8.5</v>
      </c>
    </row>
    <row r="424" spans="2:19" x14ac:dyDescent="0.25">
      <c r="B424">
        <f>160+2*(Table1468[[#This Row],[min value (corrected)]]-32)</f>
        <v>172</v>
      </c>
      <c r="C424">
        <f>MINUTE(Table1468[[#This Row],[Corrected time]])</f>
        <v>38</v>
      </c>
      <c r="D424" s="1">
        <v>0.65197055555555561</v>
      </c>
      <c r="E424" s="1">
        <f>Table1468[[#This Row],[Time]]-TIME(0,0,11)</f>
        <v>0.65184324074074085</v>
      </c>
      <c r="F424" t="s">
        <v>9</v>
      </c>
      <c r="G424" t="s">
        <v>37</v>
      </c>
      <c r="H424">
        <f t="shared" si="54"/>
        <v>-113</v>
      </c>
      <c r="I424">
        <v>-8.3000000000000007</v>
      </c>
      <c r="L424">
        <f>160+2*(Table2579[[#This Row],[min value (corrected)]]-23)</f>
        <v>168</v>
      </c>
      <c r="M424">
        <f>MINUTE(Table2579[[#This Row],[Corrected time]])</f>
        <v>27</v>
      </c>
      <c r="N424" s="1">
        <v>0.64444153935185189</v>
      </c>
      <c r="O424" s="1">
        <f>Table2579[[#This Row],[Time]]-TIME(0,0,10)</f>
        <v>0.64432579861111117</v>
      </c>
      <c r="P424" t="s">
        <v>13</v>
      </c>
      <c r="Q424">
        <f>Q423</f>
        <v>-114</v>
      </c>
      <c r="R424">
        <f>Table2579[[#This Row],[RSSI]]</f>
        <v>-114</v>
      </c>
      <c r="S424">
        <f>S423</f>
        <v>-8.5</v>
      </c>
    </row>
    <row r="425" spans="2:19" x14ac:dyDescent="0.25">
      <c r="B425">
        <f>160+2*(Table1468[[#This Row],[min value (corrected)]]-32)</f>
        <v>172</v>
      </c>
      <c r="C425">
        <f>MINUTE(Table1468[[#This Row],[Corrected time]])</f>
        <v>38</v>
      </c>
      <c r="D425" s="1">
        <v>0.65198274305555559</v>
      </c>
      <c r="E425" s="1">
        <f>Table1468[[#This Row],[Time]]-TIME(0,0,11)</f>
        <v>0.65185542824074083</v>
      </c>
      <c r="F425" t="s">
        <v>9</v>
      </c>
      <c r="G425" t="s">
        <v>39</v>
      </c>
      <c r="H425">
        <f t="shared" si="54"/>
        <v>-114</v>
      </c>
      <c r="I425">
        <v>-8.3000000000000007</v>
      </c>
      <c r="L425">
        <f>160+2*(Table2579[[#This Row],[min value (corrected)]]-23)</f>
        <v>168</v>
      </c>
      <c r="M425">
        <f>MINUTE(Table2579[[#This Row],[Corrected time]])</f>
        <v>27</v>
      </c>
      <c r="N425" s="1">
        <v>0.64445372685185187</v>
      </c>
      <c r="O425" s="1">
        <f>Table2579[[#This Row],[Time]]-TIME(0,0,10)</f>
        <v>0.64433798611111115</v>
      </c>
      <c r="P425" t="s">
        <v>9</v>
      </c>
      <c r="Q425">
        <v>-113</v>
      </c>
      <c r="R425">
        <f>Table2579[[#This Row],[RSSI]]</f>
        <v>-113</v>
      </c>
      <c r="S425">
        <v>-7</v>
      </c>
    </row>
    <row r="426" spans="2:19" x14ac:dyDescent="0.25">
      <c r="B426">
        <f>160+2*(Table1468[[#This Row],[min value (corrected)]]-32)</f>
        <v>172</v>
      </c>
      <c r="C426">
        <f>MINUTE(Table1468[[#This Row],[Corrected time]])</f>
        <v>38</v>
      </c>
      <c r="D426" s="1">
        <v>0.65199491898148143</v>
      </c>
      <c r="E426" s="1">
        <f>Table1468[[#This Row],[Time]]-TIME(0,0,11)</f>
        <v>0.65186760416666667</v>
      </c>
      <c r="F426" t="s">
        <v>9</v>
      </c>
      <c r="G426" t="s">
        <v>37</v>
      </c>
      <c r="H426">
        <f t="shared" si="54"/>
        <v>-113</v>
      </c>
      <c r="I426">
        <v>-8.3000000000000007</v>
      </c>
      <c r="L426">
        <f>160+2*(Table2579[[#This Row],[min value (corrected)]]-23)</f>
        <v>168</v>
      </c>
      <c r="M426">
        <f>MINUTE(Table2579[[#This Row],[Corrected time]])</f>
        <v>27</v>
      </c>
      <c r="N426" s="1">
        <v>0.64446591435185185</v>
      </c>
      <c r="O426" s="1">
        <f>Table2579[[#This Row],[Time]]-TIME(0,0,10)</f>
        <v>0.64435017361111113</v>
      </c>
      <c r="P426" t="s">
        <v>9</v>
      </c>
      <c r="Q426">
        <v>-114</v>
      </c>
      <c r="R426">
        <f>Table2579[[#This Row],[RSSI]]</f>
        <v>-114</v>
      </c>
      <c r="S426">
        <v>-9</v>
      </c>
    </row>
    <row r="427" spans="2:19" x14ac:dyDescent="0.25">
      <c r="B427">
        <f>160+2*(Table1468[[#This Row],[min value (corrected)]]-32)</f>
        <v>172</v>
      </c>
      <c r="C427">
        <f>MINUTE(Table1468[[#This Row],[Corrected time]])</f>
        <v>38</v>
      </c>
      <c r="D427" s="1">
        <v>0.65200710648148141</v>
      </c>
      <c r="E427" s="1">
        <f>Table1468[[#This Row],[Time]]-TIME(0,0,11)</f>
        <v>0.65187979166666665</v>
      </c>
      <c r="F427" t="s">
        <v>13</v>
      </c>
      <c r="G427" t="str">
        <f>G426</f>
        <v>-113.0,</v>
      </c>
      <c r="H427">
        <f t="shared" si="54"/>
        <v>-113</v>
      </c>
      <c r="I427">
        <f>I426</f>
        <v>-8.3000000000000007</v>
      </c>
      <c r="L427">
        <f>160+2*(Table2579[[#This Row],[min value (corrected)]]-23)</f>
        <v>168</v>
      </c>
      <c r="M427">
        <f>MINUTE(Table2579[[#This Row],[Corrected time]])</f>
        <v>27</v>
      </c>
      <c r="N427" s="1">
        <v>0.64447810185185184</v>
      </c>
      <c r="O427" s="1">
        <f>Table2579[[#This Row],[Time]]-TIME(0,0,10)</f>
        <v>0.64436236111111111</v>
      </c>
      <c r="P427" t="s">
        <v>13</v>
      </c>
      <c r="Q427">
        <f>Q426</f>
        <v>-114</v>
      </c>
      <c r="R427">
        <f>Table2579[[#This Row],[RSSI]]</f>
        <v>-114</v>
      </c>
      <c r="S427">
        <f>S426</f>
        <v>-9</v>
      </c>
    </row>
    <row r="428" spans="2:19" x14ac:dyDescent="0.25">
      <c r="B428">
        <f>160+2*(Table1468[[#This Row],[min value (corrected)]]-32)</f>
        <v>172</v>
      </c>
      <c r="C428">
        <f>MINUTE(Table1468[[#This Row],[Corrected time]])</f>
        <v>38</v>
      </c>
      <c r="D428" s="1">
        <v>0.65201930555555554</v>
      </c>
      <c r="E428" s="1">
        <f>Table1468[[#This Row],[Time]]-TIME(0,0,11)</f>
        <v>0.65189199074074078</v>
      </c>
      <c r="F428" t="s">
        <v>9</v>
      </c>
      <c r="G428" t="s">
        <v>39</v>
      </c>
      <c r="H428">
        <f t="shared" si="54"/>
        <v>-114</v>
      </c>
      <c r="I428">
        <v>-8.5</v>
      </c>
      <c r="L428">
        <f>160+2*(Table2579[[#This Row],[min value (corrected)]]-23)</f>
        <v>168</v>
      </c>
      <c r="M428">
        <f>MINUTE(Table2579[[#This Row],[Corrected time]])</f>
        <v>27</v>
      </c>
      <c r="N428" s="1">
        <v>0.64449028935185193</v>
      </c>
      <c r="O428" s="1">
        <f>Table2579[[#This Row],[Time]]-TIME(0,0,10)</f>
        <v>0.64437454861111121</v>
      </c>
      <c r="P428" t="s">
        <v>9</v>
      </c>
      <c r="Q428">
        <v>-114</v>
      </c>
      <c r="R428">
        <f>Table2579[[#This Row],[RSSI]]</f>
        <v>-114</v>
      </c>
      <c r="S428">
        <v>-9</v>
      </c>
    </row>
    <row r="429" spans="2:19" x14ac:dyDescent="0.25">
      <c r="B429">
        <f>160+2*(Table1468[[#This Row],[min value (corrected)]]-32)</f>
        <v>172</v>
      </c>
      <c r="C429">
        <f>MINUTE(Table1468[[#This Row],[Corrected time]])</f>
        <v>38</v>
      </c>
      <c r="D429" s="1">
        <v>0.65203149305555552</v>
      </c>
      <c r="E429" s="1">
        <f>Table1468[[#This Row],[Time]]-TIME(0,0,11)</f>
        <v>0.65190417824074076</v>
      </c>
      <c r="F429" t="s">
        <v>9</v>
      </c>
      <c r="G429" t="s">
        <v>39</v>
      </c>
      <c r="H429">
        <f t="shared" si="54"/>
        <v>-114</v>
      </c>
      <c r="I429">
        <v>-9</v>
      </c>
      <c r="L429">
        <f>160+2*(Table2579[[#This Row],[min value (corrected)]]-23)</f>
        <v>168</v>
      </c>
      <c r="M429">
        <f>MINUTE(Table2579[[#This Row],[Corrected time]])</f>
        <v>27</v>
      </c>
      <c r="N429" s="1">
        <v>0.64450247685185191</v>
      </c>
      <c r="O429" s="1">
        <f>Table2579[[#This Row],[Time]]-TIME(0,0,10)</f>
        <v>0.64438673611111119</v>
      </c>
      <c r="P429" t="s">
        <v>13</v>
      </c>
      <c r="Q429">
        <f>Q428</f>
        <v>-114</v>
      </c>
      <c r="R429">
        <f>Table2579[[#This Row],[RSSI]]</f>
        <v>-114</v>
      </c>
      <c r="S429">
        <f>S428</f>
        <v>-9</v>
      </c>
    </row>
    <row r="430" spans="2:19" x14ac:dyDescent="0.25">
      <c r="B430">
        <f>160+2*(Table1468[[#This Row],[min value (corrected)]]-32)</f>
        <v>172</v>
      </c>
      <c r="C430">
        <f>MINUTE(Table1468[[#This Row],[Corrected time]])</f>
        <v>38</v>
      </c>
      <c r="D430" s="1">
        <v>0.65204368055555562</v>
      </c>
      <c r="E430" s="1">
        <f>Table1468[[#This Row],[Time]]-TIME(0,0,11)</f>
        <v>0.65191636574074086</v>
      </c>
      <c r="F430" t="s">
        <v>9</v>
      </c>
      <c r="G430" t="s">
        <v>39</v>
      </c>
      <c r="H430">
        <f t="shared" si="54"/>
        <v>-114</v>
      </c>
      <c r="I430">
        <v>-9</v>
      </c>
      <c r="L430">
        <f>160+2*(Table2579[[#This Row],[min value (corrected)]]-23)</f>
        <v>168</v>
      </c>
      <c r="M430">
        <f>MINUTE(Table2579[[#This Row],[Corrected time]])</f>
        <v>27</v>
      </c>
      <c r="N430" s="1">
        <v>0.6445146643518519</v>
      </c>
      <c r="O430" s="1">
        <f>Table2579[[#This Row],[Time]]-TIME(0,0,10)</f>
        <v>0.64439892361111117</v>
      </c>
      <c r="P430" t="s">
        <v>9</v>
      </c>
      <c r="Q430">
        <v>-114</v>
      </c>
      <c r="R430">
        <f>Table2579[[#This Row],[RSSI]]</f>
        <v>-114</v>
      </c>
      <c r="S430">
        <v>-8.5</v>
      </c>
    </row>
    <row r="431" spans="2:19" x14ac:dyDescent="0.25">
      <c r="B431">
        <f>160+2*(Table1468[[#This Row],[min value (corrected)]]-32)</f>
        <v>172</v>
      </c>
      <c r="C431">
        <f>MINUTE(Table1468[[#This Row],[Corrected time]])</f>
        <v>38</v>
      </c>
      <c r="D431" s="1">
        <v>0.6520558680555556</v>
      </c>
      <c r="E431" s="1">
        <f>Table1468[[#This Row],[Time]]-TIME(0,0,11)</f>
        <v>0.65192855324074084</v>
      </c>
      <c r="F431" t="s">
        <v>9</v>
      </c>
      <c r="G431" t="s">
        <v>39</v>
      </c>
      <c r="H431">
        <f t="shared" si="54"/>
        <v>-114</v>
      </c>
      <c r="I431">
        <v>-8.5</v>
      </c>
      <c r="L431">
        <f>160+2*(Table2579[[#This Row],[min value (corrected)]]-23)</f>
        <v>168</v>
      </c>
      <c r="M431">
        <f>MINUTE(Table2579[[#This Row],[Corrected time]])</f>
        <v>27</v>
      </c>
      <c r="N431" s="1">
        <v>0.64452685185185188</v>
      </c>
      <c r="O431" s="1">
        <f>Table2579[[#This Row],[Time]]-TIME(0,0,10)</f>
        <v>0.64441111111111116</v>
      </c>
      <c r="P431" t="s">
        <v>9</v>
      </c>
      <c r="Q431">
        <v>-113</v>
      </c>
      <c r="R431">
        <f>Table2579[[#This Row],[RSSI]]</f>
        <v>-113</v>
      </c>
      <c r="S431">
        <v>-8</v>
      </c>
    </row>
    <row r="432" spans="2:19" x14ac:dyDescent="0.25">
      <c r="B432">
        <f>160+2*(Table1468[[#This Row],[min value (corrected)]]-32)</f>
        <v>172</v>
      </c>
      <c r="C432">
        <f>MINUTE(Table1468[[#This Row],[Corrected time]])</f>
        <v>38</v>
      </c>
      <c r="D432" s="1">
        <v>0.65206805555555558</v>
      </c>
      <c r="E432" s="1">
        <f>Table1468[[#This Row],[Time]]-TIME(0,0,11)</f>
        <v>0.65194074074074082</v>
      </c>
      <c r="F432" t="s">
        <v>9</v>
      </c>
      <c r="G432" t="s">
        <v>39</v>
      </c>
      <c r="H432">
        <f t="shared" si="54"/>
        <v>-114</v>
      </c>
      <c r="I432">
        <v>-10</v>
      </c>
      <c r="L432">
        <f>160+2*(Table2579[[#This Row],[min value (corrected)]]-23)</f>
        <v>168</v>
      </c>
      <c r="M432">
        <f>MINUTE(Table2579[[#This Row],[Corrected time]])</f>
        <v>27</v>
      </c>
      <c r="N432" s="1">
        <v>0.64453903935185186</v>
      </c>
      <c r="O432" s="1">
        <f>Table2579[[#This Row],[Time]]-TIME(0,0,10)</f>
        <v>0.64442329861111114</v>
      </c>
      <c r="P432" t="s">
        <v>9</v>
      </c>
      <c r="Q432">
        <v>-114</v>
      </c>
      <c r="R432">
        <f>Table2579[[#This Row],[RSSI]]</f>
        <v>-114</v>
      </c>
      <c r="S432">
        <v>-9</v>
      </c>
    </row>
    <row r="433" spans="2:19" x14ac:dyDescent="0.25">
      <c r="B433">
        <f>160+2*(Table1468[[#This Row],[min value (corrected)]]-32)</f>
        <v>172</v>
      </c>
      <c r="C433">
        <f>MINUTE(Table1468[[#This Row],[Corrected time]])</f>
        <v>38</v>
      </c>
      <c r="D433" s="1">
        <v>0.65208024305555556</v>
      </c>
      <c r="E433" s="1">
        <f>Table1468[[#This Row],[Time]]-TIME(0,0,11)</f>
        <v>0.6519529282407408</v>
      </c>
      <c r="F433" t="s">
        <v>9</v>
      </c>
      <c r="G433" t="s">
        <v>37</v>
      </c>
      <c r="H433">
        <f t="shared" si="54"/>
        <v>-113</v>
      </c>
      <c r="I433">
        <v>-7.7</v>
      </c>
      <c r="L433">
        <f>160+2*(Table2579[[#This Row],[min value (corrected)]]-23)</f>
        <v>168</v>
      </c>
      <c r="M433">
        <f>MINUTE(Table2579[[#This Row],[Corrected time]])</f>
        <v>27</v>
      </c>
      <c r="N433" s="1">
        <v>0.64455122685185184</v>
      </c>
      <c r="O433" s="1">
        <f>Table2579[[#This Row],[Time]]-TIME(0,0,10)</f>
        <v>0.64443548611111112</v>
      </c>
      <c r="P433" t="s">
        <v>9</v>
      </c>
      <c r="Q433">
        <v>-114</v>
      </c>
      <c r="R433">
        <f>Table2579[[#This Row],[RSSI]]</f>
        <v>-114</v>
      </c>
      <c r="S433">
        <v>-8.8000000000000007</v>
      </c>
    </row>
    <row r="434" spans="2:19" x14ac:dyDescent="0.25">
      <c r="B434">
        <f>160+2*(Table1468[[#This Row],[min value (corrected)]]-32)</f>
        <v>172</v>
      </c>
      <c r="C434">
        <f>MINUTE(Table1468[[#This Row],[Corrected time]])</f>
        <v>38</v>
      </c>
      <c r="D434" s="1">
        <v>0.65209243055555555</v>
      </c>
      <c r="E434" s="1">
        <f>Table1468[[#This Row],[Time]]-TIME(0,0,11)</f>
        <v>0.65196511574074079</v>
      </c>
      <c r="F434" t="s">
        <v>9</v>
      </c>
      <c r="G434" t="s">
        <v>39</v>
      </c>
      <c r="H434">
        <f t="shared" si="54"/>
        <v>-114</v>
      </c>
      <c r="I434">
        <v>-9</v>
      </c>
      <c r="L434">
        <f>160+2*(Table2579[[#This Row],[min value (corrected)]]-23)</f>
        <v>170</v>
      </c>
      <c r="M434">
        <f>MINUTE(Table2579[[#This Row],[Corrected time]])</f>
        <v>28</v>
      </c>
      <c r="N434" s="1">
        <v>0.64456341435185183</v>
      </c>
      <c r="O434" s="1">
        <f>Table2579[[#This Row],[Time]]-TIME(0,0,10)</f>
        <v>0.6444476736111111</v>
      </c>
      <c r="P434" t="s">
        <v>13</v>
      </c>
      <c r="Q434">
        <f t="shared" ref="Q434:Q435" si="55">Q433</f>
        <v>-114</v>
      </c>
      <c r="R434">
        <f>Table2579[[#This Row],[RSSI]]</f>
        <v>-114</v>
      </c>
      <c r="S434">
        <f t="shared" ref="S434:S435" si="56">S433</f>
        <v>-8.8000000000000007</v>
      </c>
    </row>
    <row r="435" spans="2:19" x14ac:dyDescent="0.25">
      <c r="B435">
        <f>160+2*(Table1468[[#This Row],[min value (corrected)]]-32)</f>
        <v>172</v>
      </c>
      <c r="C435">
        <f>MINUTE(Table1468[[#This Row],[Corrected time]])</f>
        <v>38</v>
      </c>
      <c r="D435" s="1">
        <v>0.65210461805555553</v>
      </c>
      <c r="E435" s="1">
        <f>Table1468[[#This Row],[Time]]-TIME(0,0,11)</f>
        <v>0.65197730324074077</v>
      </c>
      <c r="F435" t="s">
        <v>9</v>
      </c>
      <c r="G435" t="s">
        <v>37</v>
      </c>
      <c r="H435">
        <f t="shared" si="54"/>
        <v>-113</v>
      </c>
      <c r="I435">
        <v>-8.5</v>
      </c>
      <c r="L435">
        <f>160+2*(Table2579[[#This Row],[min value (corrected)]]-23)</f>
        <v>170</v>
      </c>
      <c r="M435">
        <f>MINUTE(Table2579[[#This Row],[Corrected time]])</f>
        <v>28</v>
      </c>
      <c r="N435" s="1">
        <v>0.64457560185185192</v>
      </c>
      <c r="O435" s="1">
        <f>Table2579[[#This Row],[Time]]-TIME(0,0,10)</f>
        <v>0.6444598611111112</v>
      </c>
      <c r="P435" t="s">
        <v>13</v>
      </c>
      <c r="Q435">
        <f t="shared" si="55"/>
        <v>-114</v>
      </c>
      <c r="R435">
        <f>Table2579[[#This Row],[RSSI]]</f>
        <v>-114</v>
      </c>
      <c r="S435">
        <f t="shared" si="56"/>
        <v>-8.8000000000000007</v>
      </c>
    </row>
    <row r="436" spans="2:19" x14ac:dyDescent="0.25">
      <c r="B436">
        <f>160+2*(Table1468[[#This Row],[min value (corrected)]]-32)</f>
        <v>172</v>
      </c>
      <c r="C436">
        <f>MINUTE(Table1468[[#This Row],[Corrected time]])</f>
        <v>38</v>
      </c>
      <c r="D436" s="1">
        <v>0.65211680555555551</v>
      </c>
      <c r="E436" s="1">
        <f>Table1468[[#This Row],[Time]]-TIME(0,0,11)</f>
        <v>0.65198949074074075</v>
      </c>
      <c r="F436" t="s">
        <v>9</v>
      </c>
      <c r="G436" t="s">
        <v>37</v>
      </c>
      <c r="H436">
        <f t="shared" si="54"/>
        <v>-113</v>
      </c>
      <c r="I436">
        <v>-8</v>
      </c>
      <c r="L436">
        <f>160+2*(Table2579[[#This Row],[min value (corrected)]]-23)</f>
        <v>170</v>
      </c>
      <c r="M436">
        <f>MINUTE(Table2579[[#This Row],[Corrected time]])</f>
        <v>28</v>
      </c>
      <c r="N436" s="1">
        <v>0.6445877893518519</v>
      </c>
      <c r="O436" s="1">
        <f>Table2579[[#This Row],[Time]]-TIME(0,0,10)</f>
        <v>0.64447204861111118</v>
      </c>
      <c r="P436" t="s">
        <v>9</v>
      </c>
      <c r="Q436">
        <v>-114</v>
      </c>
      <c r="R436">
        <f>Table2579[[#This Row],[RSSI]]</f>
        <v>-114</v>
      </c>
      <c r="S436">
        <v>-8</v>
      </c>
    </row>
    <row r="437" spans="2:19" x14ac:dyDescent="0.25">
      <c r="B437">
        <f>160+2*(Table1468[[#This Row],[min value (corrected)]]-32)</f>
        <v>172</v>
      </c>
      <c r="C437">
        <f>MINUTE(Table1468[[#This Row],[Corrected time]])</f>
        <v>38</v>
      </c>
      <c r="D437" s="1">
        <v>0.65212896990740743</v>
      </c>
      <c r="E437" s="1">
        <f>Table1468[[#This Row],[Time]]-TIME(0,0,11)</f>
        <v>0.65200165509259267</v>
      </c>
      <c r="F437" t="s">
        <v>9</v>
      </c>
      <c r="G437" t="s">
        <v>37</v>
      </c>
      <c r="H437">
        <f t="shared" si="54"/>
        <v>-113</v>
      </c>
      <c r="I437">
        <v>-8.8000000000000007</v>
      </c>
      <c r="L437">
        <f>160+2*(Table2579[[#This Row],[min value (corrected)]]-23)</f>
        <v>170</v>
      </c>
      <c r="M437">
        <f>MINUTE(Table2579[[#This Row],[Corrected time]])</f>
        <v>28</v>
      </c>
      <c r="N437" s="1">
        <v>0.64459997685185189</v>
      </c>
      <c r="O437" s="1">
        <f>Table2579[[#This Row],[Time]]-TIME(0,0,10)</f>
        <v>0.64448423611111116</v>
      </c>
      <c r="P437" t="s">
        <v>13</v>
      </c>
      <c r="Q437">
        <f>Q436</f>
        <v>-114</v>
      </c>
      <c r="R437">
        <f>Table2579[[#This Row],[RSSI]]</f>
        <v>-114</v>
      </c>
      <c r="S437">
        <f>S436</f>
        <v>-8</v>
      </c>
    </row>
    <row r="438" spans="2:19" x14ac:dyDescent="0.25">
      <c r="B438">
        <f>160+2*(Table1468[[#This Row],[min value (corrected)]]-32)</f>
        <v>172</v>
      </c>
      <c r="C438">
        <f>MINUTE(Table1468[[#This Row],[Corrected time]])</f>
        <v>38</v>
      </c>
      <c r="D438" s="1">
        <v>0.65214118055555559</v>
      </c>
      <c r="E438" s="1">
        <f>Table1468[[#This Row],[Time]]-TIME(0,0,11)</f>
        <v>0.65201386574074083</v>
      </c>
      <c r="F438" t="s">
        <v>9</v>
      </c>
      <c r="G438" t="s">
        <v>37</v>
      </c>
      <c r="H438">
        <f t="shared" si="54"/>
        <v>-113</v>
      </c>
      <c r="I438">
        <v>-8.3000000000000007</v>
      </c>
      <c r="L438">
        <f>160+2*(Table2579[[#This Row],[min value (corrected)]]-23)</f>
        <v>170</v>
      </c>
      <c r="M438">
        <f>MINUTE(Table2579[[#This Row],[Corrected time]])</f>
        <v>28</v>
      </c>
      <c r="N438" s="1">
        <v>0.64461216435185187</v>
      </c>
      <c r="O438" s="1">
        <f>Table2579[[#This Row],[Time]]-TIME(0,0,10)</f>
        <v>0.64449642361111115</v>
      </c>
      <c r="P438" t="s">
        <v>9</v>
      </c>
      <c r="Q438">
        <v>-113</v>
      </c>
      <c r="R438">
        <f>Table2579[[#This Row],[RSSI]]</f>
        <v>-113</v>
      </c>
      <c r="S438">
        <v>-7.7</v>
      </c>
    </row>
    <row r="439" spans="2:19" x14ac:dyDescent="0.25">
      <c r="B439">
        <f>160+2*(Table1468[[#This Row],[min value (corrected)]]-32)</f>
        <v>172</v>
      </c>
      <c r="C439">
        <f>MINUTE(Table1468[[#This Row],[Corrected time]])</f>
        <v>38</v>
      </c>
      <c r="D439" s="1">
        <v>0.65215336805555557</v>
      </c>
      <c r="E439" s="1">
        <f>Table1468[[#This Row],[Time]]-TIME(0,0,11)</f>
        <v>0.65202605324074081</v>
      </c>
      <c r="F439" t="s">
        <v>13</v>
      </c>
      <c r="G439" t="str">
        <f>G438</f>
        <v>-113.0,</v>
      </c>
      <c r="H439">
        <f t="shared" si="54"/>
        <v>-113</v>
      </c>
      <c r="I439">
        <f>I438</f>
        <v>-8.3000000000000007</v>
      </c>
      <c r="L439">
        <f>160+2*(Table2579[[#This Row],[min value (corrected)]]-23)</f>
        <v>170</v>
      </c>
      <c r="M439">
        <f>MINUTE(Table2579[[#This Row],[Corrected time]])</f>
        <v>28</v>
      </c>
      <c r="N439" s="1">
        <v>0.64462435185185185</v>
      </c>
      <c r="O439" s="1">
        <f>Table2579[[#This Row],[Time]]-TIME(0,0,10)</f>
        <v>0.64450861111111113</v>
      </c>
      <c r="P439" t="s">
        <v>13</v>
      </c>
      <c r="Q439">
        <f>Q438</f>
        <v>-113</v>
      </c>
      <c r="R439">
        <f>Table2579[[#This Row],[RSSI]]</f>
        <v>-113</v>
      </c>
      <c r="S439">
        <f>S438</f>
        <v>-7.7</v>
      </c>
    </row>
    <row r="440" spans="2:19" x14ac:dyDescent="0.25">
      <c r="B440">
        <f>160+2*(Table1468[[#This Row],[min value (corrected)]]-32)</f>
        <v>172</v>
      </c>
      <c r="C440">
        <f>MINUTE(Table1468[[#This Row],[Corrected time]])</f>
        <v>38</v>
      </c>
      <c r="D440" s="1">
        <v>0.65216554398148152</v>
      </c>
      <c r="E440" s="1">
        <f>Table1468[[#This Row],[Time]]-TIME(0,0,11)</f>
        <v>0.65203822916666676</v>
      </c>
      <c r="F440" t="s">
        <v>9</v>
      </c>
      <c r="G440" t="s">
        <v>39</v>
      </c>
      <c r="H440">
        <f t="shared" si="54"/>
        <v>-114</v>
      </c>
      <c r="I440">
        <v>-9</v>
      </c>
      <c r="L440">
        <f>160+2*(Table2579[[#This Row],[min value (corrected)]]-23)</f>
        <v>170</v>
      </c>
      <c r="M440">
        <f>MINUTE(Table2579[[#This Row],[Corrected time]])</f>
        <v>28</v>
      </c>
      <c r="N440" s="1">
        <v>0.6446365277777778</v>
      </c>
      <c r="O440" s="1">
        <f>Table2579[[#This Row],[Time]]-TIME(0,0,10)</f>
        <v>0.64452078703703708</v>
      </c>
      <c r="P440" t="s">
        <v>9</v>
      </c>
      <c r="Q440">
        <v>-114</v>
      </c>
      <c r="R440">
        <f>Table2579[[#This Row],[RSSI]]</f>
        <v>-114</v>
      </c>
      <c r="S440">
        <v>-9</v>
      </c>
    </row>
    <row r="441" spans="2:19" x14ac:dyDescent="0.25">
      <c r="B441">
        <f>160+2*(Table1468[[#This Row],[min value (corrected)]]-32)</f>
        <v>172</v>
      </c>
      <c r="C441">
        <f>MINUTE(Table1468[[#This Row],[Corrected time]])</f>
        <v>38</v>
      </c>
      <c r="D441" s="1">
        <v>0.65217774305555554</v>
      </c>
      <c r="E441" s="1">
        <f>Table1468[[#This Row],[Time]]-TIME(0,0,11)</f>
        <v>0.65205042824074078</v>
      </c>
      <c r="F441" t="s">
        <v>13</v>
      </c>
      <c r="G441" t="str">
        <f>G440</f>
        <v>-114.0,</v>
      </c>
      <c r="H441">
        <f t="shared" si="54"/>
        <v>-114</v>
      </c>
      <c r="I441">
        <f>I440</f>
        <v>-9</v>
      </c>
      <c r="L441">
        <f>160+2*(Table2579[[#This Row],[min value (corrected)]]-23)</f>
        <v>170</v>
      </c>
      <c r="M441">
        <f>MINUTE(Table2579[[#This Row],[Corrected time]])</f>
        <v>28</v>
      </c>
      <c r="N441" s="1">
        <v>0.64464872685185182</v>
      </c>
      <c r="O441" s="1">
        <f>Table2579[[#This Row],[Time]]-TIME(0,0,10)</f>
        <v>0.64453298611111109</v>
      </c>
      <c r="P441" t="s">
        <v>9</v>
      </c>
      <c r="Q441">
        <v>-114</v>
      </c>
      <c r="R441">
        <f>Table2579[[#This Row],[RSSI]]</f>
        <v>-114</v>
      </c>
      <c r="S441">
        <v>-8.5</v>
      </c>
    </row>
    <row r="442" spans="2:19" x14ac:dyDescent="0.25">
      <c r="B442">
        <f>160+2*(Table1468[[#This Row],[min value (corrected)]]-32)</f>
        <v>172</v>
      </c>
      <c r="C442">
        <f>MINUTE(Table1468[[#This Row],[Corrected time]])</f>
        <v>38</v>
      </c>
      <c r="D442" s="1">
        <v>0.65218993055555552</v>
      </c>
      <c r="E442" s="1">
        <f>Table1468[[#This Row],[Time]]-TIME(0,0,11)</f>
        <v>0.65206261574074076</v>
      </c>
      <c r="F442" t="s">
        <v>9</v>
      </c>
      <c r="G442" t="s">
        <v>39</v>
      </c>
      <c r="H442">
        <f t="shared" si="54"/>
        <v>-114</v>
      </c>
      <c r="I442">
        <v>-8.3000000000000007</v>
      </c>
      <c r="L442">
        <f>160+2*(Table2579[[#This Row],[min value (corrected)]]-23)</f>
        <v>170</v>
      </c>
      <c r="M442">
        <f>MINUTE(Table2579[[#This Row],[Corrected time]])</f>
        <v>28</v>
      </c>
      <c r="N442" s="1">
        <v>0.64466090277777777</v>
      </c>
      <c r="O442" s="1">
        <f>Table2579[[#This Row],[Time]]-TIME(0,0,10)</f>
        <v>0.64454516203703704</v>
      </c>
      <c r="P442" t="s">
        <v>13</v>
      </c>
      <c r="Q442">
        <f>Q441</f>
        <v>-114</v>
      </c>
      <c r="R442">
        <f>Table2579[[#This Row],[RSSI]]</f>
        <v>-114</v>
      </c>
      <c r="S442">
        <f>S441</f>
        <v>-8.5</v>
      </c>
    </row>
    <row r="443" spans="2:19" x14ac:dyDescent="0.25">
      <c r="B443">
        <f>160+2*(Table1468[[#This Row],[min value (corrected)]]-32)</f>
        <v>172</v>
      </c>
      <c r="C443">
        <f>MINUTE(Table1468[[#This Row],[Corrected time]])</f>
        <v>38</v>
      </c>
      <c r="D443" s="1">
        <v>0.6522021180555555</v>
      </c>
      <c r="E443" s="1">
        <f>Table1468[[#This Row],[Time]]-TIME(0,0,11)</f>
        <v>0.65207480324074074</v>
      </c>
      <c r="F443" t="s">
        <v>9</v>
      </c>
      <c r="G443" t="s">
        <v>37</v>
      </c>
      <c r="H443">
        <f t="shared" si="54"/>
        <v>-113</v>
      </c>
      <c r="I443">
        <v>-7.7</v>
      </c>
      <c r="L443">
        <f>160+2*(Table2579[[#This Row],[min value (corrected)]]-23)</f>
        <v>170</v>
      </c>
      <c r="M443">
        <f>MINUTE(Table2579[[#This Row],[Corrected time]])</f>
        <v>28</v>
      </c>
      <c r="N443" s="1">
        <v>0.64467310185185189</v>
      </c>
      <c r="O443" s="1">
        <f>Table2579[[#This Row],[Time]]-TIME(0,0,10)</f>
        <v>0.64455736111111117</v>
      </c>
      <c r="P443" t="s">
        <v>9</v>
      </c>
      <c r="Q443">
        <v>-114</v>
      </c>
      <c r="R443">
        <f>Table2579[[#This Row],[RSSI]]</f>
        <v>-114</v>
      </c>
      <c r="S443">
        <v>-9.5</v>
      </c>
    </row>
    <row r="444" spans="2:19" x14ac:dyDescent="0.25">
      <c r="B444">
        <f>160+2*(Table1468[[#This Row],[min value (corrected)]]-32)</f>
        <v>174</v>
      </c>
      <c r="C444">
        <f>MINUTE(Table1468[[#This Row],[Corrected time]])</f>
        <v>39</v>
      </c>
      <c r="D444" s="1">
        <v>0.65221429398148156</v>
      </c>
      <c r="E444" s="1">
        <f>Table1468[[#This Row],[Time]]-TIME(0,0,11)</f>
        <v>0.6520869791666668</v>
      </c>
      <c r="F444" t="s">
        <v>9</v>
      </c>
      <c r="G444" t="s">
        <v>39</v>
      </c>
      <c r="H444">
        <f t="shared" si="54"/>
        <v>-114</v>
      </c>
      <c r="I444">
        <v>-8.8000000000000007</v>
      </c>
      <c r="L444">
        <f>160+2*(Table2579[[#This Row],[min value (corrected)]]-23)</f>
        <v>170</v>
      </c>
      <c r="M444">
        <f>MINUTE(Table2579[[#This Row],[Corrected time]])</f>
        <v>28</v>
      </c>
      <c r="N444" s="1">
        <v>0.64468528935185188</v>
      </c>
      <c r="O444" s="1">
        <f>Table2579[[#This Row],[Time]]-TIME(0,0,10)</f>
        <v>0.64456954861111115</v>
      </c>
      <c r="P444" t="s">
        <v>13</v>
      </c>
      <c r="Q444">
        <f>Q443</f>
        <v>-114</v>
      </c>
      <c r="R444">
        <f>Table2579[[#This Row],[RSSI]]</f>
        <v>-114</v>
      </c>
      <c r="S444">
        <f>S443</f>
        <v>-9.5</v>
      </c>
    </row>
    <row r="445" spans="2:19" x14ac:dyDescent="0.25">
      <c r="B445">
        <f>160+2*(Table1468[[#This Row],[min value (corrected)]]-32)</f>
        <v>174</v>
      </c>
      <c r="C445">
        <f>MINUTE(Table1468[[#This Row],[Corrected time]])</f>
        <v>39</v>
      </c>
      <c r="D445" s="1">
        <v>0.65222649305555558</v>
      </c>
      <c r="E445" s="1">
        <f>Table1468[[#This Row],[Time]]-TIME(0,0,11)</f>
        <v>0.65209917824074082</v>
      </c>
      <c r="F445" t="s">
        <v>13</v>
      </c>
      <c r="G445" t="str">
        <f>G444</f>
        <v>-114.0,</v>
      </c>
      <c r="H445">
        <f t="shared" si="54"/>
        <v>-114</v>
      </c>
      <c r="I445">
        <f>I444</f>
        <v>-8.8000000000000007</v>
      </c>
      <c r="L445">
        <f>160+2*(Table2579[[#This Row],[min value (corrected)]]-23)</f>
        <v>170</v>
      </c>
      <c r="M445">
        <f>MINUTE(Table2579[[#This Row],[Corrected time]])</f>
        <v>28</v>
      </c>
      <c r="N445" s="1">
        <v>0.64469747685185186</v>
      </c>
      <c r="O445" s="1">
        <f>Table2579[[#This Row],[Time]]-TIME(0,0,10)</f>
        <v>0.64458173611111114</v>
      </c>
      <c r="P445" t="s">
        <v>9</v>
      </c>
      <c r="Q445">
        <v>-113</v>
      </c>
      <c r="R445">
        <f>Table2579[[#This Row],[RSSI]]</f>
        <v>-113</v>
      </c>
      <c r="S445">
        <v>-8</v>
      </c>
    </row>
    <row r="446" spans="2:19" x14ac:dyDescent="0.25">
      <c r="B446">
        <f>160+2*(Table1468[[#This Row],[min value (corrected)]]-32)</f>
        <v>174</v>
      </c>
      <c r="C446">
        <f>MINUTE(Table1468[[#This Row],[Corrected time]])</f>
        <v>39</v>
      </c>
      <c r="D446" s="1">
        <v>0.65223868055555556</v>
      </c>
      <c r="E446" s="1">
        <f>Table1468[[#This Row],[Time]]-TIME(0,0,11)</f>
        <v>0.6521113657407408</v>
      </c>
      <c r="F446" t="s">
        <v>9</v>
      </c>
      <c r="G446" t="s">
        <v>39</v>
      </c>
      <c r="H446">
        <f t="shared" si="54"/>
        <v>-114</v>
      </c>
      <c r="I446">
        <v>-8.8000000000000007</v>
      </c>
      <c r="L446">
        <f>160+2*(Table2579[[#This Row],[min value (corrected)]]-23)</f>
        <v>170</v>
      </c>
      <c r="M446">
        <f>MINUTE(Table2579[[#This Row],[Corrected time]])</f>
        <v>28</v>
      </c>
      <c r="N446" s="1">
        <v>0.64470966435185184</v>
      </c>
      <c r="O446" s="1">
        <f>Table2579[[#This Row],[Time]]-TIME(0,0,10)</f>
        <v>0.64459392361111112</v>
      </c>
      <c r="P446" t="s">
        <v>9</v>
      </c>
      <c r="Q446">
        <v>-114</v>
      </c>
      <c r="R446">
        <f>Table2579[[#This Row],[RSSI]]</f>
        <v>-114</v>
      </c>
      <c r="S446">
        <v>-9</v>
      </c>
    </row>
    <row r="447" spans="2:19" x14ac:dyDescent="0.25">
      <c r="B447">
        <f>160+2*(Table1468[[#This Row],[min value (corrected)]]-32)</f>
        <v>174</v>
      </c>
      <c r="C447">
        <f>MINUTE(Table1468[[#This Row],[Corrected time]])</f>
        <v>39</v>
      </c>
      <c r="D447" s="1">
        <v>0.65225085648148151</v>
      </c>
      <c r="E447" s="1">
        <f>Table1468[[#This Row],[Time]]-TIME(0,0,11)</f>
        <v>0.65212354166666675</v>
      </c>
      <c r="F447" t="s">
        <v>13</v>
      </c>
      <c r="G447" t="str">
        <f t="shared" ref="G447:G448" si="57">G446</f>
        <v>-114.0,</v>
      </c>
      <c r="H447">
        <f t="shared" si="54"/>
        <v>-114</v>
      </c>
      <c r="I447">
        <f t="shared" ref="I447:I448" si="58">I446</f>
        <v>-8.8000000000000007</v>
      </c>
      <c r="L447">
        <f>160+2*(Table2579[[#This Row],[min value (corrected)]]-23)</f>
        <v>170</v>
      </c>
      <c r="M447">
        <f>MINUTE(Table2579[[#This Row],[Corrected time]])</f>
        <v>28</v>
      </c>
      <c r="N447" s="1">
        <v>0.64472185185185182</v>
      </c>
      <c r="O447" s="1">
        <f>Table2579[[#This Row],[Time]]-TIME(0,0,10)</f>
        <v>0.6446061111111111</v>
      </c>
      <c r="P447" t="s">
        <v>27</v>
      </c>
      <c r="Q447">
        <f t="shared" ref="Q447:Q448" si="59">Q446</f>
        <v>-114</v>
      </c>
      <c r="R447">
        <f>Table2579[[#This Row],[RSSI]]</f>
        <v>-114</v>
      </c>
      <c r="S447">
        <f t="shared" ref="S447:S448" si="60">S446</f>
        <v>-9</v>
      </c>
    </row>
    <row r="448" spans="2:19" x14ac:dyDescent="0.25">
      <c r="B448">
        <f>160+2*(Table1468[[#This Row],[min value (corrected)]]-32)</f>
        <v>174</v>
      </c>
      <c r="C448">
        <f>MINUTE(Table1468[[#This Row],[Corrected time]])</f>
        <v>39</v>
      </c>
      <c r="D448" s="1">
        <v>0.65226305555555553</v>
      </c>
      <c r="E448" s="1">
        <f>Table1468[[#This Row],[Time]]-TIME(0,0,11)</f>
        <v>0.65213574074074077</v>
      </c>
      <c r="F448" t="s">
        <v>13</v>
      </c>
      <c r="G448" t="str">
        <f t="shared" si="57"/>
        <v>-114.0,</v>
      </c>
      <c r="H448">
        <f t="shared" si="54"/>
        <v>-114</v>
      </c>
      <c r="I448">
        <f t="shared" si="58"/>
        <v>-8.8000000000000007</v>
      </c>
      <c r="L448">
        <f>160+2*(Table2579[[#This Row],[min value (corrected)]]-23)</f>
        <v>170</v>
      </c>
      <c r="M448">
        <f>MINUTE(Table2579[[#This Row],[Corrected time]])</f>
        <v>28</v>
      </c>
      <c r="N448" s="1">
        <v>0.64473403935185181</v>
      </c>
      <c r="O448" s="1">
        <f>Table2579[[#This Row],[Time]]-TIME(0,0,10)</f>
        <v>0.64461829861111108</v>
      </c>
      <c r="P448" t="s">
        <v>13</v>
      </c>
      <c r="Q448">
        <f t="shared" si="59"/>
        <v>-114</v>
      </c>
      <c r="R448">
        <f>Table2579[[#This Row],[RSSI]]</f>
        <v>-114</v>
      </c>
      <c r="S448">
        <f t="shared" si="60"/>
        <v>-9</v>
      </c>
    </row>
    <row r="449" spans="2:19" x14ac:dyDescent="0.25">
      <c r="B449">
        <f>160+2*(Table1468[[#This Row],[min value (corrected)]]-32)</f>
        <v>174</v>
      </c>
      <c r="C449">
        <f>MINUTE(Table1468[[#This Row],[Corrected time]])</f>
        <v>39</v>
      </c>
      <c r="D449" s="1">
        <v>0.65227523148148148</v>
      </c>
      <c r="E449" s="1">
        <f>Table1468[[#This Row],[Time]]-TIME(0,0,11)</f>
        <v>0.65214791666666672</v>
      </c>
      <c r="F449" t="s">
        <v>9</v>
      </c>
      <c r="G449" t="s">
        <v>37</v>
      </c>
      <c r="H449">
        <f t="shared" si="54"/>
        <v>-113</v>
      </c>
      <c r="I449">
        <v>-8.3000000000000007</v>
      </c>
      <c r="L449">
        <f>160+2*(Table2579[[#This Row],[min value (corrected)]]-23)</f>
        <v>170</v>
      </c>
      <c r="M449">
        <f>MINUTE(Table2579[[#This Row],[Corrected time]])</f>
        <v>28</v>
      </c>
      <c r="N449" s="1">
        <v>0.6447462268518519</v>
      </c>
      <c r="O449" s="1">
        <f>Table2579[[#This Row],[Time]]-TIME(0,0,10)</f>
        <v>0.64463048611111118</v>
      </c>
      <c r="P449" t="s">
        <v>9</v>
      </c>
      <c r="Q449">
        <v>-114</v>
      </c>
      <c r="R449">
        <f>Table2579[[#This Row],[RSSI]]</f>
        <v>-114</v>
      </c>
      <c r="S449">
        <v>-9</v>
      </c>
    </row>
    <row r="450" spans="2:19" x14ac:dyDescent="0.25">
      <c r="B450">
        <f>160+2*(Table1468[[#This Row],[min value (corrected)]]-32)</f>
        <v>174</v>
      </c>
      <c r="C450">
        <f>MINUTE(Table1468[[#This Row],[Corrected time]])</f>
        <v>39</v>
      </c>
      <c r="D450" s="1">
        <v>0.65228743055555549</v>
      </c>
      <c r="E450" s="1">
        <f>Table1468[[#This Row],[Time]]-TIME(0,0,11)</f>
        <v>0.65216011574074073</v>
      </c>
      <c r="F450" t="s">
        <v>9</v>
      </c>
      <c r="G450" t="s">
        <v>37</v>
      </c>
      <c r="H450">
        <f t="shared" si="54"/>
        <v>-113</v>
      </c>
      <c r="I450">
        <v>-7.5</v>
      </c>
      <c r="L450">
        <f>160+2*(Table2579[[#This Row],[min value (corrected)]]-23)</f>
        <v>170</v>
      </c>
      <c r="M450">
        <f>MINUTE(Table2579[[#This Row],[Corrected time]])</f>
        <v>28</v>
      </c>
      <c r="N450" s="1">
        <v>0.64475841435185188</v>
      </c>
      <c r="O450" s="1">
        <f>Table2579[[#This Row],[Time]]-TIME(0,0,10)</f>
        <v>0.64464267361111116</v>
      </c>
      <c r="P450" t="s">
        <v>9</v>
      </c>
      <c r="Q450">
        <v>-114</v>
      </c>
      <c r="R450">
        <f>Table2579[[#This Row],[RSSI]]</f>
        <v>-114</v>
      </c>
      <c r="S450">
        <v>-9.5</v>
      </c>
    </row>
    <row r="451" spans="2:19" x14ac:dyDescent="0.25">
      <c r="B451">
        <f>160+2*(Table1468[[#This Row],[min value (corrected)]]-32)</f>
        <v>174</v>
      </c>
      <c r="C451">
        <f>MINUTE(Table1468[[#This Row],[Corrected time]])</f>
        <v>39</v>
      </c>
      <c r="D451" s="1">
        <v>0.65229960648148155</v>
      </c>
      <c r="E451" s="1">
        <f>Table1468[[#This Row],[Time]]-TIME(0,0,11)</f>
        <v>0.65217229166666679</v>
      </c>
      <c r="F451" t="s">
        <v>13</v>
      </c>
      <c r="G451" t="str">
        <f>G450</f>
        <v>-113.0,</v>
      </c>
      <c r="H451">
        <f t="shared" si="54"/>
        <v>-113</v>
      </c>
      <c r="I451">
        <f>I450</f>
        <v>-7.5</v>
      </c>
      <c r="L451">
        <f>160+2*(Table2579[[#This Row],[min value (corrected)]]-23)</f>
        <v>170</v>
      </c>
      <c r="M451">
        <f>MINUTE(Table2579[[#This Row],[Corrected time]])</f>
        <v>28</v>
      </c>
      <c r="N451" s="1">
        <v>0.64477060185185187</v>
      </c>
      <c r="O451" s="1">
        <f>Table2579[[#This Row],[Time]]-TIME(0,0,10)</f>
        <v>0.64465486111111114</v>
      </c>
      <c r="P451" t="s">
        <v>27</v>
      </c>
      <c r="Q451">
        <f>Q450</f>
        <v>-114</v>
      </c>
      <c r="R451">
        <f>Table2579[[#This Row],[RSSI]]</f>
        <v>-114</v>
      </c>
      <c r="S451">
        <f>S450</f>
        <v>-9.5</v>
      </c>
    </row>
    <row r="452" spans="2:19" x14ac:dyDescent="0.25">
      <c r="B452">
        <f>160+2*(Table1468[[#This Row],[min value (corrected)]]-32)</f>
        <v>174</v>
      </c>
      <c r="C452">
        <f>MINUTE(Table1468[[#This Row],[Corrected time]])</f>
        <v>39</v>
      </c>
      <c r="D452" s="1">
        <v>0.65231180555555557</v>
      </c>
      <c r="E452" s="1">
        <f>Table1468[[#This Row],[Time]]-TIME(0,0,11)</f>
        <v>0.65218449074074081</v>
      </c>
      <c r="F452" t="s">
        <v>9</v>
      </c>
      <c r="G452" t="s">
        <v>39</v>
      </c>
      <c r="H452">
        <f t="shared" si="54"/>
        <v>-114</v>
      </c>
      <c r="I452">
        <v>-8.8000000000000007</v>
      </c>
      <c r="L452">
        <f>160+2*(Table2579[[#This Row],[min value (corrected)]]-23)</f>
        <v>170</v>
      </c>
      <c r="M452">
        <f>MINUTE(Table2579[[#This Row],[Corrected time]])</f>
        <v>28</v>
      </c>
      <c r="N452" s="1">
        <v>0.64478278935185185</v>
      </c>
      <c r="O452" s="1">
        <f>Table2579[[#This Row],[Time]]-TIME(0,0,10)</f>
        <v>0.64466704861111113</v>
      </c>
      <c r="P452" t="s">
        <v>9</v>
      </c>
      <c r="Q452">
        <v>-114</v>
      </c>
      <c r="R452">
        <f>Table2579[[#This Row],[RSSI]]</f>
        <v>-114</v>
      </c>
      <c r="S452">
        <v>-8.8000000000000007</v>
      </c>
    </row>
    <row r="453" spans="2:19" x14ac:dyDescent="0.25">
      <c r="B453">
        <f>160+2*(Table1468[[#This Row],[min value (corrected)]]-32)</f>
        <v>174</v>
      </c>
      <c r="C453">
        <f>MINUTE(Table1468[[#This Row],[Corrected time]])</f>
        <v>39</v>
      </c>
      <c r="D453" s="1">
        <v>0.65232398148148152</v>
      </c>
      <c r="E453" s="1">
        <f>Table1468[[#This Row],[Time]]-TIME(0,0,11)</f>
        <v>0.65219666666666676</v>
      </c>
      <c r="F453" t="s">
        <v>9</v>
      </c>
      <c r="G453" t="s">
        <v>39</v>
      </c>
      <c r="H453">
        <f t="shared" si="54"/>
        <v>-114</v>
      </c>
      <c r="I453">
        <v>-9.5</v>
      </c>
      <c r="L453">
        <f>160+2*(Table2579[[#This Row],[min value (corrected)]]-23)</f>
        <v>170</v>
      </c>
      <c r="M453">
        <f>MINUTE(Table2579[[#This Row],[Corrected time]])</f>
        <v>28</v>
      </c>
      <c r="N453" s="1">
        <v>0.6447949652777778</v>
      </c>
      <c r="O453" s="1">
        <f>Table2579[[#This Row],[Time]]-TIME(0,0,10)</f>
        <v>0.64467922453703708</v>
      </c>
      <c r="P453" t="s">
        <v>13</v>
      </c>
      <c r="Q453">
        <f>Q452</f>
        <v>-114</v>
      </c>
      <c r="R453">
        <f>Table2579[[#This Row],[RSSI]]</f>
        <v>-114</v>
      </c>
      <c r="S453">
        <f>S452</f>
        <v>-8.8000000000000007</v>
      </c>
    </row>
    <row r="454" spans="2:19" x14ac:dyDescent="0.25">
      <c r="B454">
        <f>160+2*(Table1468[[#This Row],[min value (corrected)]]-32)</f>
        <v>174</v>
      </c>
      <c r="C454">
        <f>MINUTE(Table1468[[#This Row],[Corrected time]])</f>
        <v>39</v>
      </c>
      <c r="D454" s="1">
        <v>0.65233618055555553</v>
      </c>
      <c r="E454" s="1">
        <f>Table1468[[#This Row],[Time]]-TIME(0,0,11)</f>
        <v>0.65220886574074077</v>
      </c>
      <c r="F454" t="s">
        <v>9</v>
      </c>
      <c r="G454" t="s">
        <v>39</v>
      </c>
      <c r="H454">
        <f t="shared" si="54"/>
        <v>-114</v>
      </c>
      <c r="I454">
        <v>-8.5</v>
      </c>
      <c r="L454">
        <f>160+2*(Table2579[[#This Row],[min value (corrected)]]-23)</f>
        <v>170</v>
      </c>
      <c r="M454">
        <f>MINUTE(Table2579[[#This Row],[Corrected time]])</f>
        <v>28</v>
      </c>
      <c r="N454" s="1">
        <v>0.64480716435185181</v>
      </c>
      <c r="O454" s="1">
        <f>Table2579[[#This Row],[Time]]-TIME(0,0,10)</f>
        <v>0.64469142361111109</v>
      </c>
      <c r="P454" t="s">
        <v>9</v>
      </c>
      <c r="Q454">
        <v>-114</v>
      </c>
      <c r="R454">
        <f>Table2579[[#This Row],[RSSI]]</f>
        <v>-114</v>
      </c>
      <c r="S454">
        <v>-8.3000000000000007</v>
      </c>
    </row>
    <row r="455" spans="2:19" x14ac:dyDescent="0.25">
      <c r="B455">
        <f>160+2*(Table1468[[#This Row],[min value (corrected)]]-32)</f>
        <v>174</v>
      </c>
      <c r="C455">
        <f>MINUTE(Table1468[[#This Row],[Corrected time]])</f>
        <v>39</v>
      </c>
      <c r="D455" s="1">
        <v>0.65234836805555552</v>
      </c>
      <c r="E455" s="1">
        <f>Table1468[[#This Row],[Time]]-TIME(0,0,11)</f>
        <v>0.65222105324074076</v>
      </c>
      <c r="F455" t="s">
        <v>9</v>
      </c>
      <c r="G455" t="s">
        <v>37</v>
      </c>
      <c r="H455">
        <f t="shared" si="54"/>
        <v>-113</v>
      </c>
      <c r="I455">
        <v>-9</v>
      </c>
      <c r="L455">
        <f>160+2*(Table2579[[#This Row],[min value (corrected)]]-23)</f>
        <v>170</v>
      </c>
      <c r="M455">
        <f>MINUTE(Table2579[[#This Row],[Corrected time]])</f>
        <v>28</v>
      </c>
      <c r="N455" s="1">
        <v>0.6448193518518518</v>
      </c>
      <c r="O455" s="1">
        <f>Table2579[[#This Row],[Time]]-TIME(0,0,10)</f>
        <v>0.64470361111111107</v>
      </c>
      <c r="P455" t="s">
        <v>9</v>
      </c>
      <c r="Q455">
        <v>-113</v>
      </c>
      <c r="R455">
        <f>Table2579[[#This Row],[RSSI]]</f>
        <v>-113</v>
      </c>
      <c r="S455">
        <v>-8.3000000000000007</v>
      </c>
    </row>
    <row r="456" spans="2:19" x14ac:dyDescent="0.25">
      <c r="B456">
        <f>160+2*(Table1468[[#This Row],[min value (corrected)]]-32)</f>
        <v>174</v>
      </c>
      <c r="C456">
        <f>MINUTE(Table1468[[#This Row],[Corrected time]])</f>
        <v>39</v>
      </c>
      <c r="D456" s="1">
        <v>0.6523605555555555</v>
      </c>
      <c r="E456" s="1">
        <f>Table1468[[#This Row],[Time]]-TIME(0,0,11)</f>
        <v>0.65223324074074074</v>
      </c>
      <c r="F456" t="s">
        <v>27</v>
      </c>
      <c r="G456" t="str">
        <f t="shared" ref="G456:G457" si="61">G455</f>
        <v>-113.0,</v>
      </c>
      <c r="H456">
        <f t="shared" si="54"/>
        <v>-113</v>
      </c>
      <c r="I456">
        <f t="shared" ref="I456:I457" si="62">I455</f>
        <v>-9</v>
      </c>
      <c r="L456">
        <f>160+2*(Table2579[[#This Row],[min value (corrected)]]-23)</f>
        <v>170</v>
      </c>
      <c r="M456">
        <f>MINUTE(Table2579[[#This Row],[Corrected time]])</f>
        <v>28</v>
      </c>
      <c r="N456" s="1">
        <v>0.64483152777777786</v>
      </c>
      <c r="O456" s="1">
        <f>Table2579[[#This Row],[Time]]-TIME(0,0,10)</f>
        <v>0.64471578703703714</v>
      </c>
      <c r="P456" t="s">
        <v>9</v>
      </c>
      <c r="Q456">
        <v>-113</v>
      </c>
      <c r="R456">
        <f>Table2579[[#This Row],[RSSI]]</f>
        <v>-113</v>
      </c>
      <c r="S456">
        <v>-8.3000000000000007</v>
      </c>
    </row>
    <row r="457" spans="2:19" x14ac:dyDescent="0.25">
      <c r="B457">
        <f>160+2*(Table1468[[#This Row],[min value (corrected)]]-32)</f>
        <v>174</v>
      </c>
      <c r="C457">
        <f>MINUTE(Table1468[[#This Row],[Corrected time]])</f>
        <v>39</v>
      </c>
      <c r="D457" s="1">
        <v>0.6523605555555555</v>
      </c>
      <c r="E457" s="1">
        <f>Table1468[[#This Row],[Time]]-TIME(0,0,11)</f>
        <v>0.65223324074074074</v>
      </c>
      <c r="F457" t="s">
        <v>13</v>
      </c>
      <c r="G457" t="str">
        <f t="shared" si="61"/>
        <v>-113.0,</v>
      </c>
      <c r="H457">
        <f t="shared" si="54"/>
        <v>-113</v>
      </c>
      <c r="I457">
        <f t="shared" si="62"/>
        <v>-9</v>
      </c>
      <c r="L457">
        <f>160+2*(Table2579[[#This Row],[min value (corrected)]]-23)</f>
        <v>170</v>
      </c>
      <c r="M457">
        <f>MINUTE(Table2579[[#This Row],[Corrected time]])</f>
        <v>28</v>
      </c>
      <c r="N457" s="1">
        <v>0.64484372685185187</v>
      </c>
      <c r="O457" s="1">
        <f>Table2579[[#This Row],[Time]]-TIME(0,0,10)</f>
        <v>0.64472798611111115</v>
      </c>
      <c r="P457" t="s">
        <v>13</v>
      </c>
      <c r="Q457">
        <f>Q456</f>
        <v>-113</v>
      </c>
      <c r="R457">
        <f>Table2579[[#This Row],[RSSI]]</f>
        <v>-113</v>
      </c>
      <c r="S457">
        <f>S456</f>
        <v>-8.3000000000000007</v>
      </c>
    </row>
    <row r="458" spans="2:19" x14ac:dyDescent="0.25">
      <c r="B458">
        <f>160+2*(Table1468[[#This Row],[min value (corrected)]]-32)</f>
        <v>174</v>
      </c>
      <c r="C458">
        <f>MINUTE(Table1468[[#This Row],[Corrected time]])</f>
        <v>39</v>
      </c>
      <c r="D458" s="1">
        <v>0.65238491898148154</v>
      </c>
      <c r="E458" s="1">
        <f>Table1468[[#This Row],[Time]]-TIME(0,0,11)</f>
        <v>0.65225760416666678</v>
      </c>
      <c r="F458" t="s">
        <v>9</v>
      </c>
      <c r="G458" t="s">
        <v>37</v>
      </c>
      <c r="H458">
        <f t="shared" si="54"/>
        <v>-113</v>
      </c>
      <c r="I458">
        <v>-8.3000000000000007</v>
      </c>
      <c r="L458">
        <f>160+2*(Table2579[[#This Row],[min value (corrected)]]-23)</f>
        <v>170</v>
      </c>
      <c r="M458">
        <f>MINUTE(Table2579[[#This Row],[Corrected time]])</f>
        <v>28</v>
      </c>
      <c r="N458" s="1">
        <v>0.64485591435185186</v>
      </c>
      <c r="O458" s="1">
        <f>Table2579[[#This Row],[Time]]-TIME(0,0,10)</f>
        <v>0.64474017361111113</v>
      </c>
      <c r="P458" t="s">
        <v>9</v>
      </c>
      <c r="Q458">
        <v>-114</v>
      </c>
      <c r="R458">
        <f>Table2579[[#This Row],[RSSI]]</f>
        <v>-114</v>
      </c>
      <c r="S458">
        <v>-8.5</v>
      </c>
    </row>
    <row r="459" spans="2:19" x14ac:dyDescent="0.25">
      <c r="B459">
        <f>160+2*(Table1468[[#This Row],[min value (corrected)]]-32)</f>
        <v>174</v>
      </c>
      <c r="C459">
        <f>MINUTE(Table1468[[#This Row],[Corrected time]])</f>
        <v>39</v>
      </c>
      <c r="D459" s="1">
        <v>0.65239711805555556</v>
      </c>
      <c r="E459" s="1">
        <f>Table1468[[#This Row],[Time]]-TIME(0,0,11)</f>
        <v>0.6522698032407408</v>
      </c>
      <c r="F459" t="s">
        <v>9</v>
      </c>
      <c r="G459" t="s">
        <v>39</v>
      </c>
      <c r="H459">
        <f t="shared" si="54"/>
        <v>-114</v>
      </c>
      <c r="I459">
        <v>-8</v>
      </c>
      <c r="L459">
        <f>160+2*(Table2579[[#This Row],[min value (corrected)]]-23)</f>
        <v>170</v>
      </c>
      <c r="M459">
        <f>MINUTE(Table2579[[#This Row],[Corrected time]])</f>
        <v>28</v>
      </c>
      <c r="N459" s="1">
        <v>0.64486810185185184</v>
      </c>
      <c r="O459" s="1">
        <f>Table2579[[#This Row],[Time]]-TIME(0,0,10)</f>
        <v>0.64475236111111112</v>
      </c>
      <c r="P459" t="s">
        <v>9</v>
      </c>
      <c r="Q459">
        <v>-114</v>
      </c>
      <c r="R459">
        <f>Table2579[[#This Row],[RSSI]]</f>
        <v>-114</v>
      </c>
      <c r="S459">
        <v>-8.8000000000000007</v>
      </c>
    </row>
    <row r="460" spans="2:19" x14ac:dyDescent="0.25">
      <c r="B460">
        <f>160+2*(Table1468[[#This Row],[min value (corrected)]]-32)</f>
        <v>174</v>
      </c>
      <c r="C460">
        <f>MINUTE(Table1468[[#This Row],[Corrected time]])</f>
        <v>39</v>
      </c>
      <c r="D460" s="1">
        <v>0.65240929398148151</v>
      </c>
      <c r="E460" s="1">
        <f>Table1468[[#This Row],[Time]]-TIME(0,0,11)</f>
        <v>0.65228197916666675</v>
      </c>
      <c r="F460" t="s">
        <v>9</v>
      </c>
      <c r="G460" t="s">
        <v>39</v>
      </c>
      <c r="H460">
        <f t="shared" si="54"/>
        <v>-114</v>
      </c>
      <c r="I460">
        <v>-8.8000000000000007</v>
      </c>
      <c r="L460">
        <f>160+2*(Table2579[[#This Row],[min value (corrected)]]-23)</f>
        <v>170</v>
      </c>
      <c r="M460">
        <f>MINUTE(Table2579[[#This Row],[Corrected time]])</f>
        <v>28</v>
      </c>
      <c r="N460" s="1">
        <v>0.64488027777777779</v>
      </c>
      <c r="O460" s="1">
        <f>Table2579[[#This Row],[Time]]-TIME(0,0,10)</f>
        <v>0.64476453703703707</v>
      </c>
      <c r="P460" t="s">
        <v>9</v>
      </c>
      <c r="Q460">
        <v>-114</v>
      </c>
      <c r="R460">
        <f>Table2579[[#This Row],[RSSI]]</f>
        <v>-114</v>
      </c>
      <c r="S460">
        <v>-9</v>
      </c>
    </row>
    <row r="461" spans="2:19" x14ac:dyDescent="0.25">
      <c r="B461">
        <f>160+2*(Table1468[[#This Row],[min value (corrected)]]-32)</f>
        <v>174</v>
      </c>
      <c r="C461">
        <f>MINUTE(Table1468[[#This Row],[Corrected time]])</f>
        <v>39</v>
      </c>
      <c r="D461" s="1">
        <v>0.65242149305555552</v>
      </c>
      <c r="E461" s="1">
        <f>Table1468[[#This Row],[Time]]-TIME(0,0,11)</f>
        <v>0.65229417824074076</v>
      </c>
      <c r="F461" t="s">
        <v>9</v>
      </c>
      <c r="G461" t="s">
        <v>39</v>
      </c>
      <c r="H461">
        <f t="shared" si="54"/>
        <v>-114</v>
      </c>
      <c r="I461">
        <v>-8.5</v>
      </c>
      <c r="L461">
        <f>160+2*(Table2579[[#This Row],[min value (corrected)]]-23)</f>
        <v>170</v>
      </c>
      <c r="M461">
        <f>MINUTE(Table2579[[#This Row],[Corrected time]])</f>
        <v>28</v>
      </c>
      <c r="N461" s="1">
        <v>0.6448924768518518</v>
      </c>
      <c r="O461" s="1">
        <f>Table2579[[#This Row],[Time]]-TIME(0,0,10)</f>
        <v>0.64477673611111108</v>
      </c>
      <c r="P461" t="s">
        <v>9</v>
      </c>
      <c r="Q461">
        <v>-114</v>
      </c>
      <c r="R461">
        <f>Table2579[[#This Row],[RSSI]]</f>
        <v>-114</v>
      </c>
      <c r="S461">
        <v>-9.3000000000000007</v>
      </c>
    </row>
    <row r="462" spans="2:19" x14ac:dyDescent="0.25">
      <c r="B462">
        <f>160+2*(Table1468[[#This Row],[min value (corrected)]]-32)</f>
        <v>174</v>
      </c>
      <c r="C462">
        <f>MINUTE(Table1468[[#This Row],[Corrected time]])</f>
        <v>39</v>
      </c>
      <c r="D462" s="1">
        <v>0.65243368055555551</v>
      </c>
      <c r="E462" s="1">
        <f>Table1468[[#This Row],[Time]]-TIME(0,0,11)</f>
        <v>0.65230636574074075</v>
      </c>
      <c r="F462" t="s">
        <v>13</v>
      </c>
      <c r="G462" t="str">
        <f>G461</f>
        <v>-114.0,</v>
      </c>
      <c r="H462">
        <f t="shared" si="54"/>
        <v>-114</v>
      </c>
      <c r="I462">
        <f>I461</f>
        <v>-8.5</v>
      </c>
      <c r="L462">
        <f>160+2*(Table2579[[#This Row],[min value (corrected)]]-23)</f>
        <v>170</v>
      </c>
      <c r="M462">
        <f>MINUTE(Table2579[[#This Row],[Corrected time]])</f>
        <v>28</v>
      </c>
      <c r="N462" s="1">
        <v>0.64490466435185179</v>
      </c>
      <c r="O462" s="1">
        <f>Table2579[[#This Row],[Time]]-TIME(0,0,10)</f>
        <v>0.64478892361111106</v>
      </c>
      <c r="P462" t="s">
        <v>9</v>
      </c>
      <c r="Q462">
        <v>-114</v>
      </c>
      <c r="R462">
        <f>Table2579[[#This Row],[RSSI]]</f>
        <v>-114</v>
      </c>
      <c r="S462">
        <v>-8.3000000000000007</v>
      </c>
    </row>
    <row r="463" spans="2:19" x14ac:dyDescent="0.25">
      <c r="B463">
        <f>160+2*(Table1468[[#This Row],[min value (corrected)]]-32)</f>
        <v>174</v>
      </c>
      <c r="C463">
        <f>MINUTE(Table1468[[#This Row],[Corrected time]])</f>
        <v>39</v>
      </c>
      <c r="D463" s="1">
        <v>0.65244586805555549</v>
      </c>
      <c r="E463" s="1">
        <f>Table1468[[#This Row],[Time]]-TIME(0,0,11)</f>
        <v>0.65231855324074073</v>
      </c>
      <c r="F463" t="s">
        <v>9</v>
      </c>
      <c r="G463" t="s">
        <v>39</v>
      </c>
      <c r="H463">
        <f t="shared" si="54"/>
        <v>-114</v>
      </c>
      <c r="I463">
        <v>-9.3000000000000007</v>
      </c>
      <c r="L463">
        <f>160+2*(Table2579[[#This Row],[min value (corrected)]]-23)</f>
        <v>170</v>
      </c>
      <c r="M463">
        <f>MINUTE(Table2579[[#This Row],[Corrected time]])</f>
        <v>28</v>
      </c>
      <c r="N463" s="1">
        <v>0.64491685185185188</v>
      </c>
      <c r="O463" s="1">
        <f>Table2579[[#This Row],[Time]]-TIME(0,0,10)</f>
        <v>0.64480111111111116</v>
      </c>
      <c r="P463" t="s">
        <v>9</v>
      </c>
      <c r="Q463">
        <v>-114</v>
      </c>
      <c r="R463">
        <f>Table2579[[#This Row],[RSSI]]</f>
        <v>-114</v>
      </c>
      <c r="S463">
        <v>-8.8000000000000007</v>
      </c>
    </row>
    <row r="464" spans="2:19" x14ac:dyDescent="0.25">
      <c r="B464">
        <f>160+2*(Table1468[[#This Row],[min value (corrected)]]-32)</f>
        <v>174</v>
      </c>
      <c r="C464">
        <f>MINUTE(Table1468[[#This Row],[Corrected time]])</f>
        <v>39</v>
      </c>
      <c r="D464" s="1">
        <v>0.65245805555555547</v>
      </c>
      <c r="E464" s="1">
        <f>Table1468[[#This Row],[Time]]-TIME(0,0,11)</f>
        <v>0.65233074074074071</v>
      </c>
      <c r="F464" t="s">
        <v>13</v>
      </c>
      <c r="G464" t="str">
        <f>G463</f>
        <v>-114.0,</v>
      </c>
      <c r="H464">
        <f t="shared" si="54"/>
        <v>-114</v>
      </c>
      <c r="I464">
        <f>I463</f>
        <v>-9.3000000000000007</v>
      </c>
      <c r="L464">
        <f>160+2*(Table2579[[#This Row],[min value (corrected)]]-23)</f>
        <v>170</v>
      </c>
      <c r="M464">
        <f>MINUTE(Table2579[[#This Row],[Corrected time]])</f>
        <v>28</v>
      </c>
      <c r="N464" s="1">
        <v>0.64492902777777783</v>
      </c>
      <c r="O464" s="1">
        <f>Table2579[[#This Row],[Time]]-TIME(0,0,10)</f>
        <v>0.64481328703703711</v>
      </c>
      <c r="P464" t="s">
        <v>9</v>
      </c>
      <c r="Q464">
        <v>-111</v>
      </c>
      <c r="R464">
        <f>Table2579[[#This Row],[RSSI]]</f>
        <v>-111</v>
      </c>
      <c r="S464">
        <v>-8.8000000000000007</v>
      </c>
    </row>
    <row r="465" spans="2:19" x14ac:dyDescent="0.25">
      <c r="B465">
        <f>160+2*(Table1468[[#This Row],[min value (corrected)]]-32)</f>
        <v>174</v>
      </c>
      <c r="C465">
        <f>MINUTE(Table1468[[#This Row],[Corrected time]])</f>
        <v>39</v>
      </c>
      <c r="D465" s="1">
        <v>0.65247024305555557</v>
      </c>
      <c r="E465" s="1">
        <f>Table1468[[#This Row],[Time]]-TIME(0,0,11)</f>
        <v>0.6523429282407408</v>
      </c>
      <c r="F465" t="s">
        <v>9</v>
      </c>
      <c r="G465" t="s">
        <v>39</v>
      </c>
      <c r="H465">
        <f t="shared" si="54"/>
        <v>-114</v>
      </c>
      <c r="I465">
        <v>-8.5</v>
      </c>
      <c r="L465">
        <f>160+2*(Table2579[[#This Row],[min value (corrected)]]-23)</f>
        <v>170</v>
      </c>
      <c r="M465">
        <f>MINUTE(Table2579[[#This Row],[Corrected time]])</f>
        <v>28</v>
      </c>
      <c r="N465" s="1">
        <v>0.64494122685185185</v>
      </c>
      <c r="O465" s="1">
        <f>Table2579[[#This Row],[Time]]-TIME(0,0,10)</f>
        <v>0.64482548611111112</v>
      </c>
      <c r="P465" t="s">
        <v>9</v>
      </c>
      <c r="Q465">
        <v>-114</v>
      </c>
      <c r="R465">
        <f>Table2579[[#This Row],[RSSI]]</f>
        <v>-114</v>
      </c>
      <c r="S465">
        <v>-8.8000000000000007</v>
      </c>
    </row>
    <row r="466" spans="2:19" x14ac:dyDescent="0.25">
      <c r="B466">
        <f>160+2*(Table1468[[#This Row],[min value (corrected)]]-32)</f>
        <v>174</v>
      </c>
      <c r="C466">
        <f>MINUTE(Table1468[[#This Row],[Corrected time]])</f>
        <v>39</v>
      </c>
      <c r="D466" s="1">
        <v>0.65248241898148152</v>
      </c>
      <c r="E466" s="1">
        <f>Table1468[[#This Row],[Time]]-TIME(0,0,11)</f>
        <v>0.65235510416666675</v>
      </c>
      <c r="F466" t="s">
        <v>9</v>
      </c>
      <c r="G466" t="s">
        <v>39</v>
      </c>
      <c r="H466">
        <f t="shared" si="54"/>
        <v>-114</v>
      </c>
      <c r="I466">
        <v>-9</v>
      </c>
      <c r="L466">
        <f>160+2*(Table2579[[#This Row],[min value (corrected)]]-23)</f>
        <v>170</v>
      </c>
      <c r="M466">
        <f>MINUTE(Table2579[[#This Row],[Corrected time]])</f>
        <v>28</v>
      </c>
      <c r="N466" s="1">
        <v>0.6449534027777778</v>
      </c>
      <c r="O466" s="1">
        <f>Table2579[[#This Row],[Time]]-TIME(0,0,10)</f>
        <v>0.64483766203703707</v>
      </c>
      <c r="P466" t="s">
        <v>9</v>
      </c>
      <c r="Q466">
        <v>-113</v>
      </c>
      <c r="R466">
        <f>Table2579[[#This Row],[RSSI]]</f>
        <v>-113</v>
      </c>
      <c r="S466">
        <v>-8.3000000000000007</v>
      </c>
    </row>
    <row r="467" spans="2:19" x14ac:dyDescent="0.25">
      <c r="B467">
        <f>160+2*(Table1468[[#This Row],[min value (corrected)]]-32)</f>
        <v>174</v>
      </c>
      <c r="C467">
        <f>MINUTE(Table1468[[#This Row],[Corrected time]])</f>
        <v>39</v>
      </c>
      <c r="D467" s="1">
        <v>0.65249461805555564</v>
      </c>
      <c r="E467" s="1">
        <f>Table1468[[#This Row],[Time]]-TIME(0,0,11)</f>
        <v>0.65236730324074088</v>
      </c>
      <c r="F467" t="s">
        <v>9</v>
      </c>
      <c r="G467" t="s">
        <v>39</v>
      </c>
      <c r="H467">
        <f t="shared" si="54"/>
        <v>-114</v>
      </c>
      <c r="I467">
        <v>-8.5</v>
      </c>
      <c r="L467">
        <f>160+2*(Table2579[[#This Row],[min value (corrected)]]-23)</f>
        <v>170</v>
      </c>
      <c r="M467">
        <f>MINUTE(Table2579[[#This Row],[Corrected time]])</f>
        <v>28</v>
      </c>
      <c r="N467" s="1">
        <v>0.64496560185185181</v>
      </c>
      <c r="O467" s="1">
        <f>Table2579[[#This Row],[Time]]-TIME(0,0,10)</f>
        <v>0.64484986111111109</v>
      </c>
      <c r="P467" t="s">
        <v>9</v>
      </c>
      <c r="Q467">
        <v>-111</v>
      </c>
      <c r="R467">
        <f>Table2579[[#This Row],[RSSI]]</f>
        <v>-111</v>
      </c>
      <c r="S467">
        <v>-7.7</v>
      </c>
    </row>
    <row r="468" spans="2:19" x14ac:dyDescent="0.25">
      <c r="B468">
        <f>160+2*(Table1468[[#This Row],[min value (corrected)]]-32)</f>
        <v>174</v>
      </c>
      <c r="C468">
        <f>MINUTE(Table1468[[#This Row],[Corrected time]])</f>
        <v>39</v>
      </c>
      <c r="D468" s="1">
        <v>0.65250680555555562</v>
      </c>
      <c r="E468" s="1">
        <f>Table1468[[#This Row],[Time]]-TIME(0,0,11)</f>
        <v>0.65237949074074086</v>
      </c>
      <c r="F468" t="s">
        <v>13</v>
      </c>
      <c r="G468" t="str">
        <f>G467</f>
        <v>-114.0,</v>
      </c>
      <c r="H468">
        <f t="shared" si="54"/>
        <v>-114</v>
      </c>
      <c r="I468">
        <f>I467</f>
        <v>-8.5</v>
      </c>
      <c r="L468">
        <f>160+2*(Table2579[[#This Row],[min value (corrected)]]-23)</f>
        <v>170</v>
      </c>
      <c r="M468">
        <f>MINUTE(Table2579[[#This Row],[Corrected time]])</f>
        <v>28</v>
      </c>
      <c r="N468" s="1">
        <v>0.64497777777777776</v>
      </c>
      <c r="O468" s="1">
        <f>Table2579[[#This Row],[Time]]-TIME(0,0,10)</f>
        <v>0.64486203703703704</v>
      </c>
      <c r="P468" t="s">
        <v>9</v>
      </c>
      <c r="Q468">
        <v>-113</v>
      </c>
      <c r="R468">
        <f>Table2579[[#This Row],[RSSI]]</f>
        <v>-113</v>
      </c>
      <c r="S468">
        <v>-8</v>
      </c>
    </row>
    <row r="469" spans="2:19" x14ac:dyDescent="0.25">
      <c r="B469">
        <f>160+2*(Table1468[[#This Row],[min value (corrected)]]-32)</f>
        <v>174</v>
      </c>
      <c r="C469">
        <f>MINUTE(Table1468[[#This Row],[Corrected time]])</f>
        <v>39</v>
      </c>
      <c r="D469" s="1">
        <v>0.65251898148148146</v>
      </c>
      <c r="E469" s="1">
        <f>Table1468[[#This Row],[Time]]-TIME(0,0,11)</f>
        <v>0.6523916666666667</v>
      </c>
      <c r="F469" t="s">
        <v>9</v>
      </c>
      <c r="G469" t="s">
        <v>37</v>
      </c>
      <c r="H469">
        <f t="shared" si="54"/>
        <v>-113</v>
      </c>
      <c r="I469">
        <v>-8</v>
      </c>
      <c r="L469">
        <f>160+2*(Table2579[[#This Row],[min value (corrected)]]-23)</f>
        <v>170</v>
      </c>
      <c r="M469">
        <f>MINUTE(Table2579[[#This Row],[Corrected time]])</f>
        <v>28</v>
      </c>
      <c r="N469" s="1">
        <v>0.64498997685185178</v>
      </c>
      <c r="O469" s="1">
        <f>Table2579[[#This Row],[Time]]-TIME(0,0,10)</f>
        <v>0.64487423611111105</v>
      </c>
      <c r="P469" t="s">
        <v>13</v>
      </c>
      <c r="Q469">
        <f>Q468</f>
        <v>-113</v>
      </c>
      <c r="R469">
        <f>Table2579[[#This Row],[RSSI]]</f>
        <v>-113</v>
      </c>
      <c r="S469">
        <f>S468</f>
        <v>-8</v>
      </c>
    </row>
    <row r="470" spans="2:19" x14ac:dyDescent="0.25">
      <c r="B470">
        <f>160+2*(Table1468[[#This Row],[min value (corrected)]]-32)</f>
        <v>174</v>
      </c>
      <c r="C470">
        <f>MINUTE(Table1468[[#This Row],[Corrected time]])</f>
        <v>39</v>
      </c>
      <c r="D470" s="1">
        <v>0.65253116898148145</v>
      </c>
      <c r="E470" s="1">
        <f>Table1468[[#This Row],[Time]]-TIME(0,0,11)</f>
        <v>0.65240385416666669</v>
      </c>
      <c r="F470" t="s">
        <v>9</v>
      </c>
      <c r="G470" t="s">
        <v>43</v>
      </c>
      <c r="H470">
        <f t="shared" ref="H470:H533" si="63">VALUE(LEFT(G470,LEN(G470)-1))</f>
        <v>-115</v>
      </c>
      <c r="I470">
        <v>-9.3000000000000007</v>
      </c>
      <c r="L470">
        <f>160+2*(Table2579[[#This Row],[min value (corrected)]]-23)</f>
        <v>170</v>
      </c>
      <c r="M470">
        <f>MINUTE(Table2579[[#This Row],[Corrected time]])</f>
        <v>28</v>
      </c>
      <c r="N470" s="1">
        <v>0.64500216435185187</v>
      </c>
      <c r="O470" s="1">
        <f>Table2579[[#This Row],[Time]]-TIME(0,0,10)</f>
        <v>0.64488642361111115</v>
      </c>
      <c r="P470" t="s">
        <v>9</v>
      </c>
      <c r="Q470">
        <v>-113</v>
      </c>
      <c r="R470">
        <f>Table2579[[#This Row],[RSSI]]</f>
        <v>-113</v>
      </c>
      <c r="S470">
        <v>-9</v>
      </c>
    </row>
    <row r="471" spans="2:19" x14ac:dyDescent="0.25">
      <c r="B471">
        <f>160+2*(Table1468[[#This Row],[min value (corrected)]]-32)</f>
        <v>174</v>
      </c>
      <c r="C471">
        <f>MINUTE(Table1468[[#This Row],[Corrected time]])</f>
        <v>39</v>
      </c>
      <c r="D471" s="1">
        <v>0.65254335648148143</v>
      </c>
      <c r="E471" s="1">
        <f>Table1468[[#This Row],[Time]]-TIME(0,0,11)</f>
        <v>0.65241604166666667</v>
      </c>
      <c r="F471" t="s">
        <v>9</v>
      </c>
      <c r="G471" t="s">
        <v>39</v>
      </c>
      <c r="H471">
        <f t="shared" si="63"/>
        <v>-114</v>
      </c>
      <c r="I471">
        <v>-9</v>
      </c>
      <c r="L471">
        <f>160+2*(Table2579[[#This Row],[min value (corrected)]]-23)</f>
        <v>170</v>
      </c>
      <c r="M471">
        <f>MINUTE(Table2579[[#This Row],[Corrected time]])</f>
        <v>28</v>
      </c>
      <c r="N471" s="1">
        <v>0.64501435185185185</v>
      </c>
      <c r="O471" s="1">
        <f>Table2579[[#This Row],[Time]]-TIME(0,0,10)</f>
        <v>0.64489861111111113</v>
      </c>
      <c r="P471" t="s">
        <v>9</v>
      </c>
      <c r="Q471">
        <v>-114</v>
      </c>
      <c r="R471">
        <f>Table2579[[#This Row],[RSSI]]</f>
        <v>-114</v>
      </c>
      <c r="S471">
        <v>-9</v>
      </c>
    </row>
    <row r="472" spans="2:19" x14ac:dyDescent="0.25">
      <c r="B472">
        <f>160+2*(Table1468[[#This Row],[min value (corrected)]]-32)</f>
        <v>174</v>
      </c>
      <c r="C472">
        <f>MINUTE(Table1468[[#This Row],[Corrected time]])</f>
        <v>39</v>
      </c>
      <c r="D472" s="1">
        <v>0.65255555555555556</v>
      </c>
      <c r="E472" s="1">
        <f>Table1468[[#This Row],[Time]]-TIME(0,0,11)</f>
        <v>0.65242824074074079</v>
      </c>
      <c r="F472" t="s">
        <v>9</v>
      </c>
      <c r="G472" t="s">
        <v>37</v>
      </c>
      <c r="H472">
        <f t="shared" si="63"/>
        <v>-113</v>
      </c>
      <c r="I472">
        <v>-8</v>
      </c>
      <c r="L472">
        <f>160+2*(Table2579[[#This Row],[min value (corrected)]]-23)</f>
        <v>170</v>
      </c>
      <c r="M472">
        <f>MINUTE(Table2579[[#This Row],[Corrected time]])</f>
        <v>28</v>
      </c>
      <c r="N472" s="1">
        <v>0.64502653935185184</v>
      </c>
      <c r="O472" s="1">
        <f>Table2579[[#This Row],[Time]]-TIME(0,0,10)</f>
        <v>0.64491079861111111</v>
      </c>
      <c r="P472" t="s">
        <v>13</v>
      </c>
      <c r="Q472">
        <f>Q471</f>
        <v>-114</v>
      </c>
      <c r="R472">
        <f>Table2579[[#This Row],[RSSI]]</f>
        <v>-114</v>
      </c>
      <c r="S472">
        <f>S471</f>
        <v>-9</v>
      </c>
    </row>
    <row r="473" spans="2:19" x14ac:dyDescent="0.25">
      <c r="B473">
        <f>160+2*(Table1468[[#This Row],[min value (corrected)]]-32)</f>
        <v>174</v>
      </c>
      <c r="C473">
        <f>MINUTE(Table1468[[#This Row],[Corrected time]])</f>
        <v>39</v>
      </c>
      <c r="D473" s="1">
        <v>0.65256774305555554</v>
      </c>
      <c r="E473" s="1">
        <f>Table1468[[#This Row],[Time]]-TIME(0,0,11)</f>
        <v>0.65244042824074078</v>
      </c>
      <c r="F473" t="s">
        <v>13</v>
      </c>
      <c r="G473" t="str">
        <f>G472</f>
        <v>-113.0,</v>
      </c>
      <c r="H473">
        <f t="shared" si="63"/>
        <v>-113</v>
      </c>
      <c r="I473">
        <f>I472</f>
        <v>-8</v>
      </c>
      <c r="L473">
        <f>160+2*(Table2579[[#This Row],[min value (corrected)]]-23)</f>
        <v>170</v>
      </c>
      <c r="M473">
        <f>MINUTE(Table2579[[#This Row],[Corrected time]])</f>
        <v>28</v>
      </c>
      <c r="N473" s="1">
        <v>0.64503871527777779</v>
      </c>
      <c r="O473" s="1">
        <f>Table2579[[#This Row],[Time]]-TIME(0,0,10)</f>
        <v>0.64492297453703706</v>
      </c>
      <c r="P473" t="s">
        <v>9</v>
      </c>
      <c r="Q473">
        <v>-113</v>
      </c>
      <c r="R473">
        <f>Table2579[[#This Row],[RSSI]]</f>
        <v>-113</v>
      </c>
      <c r="S473">
        <v>-8</v>
      </c>
    </row>
    <row r="474" spans="2:19" x14ac:dyDescent="0.25">
      <c r="B474">
        <f>160+2*(Table1468[[#This Row],[min value (corrected)]]-32)</f>
        <v>174</v>
      </c>
      <c r="C474">
        <f>MINUTE(Table1468[[#This Row],[Corrected time]])</f>
        <v>39</v>
      </c>
      <c r="D474" s="1">
        <v>0.65257993055555563</v>
      </c>
      <c r="E474" s="1">
        <f>Table1468[[#This Row],[Time]]-TIME(0,0,11)</f>
        <v>0.65245261574074087</v>
      </c>
      <c r="F474" t="s">
        <v>9</v>
      </c>
      <c r="G474" t="s">
        <v>37</v>
      </c>
      <c r="H474">
        <f t="shared" si="63"/>
        <v>-113</v>
      </c>
      <c r="I474">
        <v>-7.7</v>
      </c>
      <c r="L474">
        <f>160+2*(Table2579[[#This Row],[min value (corrected)]]-23)</f>
        <v>170</v>
      </c>
      <c r="M474">
        <f>MINUTE(Table2579[[#This Row],[Corrected time]])</f>
        <v>28</v>
      </c>
      <c r="N474" s="1">
        <v>0.6450509143518518</v>
      </c>
      <c r="O474" s="1">
        <f>Table2579[[#This Row],[Time]]-TIME(0,0,10)</f>
        <v>0.64493517361111108</v>
      </c>
      <c r="P474" t="s">
        <v>9</v>
      </c>
      <c r="Q474">
        <v>-114</v>
      </c>
      <c r="R474">
        <f>Table2579[[#This Row],[RSSI]]</f>
        <v>-114</v>
      </c>
      <c r="S474">
        <v>-8</v>
      </c>
    </row>
    <row r="475" spans="2:19" x14ac:dyDescent="0.25">
      <c r="B475">
        <f>160+2*(Table1468[[#This Row],[min value (corrected)]]-32)</f>
        <v>174</v>
      </c>
      <c r="C475">
        <f>MINUTE(Table1468[[#This Row],[Corrected time]])</f>
        <v>39</v>
      </c>
      <c r="D475" s="1">
        <v>0.65259211805555561</v>
      </c>
      <c r="E475" s="1">
        <f>Table1468[[#This Row],[Time]]-TIME(0,0,11)</f>
        <v>0.65246480324074085</v>
      </c>
      <c r="F475" t="s">
        <v>9</v>
      </c>
      <c r="G475" t="s">
        <v>39</v>
      </c>
      <c r="H475">
        <f t="shared" si="63"/>
        <v>-114</v>
      </c>
      <c r="I475">
        <v>-8.3000000000000007</v>
      </c>
      <c r="L475">
        <f>160+2*(Table2579[[#This Row],[min value (corrected)]]-23)</f>
        <v>170</v>
      </c>
      <c r="M475">
        <f>MINUTE(Table2579[[#This Row],[Corrected time]])</f>
        <v>28</v>
      </c>
      <c r="N475" s="1">
        <v>0.64506310185185178</v>
      </c>
      <c r="O475" s="1">
        <f>Table2579[[#This Row],[Time]]-TIME(0,0,10)</f>
        <v>0.64494736111111106</v>
      </c>
      <c r="P475" t="s">
        <v>9</v>
      </c>
      <c r="Q475">
        <v>-113</v>
      </c>
      <c r="R475">
        <f>Table2579[[#This Row],[RSSI]]</f>
        <v>-113</v>
      </c>
      <c r="S475">
        <v>-8.8000000000000007</v>
      </c>
    </row>
    <row r="476" spans="2:19" x14ac:dyDescent="0.25">
      <c r="B476">
        <f>160+2*(Table1468[[#This Row],[min value (corrected)]]-32)</f>
        <v>174</v>
      </c>
      <c r="C476">
        <f>MINUTE(Table1468[[#This Row],[Corrected time]])</f>
        <v>39</v>
      </c>
      <c r="D476" s="1">
        <v>0.6526043055555556</v>
      </c>
      <c r="E476" s="1">
        <f>Table1468[[#This Row],[Time]]-TIME(0,0,11)</f>
        <v>0.65247699074074084</v>
      </c>
      <c r="F476" t="s">
        <v>9</v>
      </c>
      <c r="G476" t="s">
        <v>37</v>
      </c>
      <c r="H476">
        <f t="shared" si="63"/>
        <v>-113</v>
      </c>
      <c r="I476">
        <v>-8.8000000000000007</v>
      </c>
      <c r="L476">
        <f>160+2*(Table2579[[#This Row],[min value (corrected)]]-23)</f>
        <v>170</v>
      </c>
      <c r="M476">
        <f>MINUTE(Table2579[[#This Row],[Corrected time]])</f>
        <v>28</v>
      </c>
      <c r="N476" s="1">
        <v>0.64507528935185177</v>
      </c>
      <c r="O476" s="1">
        <f>Table2579[[#This Row],[Time]]-TIME(0,0,10)</f>
        <v>0.64495954861111104</v>
      </c>
      <c r="P476" t="s">
        <v>13</v>
      </c>
      <c r="Q476">
        <f>Q475</f>
        <v>-113</v>
      </c>
      <c r="R476">
        <f>Table2579[[#This Row],[RSSI]]</f>
        <v>-113</v>
      </c>
      <c r="S476">
        <f>S475</f>
        <v>-8.8000000000000007</v>
      </c>
    </row>
    <row r="477" spans="2:19" x14ac:dyDescent="0.25">
      <c r="B477">
        <f>160+2*(Table1468[[#This Row],[min value (corrected)]]-32)</f>
        <v>174</v>
      </c>
      <c r="C477">
        <f>MINUTE(Table1468[[#This Row],[Corrected time]])</f>
        <v>39</v>
      </c>
      <c r="D477" s="1">
        <v>0.65261648148148144</v>
      </c>
      <c r="E477" s="1">
        <f>Table1468[[#This Row],[Time]]-TIME(0,0,11)</f>
        <v>0.65248916666666668</v>
      </c>
      <c r="F477" t="s">
        <v>9</v>
      </c>
      <c r="G477" t="s">
        <v>39</v>
      </c>
      <c r="H477">
        <f t="shared" si="63"/>
        <v>-114</v>
      </c>
      <c r="I477">
        <v>-9</v>
      </c>
      <c r="L477">
        <f>160+2*(Table2579[[#This Row],[min value (corrected)]]-23)</f>
        <v>170</v>
      </c>
      <c r="M477">
        <f>MINUTE(Table2579[[#This Row],[Corrected time]])</f>
        <v>28</v>
      </c>
      <c r="N477" s="1">
        <v>0.64508746527777783</v>
      </c>
      <c r="O477" s="1">
        <f>Table2579[[#This Row],[Time]]-TIME(0,0,10)</f>
        <v>0.64497172453703711</v>
      </c>
      <c r="P477" t="s">
        <v>9</v>
      </c>
      <c r="Q477">
        <v>-114</v>
      </c>
      <c r="R477">
        <f>Table2579[[#This Row],[RSSI]]</f>
        <v>-114</v>
      </c>
      <c r="S477">
        <v>-8.3000000000000007</v>
      </c>
    </row>
    <row r="478" spans="2:19" x14ac:dyDescent="0.25">
      <c r="B478">
        <f>160+2*(Table1468[[#This Row],[min value (corrected)]]-32)</f>
        <v>174</v>
      </c>
      <c r="C478">
        <f>MINUTE(Table1468[[#This Row],[Corrected time]])</f>
        <v>39</v>
      </c>
      <c r="D478" s="1">
        <v>0.65262868055555556</v>
      </c>
      <c r="E478" s="1">
        <f>Table1468[[#This Row],[Time]]-TIME(0,0,11)</f>
        <v>0.6525013657407408</v>
      </c>
      <c r="F478" t="s">
        <v>9</v>
      </c>
      <c r="G478" t="s">
        <v>37</v>
      </c>
      <c r="H478">
        <f t="shared" si="63"/>
        <v>-113</v>
      </c>
      <c r="I478">
        <v>-7.7</v>
      </c>
      <c r="L478">
        <f>160+2*(Table2579[[#This Row],[min value (corrected)]]-23)</f>
        <v>170</v>
      </c>
      <c r="M478">
        <f>MINUTE(Table2579[[#This Row],[Corrected time]])</f>
        <v>28</v>
      </c>
      <c r="N478" s="1">
        <v>0.64509966435185184</v>
      </c>
      <c r="O478" s="1">
        <f>Table2579[[#This Row],[Time]]-TIME(0,0,10)</f>
        <v>0.64498392361111112</v>
      </c>
      <c r="P478" t="s">
        <v>9</v>
      </c>
      <c r="Q478">
        <v>-114</v>
      </c>
      <c r="R478">
        <f>Table2579[[#This Row],[RSSI]]</f>
        <v>-114</v>
      </c>
      <c r="S478">
        <v>-9</v>
      </c>
    </row>
    <row r="479" spans="2:19" x14ac:dyDescent="0.25">
      <c r="B479">
        <f>160+2*(Table1468[[#This Row],[min value (corrected)]]-32)</f>
        <v>174</v>
      </c>
      <c r="C479">
        <f>MINUTE(Table1468[[#This Row],[Corrected time]])</f>
        <v>39</v>
      </c>
      <c r="D479" s="1">
        <v>0.65264085648148151</v>
      </c>
      <c r="E479" s="1">
        <f>Table1468[[#This Row],[Time]]-TIME(0,0,11)</f>
        <v>0.65251354166666675</v>
      </c>
      <c r="F479" t="s">
        <v>9</v>
      </c>
      <c r="G479" t="s">
        <v>43</v>
      </c>
      <c r="H479">
        <f t="shared" si="63"/>
        <v>-115</v>
      </c>
      <c r="I479">
        <v>-8.8000000000000007</v>
      </c>
      <c r="L479">
        <f>160+2*(Table2579[[#This Row],[min value (corrected)]]-23)</f>
        <v>170</v>
      </c>
      <c r="M479">
        <f>MINUTE(Table2579[[#This Row],[Corrected time]])</f>
        <v>28</v>
      </c>
      <c r="N479" s="1">
        <v>0.64511185185185183</v>
      </c>
      <c r="O479" s="1">
        <f>Table2579[[#This Row],[Time]]-TIME(0,0,10)</f>
        <v>0.6449961111111111</v>
      </c>
      <c r="P479" t="s">
        <v>9</v>
      </c>
      <c r="Q479">
        <v>-114</v>
      </c>
      <c r="R479">
        <f>Table2579[[#This Row],[RSSI]]</f>
        <v>-114</v>
      </c>
      <c r="S479">
        <v>-8.3000000000000007</v>
      </c>
    </row>
    <row r="480" spans="2:19" x14ac:dyDescent="0.25">
      <c r="B480">
        <f>160+2*(Table1468[[#This Row],[min value (corrected)]]-32)</f>
        <v>174</v>
      </c>
      <c r="C480">
        <f>MINUTE(Table1468[[#This Row],[Corrected time]])</f>
        <v>39</v>
      </c>
      <c r="D480" s="1">
        <v>0.6526530439814815</v>
      </c>
      <c r="E480" s="1">
        <f>Table1468[[#This Row],[Time]]-TIME(0,0,11)</f>
        <v>0.65252572916666673</v>
      </c>
      <c r="F480" t="s">
        <v>9</v>
      </c>
      <c r="G480" t="s">
        <v>39</v>
      </c>
      <c r="H480">
        <f t="shared" si="63"/>
        <v>-114</v>
      </c>
      <c r="I480">
        <v>-8.8000000000000007</v>
      </c>
      <c r="L480">
        <f>160+2*(Table2579[[#This Row],[min value (corrected)]]-23)</f>
        <v>170</v>
      </c>
      <c r="M480">
        <f>MINUTE(Table2579[[#This Row],[Corrected time]])</f>
        <v>28</v>
      </c>
      <c r="N480" s="1">
        <v>0.64512403935185181</v>
      </c>
      <c r="O480" s="1">
        <f>Table2579[[#This Row],[Time]]-TIME(0,0,10)</f>
        <v>0.64500829861111109</v>
      </c>
      <c r="P480" t="s">
        <v>13</v>
      </c>
      <c r="Q480">
        <f>Q479</f>
        <v>-114</v>
      </c>
      <c r="R480">
        <f>Table2579[[#This Row],[RSSI]]</f>
        <v>-114</v>
      </c>
      <c r="S480">
        <f>S479</f>
        <v>-8.3000000000000007</v>
      </c>
    </row>
    <row r="481" spans="2:19" x14ac:dyDescent="0.25">
      <c r="B481">
        <f>160+2*(Table1468[[#This Row],[min value (corrected)]]-32)</f>
        <v>174</v>
      </c>
      <c r="C481">
        <f>MINUTE(Table1468[[#This Row],[Corrected time]])</f>
        <v>39</v>
      </c>
      <c r="D481" s="1">
        <v>0.65266524305555562</v>
      </c>
      <c r="E481" s="1">
        <f>Table1468[[#This Row],[Time]]-TIME(0,0,11)</f>
        <v>0.65253792824074086</v>
      </c>
      <c r="F481" t="s">
        <v>9</v>
      </c>
      <c r="G481" t="s">
        <v>39</v>
      </c>
      <c r="H481">
        <f t="shared" si="63"/>
        <v>-114</v>
      </c>
      <c r="I481">
        <v>-8.8000000000000007</v>
      </c>
      <c r="L481">
        <f>160+2*(Table2579[[#This Row],[min value (corrected)]]-23)</f>
        <v>170</v>
      </c>
      <c r="M481">
        <f>MINUTE(Table2579[[#This Row],[Corrected time]])</f>
        <v>28</v>
      </c>
      <c r="N481" s="1">
        <v>0.64513622685185179</v>
      </c>
      <c r="O481" s="1">
        <f>Table2579[[#This Row],[Time]]-TIME(0,0,10)</f>
        <v>0.64502048611111107</v>
      </c>
      <c r="P481" t="s">
        <v>9</v>
      </c>
      <c r="Q481">
        <v>-113</v>
      </c>
      <c r="R481">
        <f>Table2579[[#This Row],[RSSI]]</f>
        <v>-113</v>
      </c>
      <c r="S481">
        <v>-8.5</v>
      </c>
    </row>
    <row r="482" spans="2:19" x14ac:dyDescent="0.25">
      <c r="B482">
        <f>160+2*(Table1468[[#This Row],[min value (corrected)]]-32)</f>
        <v>174</v>
      </c>
      <c r="C482">
        <f>MINUTE(Table1468[[#This Row],[Corrected time]])</f>
        <v>39</v>
      </c>
      <c r="D482" s="1">
        <v>0.6526774305555556</v>
      </c>
      <c r="E482" s="1">
        <f>Table1468[[#This Row],[Time]]-TIME(0,0,11)</f>
        <v>0.65255011574074084</v>
      </c>
      <c r="F482" t="s">
        <v>9</v>
      </c>
      <c r="G482" t="s">
        <v>37</v>
      </c>
      <c r="H482">
        <f t="shared" si="63"/>
        <v>-113</v>
      </c>
      <c r="I482">
        <v>-7.7</v>
      </c>
      <c r="L482">
        <f>160+2*(Table2579[[#This Row],[min value (corrected)]]-23)</f>
        <v>170</v>
      </c>
      <c r="M482">
        <f>MINUTE(Table2579[[#This Row],[Corrected time]])</f>
        <v>28</v>
      </c>
      <c r="N482" s="1">
        <v>0.64514841435185177</v>
      </c>
      <c r="O482" s="1">
        <f>Table2579[[#This Row],[Time]]-TIME(0,0,10)</f>
        <v>0.64503267361111105</v>
      </c>
      <c r="P482" t="s">
        <v>9</v>
      </c>
      <c r="Q482">
        <v>-113</v>
      </c>
      <c r="R482">
        <f>Table2579[[#This Row],[RSSI]]</f>
        <v>-113</v>
      </c>
      <c r="S482">
        <v>-7.5</v>
      </c>
    </row>
    <row r="483" spans="2:19" x14ac:dyDescent="0.25">
      <c r="B483">
        <f>160+2*(Table1468[[#This Row],[min value (corrected)]]-32)</f>
        <v>174</v>
      </c>
      <c r="C483">
        <f>MINUTE(Table1468[[#This Row],[Corrected time]])</f>
        <v>39</v>
      </c>
      <c r="D483" s="1">
        <v>0.65268960648148144</v>
      </c>
      <c r="E483" s="1">
        <f>Table1468[[#This Row],[Time]]-TIME(0,0,11)</f>
        <v>0.65256229166666668</v>
      </c>
      <c r="F483" t="s">
        <v>9</v>
      </c>
      <c r="G483" t="s">
        <v>39</v>
      </c>
      <c r="H483">
        <f t="shared" si="63"/>
        <v>-114</v>
      </c>
      <c r="I483">
        <v>-8.8000000000000007</v>
      </c>
      <c r="L483">
        <f>160+2*(Table2579[[#This Row],[min value (corrected)]]-23)</f>
        <v>170</v>
      </c>
      <c r="M483">
        <f>MINUTE(Table2579[[#This Row],[Corrected time]])</f>
        <v>28</v>
      </c>
      <c r="N483" s="1">
        <v>0.64516060185185187</v>
      </c>
      <c r="O483" s="1">
        <f>Table2579[[#This Row],[Time]]-TIME(0,0,10)</f>
        <v>0.64504486111111115</v>
      </c>
      <c r="P483" t="s">
        <v>13</v>
      </c>
      <c r="Q483">
        <f>Q482</f>
        <v>-113</v>
      </c>
      <c r="R483">
        <f>Table2579[[#This Row],[RSSI]]</f>
        <v>-113</v>
      </c>
      <c r="S483">
        <f>S482</f>
        <v>-7.5</v>
      </c>
    </row>
    <row r="484" spans="2:19" x14ac:dyDescent="0.25">
      <c r="B484">
        <f>160+2*(Table1468[[#This Row],[min value (corrected)]]-32)</f>
        <v>174</v>
      </c>
      <c r="C484">
        <f>MINUTE(Table1468[[#This Row],[Corrected time]])</f>
        <v>39</v>
      </c>
      <c r="D484" s="1">
        <v>0.65270179398148143</v>
      </c>
      <c r="E484" s="1">
        <f>Table1468[[#This Row],[Time]]-TIME(0,0,11)</f>
        <v>0.65257447916666667</v>
      </c>
      <c r="F484" t="s">
        <v>9</v>
      </c>
      <c r="G484" t="s">
        <v>37</v>
      </c>
      <c r="H484">
        <f t="shared" si="63"/>
        <v>-113</v>
      </c>
      <c r="I484">
        <v>-8</v>
      </c>
      <c r="L484">
        <f>160+2*(Table2579[[#This Row],[min value (corrected)]]-23)</f>
        <v>170</v>
      </c>
      <c r="M484">
        <f>MINUTE(Table2579[[#This Row],[Corrected time]])</f>
        <v>28</v>
      </c>
      <c r="N484" s="1">
        <v>0.64517278935185185</v>
      </c>
      <c r="O484" s="1">
        <f>Table2579[[#This Row],[Time]]-TIME(0,0,10)</f>
        <v>0.64505704861111113</v>
      </c>
      <c r="P484" t="s">
        <v>9</v>
      </c>
      <c r="Q484">
        <v>-114</v>
      </c>
      <c r="R484">
        <f>Table2579[[#This Row],[RSSI]]</f>
        <v>-114</v>
      </c>
      <c r="S484">
        <v>-9</v>
      </c>
    </row>
    <row r="485" spans="2:19" x14ac:dyDescent="0.25">
      <c r="B485">
        <f>160+2*(Table1468[[#This Row],[min value (corrected)]]-32)</f>
        <v>174</v>
      </c>
      <c r="C485">
        <f>MINUTE(Table1468[[#This Row],[Corrected time]])</f>
        <v>39</v>
      </c>
      <c r="D485" s="1">
        <v>0.65271399305555555</v>
      </c>
      <c r="E485" s="1">
        <f>Table1468[[#This Row],[Time]]-TIME(0,0,11)</f>
        <v>0.65258667824074079</v>
      </c>
      <c r="F485" t="s">
        <v>13</v>
      </c>
      <c r="G485" t="str">
        <f>G484</f>
        <v>-113.0,</v>
      </c>
      <c r="H485">
        <f t="shared" si="63"/>
        <v>-113</v>
      </c>
      <c r="I485">
        <f>I484</f>
        <v>-8</v>
      </c>
      <c r="L485">
        <f>160+2*(Table2579[[#This Row],[min value (corrected)]]-23)</f>
        <v>170</v>
      </c>
      <c r="M485">
        <f>MINUTE(Table2579[[#This Row],[Corrected time]])</f>
        <v>28</v>
      </c>
      <c r="N485" s="1">
        <v>0.64518497685185194</v>
      </c>
      <c r="O485" s="1">
        <f>Table2579[[#This Row],[Time]]-TIME(0,0,10)</f>
        <v>0.64506923611111122</v>
      </c>
      <c r="P485" t="s">
        <v>13</v>
      </c>
      <c r="Q485">
        <f>Q484</f>
        <v>-114</v>
      </c>
      <c r="R485">
        <f>Table2579[[#This Row],[RSSI]]</f>
        <v>-114</v>
      </c>
      <c r="S485">
        <f>S484</f>
        <v>-9</v>
      </c>
    </row>
    <row r="486" spans="2:19" x14ac:dyDescent="0.25">
      <c r="B486">
        <f>160+2*(Table1468[[#This Row],[min value (corrected)]]-32)</f>
        <v>174</v>
      </c>
      <c r="C486">
        <f>MINUTE(Table1468[[#This Row],[Corrected time]])</f>
        <v>39</v>
      </c>
      <c r="D486" s="1">
        <v>0.6527261689814815</v>
      </c>
      <c r="E486" s="1">
        <f>Table1468[[#This Row],[Time]]-TIME(0,0,11)</f>
        <v>0.65259885416666674</v>
      </c>
      <c r="F486" t="s">
        <v>9</v>
      </c>
      <c r="G486" t="s">
        <v>39</v>
      </c>
      <c r="H486">
        <f t="shared" si="63"/>
        <v>-114</v>
      </c>
      <c r="I486">
        <v>-8.8000000000000007</v>
      </c>
      <c r="L486">
        <f>160+2*(Table2579[[#This Row],[min value (corrected)]]-23)</f>
        <v>170</v>
      </c>
      <c r="M486">
        <f>MINUTE(Table2579[[#This Row],[Corrected time]])</f>
        <v>28</v>
      </c>
      <c r="N486" s="1">
        <v>0.64519715277777778</v>
      </c>
      <c r="O486" s="1">
        <f>Table2579[[#This Row],[Time]]-TIME(0,0,10)</f>
        <v>0.64508141203703706</v>
      </c>
      <c r="P486" t="s">
        <v>9</v>
      </c>
      <c r="Q486">
        <v>-115</v>
      </c>
      <c r="R486">
        <f>Table2579[[#This Row],[RSSI]]</f>
        <v>-115</v>
      </c>
      <c r="S486">
        <v>-9.5</v>
      </c>
    </row>
    <row r="487" spans="2:19" x14ac:dyDescent="0.25">
      <c r="B487">
        <f>160+2*(Table1468[[#This Row],[min value (corrected)]]-32)</f>
        <v>174</v>
      </c>
      <c r="C487">
        <f>MINUTE(Table1468[[#This Row],[Corrected time]])</f>
        <v>39</v>
      </c>
      <c r="D487" s="1">
        <v>0.65273836805555552</v>
      </c>
      <c r="E487" s="1">
        <f>Table1468[[#This Row],[Time]]-TIME(0,0,11)</f>
        <v>0.65261105324074076</v>
      </c>
      <c r="F487" t="s">
        <v>9</v>
      </c>
      <c r="G487" t="s">
        <v>44</v>
      </c>
      <c r="H487">
        <f t="shared" si="63"/>
        <v>-109</v>
      </c>
      <c r="I487">
        <v>-8.8000000000000007</v>
      </c>
      <c r="L487">
        <f>160+2*(Table2579[[#This Row],[min value (corrected)]]-23)</f>
        <v>170</v>
      </c>
      <c r="M487">
        <f>MINUTE(Table2579[[#This Row],[Corrected time]])</f>
        <v>28</v>
      </c>
      <c r="N487" s="1">
        <v>0.64520935185185191</v>
      </c>
      <c r="O487" s="1">
        <f>Table2579[[#This Row],[Time]]-TIME(0,0,10)</f>
        <v>0.64509361111111119</v>
      </c>
      <c r="P487" t="s">
        <v>9</v>
      </c>
      <c r="Q487">
        <v>-114</v>
      </c>
      <c r="R487">
        <f>Table2579[[#This Row],[RSSI]]</f>
        <v>-114</v>
      </c>
      <c r="S487">
        <v>-8.5</v>
      </c>
    </row>
    <row r="488" spans="2:19" x14ac:dyDescent="0.25">
      <c r="B488">
        <f>160+2*(Table1468[[#This Row],[min value (corrected)]]-32)</f>
        <v>174</v>
      </c>
      <c r="C488">
        <f>MINUTE(Table1468[[#This Row],[Corrected time]])</f>
        <v>39</v>
      </c>
      <c r="D488" s="1">
        <v>0.65275054398148147</v>
      </c>
      <c r="E488" s="1">
        <f>Table1468[[#This Row],[Time]]-TIME(0,0,11)</f>
        <v>0.65262322916666671</v>
      </c>
      <c r="F488" t="s">
        <v>9</v>
      </c>
      <c r="G488" t="s">
        <v>39</v>
      </c>
      <c r="H488">
        <f t="shared" si="63"/>
        <v>-114</v>
      </c>
      <c r="I488">
        <v>-8.5</v>
      </c>
      <c r="L488">
        <f>160+2*(Table2579[[#This Row],[min value (corrected)]]-23)</f>
        <v>170</v>
      </c>
      <c r="M488">
        <f>MINUTE(Table2579[[#This Row],[Corrected time]])</f>
        <v>28</v>
      </c>
      <c r="N488" s="1">
        <v>0.64522152777777775</v>
      </c>
      <c r="O488" s="1">
        <f>Table2579[[#This Row],[Time]]-TIME(0,0,10)</f>
        <v>0.64510578703703703</v>
      </c>
      <c r="P488" t="s">
        <v>13</v>
      </c>
      <c r="Q488">
        <f>Q487</f>
        <v>-114</v>
      </c>
      <c r="R488">
        <f>Table2579[[#This Row],[RSSI]]</f>
        <v>-114</v>
      </c>
      <c r="S488">
        <f>S487</f>
        <v>-8.5</v>
      </c>
    </row>
    <row r="489" spans="2:19" x14ac:dyDescent="0.25">
      <c r="B489">
        <f>160+2*(Table1468[[#This Row],[min value (corrected)]]-32)</f>
        <v>174</v>
      </c>
      <c r="C489">
        <f>MINUTE(Table1468[[#This Row],[Corrected time]])</f>
        <v>39</v>
      </c>
      <c r="D489" s="1">
        <v>0.65276274305555559</v>
      </c>
      <c r="E489" s="1">
        <f>Table1468[[#This Row],[Time]]-TIME(0,0,11)</f>
        <v>0.65263542824074083</v>
      </c>
      <c r="F489" t="s">
        <v>9</v>
      </c>
      <c r="G489" t="s">
        <v>39</v>
      </c>
      <c r="H489">
        <f t="shared" si="63"/>
        <v>-114</v>
      </c>
      <c r="I489">
        <v>-7.7</v>
      </c>
      <c r="L489">
        <f>160+2*(Table2579[[#This Row],[min value (corrected)]]-23)</f>
        <v>170</v>
      </c>
      <c r="M489">
        <f>MINUTE(Table2579[[#This Row],[Corrected time]])</f>
        <v>28</v>
      </c>
      <c r="N489" s="1">
        <v>0.64523372685185187</v>
      </c>
      <c r="O489" s="1">
        <f>Table2579[[#This Row],[Time]]-TIME(0,0,10)</f>
        <v>0.64511798611111115</v>
      </c>
      <c r="P489" t="s">
        <v>9</v>
      </c>
      <c r="Q489">
        <v>-114</v>
      </c>
      <c r="R489">
        <f>Table2579[[#This Row],[RSSI]]</f>
        <v>-114</v>
      </c>
      <c r="S489">
        <v>-9.3000000000000007</v>
      </c>
    </row>
    <row r="490" spans="2:19" x14ac:dyDescent="0.25">
      <c r="B490">
        <f>160+2*(Table1468[[#This Row],[min value (corrected)]]-32)</f>
        <v>174</v>
      </c>
      <c r="C490">
        <f>MINUTE(Table1468[[#This Row],[Corrected time]])</f>
        <v>39</v>
      </c>
      <c r="D490" s="1">
        <v>0.65277493055555558</v>
      </c>
      <c r="E490" s="1">
        <f>Table1468[[#This Row],[Time]]-TIME(0,0,11)</f>
        <v>0.65264761574074082</v>
      </c>
      <c r="F490" t="s">
        <v>13</v>
      </c>
      <c r="G490" t="str">
        <f>G489</f>
        <v>-114.0,</v>
      </c>
      <c r="H490">
        <f t="shared" si="63"/>
        <v>-114</v>
      </c>
      <c r="I490">
        <f>I489</f>
        <v>-7.7</v>
      </c>
      <c r="L490">
        <f>160+2*(Table2579[[#This Row],[min value (corrected)]]-23)</f>
        <v>170</v>
      </c>
      <c r="M490">
        <f>MINUTE(Table2579[[#This Row],[Corrected time]])</f>
        <v>28</v>
      </c>
      <c r="N490" s="1">
        <v>0.64524590277777771</v>
      </c>
      <c r="O490" s="1">
        <f>Table2579[[#This Row],[Time]]-TIME(0,0,10)</f>
        <v>0.64513016203703699</v>
      </c>
      <c r="P490" t="s">
        <v>9</v>
      </c>
      <c r="Q490">
        <v>-113</v>
      </c>
      <c r="R490">
        <f>Table2579[[#This Row],[RSSI]]</f>
        <v>-113</v>
      </c>
      <c r="S490">
        <v>-7.7</v>
      </c>
    </row>
    <row r="491" spans="2:19" x14ac:dyDescent="0.25">
      <c r="B491">
        <f>160+2*(Table1468[[#This Row],[min value (corrected)]]-32)</f>
        <v>174</v>
      </c>
      <c r="C491">
        <f>MINUTE(Table1468[[#This Row],[Corrected time]])</f>
        <v>39</v>
      </c>
      <c r="D491" s="1">
        <v>0.65278711805555556</v>
      </c>
      <c r="E491" s="1">
        <f>Table1468[[#This Row],[Time]]-TIME(0,0,11)</f>
        <v>0.6526598032407408</v>
      </c>
      <c r="F491" t="s">
        <v>9</v>
      </c>
      <c r="G491" t="s">
        <v>39</v>
      </c>
      <c r="H491">
        <f t="shared" si="63"/>
        <v>-114</v>
      </c>
      <c r="I491">
        <v>-8.5</v>
      </c>
      <c r="L491">
        <f>160+2*(Table2579[[#This Row],[min value (corrected)]]-23)</f>
        <v>172</v>
      </c>
      <c r="M491">
        <f>MINUTE(Table2579[[#This Row],[Corrected time]])</f>
        <v>29</v>
      </c>
      <c r="N491" s="1">
        <v>0.64525810185185184</v>
      </c>
      <c r="O491" s="1">
        <f>Table2579[[#This Row],[Time]]-TIME(0,0,10)</f>
        <v>0.64514236111111112</v>
      </c>
      <c r="P491" t="s">
        <v>9</v>
      </c>
      <c r="Q491">
        <v>-111</v>
      </c>
      <c r="R491">
        <f>Table2579[[#This Row],[RSSI]]</f>
        <v>-111</v>
      </c>
      <c r="S491">
        <v>-9.5</v>
      </c>
    </row>
    <row r="492" spans="2:19" x14ac:dyDescent="0.25">
      <c r="B492">
        <f>160+2*(Table1468[[#This Row],[min value (corrected)]]-32)</f>
        <v>174</v>
      </c>
      <c r="C492">
        <f>MINUTE(Table1468[[#This Row],[Corrected time]])</f>
        <v>39</v>
      </c>
      <c r="D492" s="1">
        <v>0.6527992939814814</v>
      </c>
      <c r="E492" s="1">
        <f>Table1468[[#This Row],[Time]]-TIME(0,0,11)</f>
        <v>0.65267197916666664</v>
      </c>
      <c r="F492" t="s">
        <v>9</v>
      </c>
      <c r="G492" t="s">
        <v>39</v>
      </c>
      <c r="H492">
        <f t="shared" si="63"/>
        <v>-114</v>
      </c>
      <c r="I492">
        <v>-8.3000000000000007</v>
      </c>
      <c r="L492">
        <f>160+2*(Table2579[[#This Row],[min value (corrected)]]-23)</f>
        <v>172</v>
      </c>
      <c r="M492">
        <f>MINUTE(Table2579[[#This Row],[Corrected time]])</f>
        <v>29</v>
      </c>
      <c r="N492" s="1">
        <v>0.64527027777777779</v>
      </c>
      <c r="O492" s="1">
        <f>Table2579[[#This Row],[Time]]-TIME(0,0,10)</f>
        <v>0.64515453703703707</v>
      </c>
      <c r="P492" t="s">
        <v>9</v>
      </c>
      <c r="Q492">
        <v>-114</v>
      </c>
      <c r="R492">
        <f>Table2579[[#This Row],[RSSI]]</f>
        <v>-114</v>
      </c>
      <c r="S492">
        <v>-8.5</v>
      </c>
    </row>
    <row r="493" spans="2:19" x14ac:dyDescent="0.25">
      <c r="B493">
        <f>160+2*(Table1468[[#This Row],[min value (corrected)]]-32)</f>
        <v>174</v>
      </c>
      <c r="C493">
        <f>MINUTE(Table1468[[#This Row],[Corrected time]])</f>
        <v>39</v>
      </c>
      <c r="D493" s="1">
        <v>0.65281148148148149</v>
      </c>
      <c r="E493" s="1">
        <f>Table1468[[#This Row],[Time]]-TIME(0,0,11)</f>
        <v>0.65268416666666673</v>
      </c>
      <c r="F493" t="s">
        <v>9</v>
      </c>
      <c r="G493" t="s">
        <v>39</v>
      </c>
      <c r="H493">
        <f t="shared" si="63"/>
        <v>-114</v>
      </c>
      <c r="I493">
        <v>-8.3000000000000007</v>
      </c>
      <c r="L493">
        <f>160+2*(Table2579[[#This Row],[min value (corrected)]]-23)</f>
        <v>172</v>
      </c>
      <c r="M493">
        <f>MINUTE(Table2579[[#This Row],[Corrected time]])</f>
        <v>29</v>
      </c>
      <c r="N493" s="1">
        <v>0.64528246527777777</v>
      </c>
      <c r="O493" s="1">
        <f>Table2579[[#This Row],[Time]]-TIME(0,0,10)</f>
        <v>0.64516672453703705</v>
      </c>
      <c r="P493" t="s">
        <v>9</v>
      </c>
      <c r="Q493">
        <v>-113</v>
      </c>
      <c r="R493">
        <f>Table2579[[#This Row],[RSSI]]</f>
        <v>-113</v>
      </c>
      <c r="S493">
        <v>-8.5</v>
      </c>
    </row>
    <row r="494" spans="2:19" x14ac:dyDescent="0.25">
      <c r="B494">
        <f>160+2*(Table1468[[#This Row],[min value (corrected)]]-32)</f>
        <v>174</v>
      </c>
      <c r="C494">
        <f>MINUTE(Table1468[[#This Row],[Corrected time]])</f>
        <v>39</v>
      </c>
      <c r="D494" s="1">
        <v>0.65282368055555551</v>
      </c>
      <c r="E494" s="1">
        <f>Table1468[[#This Row],[Time]]-TIME(0,0,11)</f>
        <v>0.65269636574074075</v>
      </c>
      <c r="F494" t="s">
        <v>9</v>
      </c>
      <c r="G494" t="s">
        <v>39</v>
      </c>
      <c r="H494">
        <f t="shared" si="63"/>
        <v>-114</v>
      </c>
      <c r="I494">
        <v>-9</v>
      </c>
      <c r="L494">
        <f>160+2*(Table2579[[#This Row],[min value (corrected)]]-23)</f>
        <v>172</v>
      </c>
      <c r="M494">
        <f>MINUTE(Table2579[[#This Row],[Corrected time]])</f>
        <v>29</v>
      </c>
      <c r="N494" s="1">
        <v>0.6452946643518519</v>
      </c>
      <c r="O494" s="1">
        <f>Table2579[[#This Row],[Time]]-TIME(0,0,10)</f>
        <v>0.64517892361111118</v>
      </c>
      <c r="P494" t="s">
        <v>9</v>
      </c>
      <c r="Q494">
        <v>-114</v>
      </c>
      <c r="R494">
        <f>Table2579[[#This Row],[RSSI]]</f>
        <v>-114</v>
      </c>
      <c r="S494">
        <v>-8.3000000000000007</v>
      </c>
    </row>
    <row r="495" spans="2:19" x14ac:dyDescent="0.25">
      <c r="B495">
        <f>160+2*(Table1468[[#This Row],[min value (corrected)]]-32)</f>
        <v>174</v>
      </c>
      <c r="C495">
        <f>MINUTE(Table1468[[#This Row],[Corrected time]])</f>
        <v>39</v>
      </c>
      <c r="D495" s="1">
        <v>0.6528358680555556</v>
      </c>
      <c r="E495" s="1">
        <f>Table1468[[#This Row],[Time]]-TIME(0,0,11)</f>
        <v>0.65270855324074084</v>
      </c>
      <c r="F495" t="s">
        <v>13</v>
      </c>
      <c r="G495" t="str">
        <f>G494</f>
        <v>-114.0,</v>
      </c>
      <c r="H495">
        <f t="shared" si="63"/>
        <v>-114</v>
      </c>
      <c r="I495">
        <f>I494</f>
        <v>-9</v>
      </c>
      <c r="L495">
        <f>160+2*(Table2579[[#This Row],[min value (corrected)]]-23)</f>
        <v>172</v>
      </c>
      <c r="M495">
        <f>MINUTE(Table2579[[#This Row],[Corrected time]])</f>
        <v>29</v>
      </c>
      <c r="N495" s="1">
        <v>0.64530684027777774</v>
      </c>
      <c r="O495" s="1">
        <f>Table2579[[#This Row],[Time]]-TIME(0,0,10)</f>
        <v>0.64519109953703702</v>
      </c>
      <c r="P495" t="s">
        <v>9</v>
      </c>
      <c r="Q495">
        <v>-114</v>
      </c>
      <c r="R495">
        <f>Table2579[[#This Row],[RSSI]]</f>
        <v>-114</v>
      </c>
      <c r="S495">
        <v>-9</v>
      </c>
    </row>
    <row r="496" spans="2:19" x14ac:dyDescent="0.25">
      <c r="B496">
        <f>160+2*(Table1468[[#This Row],[min value (corrected)]]-32)</f>
        <v>174</v>
      </c>
      <c r="C496">
        <f>MINUTE(Table1468[[#This Row],[Corrected time]])</f>
        <v>39</v>
      </c>
      <c r="D496" s="1">
        <v>0.65284803240740741</v>
      </c>
      <c r="E496" s="1">
        <f>Table1468[[#This Row],[Time]]-TIME(0,0,11)</f>
        <v>0.65272071759259265</v>
      </c>
      <c r="F496" t="s">
        <v>9</v>
      </c>
      <c r="G496" t="s">
        <v>39</v>
      </c>
      <c r="H496">
        <f t="shared" si="63"/>
        <v>-114</v>
      </c>
      <c r="I496">
        <v>-8.8000000000000007</v>
      </c>
      <c r="L496">
        <f>160+2*(Table2579[[#This Row],[min value (corrected)]]-23)</f>
        <v>172</v>
      </c>
      <c r="M496">
        <f>MINUTE(Table2579[[#This Row],[Corrected time]])</f>
        <v>29</v>
      </c>
      <c r="N496" s="1">
        <v>0.64531903935185186</v>
      </c>
      <c r="O496" s="1">
        <f>Table2579[[#This Row],[Time]]-TIME(0,0,10)</f>
        <v>0.64520329861111114</v>
      </c>
      <c r="P496" t="s">
        <v>13</v>
      </c>
      <c r="Q496">
        <f t="shared" ref="Q496:Q497" si="64">Q495</f>
        <v>-114</v>
      </c>
      <c r="R496">
        <f>Table2579[[#This Row],[RSSI]]</f>
        <v>-114</v>
      </c>
      <c r="S496">
        <f t="shared" ref="S496:S497" si="65">S495</f>
        <v>-9</v>
      </c>
    </row>
    <row r="497" spans="2:19" x14ac:dyDescent="0.25">
      <c r="B497">
        <f>160+2*(Table1468[[#This Row],[min value (corrected)]]-32)</f>
        <v>174</v>
      </c>
      <c r="C497">
        <f>MINUTE(Table1468[[#This Row],[Corrected time]])</f>
        <v>39</v>
      </c>
      <c r="D497" s="1">
        <v>0.65286024305555557</v>
      </c>
      <c r="E497" s="1">
        <f>Table1468[[#This Row],[Time]]-TIME(0,0,11)</f>
        <v>0.65273292824074081</v>
      </c>
      <c r="F497" t="s">
        <v>13</v>
      </c>
      <c r="G497" t="str">
        <f>G496</f>
        <v>-114.0,</v>
      </c>
      <c r="H497">
        <f t="shared" si="63"/>
        <v>-114</v>
      </c>
      <c r="I497">
        <f>I496</f>
        <v>-8.8000000000000007</v>
      </c>
      <c r="L497">
        <f>160+2*(Table2579[[#This Row],[min value (corrected)]]-23)</f>
        <v>172</v>
      </c>
      <c r="M497">
        <f>MINUTE(Table2579[[#This Row],[Corrected time]])</f>
        <v>29</v>
      </c>
      <c r="N497" s="1">
        <v>0.64533122685185185</v>
      </c>
      <c r="O497" s="1">
        <f>Table2579[[#This Row],[Time]]-TIME(0,0,10)</f>
        <v>0.64521548611111113</v>
      </c>
      <c r="P497" t="s">
        <v>13</v>
      </c>
      <c r="Q497">
        <f t="shared" si="64"/>
        <v>-114</v>
      </c>
      <c r="R497">
        <f>Table2579[[#This Row],[RSSI]]</f>
        <v>-114</v>
      </c>
      <c r="S497">
        <f t="shared" si="65"/>
        <v>-9</v>
      </c>
    </row>
    <row r="498" spans="2:19" x14ac:dyDescent="0.25">
      <c r="B498">
        <f>160+2*(Table1468[[#This Row],[min value (corrected)]]-32)</f>
        <v>174</v>
      </c>
      <c r="C498">
        <f>MINUTE(Table1468[[#This Row],[Corrected time]])</f>
        <v>39</v>
      </c>
      <c r="D498" s="1">
        <v>0.65287241898148152</v>
      </c>
      <c r="E498" s="1">
        <f>Table1468[[#This Row],[Time]]-TIME(0,0,11)</f>
        <v>0.65274510416666676</v>
      </c>
      <c r="F498" t="s">
        <v>9</v>
      </c>
      <c r="G498" t="s">
        <v>37</v>
      </c>
      <c r="H498">
        <f t="shared" si="63"/>
        <v>-113</v>
      </c>
      <c r="I498">
        <v>-8</v>
      </c>
      <c r="L498">
        <f>160+2*(Table2579[[#This Row],[min value (corrected)]]-23)</f>
        <v>172</v>
      </c>
      <c r="M498">
        <f>MINUTE(Table2579[[#This Row],[Corrected time]])</f>
        <v>29</v>
      </c>
      <c r="N498" s="1">
        <v>0.6453434027777778</v>
      </c>
      <c r="O498" s="1">
        <f>Table2579[[#This Row],[Time]]-TIME(0,0,10)</f>
        <v>0.64522766203703708</v>
      </c>
      <c r="P498" t="s">
        <v>9</v>
      </c>
      <c r="Q498">
        <v>-114</v>
      </c>
      <c r="R498">
        <f>Table2579[[#This Row],[RSSI]]</f>
        <v>-114</v>
      </c>
      <c r="S498">
        <v>-8.3000000000000007</v>
      </c>
    </row>
    <row r="499" spans="2:19" x14ac:dyDescent="0.25">
      <c r="B499">
        <f>160+2*(Table1468[[#This Row],[min value (corrected)]]-32)</f>
        <v>174</v>
      </c>
      <c r="C499">
        <f>MINUTE(Table1468[[#This Row],[Corrected time]])</f>
        <v>39</v>
      </c>
      <c r="D499" s="1">
        <v>0.6528846064814815</v>
      </c>
      <c r="E499" s="1">
        <f>Table1468[[#This Row],[Time]]-TIME(0,0,11)</f>
        <v>0.65275729166666674</v>
      </c>
      <c r="F499" t="s">
        <v>13</v>
      </c>
      <c r="G499" t="str">
        <f>G498</f>
        <v>-113.0,</v>
      </c>
      <c r="H499">
        <f t="shared" si="63"/>
        <v>-113</v>
      </c>
      <c r="I499">
        <f>I498</f>
        <v>-8</v>
      </c>
      <c r="L499">
        <f>160+2*(Table2579[[#This Row],[min value (corrected)]]-23)</f>
        <v>172</v>
      </c>
      <c r="M499">
        <f>MINUTE(Table2579[[#This Row],[Corrected time]])</f>
        <v>29</v>
      </c>
      <c r="N499" s="1">
        <v>0.64535560185185192</v>
      </c>
      <c r="O499" s="1">
        <f>Table2579[[#This Row],[Time]]-TIME(0,0,10)</f>
        <v>0.6452398611111112</v>
      </c>
      <c r="P499" t="s">
        <v>9</v>
      </c>
      <c r="Q499">
        <v>-113</v>
      </c>
      <c r="R499">
        <f>Table2579[[#This Row],[RSSI]]</f>
        <v>-113</v>
      </c>
      <c r="S499">
        <v>-8.5</v>
      </c>
    </row>
    <row r="500" spans="2:19" x14ac:dyDescent="0.25">
      <c r="B500">
        <f>160+2*(Table1468[[#This Row],[min value (corrected)]]-32)</f>
        <v>174</v>
      </c>
      <c r="C500">
        <f>MINUTE(Table1468[[#This Row],[Corrected time]])</f>
        <v>39</v>
      </c>
      <c r="D500" s="1">
        <v>0.65289679398148148</v>
      </c>
      <c r="E500" s="1">
        <f>Table1468[[#This Row],[Time]]-TIME(0,0,11)</f>
        <v>0.65276947916666672</v>
      </c>
      <c r="F500" t="s">
        <v>9</v>
      </c>
      <c r="G500" t="s">
        <v>39</v>
      </c>
      <c r="H500">
        <f t="shared" si="63"/>
        <v>-114</v>
      </c>
      <c r="I500">
        <v>-8.5</v>
      </c>
      <c r="L500">
        <f>160+2*(Table2579[[#This Row],[min value (corrected)]]-23)</f>
        <v>172</v>
      </c>
      <c r="M500">
        <f>MINUTE(Table2579[[#This Row],[Corrected time]])</f>
        <v>29</v>
      </c>
      <c r="N500" s="1">
        <v>0.64536778935185191</v>
      </c>
      <c r="O500" s="1">
        <f>Table2579[[#This Row],[Time]]-TIME(0,0,10)</f>
        <v>0.64525204861111118</v>
      </c>
      <c r="P500" t="s">
        <v>13</v>
      </c>
      <c r="Q500">
        <f>Q499</f>
        <v>-113</v>
      </c>
      <c r="R500">
        <f>Table2579[[#This Row],[RSSI]]</f>
        <v>-113</v>
      </c>
      <c r="S500">
        <f>S499</f>
        <v>-8.5</v>
      </c>
    </row>
    <row r="501" spans="2:19" x14ac:dyDescent="0.25">
      <c r="B501">
        <f>160+2*(Table1468[[#This Row],[min value (corrected)]]-32)</f>
        <v>176</v>
      </c>
      <c r="C501">
        <f>MINUTE(Table1468[[#This Row],[Corrected time]])</f>
        <v>40</v>
      </c>
      <c r="D501" s="1">
        <v>0.6529089930555555</v>
      </c>
      <c r="E501" s="1">
        <f>Table1468[[#This Row],[Time]]-TIME(0,0,11)</f>
        <v>0.65278167824074074</v>
      </c>
      <c r="F501" t="s">
        <v>9</v>
      </c>
      <c r="G501" t="s">
        <v>37</v>
      </c>
      <c r="H501">
        <f t="shared" si="63"/>
        <v>-113</v>
      </c>
      <c r="I501">
        <v>-8.5</v>
      </c>
      <c r="L501">
        <f>160+2*(Table2579[[#This Row],[min value (corrected)]]-23)</f>
        <v>172</v>
      </c>
      <c r="M501">
        <f>MINUTE(Table2579[[#This Row],[Corrected time]])</f>
        <v>29</v>
      </c>
      <c r="N501" s="1">
        <v>0.64537997685185189</v>
      </c>
      <c r="O501" s="1">
        <f>Table2579[[#This Row],[Time]]-TIME(0,0,10)</f>
        <v>0.64526423611111117</v>
      </c>
      <c r="P501" t="s">
        <v>9</v>
      </c>
      <c r="Q501">
        <v>-114</v>
      </c>
      <c r="R501">
        <f>Table2579[[#This Row],[RSSI]]</f>
        <v>-114</v>
      </c>
      <c r="S501">
        <v>-9</v>
      </c>
    </row>
    <row r="502" spans="2:19" x14ac:dyDescent="0.25">
      <c r="B502">
        <f>160+2*(Table1468[[#This Row],[min value (corrected)]]-32)</f>
        <v>176</v>
      </c>
      <c r="C502">
        <f>MINUTE(Table1468[[#This Row],[Corrected time]])</f>
        <v>40</v>
      </c>
      <c r="D502" s="1">
        <v>0.65292116898148156</v>
      </c>
      <c r="E502" s="1">
        <f>Table1468[[#This Row],[Time]]-TIME(0,0,11)</f>
        <v>0.6527938541666668</v>
      </c>
      <c r="F502" t="s">
        <v>9</v>
      </c>
      <c r="G502" t="s">
        <v>37</v>
      </c>
      <c r="H502">
        <f t="shared" si="63"/>
        <v>-113</v>
      </c>
      <c r="I502">
        <v>-8.8000000000000007</v>
      </c>
      <c r="L502">
        <f>160+2*(Table2579[[#This Row],[min value (corrected)]]-23)</f>
        <v>172</v>
      </c>
      <c r="M502">
        <f>MINUTE(Table2579[[#This Row],[Corrected time]])</f>
        <v>29</v>
      </c>
      <c r="N502" s="1">
        <v>0.64539216435185187</v>
      </c>
      <c r="O502" s="1">
        <f>Table2579[[#This Row],[Time]]-TIME(0,0,10)</f>
        <v>0.64527642361111115</v>
      </c>
      <c r="P502" t="s">
        <v>9</v>
      </c>
      <c r="Q502">
        <v>-114</v>
      </c>
      <c r="R502">
        <f>Table2579[[#This Row],[RSSI]]</f>
        <v>-114</v>
      </c>
      <c r="S502">
        <v>-9.5</v>
      </c>
    </row>
    <row r="503" spans="2:19" x14ac:dyDescent="0.25">
      <c r="B503">
        <f>160+2*(Table1468[[#This Row],[min value (corrected)]]-32)</f>
        <v>176</v>
      </c>
      <c r="C503">
        <f>MINUTE(Table1468[[#This Row],[Corrected time]])</f>
        <v>40</v>
      </c>
      <c r="D503" s="1">
        <v>0.65293336805555557</v>
      </c>
      <c r="E503" s="1">
        <f>Table1468[[#This Row],[Time]]-TIME(0,0,11)</f>
        <v>0.65280605324074081</v>
      </c>
      <c r="F503" t="s">
        <v>9</v>
      </c>
      <c r="G503" t="s">
        <v>39</v>
      </c>
      <c r="H503">
        <f t="shared" si="63"/>
        <v>-114</v>
      </c>
      <c r="I503">
        <v>-8.8000000000000007</v>
      </c>
      <c r="L503">
        <f>160+2*(Table2579[[#This Row],[min value (corrected)]]-23)</f>
        <v>172</v>
      </c>
      <c r="M503">
        <f>MINUTE(Table2579[[#This Row],[Corrected time]])</f>
        <v>29</v>
      </c>
      <c r="N503" s="1">
        <v>0.64540434027777771</v>
      </c>
      <c r="O503" s="1">
        <f>Table2579[[#This Row],[Time]]-TIME(0,0,10)</f>
        <v>0.64528859953703699</v>
      </c>
      <c r="P503" t="s">
        <v>13</v>
      </c>
      <c r="Q503">
        <f t="shared" ref="Q503:Q504" si="66">Q502</f>
        <v>-114</v>
      </c>
      <c r="R503">
        <f>Table2579[[#This Row],[RSSI]]</f>
        <v>-114</v>
      </c>
      <c r="S503">
        <f t="shared" ref="S503:S504" si="67">S502</f>
        <v>-9.5</v>
      </c>
    </row>
    <row r="504" spans="2:19" x14ac:dyDescent="0.25">
      <c r="B504">
        <f>160+2*(Table1468[[#This Row],[min value (corrected)]]-32)</f>
        <v>176</v>
      </c>
      <c r="C504">
        <f>MINUTE(Table1468[[#This Row],[Corrected time]])</f>
        <v>40</v>
      </c>
      <c r="D504" s="1">
        <v>0.65294553240740738</v>
      </c>
      <c r="E504" s="1">
        <f>Table1468[[#This Row],[Time]]-TIME(0,0,11)</f>
        <v>0.65281821759259262</v>
      </c>
      <c r="F504" t="s">
        <v>13</v>
      </c>
      <c r="G504" t="str">
        <f>G503</f>
        <v>-114.0,</v>
      </c>
      <c r="H504">
        <f t="shared" si="63"/>
        <v>-114</v>
      </c>
      <c r="I504">
        <f>I503</f>
        <v>-8.8000000000000007</v>
      </c>
      <c r="L504">
        <f>160+2*(Table2579[[#This Row],[min value (corrected)]]-23)</f>
        <v>172</v>
      </c>
      <c r="M504">
        <f>MINUTE(Table2579[[#This Row],[Corrected time]])</f>
        <v>29</v>
      </c>
      <c r="N504" s="1">
        <v>0.64541653935185184</v>
      </c>
      <c r="O504" s="1">
        <f>Table2579[[#This Row],[Time]]-TIME(0,0,10)</f>
        <v>0.64530079861111111</v>
      </c>
      <c r="P504" t="s">
        <v>13</v>
      </c>
      <c r="Q504">
        <f t="shared" si="66"/>
        <v>-114</v>
      </c>
      <c r="R504">
        <f>Table2579[[#This Row],[RSSI]]</f>
        <v>-114</v>
      </c>
      <c r="S504">
        <f t="shared" si="67"/>
        <v>-9.5</v>
      </c>
    </row>
    <row r="505" spans="2:19" x14ac:dyDescent="0.25">
      <c r="B505">
        <f>160+2*(Table1468[[#This Row],[min value (corrected)]]-32)</f>
        <v>176</v>
      </c>
      <c r="C505">
        <f>MINUTE(Table1468[[#This Row],[Corrected time]])</f>
        <v>40</v>
      </c>
      <c r="D505" s="1">
        <v>0.65295774305555554</v>
      </c>
      <c r="E505" s="1">
        <f>Table1468[[#This Row],[Time]]-TIME(0,0,11)</f>
        <v>0.65283042824074078</v>
      </c>
      <c r="F505" t="s">
        <v>9</v>
      </c>
      <c r="G505" t="s">
        <v>39</v>
      </c>
      <c r="H505">
        <f t="shared" si="63"/>
        <v>-114</v>
      </c>
      <c r="I505">
        <v>-8.3000000000000007</v>
      </c>
      <c r="L505">
        <f>160+2*(Table2579[[#This Row],[min value (corrected)]]-23)</f>
        <v>172</v>
      </c>
      <c r="M505">
        <f>MINUTE(Table2579[[#This Row],[Corrected time]])</f>
        <v>29</v>
      </c>
      <c r="N505" s="1">
        <v>0.64542872685185182</v>
      </c>
      <c r="O505" s="1">
        <f>Table2579[[#This Row],[Time]]-TIME(0,0,10)</f>
        <v>0.6453129861111111</v>
      </c>
      <c r="P505" t="s">
        <v>9</v>
      </c>
      <c r="Q505">
        <v>-113</v>
      </c>
      <c r="R505">
        <f>Table2579[[#This Row],[RSSI]]</f>
        <v>-113</v>
      </c>
      <c r="S505">
        <v>-8.5</v>
      </c>
    </row>
    <row r="506" spans="2:19" x14ac:dyDescent="0.25">
      <c r="B506">
        <f>160+2*(Table1468[[#This Row],[min value (corrected)]]-32)</f>
        <v>176</v>
      </c>
      <c r="C506">
        <f>MINUTE(Table1468[[#This Row],[Corrected time]])</f>
        <v>40</v>
      </c>
      <c r="D506" s="1">
        <v>0.65296993055555552</v>
      </c>
      <c r="E506" s="1">
        <f>Table1468[[#This Row],[Time]]-TIME(0,0,11)</f>
        <v>0.65284261574074076</v>
      </c>
      <c r="F506" t="s">
        <v>27</v>
      </c>
      <c r="G506" t="str">
        <f>G505</f>
        <v>-114.0,</v>
      </c>
      <c r="H506">
        <f t="shared" si="63"/>
        <v>-114</v>
      </c>
      <c r="I506">
        <f>I505</f>
        <v>-8.3000000000000007</v>
      </c>
      <c r="L506">
        <f>160+2*(Table2579[[#This Row],[min value (corrected)]]-23)</f>
        <v>172</v>
      </c>
      <c r="M506">
        <f>MINUTE(Table2579[[#This Row],[Corrected time]])</f>
        <v>29</v>
      </c>
      <c r="N506" s="1">
        <v>0.64544091435185191</v>
      </c>
      <c r="O506" s="1">
        <f>Table2579[[#This Row],[Time]]-TIME(0,0,10)</f>
        <v>0.64532517361111119</v>
      </c>
      <c r="P506" t="s">
        <v>13</v>
      </c>
      <c r="Q506">
        <f t="shared" ref="Q506:Q507" si="68">Q505</f>
        <v>-113</v>
      </c>
      <c r="R506">
        <f>Table2579[[#This Row],[RSSI]]</f>
        <v>-113</v>
      </c>
      <c r="S506">
        <f t="shared" ref="S506:S507" si="69">S505</f>
        <v>-8.5</v>
      </c>
    </row>
    <row r="507" spans="2:19" x14ac:dyDescent="0.25">
      <c r="B507">
        <f>160+2*(Table1468[[#This Row],[min value (corrected)]]-32)</f>
        <v>176</v>
      </c>
      <c r="C507">
        <f>MINUTE(Table1468[[#This Row],[Corrected time]])</f>
        <v>40</v>
      </c>
      <c r="D507" s="1">
        <v>0.65296993055555552</v>
      </c>
      <c r="E507" s="1">
        <f>Table1468[[#This Row],[Time]]-TIME(0,0,11)</f>
        <v>0.65284261574074076</v>
      </c>
      <c r="F507" t="s">
        <v>9</v>
      </c>
      <c r="G507" t="s">
        <v>37</v>
      </c>
      <c r="H507">
        <f t="shared" si="63"/>
        <v>-113</v>
      </c>
      <c r="I507">
        <v>-8.5</v>
      </c>
      <c r="L507">
        <f>160+2*(Table2579[[#This Row],[min value (corrected)]]-23)</f>
        <v>172</v>
      </c>
      <c r="M507">
        <f>MINUTE(Table2579[[#This Row],[Corrected time]])</f>
        <v>29</v>
      </c>
      <c r="N507" s="1">
        <v>0.6454531018518519</v>
      </c>
      <c r="O507" s="1">
        <f>Table2579[[#This Row],[Time]]-TIME(0,0,10)</f>
        <v>0.64533736111111117</v>
      </c>
      <c r="P507" t="s">
        <v>13</v>
      </c>
      <c r="Q507">
        <f t="shared" si="68"/>
        <v>-113</v>
      </c>
      <c r="R507">
        <f>Table2579[[#This Row],[RSSI]]</f>
        <v>-113</v>
      </c>
      <c r="S507">
        <f t="shared" si="69"/>
        <v>-8.5</v>
      </c>
    </row>
    <row r="508" spans="2:19" x14ac:dyDescent="0.25">
      <c r="B508">
        <f>160+2*(Table1468[[#This Row],[min value (corrected)]]-32)</f>
        <v>176</v>
      </c>
      <c r="C508">
        <f>MINUTE(Table1468[[#This Row],[Corrected time]])</f>
        <v>40</v>
      </c>
      <c r="D508" s="1">
        <v>0.65299430555555549</v>
      </c>
      <c r="E508" s="1">
        <f>Table1468[[#This Row],[Time]]-TIME(0,0,11)</f>
        <v>0.65286699074074073</v>
      </c>
      <c r="F508" t="s">
        <v>9</v>
      </c>
      <c r="G508" t="s">
        <v>39</v>
      </c>
      <c r="H508">
        <f t="shared" si="63"/>
        <v>-114</v>
      </c>
      <c r="I508">
        <v>-8</v>
      </c>
      <c r="L508">
        <f>160+2*(Table2579[[#This Row],[min value (corrected)]]-23)</f>
        <v>172</v>
      </c>
      <c r="M508">
        <f>MINUTE(Table2579[[#This Row],[Corrected time]])</f>
        <v>29</v>
      </c>
      <c r="N508" s="1">
        <v>0.64546527777777774</v>
      </c>
      <c r="O508" s="1">
        <f>Table2579[[#This Row],[Time]]-TIME(0,0,10)</f>
        <v>0.64534953703703701</v>
      </c>
      <c r="P508" t="s">
        <v>9</v>
      </c>
      <c r="Q508">
        <v>-113</v>
      </c>
      <c r="R508">
        <f>Table2579[[#This Row],[RSSI]]</f>
        <v>-113</v>
      </c>
      <c r="S508">
        <v>-8</v>
      </c>
    </row>
    <row r="509" spans="2:19" x14ac:dyDescent="0.25">
      <c r="B509">
        <f>160+2*(Table1468[[#This Row],[min value (corrected)]]-32)</f>
        <v>176</v>
      </c>
      <c r="C509">
        <f>MINUTE(Table1468[[#This Row],[Corrected time]])</f>
        <v>40</v>
      </c>
      <c r="D509" s="1">
        <v>0.65300646990740741</v>
      </c>
      <c r="E509" s="1">
        <f>Table1468[[#This Row],[Time]]-TIME(0,0,11)</f>
        <v>0.65287915509259264</v>
      </c>
      <c r="F509" t="s">
        <v>9</v>
      </c>
      <c r="G509" t="s">
        <v>38</v>
      </c>
      <c r="H509">
        <f t="shared" si="63"/>
        <v>-110</v>
      </c>
      <c r="I509">
        <v>-8</v>
      </c>
      <c r="L509">
        <f>160+2*(Table2579[[#This Row],[min value (corrected)]]-23)</f>
        <v>172</v>
      </c>
      <c r="M509">
        <f>MINUTE(Table2579[[#This Row],[Corrected time]])</f>
        <v>29</v>
      </c>
      <c r="N509" s="1">
        <v>0.64547747685185186</v>
      </c>
      <c r="O509" s="1">
        <f>Table2579[[#This Row],[Time]]-TIME(0,0,10)</f>
        <v>0.64536173611111114</v>
      </c>
      <c r="P509" t="s">
        <v>13</v>
      </c>
      <c r="Q509">
        <f t="shared" ref="Q509:Q510" si="70">Q508</f>
        <v>-113</v>
      </c>
      <c r="R509">
        <f>Table2579[[#This Row],[RSSI]]</f>
        <v>-113</v>
      </c>
      <c r="S509">
        <f t="shared" ref="S509:S510" si="71">S508</f>
        <v>-8</v>
      </c>
    </row>
    <row r="510" spans="2:19" x14ac:dyDescent="0.25">
      <c r="B510">
        <f>160+2*(Table1468[[#This Row],[min value (corrected)]]-32)</f>
        <v>176</v>
      </c>
      <c r="C510">
        <f>MINUTE(Table1468[[#This Row],[Corrected time]])</f>
        <v>40</v>
      </c>
      <c r="D510" s="1">
        <v>0.65301868055555556</v>
      </c>
      <c r="E510" s="1">
        <f>Table1468[[#This Row],[Time]]-TIME(0,0,11)</f>
        <v>0.6528913657407408</v>
      </c>
      <c r="F510" t="s">
        <v>9</v>
      </c>
      <c r="G510" t="s">
        <v>39</v>
      </c>
      <c r="H510">
        <f t="shared" si="63"/>
        <v>-114</v>
      </c>
      <c r="I510">
        <v>-9</v>
      </c>
      <c r="L510">
        <f>160+2*(Table2579[[#This Row],[min value (corrected)]]-23)</f>
        <v>172</v>
      </c>
      <c r="M510">
        <f>MINUTE(Table2579[[#This Row],[Corrected time]])</f>
        <v>29</v>
      </c>
      <c r="N510" s="1">
        <v>0.6454896527777777</v>
      </c>
      <c r="O510" s="1">
        <f>Table2579[[#This Row],[Time]]-TIME(0,0,10)</f>
        <v>0.64537391203703698</v>
      </c>
      <c r="P510" t="s">
        <v>13</v>
      </c>
      <c r="Q510">
        <f t="shared" si="70"/>
        <v>-113</v>
      </c>
      <c r="R510">
        <f>Table2579[[#This Row],[RSSI]]</f>
        <v>-113</v>
      </c>
      <c r="S510">
        <f t="shared" si="71"/>
        <v>-8</v>
      </c>
    </row>
    <row r="511" spans="2:19" x14ac:dyDescent="0.25">
      <c r="B511">
        <f>160+2*(Table1468[[#This Row],[min value (corrected)]]-32)</f>
        <v>176</v>
      </c>
      <c r="C511">
        <f>MINUTE(Table1468[[#This Row],[Corrected time]])</f>
        <v>40</v>
      </c>
      <c r="D511" s="1">
        <v>0.65303085648148151</v>
      </c>
      <c r="E511" s="1">
        <f>Table1468[[#This Row],[Time]]-TIME(0,0,11)</f>
        <v>0.65290354166666675</v>
      </c>
      <c r="F511" t="s">
        <v>13</v>
      </c>
      <c r="G511" t="str">
        <f>G510</f>
        <v>-114.0,</v>
      </c>
      <c r="H511">
        <f t="shared" si="63"/>
        <v>-114</v>
      </c>
      <c r="I511">
        <f>I510</f>
        <v>-9</v>
      </c>
      <c r="L511">
        <f>160+2*(Table2579[[#This Row],[min value (corrected)]]-23)</f>
        <v>172</v>
      </c>
      <c r="M511">
        <f>MINUTE(Table2579[[#This Row],[Corrected time]])</f>
        <v>29</v>
      </c>
      <c r="N511" s="1">
        <v>0.64550185185185183</v>
      </c>
      <c r="O511" s="1">
        <f>Table2579[[#This Row],[Time]]-TIME(0,0,10)</f>
        <v>0.6453861111111111</v>
      </c>
      <c r="P511" t="s">
        <v>9</v>
      </c>
      <c r="Q511">
        <v>-113</v>
      </c>
      <c r="R511">
        <f>Table2579[[#This Row],[RSSI]]</f>
        <v>-113</v>
      </c>
      <c r="S511">
        <v>-9</v>
      </c>
    </row>
    <row r="512" spans="2:19" x14ac:dyDescent="0.25">
      <c r="B512">
        <f>160+2*(Table1468[[#This Row],[min value (corrected)]]-32)</f>
        <v>176</v>
      </c>
      <c r="C512">
        <f>MINUTE(Table1468[[#This Row],[Corrected time]])</f>
        <v>40</v>
      </c>
      <c r="D512" s="1">
        <v>0.6530430439814815</v>
      </c>
      <c r="E512" s="1">
        <f>Table1468[[#This Row],[Time]]-TIME(0,0,11)</f>
        <v>0.65291572916666674</v>
      </c>
      <c r="F512" t="s">
        <v>9</v>
      </c>
      <c r="G512" t="s">
        <v>37</v>
      </c>
      <c r="H512">
        <f t="shared" si="63"/>
        <v>-113</v>
      </c>
      <c r="I512">
        <v>-7.5</v>
      </c>
      <c r="L512">
        <f>160+2*(Table2579[[#This Row],[min value (corrected)]]-23)</f>
        <v>172</v>
      </c>
      <c r="M512">
        <f>MINUTE(Table2579[[#This Row],[Corrected time]])</f>
        <v>29</v>
      </c>
      <c r="N512" s="1">
        <v>0.64551402777777778</v>
      </c>
      <c r="O512" s="1">
        <f>Table2579[[#This Row],[Time]]-TIME(0,0,10)</f>
        <v>0.64539828703703706</v>
      </c>
      <c r="P512" t="s">
        <v>9</v>
      </c>
      <c r="Q512">
        <v>-114</v>
      </c>
      <c r="R512">
        <f>Table2579[[#This Row],[RSSI]]</f>
        <v>-114</v>
      </c>
      <c r="S512">
        <v>-8.8000000000000007</v>
      </c>
    </row>
    <row r="513" spans="2:19" x14ac:dyDescent="0.25">
      <c r="B513">
        <f>160+2*(Table1468[[#This Row],[min value (corrected)]]-32)</f>
        <v>176</v>
      </c>
      <c r="C513">
        <f>MINUTE(Table1468[[#This Row],[Corrected time]])</f>
        <v>40</v>
      </c>
      <c r="D513" s="1">
        <v>0.65305523148148148</v>
      </c>
      <c r="E513" s="1">
        <f>Table1468[[#This Row],[Time]]-TIME(0,0,11)</f>
        <v>0.65292791666666672</v>
      </c>
      <c r="F513" t="s">
        <v>9</v>
      </c>
      <c r="G513" t="s">
        <v>39</v>
      </c>
      <c r="H513">
        <f t="shared" si="63"/>
        <v>-114</v>
      </c>
      <c r="I513">
        <v>-8</v>
      </c>
      <c r="L513">
        <f>160+2*(Table2579[[#This Row],[min value (corrected)]]-23)</f>
        <v>172</v>
      </c>
      <c r="M513">
        <f>MINUTE(Table2579[[#This Row],[Corrected time]])</f>
        <v>29</v>
      </c>
      <c r="N513" s="1">
        <v>0.6455262268518519</v>
      </c>
      <c r="O513" s="1">
        <f>Table2579[[#This Row],[Time]]-TIME(0,0,10)</f>
        <v>0.64541048611111118</v>
      </c>
      <c r="P513" t="s">
        <v>13</v>
      </c>
      <c r="Q513">
        <f>Q512</f>
        <v>-114</v>
      </c>
      <c r="R513">
        <f>Table2579[[#This Row],[RSSI]]</f>
        <v>-114</v>
      </c>
      <c r="S513">
        <f>S512</f>
        <v>-8.8000000000000007</v>
      </c>
    </row>
    <row r="514" spans="2:19" x14ac:dyDescent="0.25">
      <c r="B514">
        <f>160+2*(Table1468[[#This Row],[min value (corrected)]]-32)</f>
        <v>176</v>
      </c>
      <c r="C514">
        <f>MINUTE(Table1468[[#This Row],[Corrected time]])</f>
        <v>40</v>
      </c>
      <c r="D514" s="1">
        <v>0.65306740740740743</v>
      </c>
      <c r="E514" s="1">
        <f>Table1468[[#This Row],[Time]]-TIME(0,0,11)</f>
        <v>0.65294009259259267</v>
      </c>
      <c r="F514" t="s">
        <v>13</v>
      </c>
      <c r="G514" t="str">
        <f>G513</f>
        <v>-114.0,</v>
      </c>
      <c r="H514">
        <f t="shared" si="63"/>
        <v>-114</v>
      </c>
      <c r="I514">
        <f>I513</f>
        <v>-8</v>
      </c>
      <c r="L514">
        <f>160+2*(Table2579[[#This Row],[min value (corrected)]]-23)</f>
        <v>172</v>
      </c>
      <c r="M514">
        <f>MINUTE(Table2579[[#This Row],[Corrected time]])</f>
        <v>29</v>
      </c>
      <c r="N514" s="1">
        <v>0.64553841435185189</v>
      </c>
      <c r="O514" s="1">
        <f>Table2579[[#This Row],[Time]]-TIME(0,0,10)</f>
        <v>0.64542267361111116</v>
      </c>
      <c r="P514" t="s">
        <v>9</v>
      </c>
      <c r="Q514">
        <v>-114</v>
      </c>
      <c r="R514">
        <f>Table2579[[#This Row],[RSSI]]</f>
        <v>-114</v>
      </c>
      <c r="S514">
        <v>-8</v>
      </c>
    </row>
    <row r="515" spans="2:19" x14ac:dyDescent="0.25">
      <c r="B515">
        <f>160+2*(Table1468[[#This Row],[min value (corrected)]]-32)</f>
        <v>176</v>
      </c>
      <c r="C515">
        <f>MINUTE(Table1468[[#This Row],[Corrected time]])</f>
        <v>40</v>
      </c>
      <c r="D515" s="1">
        <v>0.65307960648148145</v>
      </c>
      <c r="E515" s="1">
        <f>Table1468[[#This Row],[Time]]-TIME(0,0,11)</f>
        <v>0.65295229166666668</v>
      </c>
      <c r="F515" t="s">
        <v>9</v>
      </c>
      <c r="G515" t="s">
        <v>37</v>
      </c>
      <c r="H515">
        <f t="shared" si="63"/>
        <v>-113</v>
      </c>
      <c r="I515">
        <v>-7.5</v>
      </c>
      <c r="L515">
        <f>160+2*(Table2579[[#This Row],[min value (corrected)]]-23)</f>
        <v>172</v>
      </c>
      <c r="M515">
        <f>MINUTE(Table2579[[#This Row],[Corrected time]])</f>
        <v>29</v>
      </c>
      <c r="N515" s="1">
        <v>0.64555060185185187</v>
      </c>
      <c r="O515" s="1">
        <f>Table2579[[#This Row],[Time]]-TIME(0,0,10)</f>
        <v>0.64543486111111115</v>
      </c>
      <c r="P515" t="s">
        <v>9</v>
      </c>
      <c r="Q515">
        <v>-113</v>
      </c>
      <c r="R515">
        <f>Table2579[[#This Row],[RSSI]]</f>
        <v>-113</v>
      </c>
      <c r="S515">
        <v>-8</v>
      </c>
    </row>
    <row r="516" spans="2:19" x14ac:dyDescent="0.25">
      <c r="B516">
        <f>160+2*(Table1468[[#This Row],[min value (corrected)]]-32)</f>
        <v>176</v>
      </c>
      <c r="C516">
        <f>MINUTE(Table1468[[#This Row],[Corrected time]])</f>
        <v>40</v>
      </c>
      <c r="D516" s="1">
        <v>0.65309179398148154</v>
      </c>
      <c r="E516" s="1">
        <f>Table1468[[#This Row],[Time]]-TIME(0,0,11)</f>
        <v>0.65296447916666678</v>
      </c>
      <c r="F516" t="s">
        <v>9</v>
      </c>
      <c r="G516" t="s">
        <v>43</v>
      </c>
      <c r="H516">
        <f t="shared" si="63"/>
        <v>-115</v>
      </c>
      <c r="I516">
        <v>-9</v>
      </c>
      <c r="L516">
        <f>160+2*(Table2579[[#This Row],[min value (corrected)]]-23)</f>
        <v>172</v>
      </c>
      <c r="M516">
        <f>MINUTE(Table2579[[#This Row],[Corrected time]])</f>
        <v>29</v>
      </c>
      <c r="N516" s="1">
        <v>0.64556277777777782</v>
      </c>
      <c r="O516" s="1">
        <f>Table2579[[#This Row],[Time]]-TIME(0,0,10)</f>
        <v>0.6454470370370371</v>
      </c>
      <c r="P516" t="s">
        <v>9</v>
      </c>
      <c r="Q516">
        <v>-114</v>
      </c>
      <c r="R516">
        <f>Table2579[[#This Row],[RSSI]]</f>
        <v>-114</v>
      </c>
      <c r="S516">
        <v>-8.5</v>
      </c>
    </row>
    <row r="517" spans="2:19" x14ac:dyDescent="0.25">
      <c r="B517">
        <f>160+2*(Table1468[[#This Row],[min value (corrected)]]-32)</f>
        <v>176</v>
      </c>
      <c r="C517">
        <f>MINUTE(Table1468[[#This Row],[Corrected time]])</f>
        <v>40</v>
      </c>
      <c r="D517" s="1">
        <v>0.65310398148148152</v>
      </c>
      <c r="E517" s="1">
        <f>Table1468[[#This Row],[Time]]-TIME(0,0,11)</f>
        <v>0.65297666666666676</v>
      </c>
      <c r="F517" t="s">
        <v>9</v>
      </c>
      <c r="G517" t="s">
        <v>37</v>
      </c>
      <c r="H517">
        <f t="shared" si="63"/>
        <v>-113</v>
      </c>
      <c r="I517">
        <v>-8.8000000000000007</v>
      </c>
      <c r="L517">
        <f>160+2*(Table2579[[#This Row],[min value (corrected)]]-23)</f>
        <v>172</v>
      </c>
      <c r="M517">
        <f>MINUTE(Table2579[[#This Row],[Corrected time]])</f>
        <v>29</v>
      </c>
      <c r="N517" s="1">
        <v>0.64557497685185183</v>
      </c>
      <c r="O517" s="1">
        <f>Table2579[[#This Row],[Time]]-TIME(0,0,10)</f>
        <v>0.64545923611111111</v>
      </c>
      <c r="P517" t="s">
        <v>13</v>
      </c>
      <c r="Q517">
        <f>Q516</f>
        <v>-114</v>
      </c>
      <c r="R517">
        <f>Table2579[[#This Row],[RSSI]]</f>
        <v>-114</v>
      </c>
      <c r="S517">
        <f>S516</f>
        <v>-8.5</v>
      </c>
    </row>
    <row r="518" spans="2:19" x14ac:dyDescent="0.25">
      <c r="B518">
        <f>160+2*(Table1468[[#This Row],[min value (corrected)]]-32)</f>
        <v>176</v>
      </c>
      <c r="C518">
        <f>MINUTE(Table1468[[#This Row],[Corrected time]])</f>
        <v>40</v>
      </c>
      <c r="D518" s="1">
        <v>0.65311618055555554</v>
      </c>
      <c r="E518" s="1">
        <f>Table1468[[#This Row],[Time]]-TIME(0,0,11)</f>
        <v>0.65298886574074078</v>
      </c>
      <c r="F518" t="s">
        <v>9</v>
      </c>
      <c r="G518" t="s">
        <v>39</v>
      </c>
      <c r="H518">
        <f t="shared" si="63"/>
        <v>-114</v>
      </c>
      <c r="I518">
        <v>-8.5</v>
      </c>
      <c r="L518">
        <f>160+2*(Table2579[[#This Row],[min value (corrected)]]-23)</f>
        <v>172</v>
      </c>
      <c r="M518">
        <f>MINUTE(Table2579[[#This Row],[Corrected time]])</f>
        <v>29</v>
      </c>
      <c r="N518" s="1">
        <v>0.64558716435185182</v>
      </c>
      <c r="O518" s="1">
        <f>Table2579[[#This Row],[Time]]-TIME(0,0,10)</f>
        <v>0.64547142361111109</v>
      </c>
      <c r="P518" t="s">
        <v>9</v>
      </c>
      <c r="Q518">
        <v>-114</v>
      </c>
      <c r="R518">
        <f>Table2579[[#This Row],[RSSI]]</f>
        <v>-114</v>
      </c>
      <c r="S518">
        <v>-8.5</v>
      </c>
    </row>
    <row r="519" spans="2:19" x14ac:dyDescent="0.25">
      <c r="B519">
        <f>160+2*(Table1468[[#This Row],[min value (corrected)]]-32)</f>
        <v>176</v>
      </c>
      <c r="C519">
        <f>MINUTE(Table1468[[#This Row],[Corrected time]])</f>
        <v>40</v>
      </c>
      <c r="D519" s="1">
        <v>0.65312835648148149</v>
      </c>
      <c r="E519" s="1">
        <f>Table1468[[#This Row],[Time]]-TIME(0,0,11)</f>
        <v>0.65300104166666673</v>
      </c>
      <c r="F519" t="s">
        <v>9</v>
      </c>
      <c r="G519" t="s">
        <v>37</v>
      </c>
      <c r="H519">
        <f t="shared" si="63"/>
        <v>-113</v>
      </c>
      <c r="I519">
        <v>-9.3000000000000007</v>
      </c>
      <c r="L519">
        <f>160+2*(Table2579[[#This Row],[min value (corrected)]]-23)</f>
        <v>172</v>
      </c>
      <c r="M519">
        <f>MINUTE(Table2579[[#This Row],[Corrected time]])</f>
        <v>29</v>
      </c>
      <c r="N519" s="1">
        <v>0.6455993518518518</v>
      </c>
      <c r="O519" s="1">
        <f>Table2579[[#This Row],[Time]]-TIME(0,0,10)</f>
        <v>0.64548361111111108</v>
      </c>
      <c r="P519" t="s">
        <v>9</v>
      </c>
      <c r="Q519">
        <v>-114</v>
      </c>
      <c r="R519">
        <f>Table2579[[#This Row],[RSSI]]</f>
        <v>-114</v>
      </c>
      <c r="S519">
        <v>-8.3000000000000007</v>
      </c>
    </row>
    <row r="520" spans="2:19" x14ac:dyDescent="0.25">
      <c r="B520">
        <f>160+2*(Table1468[[#This Row],[min value (corrected)]]-32)</f>
        <v>176</v>
      </c>
      <c r="C520">
        <f>MINUTE(Table1468[[#This Row],[Corrected time]])</f>
        <v>40</v>
      </c>
      <c r="D520" s="1">
        <v>0.65314054398148147</v>
      </c>
      <c r="E520" s="1">
        <f>Table1468[[#This Row],[Time]]-TIME(0,0,11)</f>
        <v>0.65301322916666671</v>
      </c>
      <c r="F520" t="s">
        <v>9</v>
      </c>
      <c r="G520" t="s">
        <v>38</v>
      </c>
      <c r="H520">
        <f t="shared" si="63"/>
        <v>-110</v>
      </c>
      <c r="I520">
        <v>-8.5</v>
      </c>
      <c r="L520">
        <f>160+2*(Table2579[[#This Row],[min value (corrected)]]-23)</f>
        <v>172</v>
      </c>
      <c r="M520">
        <f>MINUTE(Table2579[[#This Row],[Corrected time]])</f>
        <v>29</v>
      </c>
      <c r="N520" s="1">
        <v>0.64561152777777786</v>
      </c>
      <c r="O520" s="1">
        <f>Table2579[[#This Row],[Time]]-TIME(0,0,10)</f>
        <v>0.64549578703703714</v>
      </c>
      <c r="P520" t="s">
        <v>9</v>
      </c>
      <c r="Q520">
        <v>-114</v>
      </c>
      <c r="R520">
        <f>Table2579[[#This Row],[RSSI]]</f>
        <v>-114</v>
      </c>
      <c r="S520">
        <v>-8.8000000000000007</v>
      </c>
    </row>
    <row r="521" spans="2:19" x14ac:dyDescent="0.25">
      <c r="B521">
        <f>160+2*(Table1468[[#This Row],[min value (corrected)]]-32)</f>
        <v>176</v>
      </c>
      <c r="C521">
        <f>MINUTE(Table1468[[#This Row],[Corrected time]])</f>
        <v>40</v>
      </c>
      <c r="D521" s="1">
        <v>0.65315273148148145</v>
      </c>
      <c r="E521" s="1">
        <f>Table1468[[#This Row],[Time]]-TIME(0,0,11)</f>
        <v>0.65302541666666669</v>
      </c>
      <c r="F521" t="s">
        <v>9</v>
      </c>
      <c r="G521" t="s">
        <v>39</v>
      </c>
      <c r="H521">
        <f t="shared" si="63"/>
        <v>-114</v>
      </c>
      <c r="I521">
        <v>-8.3000000000000007</v>
      </c>
      <c r="L521">
        <f>160+2*(Table2579[[#This Row],[min value (corrected)]]-23)</f>
        <v>172</v>
      </c>
      <c r="M521">
        <f>MINUTE(Table2579[[#This Row],[Corrected time]])</f>
        <v>29</v>
      </c>
      <c r="N521" s="1">
        <v>0.64562371527777784</v>
      </c>
      <c r="O521" s="1">
        <f>Table2579[[#This Row],[Time]]-TIME(0,0,10)</f>
        <v>0.64550797453703712</v>
      </c>
      <c r="P521" t="s">
        <v>13</v>
      </c>
      <c r="Q521">
        <f>Q520</f>
        <v>-114</v>
      </c>
      <c r="R521">
        <f>Table2579[[#This Row],[RSSI]]</f>
        <v>-114</v>
      </c>
      <c r="S521">
        <f>S520</f>
        <v>-8.8000000000000007</v>
      </c>
    </row>
    <row r="522" spans="2:19" x14ac:dyDescent="0.25">
      <c r="B522">
        <f>160+2*(Table1468[[#This Row],[min value (corrected)]]-32)</f>
        <v>176</v>
      </c>
      <c r="C522">
        <f>MINUTE(Table1468[[#This Row],[Corrected time]])</f>
        <v>40</v>
      </c>
      <c r="D522" s="1">
        <v>0.65316491898148143</v>
      </c>
      <c r="E522" s="1">
        <f>Table1468[[#This Row],[Time]]-TIME(0,0,11)</f>
        <v>0.65303760416666667</v>
      </c>
      <c r="F522" t="s">
        <v>9</v>
      </c>
      <c r="G522" t="s">
        <v>39</v>
      </c>
      <c r="H522">
        <f t="shared" si="63"/>
        <v>-114</v>
      </c>
      <c r="I522">
        <v>-9.3000000000000007</v>
      </c>
      <c r="L522">
        <f>160+2*(Table2579[[#This Row],[min value (corrected)]]-23)</f>
        <v>172</v>
      </c>
      <c r="M522">
        <f>MINUTE(Table2579[[#This Row],[Corrected time]])</f>
        <v>29</v>
      </c>
      <c r="N522" s="1">
        <v>0.64563591435185186</v>
      </c>
      <c r="O522" s="1">
        <f>Table2579[[#This Row],[Time]]-TIME(0,0,10)</f>
        <v>0.64552017361111114</v>
      </c>
      <c r="P522" t="s">
        <v>9</v>
      </c>
      <c r="Q522">
        <v>-113</v>
      </c>
      <c r="R522">
        <f>Table2579[[#This Row],[RSSI]]</f>
        <v>-113</v>
      </c>
      <c r="S522">
        <v>-7.7</v>
      </c>
    </row>
    <row r="523" spans="2:19" x14ac:dyDescent="0.25">
      <c r="B523">
        <f>160+2*(Table1468[[#This Row],[min value (corrected)]]-32)</f>
        <v>176</v>
      </c>
      <c r="C523">
        <f>MINUTE(Table1468[[#This Row],[Corrected time]])</f>
        <v>40</v>
      </c>
      <c r="D523" s="1">
        <v>0.65317711805555556</v>
      </c>
      <c r="E523" s="1">
        <f>Table1468[[#This Row],[Time]]-TIME(0,0,11)</f>
        <v>0.6530498032407408</v>
      </c>
      <c r="F523" t="s">
        <v>9</v>
      </c>
      <c r="G523" t="s">
        <v>37</v>
      </c>
      <c r="H523">
        <f t="shared" si="63"/>
        <v>-113</v>
      </c>
      <c r="I523">
        <v>-8</v>
      </c>
      <c r="L523">
        <f>160+2*(Table2579[[#This Row],[min value (corrected)]]-23)</f>
        <v>172</v>
      </c>
      <c r="M523">
        <f>MINUTE(Table2579[[#This Row],[Corrected time]])</f>
        <v>29</v>
      </c>
      <c r="N523" s="1">
        <v>0.64564810185185184</v>
      </c>
      <c r="O523" s="1">
        <f>Table2579[[#This Row],[Time]]-TIME(0,0,10)</f>
        <v>0.64553236111111112</v>
      </c>
      <c r="P523" t="s">
        <v>9</v>
      </c>
      <c r="Q523">
        <v>-114</v>
      </c>
      <c r="R523">
        <f>Table2579[[#This Row],[RSSI]]</f>
        <v>-114</v>
      </c>
      <c r="S523">
        <v>-8.8000000000000007</v>
      </c>
    </row>
    <row r="524" spans="2:19" x14ac:dyDescent="0.25">
      <c r="B524">
        <f>160+2*(Table1468[[#This Row],[min value (corrected)]]-32)</f>
        <v>176</v>
      </c>
      <c r="C524">
        <f>MINUTE(Table1468[[#This Row],[Corrected time]])</f>
        <v>40</v>
      </c>
      <c r="D524" s="1">
        <v>0.65318930555555554</v>
      </c>
      <c r="E524" s="1">
        <f>Table1468[[#This Row],[Time]]-TIME(0,0,11)</f>
        <v>0.65306199074074078</v>
      </c>
      <c r="F524" t="s">
        <v>9</v>
      </c>
      <c r="G524" t="s">
        <v>37</v>
      </c>
      <c r="H524">
        <f t="shared" si="63"/>
        <v>-113</v>
      </c>
      <c r="I524">
        <v>-8.8000000000000007</v>
      </c>
      <c r="L524">
        <f>160+2*(Table2579[[#This Row],[min value (corrected)]]-23)</f>
        <v>172</v>
      </c>
      <c r="M524">
        <f>MINUTE(Table2579[[#This Row],[Corrected time]])</f>
        <v>29</v>
      </c>
      <c r="N524" s="1">
        <v>0.64566028935185182</v>
      </c>
      <c r="O524" s="1">
        <f>Table2579[[#This Row],[Time]]-TIME(0,0,10)</f>
        <v>0.6455445486111111</v>
      </c>
      <c r="P524" t="s">
        <v>13</v>
      </c>
      <c r="Q524">
        <f t="shared" ref="Q524:Q526" si="72">Q523</f>
        <v>-114</v>
      </c>
      <c r="R524">
        <f>Table2579[[#This Row],[RSSI]]</f>
        <v>-114</v>
      </c>
      <c r="S524">
        <f t="shared" ref="S524:S526" si="73">S523</f>
        <v>-8.8000000000000007</v>
      </c>
    </row>
    <row r="525" spans="2:19" x14ac:dyDescent="0.25">
      <c r="B525">
        <f>160+2*(Table1468[[#This Row],[min value (corrected)]]-32)</f>
        <v>176</v>
      </c>
      <c r="C525">
        <f>MINUTE(Table1468[[#This Row],[Corrected time]])</f>
        <v>40</v>
      </c>
      <c r="D525" s="1">
        <v>0.65320148148148149</v>
      </c>
      <c r="E525" s="1">
        <f>Table1468[[#This Row],[Time]]-TIME(0,0,11)</f>
        <v>0.65307416666666673</v>
      </c>
      <c r="F525" t="s">
        <v>9</v>
      </c>
      <c r="G525" t="s">
        <v>37</v>
      </c>
      <c r="H525">
        <f t="shared" si="63"/>
        <v>-113</v>
      </c>
      <c r="I525">
        <v>-8.5</v>
      </c>
      <c r="L525">
        <f>160+2*(Table2579[[#This Row],[min value (corrected)]]-23)</f>
        <v>172</v>
      </c>
      <c r="M525">
        <f>MINUTE(Table2579[[#This Row],[Corrected time]])</f>
        <v>29</v>
      </c>
      <c r="N525" s="1">
        <v>0.64567246527777777</v>
      </c>
      <c r="O525" s="1">
        <f>Table2579[[#This Row],[Time]]-TIME(0,0,10)</f>
        <v>0.64555672453703705</v>
      </c>
      <c r="P525" t="s">
        <v>13</v>
      </c>
      <c r="Q525">
        <f t="shared" si="72"/>
        <v>-114</v>
      </c>
      <c r="R525">
        <f>Table2579[[#This Row],[RSSI]]</f>
        <v>-114</v>
      </c>
      <c r="S525">
        <f t="shared" si="73"/>
        <v>-8.8000000000000007</v>
      </c>
    </row>
    <row r="526" spans="2:19" x14ac:dyDescent="0.25">
      <c r="B526">
        <f>160+2*(Table1468[[#This Row],[min value (corrected)]]-32)</f>
        <v>176</v>
      </c>
      <c r="C526">
        <f>MINUTE(Table1468[[#This Row],[Corrected time]])</f>
        <v>40</v>
      </c>
      <c r="D526" s="1">
        <v>0.65321366898148148</v>
      </c>
      <c r="E526" s="1">
        <f>Table1468[[#This Row],[Time]]-TIME(0,0,11)</f>
        <v>0.65308635416666672</v>
      </c>
      <c r="F526" t="s">
        <v>9</v>
      </c>
      <c r="G526" t="s">
        <v>37</v>
      </c>
      <c r="H526">
        <f t="shared" si="63"/>
        <v>-113</v>
      </c>
      <c r="I526">
        <v>-8.8000000000000007</v>
      </c>
      <c r="L526">
        <f>160+2*(Table2579[[#This Row],[min value (corrected)]]-23)</f>
        <v>172</v>
      </c>
      <c r="M526">
        <f>MINUTE(Table2579[[#This Row],[Corrected time]])</f>
        <v>29</v>
      </c>
      <c r="N526" s="1">
        <v>0.64568466435185179</v>
      </c>
      <c r="O526" s="1">
        <f>Table2579[[#This Row],[Time]]-TIME(0,0,10)</f>
        <v>0.64556892361111107</v>
      </c>
      <c r="P526" t="s">
        <v>27</v>
      </c>
      <c r="Q526">
        <f t="shared" si="72"/>
        <v>-114</v>
      </c>
      <c r="R526">
        <f>Table2579[[#This Row],[RSSI]]</f>
        <v>-114</v>
      </c>
      <c r="S526">
        <f t="shared" si="73"/>
        <v>-8.8000000000000007</v>
      </c>
    </row>
    <row r="527" spans="2:19" x14ac:dyDescent="0.25">
      <c r="B527">
        <f>160+2*(Table1468[[#This Row],[min value (corrected)]]-32)</f>
        <v>176</v>
      </c>
      <c r="C527">
        <f>MINUTE(Table1468[[#This Row],[Corrected time]])</f>
        <v>40</v>
      </c>
      <c r="D527" s="1">
        <v>0.65322586805555549</v>
      </c>
      <c r="E527" s="1">
        <f>Table1468[[#This Row],[Time]]-TIME(0,0,11)</f>
        <v>0.65309855324074073</v>
      </c>
      <c r="F527" t="s">
        <v>9</v>
      </c>
      <c r="G527" t="s">
        <v>37</v>
      </c>
      <c r="H527">
        <f t="shared" si="63"/>
        <v>-113</v>
      </c>
      <c r="I527">
        <v>-8.3000000000000007</v>
      </c>
      <c r="L527">
        <f>160+2*(Table2579[[#This Row],[min value (corrected)]]-23)</f>
        <v>172</v>
      </c>
      <c r="M527">
        <f>MINUTE(Table2579[[#This Row],[Corrected time]])</f>
        <v>29</v>
      </c>
      <c r="N527" s="1">
        <v>0.64569685185185188</v>
      </c>
      <c r="O527" s="1">
        <f>Table2579[[#This Row],[Time]]-TIME(0,0,10)</f>
        <v>0.64558111111111116</v>
      </c>
      <c r="P527" t="s">
        <v>9</v>
      </c>
      <c r="Q527">
        <v>-112</v>
      </c>
      <c r="R527">
        <f>Table2579[[#This Row],[RSSI]]</f>
        <v>-112</v>
      </c>
      <c r="S527">
        <v>-8.3000000000000007</v>
      </c>
    </row>
    <row r="528" spans="2:19" x14ac:dyDescent="0.25">
      <c r="B528">
        <f>160+2*(Table1468[[#This Row],[min value (corrected)]]-32)</f>
        <v>176</v>
      </c>
      <c r="C528">
        <f>MINUTE(Table1468[[#This Row],[Corrected time]])</f>
        <v>40</v>
      </c>
      <c r="D528" s="1">
        <v>0.65323805555555547</v>
      </c>
      <c r="E528" s="1">
        <f>Table1468[[#This Row],[Time]]-TIME(0,0,11)</f>
        <v>0.65311074074074071</v>
      </c>
      <c r="F528" t="s">
        <v>9</v>
      </c>
      <c r="G528" t="s">
        <v>39</v>
      </c>
      <c r="H528">
        <f t="shared" si="63"/>
        <v>-114</v>
      </c>
      <c r="I528">
        <v>-8.8000000000000007</v>
      </c>
      <c r="L528">
        <f>160+2*(Table2579[[#This Row],[min value (corrected)]]-23)</f>
        <v>172</v>
      </c>
      <c r="M528">
        <f>MINUTE(Table2579[[#This Row],[Corrected time]])</f>
        <v>29</v>
      </c>
      <c r="N528" s="1">
        <v>0.64570902777777783</v>
      </c>
      <c r="O528" s="1">
        <f>Table2579[[#This Row],[Time]]-TIME(0,0,10)</f>
        <v>0.64559328703703711</v>
      </c>
      <c r="P528" t="s">
        <v>9</v>
      </c>
      <c r="Q528">
        <v>-114</v>
      </c>
      <c r="R528">
        <f>Table2579[[#This Row],[RSSI]]</f>
        <v>-114</v>
      </c>
      <c r="S528">
        <v>-8.8000000000000007</v>
      </c>
    </row>
    <row r="529" spans="2:19" x14ac:dyDescent="0.25">
      <c r="B529">
        <f>160+2*(Table1468[[#This Row],[min value (corrected)]]-32)</f>
        <v>176</v>
      </c>
      <c r="C529">
        <f>MINUTE(Table1468[[#This Row],[Corrected time]])</f>
        <v>40</v>
      </c>
      <c r="D529" s="1">
        <v>0.65325024305555557</v>
      </c>
      <c r="E529" s="1">
        <f>Table1468[[#This Row],[Time]]-TIME(0,0,11)</f>
        <v>0.65312292824074081</v>
      </c>
      <c r="F529" t="s">
        <v>9</v>
      </c>
      <c r="G529" t="s">
        <v>39</v>
      </c>
      <c r="H529">
        <f t="shared" si="63"/>
        <v>-114</v>
      </c>
      <c r="I529">
        <v>-8</v>
      </c>
      <c r="L529">
        <f>160+2*(Table2579[[#This Row],[min value (corrected)]]-23)</f>
        <v>172</v>
      </c>
      <c r="M529">
        <f>MINUTE(Table2579[[#This Row],[Corrected time]])</f>
        <v>29</v>
      </c>
      <c r="N529" s="1">
        <v>0.64572121527777782</v>
      </c>
      <c r="O529" s="1">
        <f>Table2579[[#This Row],[Time]]-TIME(0,0,10)</f>
        <v>0.64560547453703709</v>
      </c>
      <c r="P529" t="s">
        <v>13</v>
      </c>
      <c r="Q529">
        <f t="shared" ref="Q529:Q530" si="74">Q528</f>
        <v>-114</v>
      </c>
      <c r="R529">
        <f>Table2579[[#This Row],[RSSI]]</f>
        <v>-114</v>
      </c>
      <c r="S529">
        <f t="shared" ref="S529:S530" si="75">S528</f>
        <v>-8.8000000000000007</v>
      </c>
    </row>
    <row r="530" spans="2:19" x14ac:dyDescent="0.25">
      <c r="B530">
        <f>160+2*(Table1468[[#This Row],[min value (corrected)]]-32)</f>
        <v>176</v>
      </c>
      <c r="C530">
        <f>MINUTE(Table1468[[#This Row],[Corrected time]])</f>
        <v>40</v>
      </c>
      <c r="D530" s="1">
        <v>0.65326243055555555</v>
      </c>
      <c r="E530" s="1">
        <f>Table1468[[#This Row],[Time]]-TIME(0,0,11)</f>
        <v>0.65313511574074079</v>
      </c>
      <c r="F530" t="s">
        <v>9</v>
      </c>
      <c r="G530" t="s">
        <v>37</v>
      </c>
      <c r="H530">
        <f t="shared" si="63"/>
        <v>-113</v>
      </c>
      <c r="I530">
        <v>-7.2</v>
      </c>
      <c r="L530">
        <f>160+2*(Table2579[[#This Row],[min value (corrected)]]-23)</f>
        <v>172</v>
      </c>
      <c r="M530">
        <f>MINUTE(Table2579[[#This Row],[Corrected time]])</f>
        <v>29</v>
      </c>
      <c r="N530" s="1">
        <v>0.64573341435185183</v>
      </c>
      <c r="O530" s="1">
        <f>Table2579[[#This Row],[Time]]-TIME(0,0,10)</f>
        <v>0.64561767361111111</v>
      </c>
      <c r="P530" t="s">
        <v>13</v>
      </c>
      <c r="Q530">
        <f t="shared" si="74"/>
        <v>-114</v>
      </c>
      <c r="R530">
        <f>Table2579[[#This Row],[RSSI]]</f>
        <v>-114</v>
      </c>
      <c r="S530">
        <f t="shared" si="75"/>
        <v>-8.8000000000000007</v>
      </c>
    </row>
    <row r="531" spans="2:19" x14ac:dyDescent="0.25">
      <c r="B531">
        <f>160+2*(Table1468[[#This Row],[min value (corrected)]]-32)</f>
        <v>176</v>
      </c>
      <c r="C531">
        <f>MINUTE(Table1468[[#This Row],[Corrected time]])</f>
        <v>40</v>
      </c>
      <c r="D531" s="1">
        <v>0.6532746064814815</v>
      </c>
      <c r="E531" s="1">
        <f>Table1468[[#This Row],[Time]]-TIME(0,0,11)</f>
        <v>0.65314729166666674</v>
      </c>
      <c r="F531" t="s">
        <v>9</v>
      </c>
      <c r="G531" t="s">
        <v>37</v>
      </c>
      <c r="H531">
        <f t="shared" si="63"/>
        <v>-113</v>
      </c>
      <c r="I531">
        <v>-8.3000000000000007</v>
      </c>
      <c r="L531">
        <f>160+2*(Table2579[[#This Row],[min value (corrected)]]-23)</f>
        <v>172</v>
      </c>
      <c r="M531">
        <f>MINUTE(Table2579[[#This Row],[Corrected time]])</f>
        <v>29</v>
      </c>
      <c r="N531" s="1">
        <v>0.64574560185185181</v>
      </c>
      <c r="O531" s="1">
        <f>Table2579[[#This Row],[Time]]-TIME(0,0,10)</f>
        <v>0.64562986111111109</v>
      </c>
      <c r="P531" t="s">
        <v>9</v>
      </c>
      <c r="Q531">
        <v>-114</v>
      </c>
      <c r="R531">
        <f>Table2579[[#This Row],[RSSI]]</f>
        <v>-114</v>
      </c>
      <c r="S531">
        <v>-8</v>
      </c>
    </row>
    <row r="532" spans="2:19" x14ac:dyDescent="0.25">
      <c r="B532">
        <f>160+2*(Table1468[[#This Row],[min value (corrected)]]-32)</f>
        <v>176</v>
      </c>
      <c r="C532">
        <f>MINUTE(Table1468[[#This Row],[Corrected time]])</f>
        <v>40</v>
      </c>
      <c r="D532" s="1">
        <v>0.65328680555555563</v>
      </c>
      <c r="E532" s="1">
        <f>Table1468[[#This Row],[Time]]-TIME(0,0,11)</f>
        <v>0.65315949074074087</v>
      </c>
      <c r="F532" t="s">
        <v>9</v>
      </c>
      <c r="G532" t="s">
        <v>37</v>
      </c>
      <c r="H532">
        <f t="shared" si="63"/>
        <v>-113</v>
      </c>
      <c r="I532">
        <v>-8.3000000000000007</v>
      </c>
      <c r="L532">
        <f>160+2*(Table2579[[#This Row],[min value (corrected)]]-23)</f>
        <v>172</v>
      </c>
      <c r="M532">
        <f>MINUTE(Table2579[[#This Row],[Corrected time]])</f>
        <v>29</v>
      </c>
      <c r="N532" s="1">
        <v>0.6457577893518518</v>
      </c>
      <c r="O532" s="1">
        <f>Table2579[[#This Row],[Time]]-TIME(0,0,10)</f>
        <v>0.64564204861111107</v>
      </c>
      <c r="P532" t="s">
        <v>9</v>
      </c>
      <c r="Q532">
        <v>-113</v>
      </c>
      <c r="R532">
        <f>Table2579[[#This Row],[RSSI]]</f>
        <v>-113</v>
      </c>
      <c r="S532">
        <v>-8</v>
      </c>
    </row>
    <row r="533" spans="2:19" x14ac:dyDescent="0.25">
      <c r="B533">
        <f>160+2*(Table1468[[#This Row],[min value (corrected)]]-32)</f>
        <v>176</v>
      </c>
      <c r="C533">
        <f>MINUTE(Table1468[[#This Row],[Corrected time]])</f>
        <v>40</v>
      </c>
      <c r="D533" s="1">
        <v>0.65329899305555561</v>
      </c>
      <c r="E533" s="1">
        <f>Table1468[[#This Row],[Time]]-TIME(0,0,11)</f>
        <v>0.65317167824074085</v>
      </c>
      <c r="F533" t="s">
        <v>13</v>
      </c>
      <c r="G533" t="str">
        <f>G532</f>
        <v>-113.0,</v>
      </c>
      <c r="H533">
        <f t="shared" si="63"/>
        <v>-113</v>
      </c>
      <c r="I533">
        <f>I532</f>
        <v>-8.3000000000000007</v>
      </c>
      <c r="L533">
        <f>160+2*(Table2579[[#This Row],[min value (corrected)]]-23)</f>
        <v>172</v>
      </c>
      <c r="M533">
        <f>MINUTE(Table2579[[#This Row],[Corrected time]])</f>
        <v>29</v>
      </c>
      <c r="N533" s="1">
        <v>0.64576996527777775</v>
      </c>
      <c r="O533" s="1">
        <f>Table2579[[#This Row],[Time]]-TIME(0,0,10)</f>
        <v>0.64565422453703702</v>
      </c>
      <c r="P533" t="s">
        <v>9</v>
      </c>
      <c r="Q533">
        <v>-114</v>
      </c>
      <c r="R533">
        <f>Table2579[[#This Row],[RSSI]]</f>
        <v>-114</v>
      </c>
      <c r="S533">
        <v>-8.8000000000000007</v>
      </c>
    </row>
    <row r="534" spans="2:19" x14ac:dyDescent="0.25">
      <c r="B534">
        <f>160+2*(Table1468[[#This Row],[min value (corrected)]]-32)</f>
        <v>176</v>
      </c>
      <c r="C534">
        <f>MINUTE(Table1468[[#This Row],[Corrected time]])</f>
        <v>40</v>
      </c>
      <c r="D534" s="1">
        <v>0.65331118055555559</v>
      </c>
      <c r="E534" s="1">
        <f>Table1468[[#This Row],[Time]]-TIME(0,0,11)</f>
        <v>0.65318386574074083</v>
      </c>
      <c r="F534" t="s">
        <v>9</v>
      </c>
      <c r="G534" t="s">
        <v>37</v>
      </c>
      <c r="H534">
        <f t="shared" ref="H534:H597" si="76">VALUE(LEFT(G534,LEN(G534)-1))</f>
        <v>-113</v>
      </c>
      <c r="I534">
        <v>-8.8000000000000007</v>
      </c>
      <c r="L534">
        <f>160+2*(Table2579[[#This Row],[min value (corrected)]]-23)</f>
        <v>172</v>
      </c>
      <c r="M534">
        <f>MINUTE(Table2579[[#This Row],[Corrected time]])</f>
        <v>29</v>
      </c>
      <c r="N534" s="1">
        <v>0.64578215277777784</v>
      </c>
      <c r="O534" s="1">
        <f>Table2579[[#This Row],[Time]]-TIME(0,0,10)</f>
        <v>0.64566641203703712</v>
      </c>
      <c r="P534" t="s">
        <v>9</v>
      </c>
      <c r="Q534">
        <v>-113</v>
      </c>
      <c r="R534">
        <f>Table2579[[#This Row],[RSSI]]</f>
        <v>-113</v>
      </c>
      <c r="S534">
        <v>-8.8000000000000007</v>
      </c>
    </row>
    <row r="535" spans="2:19" x14ac:dyDescent="0.25">
      <c r="B535">
        <f>160+2*(Table1468[[#This Row],[min value (corrected)]]-32)</f>
        <v>176</v>
      </c>
      <c r="C535">
        <f>MINUTE(Table1468[[#This Row],[Corrected time]])</f>
        <v>40</v>
      </c>
      <c r="D535" s="1">
        <v>0.65332335648148143</v>
      </c>
      <c r="E535" s="1">
        <f>Table1468[[#This Row],[Time]]-TIME(0,0,11)</f>
        <v>0.65319604166666667</v>
      </c>
      <c r="F535" t="s">
        <v>9</v>
      </c>
      <c r="G535" t="s">
        <v>39</v>
      </c>
      <c r="H535">
        <f t="shared" si="76"/>
        <v>-114</v>
      </c>
      <c r="I535">
        <v>-8.8000000000000007</v>
      </c>
      <c r="L535">
        <f>160+2*(Table2579[[#This Row],[min value (corrected)]]-23)</f>
        <v>172</v>
      </c>
      <c r="M535">
        <f>MINUTE(Table2579[[#This Row],[Corrected time]])</f>
        <v>29</v>
      </c>
      <c r="N535" s="1">
        <v>0.64579434027777782</v>
      </c>
      <c r="O535" s="1">
        <f>Table2579[[#This Row],[Time]]-TIME(0,0,10)</f>
        <v>0.6456785995370371</v>
      </c>
      <c r="P535" t="s">
        <v>9</v>
      </c>
      <c r="Q535">
        <v>-114</v>
      </c>
      <c r="R535">
        <f>Table2579[[#This Row],[RSSI]]</f>
        <v>-114</v>
      </c>
      <c r="S535">
        <v>-8.5</v>
      </c>
    </row>
    <row r="536" spans="2:19" x14ac:dyDescent="0.25">
      <c r="B536">
        <f>160+2*(Table1468[[#This Row],[min value (corrected)]]-32)</f>
        <v>176</v>
      </c>
      <c r="C536">
        <f>MINUTE(Table1468[[#This Row],[Corrected time]])</f>
        <v>40</v>
      </c>
      <c r="D536" s="1">
        <v>0.65333554398148141</v>
      </c>
      <c r="E536" s="1">
        <f>Table1468[[#This Row],[Time]]-TIME(0,0,11)</f>
        <v>0.65320822916666665</v>
      </c>
      <c r="F536" t="s">
        <v>9</v>
      </c>
      <c r="G536" t="s">
        <v>39</v>
      </c>
      <c r="H536">
        <f t="shared" si="76"/>
        <v>-114</v>
      </c>
      <c r="I536">
        <v>-8.3000000000000007</v>
      </c>
      <c r="L536">
        <f>160+2*(Table2579[[#This Row],[min value (corrected)]]-23)</f>
        <v>172</v>
      </c>
      <c r="M536">
        <f>MINUTE(Table2579[[#This Row],[Corrected time]])</f>
        <v>29</v>
      </c>
      <c r="N536" s="1">
        <v>0.64580653935185184</v>
      </c>
      <c r="O536" s="1">
        <f>Table2579[[#This Row],[Time]]-TIME(0,0,10)</f>
        <v>0.64569079861111112</v>
      </c>
      <c r="P536" t="s">
        <v>9</v>
      </c>
      <c r="Q536">
        <v>-113</v>
      </c>
      <c r="R536">
        <f>Table2579[[#This Row],[RSSI]]</f>
        <v>-113</v>
      </c>
      <c r="S536">
        <v>-8.8000000000000007</v>
      </c>
    </row>
    <row r="537" spans="2:19" x14ac:dyDescent="0.25">
      <c r="B537">
        <f>160+2*(Table1468[[#This Row],[min value (corrected)]]-32)</f>
        <v>176</v>
      </c>
      <c r="C537">
        <f>MINUTE(Table1468[[#This Row],[Corrected time]])</f>
        <v>40</v>
      </c>
      <c r="D537" s="1">
        <v>0.65334773148148151</v>
      </c>
      <c r="E537" s="1">
        <f>Table1468[[#This Row],[Time]]-TIME(0,0,11)</f>
        <v>0.65322041666666675</v>
      </c>
      <c r="F537" t="s">
        <v>9</v>
      </c>
      <c r="G537" t="s">
        <v>39</v>
      </c>
      <c r="H537">
        <f t="shared" si="76"/>
        <v>-114</v>
      </c>
      <c r="I537">
        <v>-8.8000000000000007</v>
      </c>
      <c r="L537">
        <f>160+2*(Table2579[[#This Row],[min value (corrected)]]-23)</f>
        <v>172</v>
      </c>
      <c r="M537">
        <f>MINUTE(Table2579[[#This Row],[Corrected time]])</f>
        <v>29</v>
      </c>
      <c r="N537" s="1">
        <v>0.64581872685185182</v>
      </c>
      <c r="O537" s="1">
        <f>Table2579[[#This Row],[Time]]-TIME(0,0,10)</f>
        <v>0.6457029861111111</v>
      </c>
      <c r="P537" t="s">
        <v>9</v>
      </c>
      <c r="Q537">
        <v>-113</v>
      </c>
      <c r="R537">
        <f>Table2579[[#This Row],[RSSI]]</f>
        <v>-113</v>
      </c>
      <c r="S537">
        <v>-8.3000000000000007</v>
      </c>
    </row>
    <row r="538" spans="2:19" x14ac:dyDescent="0.25">
      <c r="B538">
        <f>160+2*(Table1468[[#This Row],[min value (corrected)]]-32)</f>
        <v>176</v>
      </c>
      <c r="C538">
        <f>MINUTE(Table1468[[#This Row],[Corrected time]])</f>
        <v>40</v>
      </c>
      <c r="D538" s="1">
        <v>0.65335991898148149</v>
      </c>
      <c r="E538" s="1">
        <f>Table1468[[#This Row],[Time]]-TIME(0,0,11)</f>
        <v>0.65323260416666673</v>
      </c>
      <c r="F538" t="s">
        <v>9</v>
      </c>
      <c r="G538" t="s">
        <v>39</v>
      </c>
      <c r="H538">
        <f t="shared" si="76"/>
        <v>-114</v>
      </c>
      <c r="I538">
        <v>-9.3000000000000007</v>
      </c>
      <c r="L538">
        <f>160+2*(Table2579[[#This Row],[min value (corrected)]]-23)</f>
        <v>172</v>
      </c>
      <c r="M538">
        <f>MINUTE(Table2579[[#This Row],[Corrected time]])</f>
        <v>29</v>
      </c>
      <c r="N538" s="1">
        <v>0.64583090277777777</v>
      </c>
      <c r="O538" s="1">
        <f>Table2579[[#This Row],[Time]]-TIME(0,0,10)</f>
        <v>0.64571516203703705</v>
      </c>
      <c r="P538" t="s">
        <v>13</v>
      </c>
      <c r="Q538">
        <f>Q537</f>
        <v>-113</v>
      </c>
      <c r="R538">
        <f>Table2579[[#This Row],[RSSI]]</f>
        <v>-113</v>
      </c>
      <c r="S538">
        <f>S537</f>
        <v>-8.3000000000000007</v>
      </c>
    </row>
    <row r="539" spans="2:19" x14ac:dyDescent="0.25">
      <c r="B539">
        <f>160+2*(Table1468[[#This Row],[min value (corrected)]]-32)</f>
        <v>176</v>
      </c>
      <c r="C539">
        <f>MINUTE(Table1468[[#This Row],[Corrected time]])</f>
        <v>40</v>
      </c>
      <c r="D539" s="1">
        <v>0.65337210648148147</v>
      </c>
      <c r="E539" s="1">
        <f>Table1468[[#This Row],[Time]]-TIME(0,0,11)</f>
        <v>0.65324479166666671</v>
      </c>
      <c r="F539" t="s">
        <v>9</v>
      </c>
      <c r="G539" t="s">
        <v>37</v>
      </c>
      <c r="H539">
        <f t="shared" si="76"/>
        <v>-113</v>
      </c>
      <c r="I539">
        <v>-8.5</v>
      </c>
      <c r="L539">
        <f>160+2*(Table2579[[#This Row],[min value (corrected)]]-23)</f>
        <v>172</v>
      </c>
      <c r="M539">
        <f>MINUTE(Table2579[[#This Row],[Corrected time]])</f>
        <v>29</v>
      </c>
      <c r="N539" s="1">
        <v>0.64584310185185179</v>
      </c>
      <c r="O539" s="1">
        <f>Table2579[[#This Row],[Time]]-TIME(0,0,10)</f>
        <v>0.64572736111111106</v>
      </c>
      <c r="P539" t="s">
        <v>9</v>
      </c>
      <c r="Q539">
        <v>-114</v>
      </c>
      <c r="R539">
        <f>Table2579[[#This Row],[RSSI]]</f>
        <v>-114</v>
      </c>
      <c r="S539">
        <v>-9.3000000000000007</v>
      </c>
    </row>
    <row r="540" spans="2:19" x14ac:dyDescent="0.25">
      <c r="B540">
        <f>160+2*(Table1468[[#This Row],[min value (corrected)]]-32)</f>
        <v>176</v>
      </c>
      <c r="C540">
        <f>MINUTE(Table1468[[#This Row],[Corrected time]])</f>
        <v>40</v>
      </c>
      <c r="D540" s="1">
        <v>0.65338429398148146</v>
      </c>
      <c r="E540" s="1">
        <f>Table1468[[#This Row],[Time]]-TIME(0,0,11)</f>
        <v>0.6532569791666667</v>
      </c>
      <c r="F540" t="s">
        <v>9</v>
      </c>
      <c r="G540" t="s">
        <v>38</v>
      </c>
      <c r="H540">
        <f t="shared" si="76"/>
        <v>-110</v>
      </c>
      <c r="I540">
        <v>-8.5</v>
      </c>
      <c r="L540">
        <f>160+2*(Table2579[[#This Row],[min value (corrected)]]-23)</f>
        <v>172</v>
      </c>
      <c r="M540">
        <f>MINUTE(Table2579[[#This Row],[Corrected time]])</f>
        <v>29</v>
      </c>
      <c r="N540" s="1">
        <v>0.64585528935185177</v>
      </c>
      <c r="O540" s="1">
        <f>Table2579[[#This Row],[Time]]-TIME(0,0,10)</f>
        <v>0.64573954861111105</v>
      </c>
      <c r="P540" t="s">
        <v>13</v>
      </c>
      <c r="Q540">
        <f t="shared" ref="Q540:Q541" si="77">Q539</f>
        <v>-114</v>
      </c>
      <c r="R540">
        <f>Table2579[[#This Row],[RSSI]]</f>
        <v>-114</v>
      </c>
      <c r="S540">
        <f t="shared" ref="S540:S541" si="78">S539</f>
        <v>-9.3000000000000007</v>
      </c>
    </row>
    <row r="541" spans="2:19" x14ac:dyDescent="0.25">
      <c r="B541">
        <f>160+2*(Table1468[[#This Row],[min value (corrected)]]-32)</f>
        <v>176</v>
      </c>
      <c r="C541">
        <f>MINUTE(Table1468[[#This Row],[Corrected time]])</f>
        <v>40</v>
      </c>
      <c r="D541" s="1">
        <v>0.65339648148148144</v>
      </c>
      <c r="E541" s="1">
        <f>Table1468[[#This Row],[Time]]-TIME(0,0,11)</f>
        <v>0.65326916666666668</v>
      </c>
      <c r="F541" t="s">
        <v>9</v>
      </c>
      <c r="G541" t="s">
        <v>37</v>
      </c>
      <c r="H541">
        <f t="shared" si="76"/>
        <v>-113</v>
      </c>
      <c r="I541">
        <v>-8</v>
      </c>
      <c r="L541">
        <f>160+2*(Table2579[[#This Row],[min value (corrected)]]-23)</f>
        <v>172</v>
      </c>
      <c r="M541">
        <f>MINUTE(Table2579[[#This Row],[Corrected time]])</f>
        <v>29</v>
      </c>
      <c r="N541" s="1">
        <v>0.64586747685185186</v>
      </c>
      <c r="O541" s="1">
        <f>Table2579[[#This Row],[Time]]-TIME(0,0,10)</f>
        <v>0.64575173611111114</v>
      </c>
      <c r="P541" t="s">
        <v>13</v>
      </c>
      <c r="Q541">
        <f t="shared" si="77"/>
        <v>-114</v>
      </c>
      <c r="R541">
        <f>Table2579[[#This Row],[RSSI]]</f>
        <v>-114</v>
      </c>
      <c r="S541">
        <f t="shared" si="78"/>
        <v>-9.3000000000000007</v>
      </c>
    </row>
    <row r="542" spans="2:19" x14ac:dyDescent="0.25">
      <c r="B542">
        <f>160+2*(Table1468[[#This Row],[min value (corrected)]]-32)</f>
        <v>176</v>
      </c>
      <c r="C542">
        <f>MINUTE(Table1468[[#This Row],[Corrected time]])</f>
        <v>40</v>
      </c>
      <c r="D542" s="1">
        <v>0.65340866898148142</v>
      </c>
      <c r="E542" s="1">
        <f>Table1468[[#This Row],[Time]]-TIME(0,0,11)</f>
        <v>0.65328135416666666</v>
      </c>
      <c r="F542" t="s">
        <v>9</v>
      </c>
      <c r="G542" t="s">
        <v>37</v>
      </c>
      <c r="H542">
        <f t="shared" si="76"/>
        <v>-113</v>
      </c>
      <c r="I542">
        <v>-8</v>
      </c>
      <c r="L542">
        <f>160+2*(Table2579[[#This Row],[min value (corrected)]]-23)</f>
        <v>172</v>
      </c>
      <c r="M542">
        <f>MINUTE(Table2579[[#This Row],[Corrected time]])</f>
        <v>29</v>
      </c>
      <c r="N542" s="1">
        <v>0.64587965277777781</v>
      </c>
      <c r="O542" s="1">
        <f>Table2579[[#This Row],[Time]]-TIME(0,0,10)</f>
        <v>0.64576391203703709</v>
      </c>
      <c r="P542" t="s">
        <v>9</v>
      </c>
      <c r="Q542">
        <v>-114</v>
      </c>
      <c r="R542">
        <f>Table2579[[#This Row],[RSSI]]</f>
        <v>-114</v>
      </c>
      <c r="S542">
        <v>-8.8000000000000007</v>
      </c>
    </row>
    <row r="543" spans="2:19" x14ac:dyDescent="0.25">
      <c r="B543">
        <f>160+2*(Table1468[[#This Row],[min value (corrected)]]-32)</f>
        <v>176</v>
      </c>
      <c r="C543">
        <f>MINUTE(Table1468[[#This Row],[Corrected time]])</f>
        <v>40</v>
      </c>
      <c r="D543" s="1">
        <v>0.6534208564814814</v>
      </c>
      <c r="E543" s="1">
        <f>Table1468[[#This Row],[Time]]-TIME(0,0,11)</f>
        <v>0.65329354166666664</v>
      </c>
      <c r="F543" t="s">
        <v>9</v>
      </c>
      <c r="G543" t="s">
        <v>39</v>
      </c>
      <c r="H543">
        <f t="shared" si="76"/>
        <v>-114</v>
      </c>
      <c r="I543">
        <v>-8.8000000000000007</v>
      </c>
      <c r="L543">
        <f>160+2*(Table2579[[#This Row],[min value (corrected)]]-23)</f>
        <v>172</v>
      </c>
      <c r="M543">
        <f>MINUTE(Table2579[[#This Row],[Corrected time]])</f>
        <v>29</v>
      </c>
      <c r="N543" s="1">
        <v>0.64589185185185183</v>
      </c>
      <c r="O543" s="1">
        <f>Table2579[[#This Row],[Time]]-TIME(0,0,10)</f>
        <v>0.64577611111111111</v>
      </c>
      <c r="P543" t="s">
        <v>13</v>
      </c>
      <c r="Q543">
        <f>Q542</f>
        <v>-114</v>
      </c>
      <c r="R543">
        <f>Table2579[[#This Row],[RSSI]]</f>
        <v>-114</v>
      </c>
      <c r="S543">
        <f>S542</f>
        <v>-8.8000000000000007</v>
      </c>
    </row>
    <row r="544" spans="2:19" x14ac:dyDescent="0.25">
      <c r="B544">
        <f>160+2*(Table1468[[#This Row],[min value (corrected)]]-32)</f>
        <v>176</v>
      </c>
      <c r="C544">
        <f>MINUTE(Table1468[[#This Row],[Corrected time]])</f>
        <v>40</v>
      </c>
      <c r="D544" s="1">
        <v>0.65343305555555553</v>
      </c>
      <c r="E544" s="1">
        <f>Table1468[[#This Row],[Time]]-TIME(0,0,11)</f>
        <v>0.65330574074074077</v>
      </c>
      <c r="F544" t="s">
        <v>13</v>
      </c>
      <c r="G544" t="str">
        <f t="shared" ref="G544:G545" si="79">G543</f>
        <v>-114.0,</v>
      </c>
      <c r="H544">
        <f t="shared" si="76"/>
        <v>-114</v>
      </c>
      <c r="I544">
        <f t="shared" ref="I544:I545" si="80">I543</f>
        <v>-8.8000000000000007</v>
      </c>
      <c r="L544">
        <f>160+2*(Table2579[[#This Row],[min value (corrected)]]-23)</f>
        <v>172</v>
      </c>
      <c r="M544">
        <f>MINUTE(Table2579[[#This Row],[Corrected time]])</f>
        <v>29</v>
      </c>
      <c r="N544" s="1">
        <v>0.64590403935185181</v>
      </c>
      <c r="O544" s="1">
        <f>Table2579[[#This Row],[Time]]-TIME(0,0,10)</f>
        <v>0.64578829861111109</v>
      </c>
      <c r="P544" t="s">
        <v>9</v>
      </c>
      <c r="Q544">
        <v>-114</v>
      </c>
      <c r="R544">
        <f>Table2579[[#This Row],[RSSI]]</f>
        <v>-114</v>
      </c>
      <c r="S544">
        <v>-9</v>
      </c>
    </row>
    <row r="545" spans="2:19" x14ac:dyDescent="0.25">
      <c r="B545">
        <f>160+2*(Table1468[[#This Row],[min value (corrected)]]-32)</f>
        <v>176</v>
      </c>
      <c r="C545">
        <f>MINUTE(Table1468[[#This Row],[Corrected time]])</f>
        <v>40</v>
      </c>
      <c r="D545" s="1">
        <v>0.65344524305555562</v>
      </c>
      <c r="E545" s="1">
        <f>Table1468[[#This Row],[Time]]-TIME(0,0,11)</f>
        <v>0.65331792824074086</v>
      </c>
      <c r="F545" t="s">
        <v>13</v>
      </c>
      <c r="G545" t="str">
        <f t="shared" si="79"/>
        <v>-114.0,</v>
      </c>
      <c r="H545">
        <f t="shared" si="76"/>
        <v>-114</v>
      </c>
      <c r="I545">
        <f t="shared" si="80"/>
        <v>-8.8000000000000007</v>
      </c>
      <c r="L545">
        <f>160+2*(Table2579[[#This Row],[min value (corrected)]]-23)</f>
        <v>172</v>
      </c>
      <c r="M545">
        <f>MINUTE(Table2579[[#This Row],[Corrected time]])</f>
        <v>29</v>
      </c>
      <c r="N545" s="1">
        <v>0.64591622685185179</v>
      </c>
      <c r="O545" s="1">
        <f>Table2579[[#This Row],[Time]]-TIME(0,0,10)</f>
        <v>0.64580048611111107</v>
      </c>
      <c r="P545" t="s">
        <v>13</v>
      </c>
      <c r="Q545">
        <f>Q544</f>
        <v>-114</v>
      </c>
      <c r="R545">
        <f>Table2579[[#This Row],[RSSI]]</f>
        <v>-114</v>
      </c>
      <c r="S545">
        <f>S544</f>
        <v>-9</v>
      </c>
    </row>
    <row r="546" spans="2:19" x14ac:dyDescent="0.25">
      <c r="B546">
        <f>160+2*(Table1468[[#This Row],[min value (corrected)]]-32)</f>
        <v>176</v>
      </c>
      <c r="C546">
        <f>MINUTE(Table1468[[#This Row],[Corrected time]])</f>
        <v>40</v>
      </c>
      <c r="D546" s="1">
        <v>0.65345743055555561</v>
      </c>
      <c r="E546" s="1">
        <f>Table1468[[#This Row],[Time]]-TIME(0,0,11)</f>
        <v>0.65333011574074085</v>
      </c>
      <c r="F546" t="s">
        <v>9</v>
      </c>
      <c r="G546" t="s">
        <v>39</v>
      </c>
      <c r="H546">
        <f t="shared" si="76"/>
        <v>-114</v>
      </c>
      <c r="I546">
        <v>-8.8000000000000007</v>
      </c>
      <c r="L546">
        <f>160+2*(Table2579[[#This Row],[min value (corrected)]]-23)</f>
        <v>172</v>
      </c>
      <c r="M546">
        <f>MINUTE(Table2579[[#This Row],[Corrected time]])</f>
        <v>29</v>
      </c>
      <c r="N546" s="1">
        <v>0.64592840277777774</v>
      </c>
      <c r="O546" s="1">
        <f>Table2579[[#This Row],[Time]]-TIME(0,0,10)</f>
        <v>0.64581266203703702</v>
      </c>
      <c r="P546" t="s">
        <v>9</v>
      </c>
      <c r="Q546">
        <v>-111</v>
      </c>
      <c r="R546">
        <f>Table2579[[#This Row],[RSSI]]</f>
        <v>-111</v>
      </c>
      <c r="S546">
        <v>-8.3000000000000007</v>
      </c>
    </row>
    <row r="547" spans="2:19" x14ac:dyDescent="0.25">
      <c r="B547">
        <f>160+2*(Table1468[[#This Row],[min value (corrected)]]-32)</f>
        <v>176</v>
      </c>
      <c r="C547">
        <f>MINUTE(Table1468[[#This Row],[Corrected time]])</f>
        <v>40</v>
      </c>
      <c r="D547" s="1">
        <v>0.65346960648148145</v>
      </c>
      <c r="E547" s="1">
        <f>Table1468[[#This Row],[Time]]-TIME(0,0,11)</f>
        <v>0.65334229166666669</v>
      </c>
      <c r="F547" t="s">
        <v>9</v>
      </c>
      <c r="G547" t="s">
        <v>37</v>
      </c>
      <c r="H547">
        <f t="shared" si="76"/>
        <v>-113</v>
      </c>
      <c r="I547">
        <v>-8</v>
      </c>
      <c r="L547">
        <f>160+2*(Table2579[[#This Row],[min value (corrected)]]-23)</f>
        <v>172</v>
      </c>
      <c r="M547">
        <f>MINUTE(Table2579[[#This Row],[Corrected time]])</f>
        <v>29</v>
      </c>
      <c r="N547" s="1">
        <v>0.64594060185185176</v>
      </c>
      <c r="O547" s="1">
        <f>Table2579[[#This Row],[Time]]-TIME(0,0,10)</f>
        <v>0.64582486111111104</v>
      </c>
      <c r="P547" t="s">
        <v>9</v>
      </c>
      <c r="Q547">
        <v>-113</v>
      </c>
      <c r="R547">
        <f>Table2579[[#This Row],[RSSI]]</f>
        <v>-113</v>
      </c>
      <c r="S547">
        <v>-8.8000000000000007</v>
      </c>
    </row>
    <row r="548" spans="2:19" x14ac:dyDescent="0.25">
      <c r="B548">
        <f>160+2*(Table1468[[#This Row],[min value (corrected)]]-32)</f>
        <v>176</v>
      </c>
      <c r="C548">
        <f>MINUTE(Table1468[[#This Row],[Corrected time]])</f>
        <v>40</v>
      </c>
      <c r="D548" s="1">
        <v>0.65348180555555557</v>
      </c>
      <c r="E548" s="1">
        <f>Table1468[[#This Row],[Time]]-TIME(0,0,11)</f>
        <v>0.65335449074074081</v>
      </c>
      <c r="F548" t="s">
        <v>13</v>
      </c>
      <c r="G548" t="str">
        <f>G547</f>
        <v>-113.0,</v>
      </c>
      <c r="H548">
        <f t="shared" si="76"/>
        <v>-113</v>
      </c>
      <c r="I548">
        <f>I547</f>
        <v>-8</v>
      </c>
      <c r="L548">
        <f>160+2*(Table2579[[#This Row],[min value (corrected)]]-23)</f>
        <v>174</v>
      </c>
      <c r="M548">
        <f>MINUTE(Table2579[[#This Row],[Corrected time]])</f>
        <v>30</v>
      </c>
      <c r="N548" s="1">
        <v>0.64595278935185185</v>
      </c>
      <c r="O548" s="1">
        <f>Table2579[[#This Row],[Time]]-TIME(0,0,10)</f>
        <v>0.64583704861111113</v>
      </c>
      <c r="P548" t="s">
        <v>13</v>
      </c>
      <c r="Q548">
        <f t="shared" ref="Q548:Q549" si="81">Q547</f>
        <v>-113</v>
      </c>
      <c r="R548">
        <f>Table2579[[#This Row],[RSSI]]</f>
        <v>-113</v>
      </c>
      <c r="S548">
        <f t="shared" ref="S548:S549" si="82">S547</f>
        <v>-8.8000000000000007</v>
      </c>
    </row>
    <row r="549" spans="2:19" x14ac:dyDescent="0.25">
      <c r="B549">
        <f>160+2*(Table1468[[#This Row],[min value (corrected)]]-32)</f>
        <v>176</v>
      </c>
      <c r="C549">
        <f>MINUTE(Table1468[[#This Row],[Corrected time]])</f>
        <v>40</v>
      </c>
      <c r="D549" s="1">
        <v>0.65349396990740738</v>
      </c>
      <c r="E549" s="1">
        <f>Table1468[[#This Row],[Time]]-TIME(0,0,11)</f>
        <v>0.65336665509259262</v>
      </c>
      <c r="F549" t="s">
        <v>9</v>
      </c>
      <c r="G549" t="s">
        <v>39</v>
      </c>
      <c r="H549">
        <f t="shared" si="76"/>
        <v>-114</v>
      </c>
      <c r="I549">
        <v>-8.3000000000000007</v>
      </c>
      <c r="L549">
        <f>160+2*(Table2579[[#This Row],[min value (corrected)]]-23)</f>
        <v>174</v>
      </c>
      <c r="M549">
        <f>MINUTE(Table2579[[#This Row],[Corrected time]])</f>
        <v>30</v>
      </c>
      <c r="N549" s="1">
        <v>0.64596497685185195</v>
      </c>
      <c r="O549" s="1">
        <f>Table2579[[#This Row],[Time]]-TIME(0,0,10)</f>
        <v>0.64584923611111122</v>
      </c>
      <c r="P549" t="s">
        <v>27</v>
      </c>
      <c r="Q549">
        <f t="shared" si="81"/>
        <v>-113</v>
      </c>
      <c r="R549">
        <f>Table2579[[#This Row],[RSSI]]</f>
        <v>-113</v>
      </c>
      <c r="S549">
        <f t="shared" si="82"/>
        <v>-8.8000000000000007</v>
      </c>
    </row>
    <row r="550" spans="2:19" x14ac:dyDescent="0.25">
      <c r="B550">
        <f>160+2*(Table1468[[#This Row],[min value (corrected)]]-32)</f>
        <v>176</v>
      </c>
      <c r="C550">
        <f>MINUTE(Table1468[[#This Row],[Corrected time]])</f>
        <v>40</v>
      </c>
      <c r="D550" s="1">
        <v>0.65350616898148139</v>
      </c>
      <c r="E550" s="1">
        <f>Table1468[[#This Row],[Time]]-TIME(0,0,11)</f>
        <v>0.65337885416666663</v>
      </c>
      <c r="F550" t="s">
        <v>9</v>
      </c>
      <c r="G550" t="s">
        <v>39</v>
      </c>
      <c r="H550">
        <f t="shared" si="76"/>
        <v>-114</v>
      </c>
      <c r="I550">
        <v>-9</v>
      </c>
      <c r="L550">
        <f>160+2*(Table2579[[#This Row],[min value (corrected)]]-23)</f>
        <v>174</v>
      </c>
      <c r="M550">
        <f>MINUTE(Table2579[[#This Row],[Corrected time]])</f>
        <v>30</v>
      </c>
      <c r="N550" s="1">
        <v>0.64597716435185193</v>
      </c>
      <c r="O550" s="1">
        <f>Table2579[[#This Row],[Time]]-TIME(0,0,10)</f>
        <v>0.64586142361111121</v>
      </c>
      <c r="P550" t="s">
        <v>9</v>
      </c>
      <c r="Q550">
        <v>-113</v>
      </c>
      <c r="R550">
        <f>Table2579[[#This Row],[RSSI]]</f>
        <v>-113</v>
      </c>
      <c r="S550">
        <v>-8</v>
      </c>
    </row>
    <row r="551" spans="2:19" x14ac:dyDescent="0.25">
      <c r="B551">
        <f>160+2*(Table1468[[#This Row],[min value (corrected)]]-32)</f>
        <v>176</v>
      </c>
      <c r="C551">
        <f>MINUTE(Table1468[[#This Row],[Corrected time]])</f>
        <v>40</v>
      </c>
      <c r="D551" s="1">
        <v>0.65351835648148149</v>
      </c>
      <c r="E551" s="1">
        <f>Table1468[[#This Row],[Time]]-TIME(0,0,11)</f>
        <v>0.65339104166666673</v>
      </c>
      <c r="F551" t="s">
        <v>13</v>
      </c>
      <c r="G551" t="str">
        <f>G550</f>
        <v>-114.0,</v>
      </c>
      <c r="H551">
        <f t="shared" si="76"/>
        <v>-114</v>
      </c>
      <c r="I551">
        <f>I550</f>
        <v>-9</v>
      </c>
      <c r="L551">
        <f>160+2*(Table2579[[#This Row],[min value (corrected)]]-23)</f>
        <v>174</v>
      </c>
      <c r="M551">
        <f>MINUTE(Table2579[[#This Row],[Corrected time]])</f>
        <v>30</v>
      </c>
      <c r="N551" s="1">
        <v>0.64598935185185191</v>
      </c>
      <c r="O551" s="1">
        <f>Table2579[[#This Row],[Time]]-TIME(0,0,10)</f>
        <v>0.64587361111111119</v>
      </c>
      <c r="P551" t="s">
        <v>9</v>
      </c>
      <c r="Q551">
        <v>-114</v>
      </c>
      <c r="R551">
        <f>Table2579[[#This Row],[RSSI]]</f>
        <v>-114</v>
      </c>
      <c r="S551">
        <v>-8</v>
      </c>
    </row>
    <row r="552" spans="2:19" x14ac:dyDescent="0.25">
      <c r="B552">
        <f>160+2*(Table1468[[#This Row],[min value (corrected)]]-32)</f>
        <v>176</v>
      </c>
      <c r="C552">
        <f>MINUTE(Table1468[[#This Row],[Corrected time]])</f>
        <v>40</v>
      </c>
      <c r="D552" s="1">
        <v>0.65353053240740744</v>
      </c>
      <c r="E552" s="1">
        <f>Table1468[[#This Row],[Time]]-TIME(0,0,11)</f>
        <v>0.65340321759259268</v>
      </c>
      <c r="F552" t="s">
        <v>9</v>
      </c>
      <c r="G552" t="s">
        <v>39</v>
      </c>
      <c r="H552">
        <f t="shared" si="76"/>
        <v>-114</v>
      </c>
      <c r="I552">
        <v>-9</v>
      </c>
      <c r="L552">
        <f>160+2*(Table2579[[#This Row],[min value (corrected)]]-23)</f>
        <v>174</v>
      </c>
      <c r="M552">
        <f>MINUTE(Table2579[[#This Row],[Corrected time]])</f>
        <v>30</v>
      </c>
      <c r="N552" s="1">
        <v>0.64600152777777775</v>
      </c>
      <c r="O552" s="1">
        <f>Table2579[[#This Row],[Time]]-TIME(0,0,10)</f>
        <v>0.64588578703703703</v>
      </c>
      <c r="P552" t="s">
        <v>9</v>
      </c>
      <c r="Q552">
        <v>-114</v>
      </c>
      <c r="R552">
        <f>Table2579[[#This Row],[RSSI]]</f>
        <v>-114</v>
      </c>
      <c r="S552">
        <v>-8.5</v>
      </c>
    </row>
    <row r="553" spans="2:19" x14ac:dyDescent="0.25">
      <c r="B553">
        <f>160+2*(Table1468[[#This Row],[min value (corrected)]]-32)</f>
        <v>176</v>
      </c>
      <c r="C553">
        <f>MINUTE(Table1468[[#This Row],[Corrected time]])</f>
        <v>40</v>
      </c>
      <c r="D553" s="1">
        <v>0.65354271990740742</v>
      </c>
      <c r="E553" s="1">
        <f>Table1468[[#This Row],[Time]]-TIME(0,0,11)</f>
        <v>0.65341540509259266</v>
      </c>
      <c r="F553" t="s">
        <v>9</v>
      </c>
      <c r="G553" t="s">
        <v>37</v>
      </c>
      <c r="H553">
        <f t="shared" si="76"/>
        <v>-113</v>
      </c>
      <c r="I553">
        <v>-8</v>
      </c>
      <c r="L553">
        <f>160+2*(Table2579[[#This Row],[min value (corrected)]]-23)</f>
        <v>174</v>
      </c>
      <c r="M553">
        <f>MINUTE(Table2579[[#This Row],[Corrected time]])</f>
        <v>30</v>
      </c>
      <c r="N553" s="1">
        <v>0.64601372685185188</v>
      </c>
      <c r="O553" s="1">
        <f>Table2579[[#This Row],[Time]]-TIME(0,0,10)</f>
        <v>0.64589798611111116</v>
      </c>
      <c r="P553" t="s">
        <v>9</v>
      </c>
      <c r="Q553">
        <v>-112</v>
      </c>
      <c r="R553">
        <f>Table2579[[#This Row],[RSSI]]</f>
        <v>-112</v>
      </c>
      <c r="S553">
        <v>-8.5</v>
      </c>
    </row>
    <row r="554" spans="2:19" x14ac:dyDescent="0.25">
      <c r="B554">
        <f>160+2*(Table1468[[#This Row],[min value (corrected)]]-32)</f>
        <v>176</v>
      </c>
      <c r="C554">
        <f>MINUTE(Table1468[[#This Row],[Corrected time]])</f>
        <v>40</v>
      </c>
      <c r="D554" s="1">
        <v>0.65355491898148144</v>
      </c>
      <c r="E554" s="1">
        <f>Table1468[[#This Row],[Time]]-TIME(0,0,11)</f>
        <v>0.65342760416666668</v>
      </c>
      <c r="F554" t="s">
        <v>9</v>
      </c>
      <c r="G554" t="s">
        <v>37</v>
      </c>
      <c r="H554">
        <f t="shared" si="76"/>
        <v>-113</v>
      </c>
      <c r="I554">
        <v>-9</v>
      </c>
      <c r="L554">
        <f>160+2*(Table2579[[#This Row],[min value (corrected)]]-23)</f>
        <v>174</v>
      </c>
      <c r="M554">
        <f>MINUTE(Table2579[[#This Row],[Corrected time]])</f>
        <v>30</v>
      </c>
      <c r="N554" s="1">
        <v>0.64602591435185186</v>
      </c>
      <c r="O554" s="1">
        <f>Table2579[[#This Row],[Time]]-TIME(0,0,10)</f>
        <v>0.64591017361111114</v>
      </c>
      <c r="P554" t="s">
        <v>9</v>
      </c>
      <c r="Q554">
        <v>-114</v>
      </c>
      <c r="R554">
        <f>Table2579[[#This Row],[RSSI]]</f>
        <v>-114</v>
      </c>
      <c r="S554">
        <v>-8.5</v>
      </c>
    </row>
    <row r="555" spans="2:19" x14ac:dyDescent="0.25">
      <c r="B555">
        <f>160+2*(Table1468[[#This Row],[min value (corrected)]]-32)</f>
        <v>176</v>
      </c>
      <c r="C555">
        <f>MINUTE(Table1468[[#This Row],[Corrected time]])</f>
        <v>40</v>
      </c>
      <c r="D555" s="1">
        <v>0.65356710648148142</v>
      </c>
      <c r="E555" s="1">
        <f>Table1468[[#This Row],[Time]]-TIME(0,0,11)</f>
        <v>0.65343979166666666</v>
      </c>
      <c r="F555" t="s">
        <v>9</v>
      </c>
      <c r="G555" t="s">
        <v>37</v>
      </c>
      <c r="H555">
        <f t="shared" si="76"/>
        <v>-113</v>
      </c>
      <c r="I555">
        <v>-8.3000000000000007</v>
      </c>
      <c r="L555">
        <f>160+2*(Table2579[[#This Row],[min value (corrected)]]-23)</f>
        <v>174</v>
      </c>
      <c r="M555">
        <f>MINUTE(Table2579[[#This Row],[Corrected time]])</f>
        <v>30</v>
      </c>
      <c r="N555" s="1">
        <v>0.64603809027777781</v>
      </c>
      <c r="O555" s="1">
        <f>Table2579[[#This Row],[Time]]-TIME(0,0,10)</f>
        <v>0.64592234953703709</v>
      </c>
      <c r="P555" t="s">
        <v>13</v>
      </c>
      <c r="Q555">
        <f t="shared" ref="Q555:Q556" si="83">Q554</f>
        <v>-114</v>
      </c>
      <c r="R555">
        <f>Table2579[[#This Row],[RSSI]]</f>
        <v>-114</v>
      </c>
      <c r="S555">
        <f t="shared" ref="S555:S556" si="84">S554</f>
        <v>-8.5</v>
      </c>
    </row>
    <row r="556" spans="2:19" x14ac:dyDescent="0.25">
      <c r="B556">
        <f>160+2*(Table1468[[#This Row],[min value (corrected)]]-32)</f>
        <v>176</v>
      </c>
      <c r="C556">
        <f>MINUTE(Table1468[[#This Row],[Corrected time]])</f>
        <v>40</v>
      </c>
      <c r="D556" s="1">
        <v>0.6535792939814814</v>
      </c>
      <c r="E556" s="1">
        <f>Table1468[[#This Row],[Time]]-TIME(0,0,11)</f>
        <v>0.65345197916666664</v>
      </c>
      <c r="F556" t="s">
        <v>9</v>
      </c>
      <c r="G556" t="s">
        <v>37</v>
      </c>
      <c r="H556">
        <f t="shared" si="76"/>
        <v>-113</v>
      </c>
      <c r="I556">
        <v>-8</v>
      </c>
      <c r="L556">
        <f>160+2*(Table2579[[#This Row],[min value (corrected)]]-23)</f>
        <v>174</v>
      </c>
      <c r="M556">
        <f>MINUTE(Table2579[[#This Row],[Corrected time]])</f>
        <v>30</v>
      </c>
      <c r="N556" s="1">
        <v>0.64605028935185194</v>
      </c>
      <c r="O556" s="1">
        <f>Table2579[[#This Row],[Time]]-TIME(0,0,10)</f>
        <v>0.64593454861111121</v>
      </c>
      <c r="P556" t="s">
        <v>27</v>
      </c>
      <c r="Q556">
        <f t="shared" si="83"/>
        <v>-114</v>
      </c>
      <c r="R556">
        <f>Table2579[[#This Row],[RSSI]]</f>
        <v>-114</v>
      </c>
      <c r="S556">
        <f t="shared" si="84"/>
        <v>-8.5</v>
      </c>
    </row>
    <row r="557" spans="2:19" x14ac:dyDescent="0.25">
      <c r="B557">
        <f>160+2*(Table1468[[#This Row],[min value (corrected)]]-32)</f>
        <v>176</v>
      </c>
      <c r="C557">
        <f>MINUTE(Table1468[[#This Row],[Corrected time]])</f>
        <v>40</v>
      </c>
      <c r="D557" s="1">
        <v>0.6535914814814815</v>
      </c>
      <c r="E557" s="1">
        <f>Table1468[[#This Row],[Time]]-TIME(0,0,11)</f>
        <v>0.65346416666666673</v>
      </c>
      <c r="F557" t="s">
        <v>9</v>
      </c>
      <c r="G557" t="s">
        <v>39</v>
      </c>
      <c r="H557">
        <f t="shared" si="76"/>
        <v>-114</v>
      </c>
      <c r="I557">
        <v>-8.8000000000000007</v>
      </c>
      <c r="L557">
        <f>160+2*(Table2579[[#This Row],[min value (corrected)]]-23)</f>
        <v>174</v>
      </c>
      <c r="M557">
        <f>MINUTE(Table2579[[#This Row],[Corrected time]])</f>
        <v>30</v>
      </c>
      <c r="N557" s="1">
        <v>0.64606247685185192</v>
      </c>
      <c r="O557" s="1">
        <f>Table2579[[#This Row],[Time]]-TIME(0,0,10)</f>
        <v>0.6459467361111112</v>
      </c>
      <c r="P557" t="s">
        <v>9</v>
      </c>
      <c r="Q557">
        <v>-113</v>
      </c>
      <c r="R557">
        <f>Table2579[[#This Row],[RSSI]]</f>
        <v>-113</v>
      </c>
      <c r="S557">
        <v>-8.5</v>
      </c>
    </row>
    <row r="558" spans="2:19" x14ac:dyDescent="0.25">
      <c r="B558">
        <f>160+2*(Table1468[[#This Row],[min value (corrected)]]-32)</f>
        <v>178</v>
      </c>
      <c r="C558">
        <f>MINUTE(Table1468[[#This Row],[Corrected time]])</f>
        <v>41</v>
      </c>
      <c r="D558" s="1">
        <v>0.65360366898148148</v>
      </c>
      <c r="E558" s="1">
        <f>Table1468[[#This Row],[Time]]-TIME(0,0,11)</f>
        <v>0.65347635416666672</v>
      </c>
      <c r="F558" t="s">
        <v>9</v>
      </c>
      <c r="G558" t="s">
        <v>37</v>
      </c>
      <c r="H558">
        <f t="shared" si="76"/>
        <v>-113</v>
      </c>
      <c r="I558">
        <v>-7.7</v>
      </c>
      <c r="L558">
        <f>160+2*(Table2579[[#This Row],[min value (corrected)]]-23)</f>
        <v>174</v>
      </c>
      <c r="M558">
        <f>MINUTE(Table2579[[#This Row],[Corrected time]])</f>
        <v>30</v>
      </c>
      <c r="N558" s="1">
        <v>0.6460746643518519</v>
      </c>
      <c r="O558" s="1">
        <f>Table2579[[#This Row],[Time]]-TIME(0,0,10)</f>
        <v>0.64595892361111118</v>
      </c>
      <c r="P558" t="s">
        <v>9</v>
      </c>
      <c r="Q558">
        <v>-114</v>
      </c>
      <c r="R558">
        <f>Table2579[[#This Row],[RSSI]]</f>
        <v>-114</v>
      </c>
      <c r="S558">
        <v>-8.5</v>
      </c>
    </row>
    <row r="559" spans="2:19" x14ac:dyDescent="0.25">
      <c r="B559">
        <f>160+2*(Table1468[[#This Row],[min value (corrected)]]-32)</f>
        <v>178</v>
      </c>
      <c r="C559">
        <f>MINUTE(Table1468[[#This Row],[Corrected time]])</f>
        <v>41</v>
      </c>
      <c r="D559" s="1">
        <v>0.65361585648148157</v>
      </c>
      <c r="E559" s="1">
        <f>Table1468[[#This Row],[Time]]-TIME(0,0,11)</f>
        <v>0.65348854166666681</v>
      </c>
      <c r="F559" t="s">
        <v>9</v>
      </c>
      <c r="G559" t="s">
        <v>39</v>
      </c>
      <c r="H559">
        <f t="shared" si="76"/>
        <v>-114</v>
      </c>
      <c r="I559">
        <v>-9.3000000000000007</v>
      </c>
      <c r="L559">
        <f>160+2*(Table2579[[#This Row],[min value (corrected)]]-23)</f>
        <v>174</v>
      </c>
      <c r="M559">
        <f>MINUTE(Table2579[[#This Row],[Corrected time]])</f>
        <v>30</v>
      </c>
      <c r="N559" s="1">
        <v>0.64608684027777774</v>
      </c>
      <c r="O559" s="1">
        <f>Table2579[[#This Row],[Time]]-TIME(0,0,10)</f>
        <v>0.64597109953703702</v>
      </c>
      <c r="P559" t="s">
        <v>9</v>
      </c>
      <c r="Q559">
        <v>-113</v>
      </c>
      <c r="R559">
        <f>Table2579[[#This Row],[RSSI]]</f>
        <v>-113</v>
      </c>
      <c r="S559">
        <v>-9</v>
      </c>
    </row>
    <row r="560" spans="2:19" x14ac:dyDescent="0.25">
      <c r="B560">
        <f>160+2*(Table1468[[#This Row],[min value (corrected)]]-32)</f>
        <v>178</v>
      </c>
      <c r="C560">
        <f>MINUTE(Table1468[[#This Row],[Corrected time]])</f>
        <v>41</v>
      </c>
      <c r="D560" s="1">
        <v>0.65362804398148155</v>
      </c>
      <c r="E560" s="1">
        <f>Table1468[[#This Row],[Time]]-TIME(0,0,11)</f>
        <v>0.65350072916666679</v>
      </c>
      <c r="F560" t="s">
        <v>9</v>
      </c>
      <c r="G560" t="s">
        <v>39</v>
      </c>
      <c r="H560">
        <f t="shared" si="76"/>
        <v>-114</v>
      </c>
      <c r="I560">
        <v>-9.3000000000000007</v>
      </c>
      <c r="L560">
        <f>160+2*(Table2579[[#This Row],[min value (corrected)]]-23)</f>
        <v>174</v>
      </c>
      <c r="M560">
        <f>MINUTE(Table2579[[#This Row],[Corrected time]])</f>
        <v>30</v>
      </c>
      <c r="N560" s="1">
        <v>0.64609903935185187</v>
      </c>
      <c r="O560" s="1">
        <f>Table2579[[#This Row],[Time]]-TIME(0,0,10)</f>
        <v>0.64598329861111115</v>
      </c>
      <c r="P560" t="s">
        <v>9</v>
      </c>
      <c r="Q560">
        <v>-113</v>
      </c>
      <c r="R560">
        <f>Table2579[[#This Row],[RSSI]]</f>
        <v>-113</v>
      </c>
      <c r="S560">
        <v>-8</v>
      </c>
    </row>
    <row r="561" spans="2:19" x14ac:dyDescent="0.25">
      <c r="B561">
        <f>160+2*(Table1468[[#This Row],[min value (corrected)]]-32)</f>
        <v>178</v>
      </c>
      <c r="C561">
        <f>MINUTE(Table1468[[#This Row],[Corrected time]])</f>
        <v>41</v>
      </c>
      <c r="D561" s="1">
        <v>0.65364023148148154</v>
      </c>
      <c r="E561" s="1">
        <f>Table1468[[#This Row],[Time]]-TIME(0,0,11)</f>
        <v>0.65351291666666678</v>
      </c>
      <c r="F561" t="s">
        <v>9</v>
      </c>
      <c r="G561" t="s">
        <v>39</v>
      </c>
      <c r="H561">
        <f t="shared" si="76"/>
        <v>-114</v>
      </c>
      <c r="I561">
        <v>-8.5</v>
      </c>
      <c r="L561">
        <f>160+2*(Table2579[[#This Row],[min value (corrected)]]-23)</f>
        <v>174</v>
      </c>
      <c r="M561">
        <f>MINUTE(Table2579[[#This Row],[Corrected time]])</f>
        <v>30</v>
      </c>
      <c r="N561" s="1">
        <v>0.64611120370370367</v>
      </c>
      <c r="O561" s="1">
        <f>Table2579[[#This Row],[Time]]-TIME(0,0,10)</f>
        <v>0.64599546296296295</v>
      </c>
      <c r="P561" t="s">
        <v>13</v>
      </c>
      <c r="Q561">
        <f>Q560</f>
        <v>-113</v>
      </c>
      <c r="R561">
        <f>Table2579[[#This Row],[RSSI]]</f>
        <v>-113</v>
      </c>
      <c r="S561">
        <f>S560</f>
        <v>-8</v>
      </c>
    </row>
    <row r="562" spans="2:19" x14ac:dyDescent="0.25">
      <c r="B562">
        <f>160+2*(Table1468[[#This Row],[min value (corrected)]]-32)</f>
        <v>178</v>
      </c>
      <c r="C562">
        <f>MINUTE(Table1468[[#This Row],[Corrected time]])</f>
        <v>41</v>
      </c>
      <c r="D562" s="1">
        <v>0.65365241898148152</v>
      </c>
      <c r="E562" s="1">
        <f>Table1468[[#This Row],[Time]]-TIME(0,0,11)</f>
        <v>0.65352510416666676</v>
      </c>
      <c r="F562" t="s">
        <v>9</v>
      </c>
      <c r="G562" t="s">
        <v>39</v>
      </c>
      <c r="H562">
        <f t="shared" si="76"/>
        <v>-114</v>
      </c>
      <c r="I562">
        <v>-9</v>
      </c>
      <c r="L562">
        <f>160+2*(Table2579[[#This Row],[min value (corrected)]]-23)</f>
        <v>174</v>
      </c>
      <c r="M562">
        <f>MINUTE(Table2579[[#This Row],[Corrected time]])</f>
        <v>30</v>
      </c>
      <c r="N562" s="1">
        <v>0.64612341435185183</v>
      </c>
      <c r="O562" s="1">
        <f>Table2579[[#This Row],[Time]]-TIME(0,0,10)</f>
        <v>0.64600767361111111</v>
      </c>
      <c r="P562" t="s">
        <v>9</v>
      </c>
      <c r="Q562">
        <v>-113</v>
      </c>
      <c r="R562">
        <f>Table2579[[#This Row],[RSSI]]</f>
        <v>-113</v>
      </c>
      <c r="S562">
        <v>-8.3000000000000007</v>
      </c>
    </row>
    <row r="563" spans="2:19" x14ac:dyDescent="0.25">
      <c r="B563">
        <f>160+2*(Table1468[[#This Row],[min value (corrected)]]-32)</f>
        <v>178</v>
      </c>
      <c r="C563">
        <f>MINUTE(Table1468[[#This Row],[Corrected time]])</f>
        <v>41</v>
      </c>
      <c r="D563" s="1">
        <v>0.6536646064814815</v>
      </c>
      <c r="E563" s="1">
        <f>Table1468[[#This Row],[Time]]-TIME(0,0,11)</f>
        <v>0.65353729166666674</v>
      </c>
      <c r="F563" t="s">
        <v>9</v>
      </c>
      <c r="G563" t="s">
        <v>37</v>
      </c>
      <c r="H563">
        <f t="shared" si="76"/>
        <v>-113</v>
      </c>
      <c r="I563">
        <v>-8</v>
      </c>
      <c r="L563">
        <f>160+2*(Table2579[[#This Row],[min value (corrected)]]-23)</f>
        <v>174</v>
      </c>
      <c r="M563">
        <f>MINUTE(Table2579[[#This Row],[Corrected time]])</f>
        <v>30</v>
      </c>
      <c r="N563" s="1">
        <v>0.64613559027777778</v>
      </c>
      <c r="O563" s="1">
        <f>Table2579[[#This Row],[Time]]-TIME(0,0,10)</f>
        <v>0.64601984953703706</v>
      </c>
      <c r="P563" t="s">
        <v>9</v>
      </c>
      <c r="Q563">
        <v>-114</v>
      </c>
      <c r="R563">
        <f>Table2579[[#This Row],[RSSI]]</f>
        <v>-114</v>
      </c>
      <c r="S563">
        <v>-9.8000000000000007</v>
      </c>
    </row>
    <row r="564" spans="2:19" x14ac:dyDescent="0.25">
      <c r="B564">
        <f>160+2*(Table1468[[#This Row],[min value (corrected)]]-32)</f>
        <v>178</v>
      </c>
      <c r="C564">
        <f>MINUTE(Table1468[[#This Row],[Corrected time]])</f>
        <v>41</v>
      </c>
      <c r="D564" s="1">
        <v>0.65367679398148149</v>
      </c>
      <c r="E564" s="1">
        <f>Table1468[[#This Row],[Time]]-TIME(0,0,11)</f>
        <v>0.65354947916666672</v>
      </c>
      <c r="F564" t="s">
        <v>13</v>
      </c>
      <c r="G564" t="str">
        <f>G563</f>
        <v>-113.0,</v>
      </c>
      <c r="H564">
        <f t="shared" si="76"/>
        <v>-113</v>
      </c>
      <c r="I564">
        <f>I563</f>
        <v>-8</v>
      </c>
      <c r="L564">
        <f>160+2*(Table2579[[#This Row],[min value (corrected)]]-23)</f>
        <v>174</v>
      </c>
      <c r="M564">
        <f>MINUTE(Table2579[[#This Row],[Corrected time]])</f>
        <v>30</v>
      </c>
      <c r="N564" s="1">
        <v>0.64614777777777777</v>
      </c>
      <c r="O564" s="1">
        <f>Table2579[[#This Row],[Time]]-TIME(0,0,10)</f>
        <v>0.64603203703703704</v>
      </c>
      <c r="P564" t="s">
        <v>9</v>
      </c>
      <c r="Q564">
        <v>-114</v>
      </c>
      <c r="R564">
        <f>Table2579[[#This Row],[RSSI]]</f>
        <v>-114</v>
      </c>
      <c r="S564">
        <v>-8.3000000000000007</v>
      </c>
    </row>
    <row r="565" spans="2:19" x14ac:dyDescent="0.25">
      <c r="B565">
        <f>160+2*(Table1468[[#This Row],[min value (corrected)]]-32)</f>
        <v>178</v>
      </c>
      <c r="C565">
        <f>MINUTE(Table1468[[#This Row],[Corrected time]])</f>
        <v>41</v>
      </c>
      <c r="D565" s="1">
        <v>0.65368896990740744</v>
      </c>
      <c r="E565" s="1">
        <f>Table1468[[#This Row],[Time]]-TIME(0,0,11)</f>
        <v>0.65356165509259267</v>
      </c>
      <c r="F565" t="s">
        <v>9</v>
      </c>
      <c r="G565" t="s">
        <v>39</v>
      </c>
      <c r="H565">
        <f t="shared" si="76"/>
        <v>-114</v>
      </c>
      <c r="I565">
        <v>-8</v>
      </c>
      <c r="L565">
        <f>160+2*(Table2579[[#This Row],[min value (corrected)]]-23)</f>
        <v>174</v>
      </c>
      <c r="M565">
        <f>MINUTE(Table2579[[#This Row],[Corrected time]])</f>
        <v>30</v>
      </c>
      <c r="N565" s="1">
        <v>0.64615997685185189</v>
      </c>
      <c r="O565" s="1">
        <f>Table2579[[#This Row],[Time]]-TIME(0,0,10)</f>
        <v>0.64604423611111117</v>
      </c>
      <c r="P565" t="s">
        <v>9</v>
      </c>
      <c r="Q565">
        <v>-114</v>
      </c>
      <c r="R565">
        <f>Table2579[[#This Row],[RSSI]]</f>
        <v>-114</v>
      </c>
      <c r="S565">
        <v>-8.8000000000000007</v>
      </c>
    </row>
    <row r="566" spans="2:19" x14ac:dyDescent="0.25">
      <c r="B566">
        <f>160+2*(Table1468[[#This Row],[min value (corrected)]]-32)</f>
        <v>178</v>
      </c>
      <c r="C566">
        <f>MINUTE(Table1468[[#This Row],[Corrected time]])</f>
        <v>41</v>
      </c>
      <c r="D566" s="1">
        <v>0.65370116898148156</v>
      </c>
      <c r="E566" s="1">
        <f>Table1468[[#This Row],[Time]]-TIME(0,0,11)</f>
        <v>0.6535738541666668</v>
      </c>
      <c r="F566" t="s">
        <v>9</v>
      </c>
      <c r="G566" t="s">
        <v>37</v>
      </c>
      <c r="H566">
        <f t="shared" si="76"/>
        <v>-113</v>
      </c>
      <c r="I566">
        <v>-8.3000000000000007</v>
      </c>
      <c r="L566">
        <f>160+2*(Table2579[[#This Row],[min value (corrected)]]-23)</f>
        <v>174</v>
      </c>
      <c r="M566">
        <f>MINUTE(Table2579[[#This Row],[Corrected time]])</f>
        <v>30</v>
      </c>
      <c r="N566" s="1">
        <v>0.64617215277777773</v>
      </c>
      <c r="O566" s="1">
        <f>Table2579[[#This Row],[Time]]-TIME(0,0,10)</f>
        <v>0.64605641203703701</v>
      </c>
      <c r="P566" t="s">
        <v>9</v>
      </c>
      <c r="Q566">
        <v>-114</v>
      </c>
      <c r="R566">
        <f>Table2579[[#This Row],[RSSI]]</f>
        <v>-114</v>
      </c>
      <c r="S566">
        <v>-10</v>
      </c>
    </row>
    <row r="567" spans="2:19" x14ac:dyDescent="0.25">
      <c r="B567">
        <f>160+2*(Table1468[[#This Row],[min value (corrected)]]-32)</f>
        <v>178</v>
      </c>
      <c r="C567">
        <f>MINUTE(Table1468[[#This Row],[Corrected time]])</f>
        <v>41</v>
      </c>
      <c r="D567" s="1">
        <v>0.65371335648148154</v>
      </c>
      <c r="E567" s="1">
        <f>Table1468[[#This Row],[Time]]-TIME(0,0,11)</f>
        <v>0.65358604166666678</v>
      </c>
      <c r="F567" t="s">
        <v>9</v>
      </c>
      <c r="G567" t="s">
        <v>39</v>
      </c>
      <c r="H567">
        <f t="shared" si="76"/>
        <v>-114</v>
      </c>
      <c r="I567">
        <v>-8.5</v>
      </c>
      <c r="L567">
        <f>160+2*(Table2579[[#This Row],[min value (corrected)]]-23)</f>
        <v>174</v>
      </c>
      <c r="M567">
        <f>MINUTE(Table2579[[#This Row],[Corrected time]])</f>
        <v>30</v>
      </c>
      <c r="N567" s="1">
        <v>0.64618435185185186</v>
      </c>
      <c r="O567" s="1">
        <f>Table2579[[#This Row],[Time]]-TIME(0,0,10)</f>
        <v>0.64606861111111114</v>
      </c>
      <c r="P567" t="s">
        <v>9</v>
      </c>
      <c r="Q567">
        <v>-114</v>
      </c>
      <c r="R567">
        <f>Table2579[[#This Row],[RSSI]]</f>
        <v>-114</v>
      </c>
      <c r="S567">
        <v>-8.3000000000000007</v>
      </c>
    </row>
    <row r="568" spans="2:19" x14ac:dyDescent="0.25">
      <c r="B568">
        <f>160+2*(Table1468[[#This Row],[min value (corrected)]]-32)</f>
        <v>178</v>
      </c>
      <c r="C568">
        <f>MINUTE(Table1468[[#This Row],[Corrected time]])</f>
        <v>41</v>
      </c>
      <c r="D568" s="1">
        <v>0.65372554398148153</v>
      </c>
      <c r="E568" s="1">
        <f>Table1468[[#This Row],[Time]]-TIME(0,0,11)</f>
        <v>0.65359822916666677</v>
      </c>
      <c r="F568" t="s">
        <v>9</v>
      </c>
      <c r="G568" t="s">
        <v>39</v>
      </c>
      <c r="H568">
        <f t="shared" si="76"/>
        <v>-114</v>
      </c>
      <c r="I568">
        <v>-9</v>
      </c>
      <c r="L568">
        <f>160+2*(Table2579[[#This Row],[min value (corrected)]]-23)</f>
        <v>174</v>
      </c>
      <c r="M568">
        <f>MINUTE(Table2579[[#This Row],[Corrected time]])</f>
        <v>30</v>
      </c>
      <c r="N568" s="1">
        <v>0.6461965277777777</v>
      </c>
      <c r="O568" s="1">
        <f>Table2579[[#This Row],[Time]]-TIME(0,0,10)</f>
        <v>0.64608078703703697</v>
      </c>
      <c r="P568" t="s">
        <v>9</v>
      </c>
      <c r="Q568">
        <v>-114</v>
      </c>
      <c r="R568">
        <f>Table2579[[#This Row],[RSSI]]</f>
        <v>-114</v>
      </c>
      <c r="S568">
        <v>-8</v>
      </c>
    </row>
    <row r="569" spans="2:19" x14ac:dyDescent="0.25">
      <c r="B569">
        <f>160+2*(Table1468[[#This Row],[min value (corrected)]]-32)</f>
        <v>178</v>
      </c>
      <c r="C569">
        <f>MINUTE(Table1468[[#This Row],[Corrected time]])</f>
        <v>41</v>
      </c>
      <c r="D569" s="1">
        <v>0.65373773148148151</v>
      </c>
      <c r="E569" s="1">
        <f>Table1468[[#This Row],[Time]]-TIME(0,0,11)</f>
        <v>0.65361041666666675</v>
      </c>
      <c r="F569" t="s">
        <v>9</v>
      </c>
      <c r="G569" t="s">
        <v>37</v>
      </c>
      <c r="H569">
        <f t="shared" si="76"/>
        <v>-113</v>
      </c>
      <c r="I569">
        <v>-8</v>
      </c>
      <c r="L569">
        <f>160+2*(Table2579[[#This Row],[min value (corrected)]]-23)</f>
        <v>174</v>
      </c>
      <c r="M569">
        <f>MINUTE(Table2579[[#This Row],[Corrected time]])</f>
        <v>30</v>
      </c>
      <c r="N569" s="1">
        <v>0.64620871527777779</v>
      </c>
      <c r="O569" s="1">
        <f>Table2579[[#This Row],[Time]]-TIME(0,0,10)</f>
        <v>0.64609297453703707</v>
      </c>
      <c r="P569" t="s">
        <v>13</v>
      </c>
      <c r="Q569">
        <f>Q568</f>
        <v>-114</v>
      </c>
      <c r="R569">
        <f>Table2579[[#This Row],[RSSI]]</f>
        <v>-114</v>
      </c>
      <c r="S569">
        <f>S568</f>
        <v>-8</v>
      </c>
    </row>
    <row r="570" spans="2:19" x14ac:dyDescent="0.25">
      <c r="B570">
        <f>160+2*(Table1468[[#This Row],[min value (corrected)]]-32)</f>
        <v>178</v>
      </c>
      <c r="C570">
        <f>MINUTE(Table1468[[#This Row],[Corrected time]])</f>
        <v>41</v>
      </c>
      <c r="D570" s="1">
        <v>0.65374991898148149</v>
      </c>
      <c r="E570" s="1">
        <f>Table1468[[#This Row],[Time]]-TIME(0,0,11)</f>
        <v>0.65362260416666673</v>
      </c>
      <c r="F570" t="s">
        <v>9</v>
      </c>
      <c r="G570" t="s">
        <v>37</v>
      </c>
      <c r="H570">
        <f t="shared" si="76"/>
        <v>-113</v>
      </c>
      <c r="I570">
        <v>-7.5</v>
      </c>
      <c r="L570">
        <f>160+2*(Table2579[[#This Row],[min value (corrected)]]-23)</f>
        <v>174</v>
      </c>
      <c r="M570">
        <f>MINUTE(Table2579[[#This Row],[Corrected time]])</f>
        <v>30</v>
      </c>
      <c r="N570" s="1">
        <v>0.64622090277777777</v>
      </c>
      <c r="O570" s="1">
        <f>Table2579[[#This Row],[Time]]-TIME(0,0,10)</f>
        <v>0.64610516203703705</v>
      </c>
      <c r="P570" t="s">
        <v>9</v>
      </c>
      <c r="Q570">
        <v>-114</v>
      </c>
      <c r="R570">
        <f>Table2579[[#This Row],[RSSI]]</f>
        <v>-114</v>
      </c>
      <c r="S570">
        <v>-8.3000000000000007</v>
      </c>
    </row>
    <row r="571" spans="2:19" x14ac:dyDescent="0.25">
      <c r="B571">
        <f>160+2*(Table1468[[#This Row],[min value (corrected)]]-32)</f>
        <v>178</v>
      </c>
      <c r="C571">
        <f>MINUTE(Table1468[[#This Row],[Corrected time]])</f>
        <v>41</v>
      </c>
      <c r="D571" s="1">
        <v>0.65376210648148148</v>
      </c>
      <c r="E571" s="1">
        <f>Table1468[[#This Row],[Time]]-TIME(0,0,11)</f>
        <v>0.65363479166666671</v>
      </c>
      <c r="F571" t="s">
        <v>9</v>
      </c>
      <c r="G571" t="s">
        <v>37</v>
      </c>
      <c r="H571">
        <f t="shared" si="76"/>
        <v>-113</v>
      </c>
      <c r="I571">
        <v>-8</v>
      </c>
      <c r="L571">
        <f>160+2*(Table2579[[#This Row],[min value (corrected)]]-23)</f>
        <v>174</v>
      </c>
      <c r="M571">
        <f>MINUTE(Table2579[[#This Row],[Corrected time]])</f>
        <v>30</v>
      </c>
      <c r="N571" s="1">
        <v>0.6462331018518519</v>
      </c>
      <c r="O571" s="1">
        <f>Table2579[[#This Row],[Time]]-TIME(0,0,10)</f>
        <v>0.64611736111111118</v>
      </c>
      <c r="P571" t="s">
        <v>9</v>
      </c>
      <c r="Q571">
        <v>-114</v>
      </c>
      <c r="R571">
        <f>Table2579[[#This Row],[RSSI]]</f>
        <v>-114</v>
      </c>
      <c r="S571">
        <v>-8.8000000000000007</v>
      </c>
    </row>
    <row r="572" spans="2:19" x14ac:dyDescent="0.25">
      <c r="B572">
        <f>160+2*(Table1468[[#This Row],[min value (corrected)]]-32)</f>
        <v>178</v>
      </c>
      <c r="C572">
        <f>MINUTE(Table1468[[#This Row],[Corrected time]])</f>
        <v>41</v>
      </c>
      <c r="D572" s="1">
        <v>0.65377429398148146</v>
      </c>
      <c r="E572" s="1">
        <f>Table1468[[#This Row],[Time]]-TIME(0,0,11)</f>
        <v>0.6536469791666667</v>
      </c>
      <c r="F572" t="s">
        <v>13</v>
      </c>
      <c r="G572" t="str">
        <f>G571</f>
        <v>-113.0,</v>
      </c>
      <c r="H572">
        <f t="shared" si="76"/>
        <v>-113</v>
      </c>
      <c r="I572">
        <f>I571</f>
        <v>-8</v>
      </c>
      <c r="L572">
        <f>160+2*(Table2579[[#This Row],[min value (corrected)]]-23)</f>
        <v>174</v>
      </c>
      <c r="M572">
        <f>MINUTE(Table2579[[#This Row],[Corrected time]])</f>
        <v>30</v>
      </c>
      <c r="N572" s="1">
        <v>0.64624527777777774</v>
      </c>
      <c r="O572" s="1">
        <f>Table2579[[#This Row],[Time]]-TIME(0,0,10)</f>
        <v>0.64612953703703702</v>
      </c>
      <c r="P572" t="s">
        <v>9</v>
      </c>
      <c r="Q572">
        <v>-114</v>
      </c>
      <c r="R572">
        <f>Table2579[[#This Row],[RSSI]]</f>
        <v>-114</v>
      </c>
      <c r="S572">
        <v>-9</v>
      </c>
    </row>
    <row r="573" spans="2:19" x14ac:dyDescent="0.25">
      <c r="B573">
        <f>160+2*(Table1468[[#This Row],[min value (corrected)]]-32)</f>
        <v>178</v>
      </c>
      <c r="C573">
        <f>MINUTE(Table1468[[#This Row],[Corrected time]])</f>
        <v>41</v>
      </c>
      <c r="D573" s="1">
        <v>0.65378648148148155</v>
      </c>
      <c r="E573" s="1">
        <f>Table1468[[#This Row],[Time]]-TIME(0,0,11)</f>
        <v>0.65365916666666679</v>
      </c>
      <c r="F573" t="s">
        <v>9</v>
      </c>
      <c r="G573" t="s">
        <v>39</v>
      </c>
      <c r="H573">
        <f t="shared" si="76"/>
        <v>-114</v>
      </c>
      <c r="I573">
        <v>-8.8000000000000007</v>
      </c>
      <c r="L573">
        <f>160+2*(Table2579[[#This Row],[min value (corrected)]]-23)</f>
        <v>174</v>
      </c>
      <c r="M573">
        <f>MINUTE(Table2579[[#This Row],[Corrected time]])</f>
        <v>30</v>
      </c>
      <c r="N573" s="1">
        <v>0.64625747685185186</v>
      </c>
      <c r="O573" s="1">
        <f>Table2579[[#This Row],[Time]]-TIME(0,0,10)</f>
        <v>0.64614173611111114</v>
      </c>
      <c r="P573" t="s">
        <v>9</v>
      </c>
      <c r="Q573">
        <v>-114</v>
      </c>
      <c r="R573">
        <f>Table2579[[#This Row],[RSSI]]</f>
        <v>-114</v>
      </c>
      <c r="S573">
        <v>-8.8000000000000007</v>
      </c>
    </row>
    <row r="574" spans="2:19" x14ac:dyDescent="0.25">
      <c r="B574">
        <f>160+2*(Table1468[[#This Row],[min value (corrected)]]-32)</f>
        <v>178</v>
      </c>
      <c r="C574">
        <f>MINUTE(Table1468[[#This Row],[Corrected time]])</f>
        <v>41</v>
      </c>
      <c r="D574" s="1">
        <v>0.65379866898148153</v>
      </c>
      <c r="E574" s="1">
        <f>Table1468[[#This Row],[Time]]-TIME(0,0,11)</f>
        <v>0.65367135416666677</v>
      </c>
      <c r="F574" t="s">
        <v>9</v>
      </c>
      <c r="G574" t="s">
        <v>37</v>
      </c>
      <c r="H574">
        <f t="shared" si="76"/>
        <v>-113</v>
      </c>
      <c r="I574">
        <v>-8.3000000000000007</v>
      </c>
      <c r="L574">
        <f>160+2*(Table2579[[#This Row],[min value (corrected)]]-23)</f>
        <v>174</v>
      </c>
      <c r="M574">
        <f>MINUTE(Table2579[[#This Row],[Corrected time]])</f>
        <v>30</v>
      </c>
      <c r="N574" s="1">
        <v>0.64626966435185185</v>
      </c>
      <c r="O574" s="1">
        <f>Table2579[[#This Row],[Time]]-TIME(0,0,10)</f>
        <v>0.64615392361111113</v>
      </c>
      <c r="P574" t="s">
        <v>9</v>
      </c>
      <c r="Q574">
        <v>-115</v>
      </c>
      <c r="R574">
        <f>Table2579[[#This Row],[RSSI]]</f>
        <v>-115</v>
      </c>
      <c r="S574">
        <v>-9</v>
      </c>
    </row>
    <row r="575" spans="2:19" x14ac:dyDescent="0.25">
      <c r="B575">
        <f>160+2*(Table1468[[#This Row],[min value (corrected)]]-32)</f>
        <v>178</v>
      </c>
      <c r="C575">
        <f>MINUTE(Table1468[[#This Row],[Corrected time]])</f>
        <v>41</v>
      </c>
      <c r="D575" s="1">
        <v>0.65381085648148152</v>
      </c>
      <c r="E575" s="1">
        <f>Table1468[[#This Row],[Time]]-TIME(0,0,11)</f>
        <v>0.65368354166666676</v>
      </c>
      <c r="F575" t="s">
        <v>13</v>
      </c>
      <c r="G575" t="str">
        <f>G574</f>
        <v>-113.0,</v>
      </c>
      <c r="H575">
        <f t="shared" si="76"/>
        <v>-113</v>
      </c>
      <c r="I575">
        <f>I574</f>
        <v>-8.3000000000000007</v>
      </c>
      <c r="L575">
        <f>160+2*(Table2579[[#This Row],[min value (corrected)]]-23)</f>
        <v>174</v>
      </c>
      <c r="M575">
        <f>MINUTE(Table2579[[#This Row],[Corrected time]])</f>
        <v>30</v>
      </c>
      <c r="N575" s="1">
        <v>0.64628185185185183</v>
      </c>
      <c r="O575" s="1">
        <f>Table2579[[#This Row],[Time]]-TIME(0,0,10)</f>
        <v>0.64616611111111111</v>
      </c>
      <c r="P575" t="s">
        <v>9</v>
      </c>
      <c r="Q575">
        <v>-114</v>
      </c>
      <c r="R575">
        <f>Table2579[[#This Row],[RSSI]]</f>
        <v>-114</v>
      </c>
      <c r="S575">
        <v>-8.5</v>
      </c>
    </row>
    <row r="576" spans="2:19" x14ac:dyDescent="0.25">
      <c r="B576">
        <f>160+2*(Table1468[[#This Row],[min value (corrected)]]-32)</f>
        <v>178</v>
      </c>
      <c r="C576">
        <f>MINUTE(Table1468[[#This Row],[Corrected time]])</f>
        <v>41</v>
      </c>
      <c r="D576" s="1">
        <v>0.6538230439814815</v>
      </c>
      <c r="E576" s="1">
        <f>Table1468[[#This Row],[Time]]-TIME(0,0,11)</f>
        <v>0.65369572916666674</v>
      </c>
      <c r="F576" t="s">
        <v>9</v>
      </c>
      <c r="G576" t="s">
        <v>37</v>
      </c>
      <c r="H576">
        <f t="shared" si="76"/>
        <v>-113</v>
      </c>
      <c r="I576">
        <v>-8.3000000000000007</v>
      </c>
      <c r="L576">
        <f>160+2*(Table2579[[#This Row],[min value (corrected)]]-23)</f>
        <v>174</v>
      </c>
      <c r="M576">
        <f>MINUTE(Table2579[[#This Row],[Corrected time]])</f>
        <v>30</v>
      </c>
      <c r="N576" s="1">
        <v>0.64629403935185181</v>
      </c>
      <c r="O576" s="1">
        <f>Table2579[[#This Row],[Time]]-TIME(0,0,10)</f>
        <v>0.64617829861111109</v>
      </c>
      <c r="P576" t="s">
        <v>13</v>
      </c>
      <c r="Q576">
        <f>Q575</f>
        <v>-114</v>
      </c>
      <c r="R576">
        <f>Table2579[[#This Row],[RSSI]]</f>
        <v>-114</v>
      </c>
      <c r="S576">
        <f>S575</f>
        <v>-8.5</v>
      </c>
    </row>
    <row r="577" spans="2:19" x14ac:dyDescent="0.25">
      <c r="B577">
        <f>160+2*(Table1468[[#This Row],[min value (corrected)]]-32)</f>
        <v>178</v>
      </c>
      <c r="C577">
        <f>MINUTE(Table1468[[#This Row],[Corrected time]])</f>
        <v>41</v>
      </c>
      <c r="D577" s="1">
        <v>0.65383523148148148</v>
      </c>
      <c r="E577" s="1">
        <f>Table1468[[#This Row],[Time]]-TIME(0,0,11)</f>
        <v>0.65370791666666672</v>
      </c>
      <c r="F577" t="s">
        <v>13</v>
      </c>
      <c r="G577" t="str">
        <f>G576</f>
        <v>-113.0,</v>
      </c>
      <c r="H577">
        <f t="shared" si="76"/>
        <v>-113</v>
      </c>
      <c r="I577">
        <f>I576</f>
        <v>-8.3000000000000007</v>
      </c>
      <c r="L577">
        <f>160+2*(Table2579[[#This Row],[min value (corrected)]]-23)</f>
        <v>174</v>
      </c>
      <c r="M577">
        <f>MINUTE(Table2579[[#This Row],[Corrected time]])</f>
        <v>30</v>
      </c>
      <c r="N577" s="1">
        <v>0.64630620370370373</v>
      </c>
      <c r="O577" s="1">
        <f>Table2579[[#This Row],[Time]]-TIME(0,0,10)</f>
        <v>0.64619046296296301</v>
      </c>
      <c r="P577" t="s">
        <v>9</v>
      </c>
      <c r="Q577">
        <v>-114</v>
      </c>
      <c r="R577">
        <f>Table2579[[#This Row],[RSSI]]</f>
        <v>-114</v>
      </c>
      <c r="S577">
        <v>-8.5</v>
      </c>
    </row>
    <row r="578" spans="2:19" x14ac:dyDescent="0.25">
      <c r="B578">
        <f>160+2*(Table1468[[#This Row],[min value (corrected)]]-32)</f>
        <v>178</v>
      </c>
      <c r="C578">
        <f>MINUTE(Table1468[[#This Row],[Corrected time]])</f>
        <v>41</v>
      </c>
      <c r="D578" s="1">
        <v>0.65384740740740743</v>
      </c>
      <c r="E578" s="1">
        <f>Table1468[[#This Row],[Time]]-TIME(0,0,11)</f>
        <v>0.65372009259259267</v>
      </c>
      <c r="F578" t="s">
        <v>9</v>
      </c>
      <c r="G578" t="s">
        <v>37</v>
      </c>
      <c r="H578">
        <f t="shared" si="76"/>
        <v>-113</v>
      </c>
      <c r="I578">
        <v>-8.3000000000000007</v>
      </c>
      <c r="L578">
        <f>160+2*(Table2579[[#This Row],[min value (corrected)]]-23)</f>
        <v>174</v>
      </c>
      <c r="M578">
        <f>MINUTE(Table2579[[#This Row],[Corrected time]])</f>
        <v>30</v>
      </c>
      <c r="N578" s="1">
        <v>0.64631841435185189</v>
      </c>
      <c r="O578" s="1">
        <f>Table2579[[#This Row],[Time]]-TIME(0,0,10)</f>
        <v>0.64620267361111117</v>
      </c>
      <c r="P578" t="s">
        <v>9</v>
      </c>
      <c r="Q578">
        <v>-114</v>
      </c>
      <c r="R578">
        <f>Table2579[[#This Row],[RSSI]]</f>
        <v>-114</v>
      </c>
      <c r="S578">
        <v>-8.8000000000000007</v>
      </c>
    </row>
    <row r="579" spans="2:19" x14ac:dyDescent="0.25">
      <c r="B579">
        <f>160+2*(Table1468[[#This Row],[min value (corrected)]]-32)</f>
        <v>178</v>
      </c>
      <c r="C579">
        <f>MINUTE(Table1468[[#This Row],[Corrected time]])</f>
        <v>41</v>
      </c>
      <c r="D579" s="1">
        <v>0.65385960648148145</v>
      </c>
      <c r="E579" s="1">
        <f>Table1468[[#This Row],[Time]]-TIME(0,0,11)</f>
        <v>0.65373229166666669</v>
      </c>
      <c r="F579" t="s">
        <v>13</v>
      </c>
      <c r="G579" t="str">
        <f>G578</f>
        <v>-113.0,</v>
      </c>
      <c r="H579">
        <f t="shared" si="76"/>
        <v>-113</v>
      </c>
      <c r="I579">
        <f>I578</f>
        <v>-8.3000000000000007</v>
      </c>
      <c r="L579">
        <f>160+2*(Table2579[[#This Row],[min value (corrected)]]-23)</f>
        <v>174</v>
      </c>
      <c r="M579">
        <f>MINUTE(Table2579[[#This Row],[Corrected time]])</f>
        <v>30</v>
      </c>
      <c r="N579" s="1">
        <v>0.64633059027777784</v>
      </c>
      <c r="O579" s="1">
        <f>Table2579[[#This Row],[Time]]-TIME(0,0,10)</f>
        <v>0.64621484953703712</v>
      </c>
      <c r="P579" t="s">
        <v>13</v>
      </c>
      <c r="Q579">
        <f>Q578</f>
        <v>-114</v>
      </c>
      <c r="R579">
        <f>Table2579[[#This Row],[RSSI]]</f>
        <v>-114</v>
      </c>
      <c r="S579">
        <f>S578</f>
        <v>-8.8000000000000007</v>
      </c>
    </row>
    <row r="580" spans="2:19" x14ac:dyDescent="0.25">
      <c r="B580">
        <f>160+2*(Table1468[[#This Row],[min value (corrected)]]-32)</f>
        <v>178</v>
      </c>
      <c r="C580">
        <f>MINUTE(Table1468[[#This Row],[Corrected time]])</f>
        <v>41</v>
      </c>
      <c r="D580" s="1">
        <v>0.65387179398148154</v>
      </c>
      <c r="E580" s="1">
        <f>Table1468[[#This Row],[Time]]-TIME(0,0,11)</f>
        <v>0.65374447916666678</v>
      </c>
      <c r="F580" t="s">
        <v>9</v>
      </c>
      <c r="G580" t="s">
        <v>39</v>
      </c>
      <c r="H580">
        <f t="shared" si="76"/>
        <v>-114</v>
      </c>
      <c r="I580">
        <v>-9</v>
      </c>
      <c r="L580">
        <f>160+2*(Table2579[[#This Row],[min value (corrected)]]-23)</f>
        <v>174</v>
      </c>
      <c r="M580">
        <f>MINUTE(Table2579[[#This Row],[Corrected time]])</f>
        <v>30</v>
      </c>
      <c r="N580" s="1">
        <v>0.64634278935185185</v>
      </c>
      <c r="O580" s="1">
        <f>Table2579[[#This Row],[Time]]-TIME(0,0,10)</f>
        <v>0.64622704861111113</v>
      </c>
      <c r="P580" t="s">
        <v>9</v>
      </c>
      <c r="Q580">
        <v>-114</v>
      </c>
      <c r="R580">
        <f>Table2579[[#This Row],[RSSI]]</f>
        <v>-114</v>
      </c>
      <c r="S580">
        <v>-8.3000000000000007</v>
      </c>
    </row>
    <row r="581" spans="2:19" x14ac:dyDescent="0.25">
      <c r="B581">
        <f>160+2*(Table1468[[#This Row],[min value (corrected)]]-32)</f>
        <v>178</v>
      </c>
      <c r="C581">
        <f>MINUTE(Table1468[[#This Row],[Corrected time]])</f>
        <v>41</v>
      </c>
      <c r="D581" s="1">
        <v>0.65388398148148152</v>
      </c>
      <c r="E581" s="1">
        <f>Table1468[[#This Row],[Time]]-TIME(0,0,11)</f>
        <v>0.65375666666666676</v>
      </c>
      <c r="F581" t="s">
        <v>9</v>
      </c>
      <c r="G581" t="s">
        <v>37</v>
      </c>
      <c r="H581">
        <f t="shared" si="76"/>
        <v>-113</v>
      </c>
      <c r="I581">
        <v>-8</v>
      </c>
      <c r="L581">
        <f>160+2*(Table2579[[#This Row],[min value (corrected)]]-23)</f>
        <v>174</v>
      </c>
      <c r="M581">
        <f>MINUTE(Table2579[[#This Row],[Corrected time]])</f>
        <v>30</v>
      </c>
      <c r="N581" s="1">
        <v>0.6463549652777778</v>
      </c>
      <c r="O581" s="1">
        <f>Table2579[[#This Row],[Time]]-TIME(0,0,10)</f>
        <v>0.64623922453703708</v>
      </c>
      <c r="P581" t="s">
        <v>13</v>
      </c>
      <c r="Q581">
        <f t="shared" ref="Q581:Q582" si="85">Q580</f>
        <v>-114</v>
      </c>
      <c r="R581">
        <f>Table2579[[#This Row],[RSSI]]</f>
        <v>-114</v>
      </c>
      <c r="S581">
        <f t="shared" ref="S581:S582" si="86">S580</f>
        <v>-8.3000000000000007</v>
      </c>
    </row>
    <row r="582" spans="2:19" x14ac:dyDescent="0.25">
      <c r="B582">
        <f>160+2*(Table1468[[#This Row],[min value (corrected)]]-32)</f>
        <v>178</v>
      </c>
      <c r="C582">
        <f>MINUTE(Table1468[[#This Row],[Corrected time]])</f>
        <v>41</v>
      </c>
      <c r="D582" s="1">
        <v>0.65389616898148151</v>
      </c>
      <c r="E582" s="1">
        <f>Table1468[[#This Row],[Time]]-TIME(0,0,11)</f>
        <v>0.65376885416666675</v>
      </c>
      <c r="F582" t="s">
        <v>9</v>
      </c>
      <c r="G582" t="s">
        <v>39</v>
      </c>
      <c r="H582">
        <f t="shared" si="76"/>
        <v>-114</v>
      </c>
      <c r="I582">
        <v>-8.8000000000000007</v>
      </c>
      <c r="L582">
        <f>160+2*(Table2579[[#This Row],[min value (corrected)]]-23)</f>
        <v>174</v>
      </c>
      <c r="M582">
        <f>MINUTE(Table2579[[#This Row],[Corrected time]])</f>
        <v>30</v>
      </c>
      <c r="N582" s="1">
        <v>0.64636716435185182</v>
      </c>
      <c r="O582" s="1">
        <f>Table2579[[#This Row],[Time]]-TIME(0,0,10)</f>
        <v>0.6462514236111111</v>
      </c>
      <c r="P582" t="s">
        <v>13</v>
      </c>
      <c r="Q582">
        <f t="shared" si="85"/>
        <v>-114</v>
      </c>
      <c r="R582">
        <f>Table2579[[#This Row],[RSSI]]</f>
        <v>-114</v>
      </c>
      <c r="S582">
        <f t="shared" si="86"/>
        <v>-8.3000000000000007</v>
      </c>
    </row>
    <row r="583" spans="2:19" x14ac:dyDescent="0.25">
      <c r="B583">
        <f>160+2*(Table1468[[#This Row],[min value (corrected)]]-32)</f>
        <v>178</v>
      </c>
      <c r="C583">
        <f>MINUTE(Table1468[[#This Row],[Corrected time]])</f>
        <v>41</v>
      </c>
      <c r="D583" s="1">
        <v>0.65390835648148149</v>
      </c>
      <c r="E583" s="1">
        <f>Table1468[[#This Row],[Time]]-TIME(0,0,11)</f>
        <v>0.65378104166666673</v>
      </c>
      <c r="F583" t="s">
        <v>13</v>
      </c>
      <c r="G583" t="str">
        <f>G582</f>
        <v>-114.0,</v>
      </c>
      <c r="H583">
        <f t="shared" si="76"/>
        <v>-114</v>
      </c>
      <c r="I583">
        <f>I582</f>
        <v>-8.8000000000000007</v>
      </c>
      <c r="L583">
        <f>160+2*(Table2579[[#This Row],[min value (corrected)]]-23)</f>
        <v>174</v>
      </c>
      <c r="M583">
        <f>MINUTE(Table2579[[#This Row],[Corrected time]])</f>
        <v>30</v>
      </c>
      <c r="N583" s="1">
        <v>0.6463793518518518</v>
      </c>
      <c r="O583" s="1">
        <f>Table2579[[#This Row],[Time]]-TIME(0,0,10)</f>
        <v>0.64626361111111108</v>
      </c>
      <c r="P583" t="s">
        <v>9</v>
      </c>
      <c r="Q583">
        <v>-114</v>
      </c>
      <c r="R583">
        <f>Table2579[[#This Row],[RSSI]]</f>
        <v>-114</v>
      </c>
      <c r="S583">
        <v>-8.5</v>
      </c>
    </row>
    <row r="584" spans="2:19" x14ac:dyDescent="0.25">
      <c r="B584">
        <f>160+2*(Table1468[[#This Row],[min value (corrected)]]-32)</f>
        <v>178</v>
      </c>
      <c r="C584">
        <f>MINUTE(Table1468[[#This Row],[Corrected time]])</f>
        <v>41</v>
      </c>
      <c r="D584" s="1">
        <v>0.65392054398148147</v>
      </c>
      <c r="E584" s="1">
        <f>Table1468[[#This Row],[Time]]-TIME(0,0,11)</f>
        <v>0.65379322916666671</v>
      </c>
      <c r="F584" t="s">
        <v>9</v>
      </c>
      <c r="G584" t="s">
        <v>39</v>
      </c>
      <c r="H584">
        <f t="shared" si="76"/>
        <v>-114</v>
      </c>
      <c r="I584">
        <v>-7.7</v>
      </c>
      <c r="L584">
        <f>160+2*(Table2579[[#This Row],[min value (corrected)]]-23)</f>
        <v>174</v>
      </c>
      <c r="M584">
        <f>MINUTE(Table2579[[#This Row],[Corrected time]])</f>
        <v>30</v>
      </c>
      <c r="N584" s="1">
        <v>0.6463915393518519</v>
      </c>
      <c r="O584" s="1">
        <f>Table2579[[#This Row],[Time]]-TIME(0,0,10)</f>
        <v>0.64627579861111117</v>
      </c>
      <c r="P584" t="s">
        <v>27</v>
      </c>
      <c r="Q584">
        <f>Q583</f>
        <v>-114</v>
      </c>
      <c r="R584">
        <f>Table2579[[#This Row],[RSSI]]</f>
        <v>-114</v>
      </c>
      <c r="S584">
        <f>S583</f>
        <v>-8.5</v>
      </c>
    </row>
    <row r="585" spans="2:19" x14ac:dyDescent="0.25">
      <c r="B585">
        <f>160+2*(Table1468[[#This Row],[min value (corrected)]]-32)</f>
        <v>178</v>
      </c>
      <c r="C585">
        <f>MINUTE(Table1468[[#This Row],[Corrected time]])</f>
        <v>41</v>
      </c>
      <c r="D585" s="1">
        <v>0.65393273148148146</v>
      </c>
      <c r="E585" s="1">
        <f>Table1468[[#This Row],[Time]]-TIME(0,0,11)</f>
        <v>0.65380541666666669</v>
      </c>
      <c r="F585" t="s">
        <v>13</v>
      </c>
      <c r="G585" t="str">
        <f>G584</f>
        <v>-114.0,</v>
      </c>
      <c r="H585">
        <f t="shared" si="76"/>
        <v>-114</v>
      </c>
      <c r="I585">
        <f>I584</f>
        <v>-7.7</v>
      </c>
      <c r="L585">
        <f>160+2*(Table2579[[#This Row],[min value (corrected)]]-23)</f>
        <v>174</v>
      </c>
      <c r="M585">
        <f>MINUTE(Table2579[[#This Row],[Corrected time]])</f>
        <v>30</v>
      </c>
      <c r="N585" s="1">
        <v>0.6464037037037037</v>
      </c>
      <c r="O585" s="1">
        <f>Table2579[[#This Row],[Time]]-TIME(0,0,10)</f>
        <v>0.64628796296296298</v>
      </c>
      <c r="P585" t="s">
        <v>9</v>
      </c>
      <c r="Q585">
        <v>-114</v>
      </c>
      <c r="R585">
        <f>Table2579[[#This Row],[RSSI]]</f>
        <v>-114</v>
      </c>
      <c r="S585">
        <v>-8.8000000000000007</v>
      </c>
    </row>
    <row r="586" spans="2:19" x14ac:dyDescent="0.25">
      <c r="B586">
        <f>160+2*(Table1468[[#This Row],[min value (corrected)]]-32)</f>
        <v>178</v>
      </c>
      <c r="C586">
        <f>MINUTE(Table1468[[#This Row],[Corrected time]])</f>
        <v>41</v>
      </c>
      <c r="D586" s="1">
        <v>0.65394491898148144</v>
      </c>
      <c r="E586" s="1">
        <f>Table1468[[#This Row],[Time]]-TIME(0,0,11)</f>
        <v>0.65381760416666668</v>
      </c>
      <c r="F586" t="s">
        <v>9</v>
      </c>
      <c r="G586" t="s">
        <v>39</v>
      </c>
      <c r="H586">
        <f t="shared" si="76"/>
        <v>-114</v>
      </c>
      <c r="I586">
        <v>-9.5</v>
      </c>
      <c r="L586">
        <f>160+2*(Table2579[[#This Row],[min value (corrected)]]-23)</f>
        <v>174</v>
      </c>
      <c r="M586">
        <f>MINUTE(Table2579[[#This Row],[Corrected time]])</f>
        <v>30</v>
      </c>
      <c r="N586" s="1">
        <v>0.64641591435185186</v>
      </c>
      <c r="O586" s="1">
        <f>Table2579[[#This Row],[Time]]-TIME(0,0,10)</f>
        <v>0.64630017361111114</v>
      </c>
      <c r="P586" t="s">
        <v>9</v>
      </c>
      <c r="Q586">
        <v>-114</v>
      </c>
      <c r="R586">
        <f>Table2579[[#This Row],[RSSI]]</f>
        <v>-114</v>
      </c>
      <c r="S586">
        <v>-9</v>
      </c>
    </row>
    <row r="587" spans="2:19" x14ac:dyDescent="0.25">
      <c r="B587">
        <f>160+2*(Table1468[[#This Row],[min value (corrected)]]-32)</f>
        <v>178</v>
      </c>
      <c r="C587">
        <f>MINUTE(Table1468[[#This Row],[Corrected time]])</f>
        <v>41</v>
      </c>
      <c r="D587" s="1">
        <v>0.65395710648148153</v>
      </c>
      <c r="E587" s="1">
        <f>Table1468[[#This Row],[Time]]-TIME(0,0,11)</f>
        <v>0.65382979166666677</v>
      </c>
      <c r="F587" t="s">
        <v>9</v>
      </c>
      <c r="G587" t="s">
        <v>39</v>
      </c>
      <c r="H587">
        <f t="shared" si="76"/>
        <v>-114</v>
      </c>
      <c r="I587">
        <v>-8.5</v>
      </c>
      <c r="L587">
        <f>160+2*(Table2579[[#This Row],[min value (corrected)]]-23)</f>
        <v>174</v>
      </c>
      <c r="M587">
        <f>MINUTE(Table2579[[#This Row],[Corrected time]])</f>
        <v>30</v>
      </c>
      <c r="N587" s="1">
        <v>0.64642810185185184</v>
      </c>
      <c r="O587" s="1">
        <f>Table2579[[#This Row],[Time]]-TIME(0,0,10)</f>
        <v>0.64631236111111112</v>
      </c>
      <c r="P587" t="s">
        <v>13</v>
      </c>
      <c r="Q587">
        <f>Q586</f>
        <v>-114</v>
      </c>
      <c r="R587">
        <f>Table2579[[#This Row],[RSSI]]</f>
        <v>-114</v>
      </c>
      <c r="S587">
        <f>S586</f>
        <v>-9</v>
      </c>
    </row>
    <row r="588" spans="2:19" x14ac:dyDescent="0.25">
      <c r="B588">
        <f>160+2*(Table1468[[#This Row],[min value (corrected)]]-32)</f>
        <v>178</v>
      </c>
      <c r="C588">
        <f>MINUTE(Table1468[[#This Row],[Corrected time]])</f>
        <v>41</v>
      </c>
      <c r="D588" s="1">
        <v>0.65396929398148151</v>
      </c>
      <c r="E588" s="1">
        <f>Table1468[[#This Row],[Time]]-TIME(0,0,11)</f>
        <v>0.65384197916666675</v>
      </c>
      <c r="F588" t="s">
        <v>13</v>
      </c>
      <c r="G588" t="str">
        <f>G587</f>
        <v>-114.0,</v>
      </c>
      <c r="H588">
        <f t="shared" si="76"/>
        <v>-114</v>
      </c>
      <c r="I588">
        <f>I587</f>
        <v>-8.5</v>
      </c>
      <c r="L588">
        <f>160+2*(Table2579[[#This Row],[min value (corrected)]]-23)</f>
        <v>174</v>
      </c>
      <c r="M588">
        <f>MINUTE(Table2579[[#This Row],[Corrected time]])</f>
        <v>30</v>
      </c>
      <c r="N588" s="1">
        <v>0.64644028935185183</v>
      </c>
      <c r="O588" s="1">
        <f>Table2579[[#This Row],[Time]]-TIME(0,0,10)</f>
        <v>0.6463245486111111</v>
      </c>
      <c r="P588" t="s">
        <v>9</v>
      </c>
      <c r="Q588">
        <v>-114</v>
      </c>
      <c r="R588">
        <f>Table2579[[#This Row],[RSSI]]</f>
        <v>-114</v>
      </c>
      <c r="S588">
        <v>-8.5</v>
      </c>
    </row>
    <row r="589" spans="2:19" x14ac:dyDescent="0.25">
      <c r="B589">
        <f>160+2*(Table1468[[#This Row],[min value (corrected)]]-32)</f>
        <v>178</v>
      </c>
      <c r="C589">
        <f>MINUTE(Table1468[[#This Row],[Corrected time]])</f>
        <v>41</v>
      </c>
      <c r="D589" s="1">
        <v>0.6539814814814815</v>
      </c>
      <c r="E589" s="1">
        <f>Table1468[[#This Row],[Time]]-TIME(0,0,11)</f>
        <v>0.65385416666666674</v>
      </c>
      <c r="F589" t="s">
        <v>9</v>
      </c>
      <c r="G589" t="s">
        <v>39</v>
      </c>
      <c r="H589">
        <f t="shared" si="76"/>
        <v>-114</v>
      </c>
      <c r="I589">
        <v>-8.3000000000000007</v>
      </c>
      <c r="L589">
        <f>160+2*(Table2579[[#This Row],[min value (corrected)]]-23)</f>
        <v>174</v>
      </c>
      <c r="M589">
        <f>MINUTE(Table2579[[#This Row],[Corrected time]])</f>
        <v>30</v>
      </c>
      <c r="N589" s="1">
        <v>0.64645246527777778</v>
      </c>
      <c r="O589" s="1">
        <f>Table2579[[#This Row],[Time]]-TIME(0,0,10)</f>
        <v>0.64633672453703706</v>
      </c>
      <c r="P589" t="s">
        <v>9</v>
      </c>
      <c r="Q589">
        <v>-113</v>
      </c>
      <c r="R589">
        <f>Table2579[[#This Row],[RSSI]]</f>
        <v>-113</v>
      </c>
      <c r="S589">
        <v>-8.3000000000000007</v>
      </c>
    </row>
    <row r="590" spans="2:19" x14ac:dyDescent="0.25">
      <c r="B590">
        <f>160+2*(Table1468[[#This Row],[min value (corrected)]]-32)</f>
        <v>178</v>
      </c>
      <c r="C590">
        <f>MINUTE(Table1468[[#This Row],[Corrected time]])</f>
        <v>41</v>
      </c>
      <c r="D590" s="1">
        <v>0.65399366898148148</v>
      </c>
      <c r="E590" s="1">
        <f>Table1468[[#This Row],[Time]]-TIME(0,0,11)</f>
        <v>0.65386635416666672</v>
      </c>
      <c r="F590" t="s">
        <v>13</v>
      </c>
      <c r="G590" t="str">
        <f t="shared" ref="G590:G592" si="87">G589</f>
        <v>-114.0,</v>
      </c>
      <c r="H590">
        <f t="shared" si="76"/>
        <v>-114</v>
      </c>
      <c r="I590">
        <f t="shared" ref="I590:I592" si="88">I589</f>
        <v>-8.3000000000000007</v>
      </c>
      <c r="L590">
        <f>160+2*(Table2579[[#This Row],[min value (corrected)]]-23)</f>
        <v>174</v>
      </c>
      <c r="M590">
        <f>MINUTE(Table2579[[#This Row],[Corrected time]])</f>
        <v>30</v>
      </c>
      <c r="N590" s="1">
        <v>0.64646465277777776</v>
      </c>
      <c r="O590" s="1">
        <f>Table2579[[#This Row],[Time]]-TIME(0,0,10)</f>
        <v>0.64634891203703704</v>
      </c>
      <c r="P590" t="s">
        <v>9</v>
      </c>
      <c r="Q590">
        <v>-114</v>
      </c>
      <c r="R590">
        <f>Table2579[[#This Row],[RSSI]]</f>
        <v>-114</v>
      </c>
      <c r="S590">
        <v>-8.3000000000000007</v>
      </c>
    </row>
    <row r="591" spans="2:19" x14ac:dyDescent="0.25">
      <c r="B591">
        <f>160+2*(Table1468[[#This Row],[min value (corrected)]]-32)</f>
        <v>178</v>
      </c>
      <c r="C591">
        <f>MINUTE(Table1468[[#This Row],[Corrected time]])</f>
        <v>41</v>
      </c>
      <c r="D591" s="1">
        <v>0.65400585648148146</v>
      </c>
      <c r="E591" s="1">
        <f>Table1468[[#This Row],[Time]]-TIME(0,0,11)</f>
        <v>0.6538785416666667</v>
      </c>
      <c r="F591" t="s">
        <v>13</v>
      </c>
      <c r="G591" t="str">
        <f t="shared" si="87"/>
        <v>-114.0,</v>
      </c>
      <c r="H591">
        <f t="shared" si="76"/>
        <v>-114</v>
      </c>
      <c r="I591">
        <f t="shared" si="88"/>
        <v>-8.3000000000000007</v>
      </c>
      <c r="L591">
        <f>160+2*(Table2579[[#This Row],[min value (corrected)]]-23)</f>
        <v>174</v>
      </c>
      <c r="M591">
        <f>MINUTE(Table2579[[#This Row],[Corrected time]])</f>
        <v>30</v>
      </c>
      <c r="N591" s="1">
        <v>0.64647685185185189</v>
      </c>
      <c r="O591" s="1">
        <f>Table2579[[#This Row],[Time]]-TIME(0,0,10)</f>
        <v>0.64636111111111116</v>
      </c>
      <c r="P591" t="s">
        <v>9</v>
      </c>
      <c r="Q591">
        <v>-112</v>
      </c>
      <c r="R591">
        <f>Table2579[[#This Row],[RSSI]]</f>
        <v>-112</v>
      </c>
      <c r="S591">
        <v>-8.5</v>
      </c>
    </row>
    <row r="592" spans="2:19" x14ac:dyDescent="0.25">
      <c r="B592">
        <f>160+2*(Table1468[[#This Row],[min value (corrected)]]-32)</f>
        <v>178</v>
      </c>
      <c r="C592">
        <f>MINUTE(Table1468[[#This Row],[Corrected time]])</f>
        <v>41</v>
      </c>
      <c r="D592" s="1">
        <v>0.65401804398148145</v>
      </c>
      <c r="E592" s="1">
        <f>Table1468[[#This Row],[Time]]-TIME(0,0,11)</f>
        <v>0.65389072916666668</v>
      </c>
      <c r="F592" t="s">
        <v>13</v>
      </c>
      <c r="G592" t="str">
        <f t="shared" si="87"/>
        <v>-114.0,</v>
      </c>
      <c r="H592">
        <f t="shared" si="76"/>
        <v>-114</v>
      </c>
      <c r="I592">
        <f t="shared" si="88"/>
        <v>-8.3000000000000007</v>
      </c>
      <c r="L592">
        <f>160+2*(Table2579[[#This Row],[min value (corrected)]]-23)</f>
        <v>174</v>
      </c>
      <c r="M592">
        <f>MINUTE(Table2579[[#This Row],[Corrected time]])</f>
        <v>30</v>
      </c>
      <c r="N592" s="1">
        <v>0.64648902777777784</v>
      </c>
      <c r="O592" s="1">
        <f>Table2579[[#This Row],[Time]]-TIME(0,0,10)</f>
        <v>0.64637328703703711</v>
      </c>
      <c r="P592" t="s">
        <v>9</v>
      </c>
      <c r="Q592">
        <v>-114</v>
      </c>
      <c r="R592">
        <f>Table2579[[#This Row],[RSSI]]</f>
        <v>-114</v>
      </c>
      <c r="S592">
        <v>-8.3000000000000007</v>
      </c>
    </row>
    <row r="593" spans="2:19" x14ac:dyDescent="0.25">
      <c r="B593">
        <f>160+2*(Table1468[[#This Row],[min value (corrected)]]-32)</f>
        <v>178</v>
      </c>
      <c r="C593">
        <f>MINUTE(Table1468[[#This Row],[Corrected time]])</f>
        <v>41</v>
      </c>
      <c r="D593" s="1">
        <v>0.65403023148148143</v>
      </c>
      <c r="E593" s="1">
        <f>Table1468[[#This Row],[Time]]-TIME(0,0,11)</f>
        <v>0.65390291666666667</v>
      </c>
      <c r="F593" t="s">
        <v>9</v>
      </c>
      <c r="G593" t="s">
        <v>39</v>
      </c>
      <c r="H593">
        <f t="shared" si="76"/>
        <v>-114</v>
      </c>
      <c r="I593">
        <v>-8.3000000000000007</v>
      </c>
      <c r="L593">
        <f>160+2*(Table2579[[#This Row],[min value (corrected)]]-23)</f>
        <v>174</v>
      </c>
      <c r="M593">
        <f>MINUTE(Table2579[[#This Row],[Corrected time]])</f>
        <v>30</v>
      </c>
      <c r="N593" s="1">
        <v>0.64650122685185185</v>
      </c>
      <c r="O593" s="1">
        <f>Table2579[[#This Row],[Time]]-TIME(0,0,10)</f>
        <v>0.64638548611111113</v>
      </c>
      <c r="P593" t="s">
        <v>9</v>
      </c>
      <c r="Q593">
        <v>-114</v>
      </c>
      <c r="R593">
        <f>Table2579[[#This Row],[RSSI]]</f>
        <v>-114</v>
      </c>
      <c r="S593">
        <v>-8.8000000000000007</v>
      </c>
    </row>
    <row r="594" spans="2:19" x14ac:dyDescent="0.25">
      <c r="B594">
        <f>160+2*(Table1468[[#This Row],[min value (corrected)]]-32)</f>
        <v>178</v>
      </c>
      <c r="C594">
        <f>MINUTE(Table1468[[#This Row],[Corrected time]])</f>
        <v>41</v>
      </c>
      <c r="D594" s="1">
        <v>0.65404241898148152</v>
      </c>
      <c r="E594" s="1">
        <f>Table1468[[#This Row],[Time]]-TIME(0,0,11)</f>
        <v>0.65391510416666676</v>
      </c>
      <c r="F594" t="s">
        <v>27</v>
      </c>
      <c r="G594" t="str">
        <f t="shared" ref="G594:G595" si="89">G593</f>
        <v>-114.0,</v>
      </c>
      <c r="H594">
        <f t="shared" si="76"/>
        <v>-114</v>
      </c>
      <c r="I594">
        <f t="shared" ref="I594:I595" si="90">I593</f>
        <v>-8.3000000000000007</v>
      </c>
      <c r="L594">
        <f>160+2*(Table2579[[#This Row],[min value (corrected)]]-23)</f>
        <v>174</v>
      </c>
      <c r="M594">
        <f>MINUTE(Table2579[[#This Row],[Corrected time]])</f>
        <v>30</v>
      </c>
      <c r="N594" s="1">
        <v>0.6465134027777778</v>
      </c>
      <c r="O594" s="1">
        <f>Table2579[[#This Row],[Time]]-TIME(0,0,10)</f>
        <v>0.64639766203703708</v>
      </c>
      <c r="P594" t="s">
        <v>9</v>
      </c>
      <c r="Q594">
        <v>-114</v>
      </c>
      <c r="R594">
        <f>Table2579[[#This Row],[RSSI]]</f>
        <v>-114</v>
      </c>
      <c r="S594">
        <v>-8.5</v>
      </c>
    </row>
    <row r="595" spans="2:19" x14ac:dyDescent="0.25">
      <c r="B595">
        <f>160+2*(Table1468[[#This Row],[min value (corrected)]]-32)</f>
        <v>178</v>
      </c>
      <c r="C595">
        <f>MINUTE(Table1468[[#This Row],[Corrected time]])</f>
        <v>41</v>
      </c>
      <c r="D595" s="1">
        <v>0.65404241898148152</v>
      </c>
      <c r="E595" s="1">
        <f>Table1468[[#This Row],[Time]]-TIME(0,0,11)</f>
        <v>0.65391510416666676</v>
      </c>
      <c r="F595" t="s">
        <v>13</v>
      </c>
      <c r="G595" t="str">
        <f t="shared" si="89"/>
        <v>-114.0,</v>
      </c>
      <c r="H595">
        <f t="shared" si="76"/>
        <v>-114</v>
      </c>
      <c r="I595">
        <f t="shared" si="90"/>
        <v>-8.3000000000000007</v>
      </c>
      <c r="L595">
        <f>160+2*(Table2579[[#This Row],[min value (corrected)]]-23)</f>
        <v>174</v>
      </c>
      <c r="M595">
        <f>MINUTE(Table2579[[#This Row],[Corrected time]])</f>
        <v>30</v>
      </c>
      <c r="N595" s="1">
        <v>0.64652560185185182</v>
      </c>
      <c r="O595" s="1">
        <f>Table2579[[#This Row],[Time]]-TIME(0,0,10)</f>
        <v>0.64640986111111109</v>
      </c>
      <c r="P595" t="s">
        <v>13</v>
      </c>
      <c r="Q595">
        <f>Q594</f>
        <v>-114</v>
      </c>
      <c r="R595">
        <f>Table2579[[#This Row],[RSSI]]</f>
        <v>-114</v>
      </c>
      <c r="S595">
        <f>S594</f>
        <v>-8.5</v>
      </c>
    </row>
    <row r="596" spans="2:19" x14ac:dyDescent="0.25">
      <c r="B596">
        <f>160+2*(Table1468[[#This Row],[min value (corrected)]]-32)</f>
        <v>178</v>
      </c>
      <c r="C596">
        <f>MINUTE(Table1468[[#This Row],[Corrected time]])</f>
        <v>41</v>
      </c>
      <c r="D596" s="1">
        <v>0.65406679398148149</v>
      </c>
      <c r="E596" s="1">
        <f>Table1468[[#This Row],[Time]]-TIME(0,0,11)</f>
        <v>0.65393947916666673</v>
      </c>
      <c r="F596" t="s">
        <v>9</v>
      </c>
      <c r="G596" t="s">
        <v>39</v>
      </c>
      <c r="H596">
        <f t="shared" si="76"/>
        <v>-114</v>
      </c>
      <c r="I596">
        <v>-8</v>
      </c>
      <c r="L596">
        <f>160+2*(Table2579[[#This Row],[min value (corrected)]]-23)</f>
        <v>174</v>
      </c>
      <c r="M596">
        <f>MINUTE(Table2579[[#This Row],[Corrected time]])</f>
        <v>30</v>
      </c>
      <c r="N596" s="1">
        <v>0.6465377893518518</v>
      </c>
      <c r="O596" s="1">
        <f>Table2579[[#This Row],[Time]]-TIME(0,0,10)</f>
        <v>0.64642204861111108</v>
      </c>
      <c r="P596" t="s">
        <v>9</v>
      </c>
      <c r="Q596">
        <v>-114</v>
      </c>
      <c r="R596">
        <f>Table2579[[#This Row],[RSSI]]</f>
        <v>-114</v>
      </c>
      <c r="S596">
        <v>-9</v>
      </c>
    </row>
    <row r="597" spans="2:19" x14ac:dyDescent="0.25">
      <c r="B597">
        <f>160+2*(Table1468[[#This Row],[min value (corrected)]]-32)</f>
        <v>178</v>
      </c>
      <c r="C597">
        <f>MINUTE(Table1468[[#This Row],[Corrected time]])</f>
        <v>41</v>
      </c>
      <c r="D597" s="1">
        <v>0.65407898148148147</v>
      </c>
      <c r="E597" s="1">
        <f>Table1468[[#This Row],[Time]]-TIME(0,0,11)</f>
        <v>0.65395166666666671</v>
      </c>
      <c r="F597" t="s">
        <v>9</v>
      </c>
      <c r="G597" t="s">
        <v>39</v>
      </c>
      <c r="H597">
        <f t="shared" si="76"/>
        <v>-114</v>
      </c>
      <c r="I597">
        <v>-8.5</v>
      </c>
      <c r="L597">
        <f>160+2*(Table2579[[#This Row],[min value (corrected)]]-23)</f>
        <v>174</v>
      </c>
      <c r="M597">
        <f>MINUTE(Table2579[[#This Row],[Corrected time]])</f>
        <v>30</v>
      </c>
      <c r="N597" s="1">
        <v>0.64654997685185178</v>
      </c>
      <c r="O597" s="1">
        <f>Table2579[[#This Row],[Time]]-TIME(0,0,10)</f>
        <v>0.64643423611111106</v>
      </c>
      <c r="P597" t="s">
        <v>9</v>
      </c>
      <c r="Q597">
        <v>-114</v>
      </c>
      <c r="R597">
        <f>Table2579[[#This Row],[RSSI]]</f>
        <v>-114</v>
      </c>
      <c r="S597">
        <v>-8.3000000000000007</v>
      </c>
    </row>
    <row r="598" spans="2:19" x14ac:dyDescent="0.25">
      <c r="B598">
        <f>160+2*(Table1468[[#This Row],[min value (corrected)]]-32)</f>
        <v>178</v>
      </c>
      <c r="C598">
        <f>MINUTE(Table1468[[#This Row],[Corrected time]])</f>
        <v>41</v>
      </c>
      <c r="D598" s="1">
        <v>0.65409116898148145</v>
      </c>
      <c r="E598" s="1">
        <f>Table1468[[#This Row],[Time]]-TIME(0,0,11)</f>
        <v>0.65396385416666669</v>
      </c>
      <c r="F598" t="s">
        <v>13</v>
      </c>
      <c r="G598" t="str">
        <f t="shared" ref="G598:G599" si="91">G597</f>
        <v>-114.0,</v>
      </c>
      <c r="H598">
        <f t="shared" ref="H598:H661" si="92">VALUE(LEFT(G598,LEN(G598)-1))</f>
        <v>-114</v>
      </c>
      <c r="I598">
        <f t="shared" ref="I598:I599" si="93">I597</f>
        <v>-8.5</v>
      </c>
      <c r="L598">
        <f>160+2*(Table2579[[#This Row],[min value (corrected)]]-23)</f>
        <v>174</v>
      </c>
      <c r="M598">
        <f>MINUTE(Table2579[[#This Row],[Corrected time]])</f>
        <v>30</v>
      </c>
      <c r="N598" s="1">
        <v>0.64656215277777784</v>
      </c>
      <c r="O598" s="1">
        <f>Table2579[[#This Row],[Time]]-TIME(0,0,10)</f>
        <v>0.64644641203703712</v>
      </c>
      <c r="P598" t="s">
        <v>9</v>
      </c>
      <c r="Q598">
        <v>-114</v>
      </c>
      <c r="R598">
        <f>Table2579[[#This Row],[RSSI]]</f>
        <v>-114</v>
      </c>
      <c r="S598">
        <v>-10.3</v>
      </c>
    </row>
    <row r="599" spans="2:19" x14ac:dyDescent="0.25">
      <c r="B599">
        <f>160+2*(Table1468[[#This Row],[min value (corrected)]]-32)</f>
        <v>178</v>
      </c>
      <c r="C599">
        <f>MINUTE(Table1468[[#This Row],[Corrected time]])</f>
        <v>41</v>
      </c>
      <c r="D599" s="1">
        <v>0.65410335648148143</v>
      </c>
      <c r="E599" s="1">
        <f>Table1468[[#This Row],[Time]]-TIME(0,0,11)</f>
        <v>0.65397604166666667</v>
      </c>
      <c r="F599" t="s">
        <v>13</v>
      </c>
      <c r="G599" t="str">
        <f t="shared" si="91"/>
        <v>-114.0,</v>
      </c>
      <c r="H599">
        <f t="shared" si="92"/>
        <v>-114</v>
      </c>
      <c r="I599">
        <f t="shared" si="93"/>
        <v>-8.5</v>
      </c>
      <c r="L599">
        <f>160+2*(Table2579[[#This Row],[min value (corrected)]]-23)</f>
        <v>174</v>
      </c>
      <c r="M599">
        <f>MINUTE(Table2579[[#This Row],[Corrected time]])</f>
        <v>30</v>
      </c>
      <c r="N599" s="1">
        <v>0.64657435185185186</v>
      </c>
      <c r="O599" s="1">
        <f>Table2579[[#This Row],[Time]]-TIME(0,0,10)</f>
        <v>0.64645861111111114</v>
      </c>
      <c r="P599" t="s">
        <v>27</v>
      </c>
      <c r="Q599">
        <f>Q598</f>
        <v>-114</v>
      </c>
      <c r="R599">
        <f>Table2579[[#This Row],[RSSI]]</f>
        <v>-114</v>
      </c>
      <c r="S599">
        <f>S598</f>
        <v>-10.3</v>
      </c>
    </row>
    <row r="600" spans="2:19" x14ac:dyDescent="0.25">
      <c r="B600">
        <f>160+2*(Table1468[[#This Row],[min value (corrected)]]-32)</f>
        <v>178</v>
      </c>
      <c r="C600">
        <f>MINUTE(Table1468[[#This Row],[Corrected time]])</f>
        <v>41</v>
      </c>
      <c r="D600" s="1">
        <v>0.65411554398148142</v>
      </c>
      <c r="E600" s="1">
        <f>Table1468[[#This Row],[Time]]-TIME(0,0,11)</f>
        <v>0.65398822916666666</v>
      </c>
      <c r="F600" t="s">
        <v>9</v>
      </c>
      <c r="G600" t="s">
        <v>37</v>
      </c>
      <c r="H600">
        <f t="shared" si="92"/>
        <v>-113</v>
      </c>
      <c r="I600">
        <v>-8.5</v>
      </c>
      <c r="L600">
        <f>160+2*(Table2579[[#This Row],[min value (corrected)]]-23)</f>
        <v>174</v>
      </c>
      <c r="M600">
        <f>MINUTE(Table2579[[#This Row],[Corrected time]])</f>
        <v>30</v>
      </c>
      <c r="N600" s="1">
        <v>0.64658653935185184</v>
      </c>
      <c r="O600" s="1">
        <f>Table2579[[#This Row],[Time]]-TIME(0,0,10)</f>
        <v>0.64647079861111112</v>
      </c>
      <c r="P600" t="s">
        <v>9</v>
      </c>
      <c r="Q600">
        <v>-114</v>
      </c>
      <c r="R600">
        <f>Table2579[[#This Row],[RSSI]]</f>
        <v>-114</v>
      </c>
      <c r="S600">
        <v>-9.5</v>
      </c>
    </row>
    <row r="601" spans="2:19" x14ac:dyDescent="0.25">
      <c r="B601">
        <f>160+2*(Table1468[[#This Row],[min value (corrected)]]-32)</f>
        <v>178</v>
      </c>
      <c r="C601">
        <f>MINUTE(Table1468[[#This Row],[Corrected time]])</f>
        <v>41</v>
      </c>
      <c r="D601" s="1">
        <v>0.65412773148148151</v>
      </c>
      <c r="E601" s="1">
        <f>Table1468[[#This Row],[Time]]-TIME(0,0,11)</f>
        <v>0.65400041666666675</v>
      </c>
      <c r="F601" t="s">
        <v>9</v>
      </c>
      <c r="G601" t="s">
        <v>39</v>
      </c>
      <c r="H601">
        <f t="shared" si="92"/>
        <v>-114</v>
      </c>
      <c r="I601">
        <v>-8.3000000000000007</v>
      </c>
      <c r="L601">
        <f>160+2*(Table2579[[#This Row],[min value (corrected)]]-23)</f>
        <v>174</v>
      </c>
      <c r="M601">
        <f>MINUTE(Table2579[[#This Row],[Corrected time]])</f>
        <v>30</v>
      </c>
      <c r="N601" s="1">
        <v>0.64659871527777779</v>
      </c>
      <c r="O601" s="1">
        <f>Table2579[[#This Row],[Time]]-TIME(0,0,10)</f>
        <v>0.64648297453703707</v>
      </c>
      <c r="P601" t="s">
        <v>9</v>
      </c>
      <c r="Q601">
        <v>-113</v>
      </c>
      <c r="R601">
        <f>Table2579[[#This Row],[RSSI]]</f>
        <v>-113</v>
      </c>
      <c r="S601">
        <v>-8.8000000000000007</v>
      </c>
    </row>
    <row r="602" spans="2:19" x14ac:dyDescent="0.25">
      <c r="B602">
        <f>160+2*(Table1468[[#This Row],[min value (corrected)]]-32)</f>
        <v>178</v>
      </c>
      <c r="C602">
        <f>MINUTE(Table1468[[#This Row],[Corrected time]])</f>
        <v>41</v>
      </c>
      <c r="D602" s="1">
        <v>0.65413991898148149</v>
      </c>
      <c r="E602" s="1">
        <f>Table1468[[#This Row],[Time]]-TIME(0,0,11)</f>
        <v>0.65401260416666673</v>
      </c>
      <c r="F602" t="s">
        <v>9</v>
      </c>
      <c r="G602" t="s">
        <v>37</v>
      </c>
      <c r="H602">
        <f t="shared" si="92"/>
        <v>-113</v>
      </c>
      <c r="I602">
        <v>-8.5</v>
      </c>
      <c r="L602">
        <f>160+2*(Table2579[[#This Row],[min value (corrected)]]-23)</f>
        <v>174</v>
      </c>
      <c r="M602">
        <f>MINUTE(Table2579[[#This Row],[Corrected time]])</f>
        <v>30</v>
      </c>
      <c r="N602" s="1">
        <v>0.64661090277777777</v>
      </c>
      <c r="O602" s="1">
        <f>Table2579[[#This Row],[Time]]-TIME(0,0,10)</f>
        <v>0.64649516203703705</v>
      </c>
      <c r="P602" t="s">
        <v>13</v>
      </c>
      <c r="Q602">
        <f t="shared" ref="Q602:Q605" si="94">Q601</f>
        <v>-113</v>
      </c>
      <c r="R602">
        <f>Table2579[[#This Row],[RSSI]]</f>
        <v>-113</v>
      </c>
      <c r="S602">
        <f t="shared" ref="S602:S605" si="95">S601</f>
        <v>-8.8000000000000007</v>
      </c>
    </row>
    <row r="603" spans="2:19" x14ac:dyDescent="0.25">
      <c r="B603">
        <f>160+2*(Table1468[[#This Row],[min value (corrected)]]-32)</f>
        <v>178</v>
      </c>
      <c r="C603">
        <f>MINUTE(Table1468[[#This Row],[Corrected time]])</f>
        <v>41</v>
      </c>
      <c r="D603" s="1">
        <v>0.65415210648148148</v>
      </c>
      <c r="E603" s="1">
        <f>Table1468[[#This Row],[Time]]-TIME(0,0,11)</f>
        <v>0.65402479166666672</v>
      </c>
      <c r="F603" t="s">
        <v>13</v>
      </c>
      <c r="G603" t="str">
        <f>G602</f>
        <v>-113.0,</v>
      </c>
      <c r="H603">
        <f t="shared" si="92"/>
        <v>-113</v>
      </c>
      <c r="I603">
        <f>I602</f>
        <v>-8.5</v>
      </c>
      <c r="L603">
        <f>160+2*(Table2579[[#This Row],[min value (corrected)]]-23)</f>
        <v>174</v>
      </c>
      <c r="M603">
        <f>MINUTE(Table2579[[#This Row],[Corrected time]])</f>
        <v>30</v>
      </c>
      <c r="N603" s="1">
        <v>0.64662309027777776</v>
      </c>
      <c r="O603" s="1">
        <f>Table2579[[#This Row],[Time]]-TIME(0,0,10)</f>
        <v>0.64650734953703703</v>
      </c>
      <c r="P603" t="s">
        <v>13</v>
      </c>
      <c r="Q603">
        <f t="shared" si="94"/>
        <v>-113</v>
      </c>
      <c r="R603">
        <f>Table2579[[#This Row],[RSSI]]</f>
        <v>-113</v>
      </c>
      <c r="S603">
        <f t="shared" si="95"/>
        <v>-8.8000000000000007</v>
      </c>
    </row>
    <row r="604" spans="2:19" x14ac:dyDescent="0.25">
      <c r="B604">
        <f>160+2*(Table1468[[#This Row],[min value (corrected)]]-32)</f>
        <v>178</v>
      </c>
      <c r="C604">
        <f>MINUTE(Table1468[[#This Row],[Corrected time]])</f>
        <v>41</v>
      </c>
      <c r="D604" s="1">
        <v>0.65416429398148146</v>
      </c>
      <c r="E604" s="1">
        <f>Table1468[[#This Row],[Time]]-TIME(0,0,11)</f>
        <v>0.6540369791666667</v>
      </c>
      <c r="F604" t="s">
        <v>9</v>
      </c>
      <c r="G604" t="s">
        <v>39</v>
      </c>
      <c r="H604">
        <f t="shared" si="92"/>
        <v>-114</v>
      </c>
      <c r="I604">
        <v>-9</v>
      </c>
      <c r="L604">
        <f>160+2*(Table2579[[#This Row],[min value (corrected)]]-23)</f>
        <v>174</v>
      </c>
      <c r="M604">
        <f>MINUTE(Table2579[[#This Row],[Corrected time]])</f>
        <v>30</v>
      </c>
      <c r="N604" s="1">
        <v>0.64663528935185177</v>
      </c>
      <c r="O604" s="1">
        <f>Table2579[[#This Row],[Time]]-TIME(0,0,10)</f>
        <v>0.64651954861111105</v>
      </c>
      <c r="P604" t="s">
        <v>13</v>
      </c>
      <c r="Q604">
        <f t="shared" si="94"/>
        <v>-113</v>
      </c>
      <c r="R604">
        <f>Table2579[[#This Row],[RSSI]]</f>
        <v>-113</v>
      </c>
      <c r="S604">
        <f t="shared" si="95"/>
        <v>-8.8000000000000007</v>
      </c>
    </row>
    <row r="605" spans="2:19" x14ac:dyDescent="0.25">
      <c r="B605">
        <f>160+2*(Table1468[[#This Row],[min value (corrected)]]-32)</f>
        <v>178</v>
      </c>
      <c r="C605">
        <f>MINUTE(Table1468[[#This Row],[Corrected time]])</f>
        <v>41</v>
      </c>
      <c r="D605" s="1">
        <v>0.65417648148148144</v>
      </c>
      <c r="E605" s="1">
        <f>Table1468[[#This Row],[Time]]-TIME(0,0,11)</f>
        <v>0.65404916666666668</v>
      </c>
      <c r="F605" t="s">
        <v>9</v>
      </c>
      <c r="G605" t="s">
        <v>39</v>
      </c>
      <c r="H605">
        <f t="shared" si="92"/>
        <v>-114</v>
      </c>
      <c r="I605">
        <v>-8.5</v>
      </c>
      <c r="L605">
        <f>160+2*(Table2579[[#This Row],[min value (corrected)]]-23)</f>
        <v>176</v>
      </c>
      <c r="M605">
        <f>MINUTE(Table2579[[#This Row],[Corrected time]])</f>
        <v>31</v>
      </c>
      <c r="N605" s="1">
        <v>0.64664747685185187</v>
      </c>
      <c r="O605" s="1">
        <f>Table2579[[#This Row],[Time]]-TIME(0,0,10)</f>
        <v>0.64653173611111114</v>
      </c>
      <c r="P605" t="s">
        <v>27</v>
      </c>
      <c r="Q605">
        <f t="shared" si="94"/>
        <v>-113</v>
      </c>
      <c r="R605">
        <f>Table2579[[#This Row],[RSSI]]</f>
        <v>-113</v>
      </c>
      <c r="S605">
        <f t="shared" si="95"/>
        <v>-8.8000000000000007</v>
      </c>
    </row>
    <row r="606" spans="2:19" x14ac:dyDescent="0.25">
      <c r="B606">
        <f>160+2*(Table1468[[#This Row],[min value (corrected)]]-32)</f>
        <v>178</v>
      </c>
      <c r="C606">
        <f>MINUTE(Table1468[[#This Row],[Corrected time]])</f>
        <v>41</v>
      </c>
      <c r="D606" s="1">
        <v>0.65418866898148142</v>
      </c>
      <c r="E606" s="1">
        <f>Table1468[[#This Row],[Time]]-TIME(0,0,11)</f>
        <v>0.65406135416666666</v>
      </c>
      <c r="F606" t="s">
        <v>9</v>
      </c>
      <c r="G606" t="s">
        <v>37</v>
      </c>
      <c r="H606">
        <f t="shared" si="92"/>
        <v>-113</v>
      </c>
      <c r="I606">
        <v>-8.3000000000000007</v>
      </c>
      <c r="L606">
        <f>160+2*(Table2579[[#This Row],[min value (corrected)]]-23)</f>
        <v>176</v>
      </c>
      <c r="M606">
        <f>MINUTE(Table2579[[#This Row],[Corrected time]])</f>
        <v>31</v>
      </c>
      <c r="N606" s="1">
        <v>0.64665966435185185</v>
      </c>
      <c r="O606" s="1">
        <f>Table2579[[#This Row],[Time]]-TIME(0,0,10)</f>
        <v>0.64654392361111113</v>
      </c>
      <c r="P606" t="s">
        <v>9</v>
      </c>
      <c r="Q606">
        <v>-114</v>
      </c>
      <c r="R606">
        <f>Table2579[[#This Row],[RSSI]]</f>
        <v>-114</v>
      </c>
      <c r="S606">
        <v>-9</v>
      </c>
    </row>
    <row r="607" spans="2:19" x14ac:dyDescent="0.25">
      <c r="B607">
        <f>160+2*(Table1468[[#This Row],[min value (corrected)]]-32)</f>
        <v>178</v>
      </c>
      <c r="C607">
        <f>MINUTE(Table1468[[#This Row],[Corrected time]])</f>
        <v>41</v>
      </c>
      <c r="D607" s="1">
        <v>0.65420085648148141</v>
      </c>
      <c r="E607" s="1">
        <f>Table1468[[#This Row],[Time]]-TIME(0,0,11)</f>
        <v>0.65407354166666665</v>
      </c>
      <c r="F607" t="s">
        <v>9</v>
      </c>
      <c r="G607" t="s">
        <v>39</v>
      </c>
      <c r="H607">
        <f t="shared" si="92"/>
        <v>-114</v>
      </c>
      <c r="I607">
        <v>-9.3000000000000007</v>
      </c>
      <c r="L607">
        <f>160+2*(Table2579[[#This Row],[min value (corrected)]]-23)</f>
        <v>176</v>
      </c>
      <c r="M607">
        <f>MINUTE(Table2579[[#This Row],[Corrected time]])</f>
        <v>31</v>
      </c>
      <c r="N607" s="1">
        <v>0.6466718402777778</v>
      </c>
      <c r="O607" s="1">
        <f>Table2579[[#This Row],[Time]]-TIME(0,0,10)</f>
        <v>0.64655609953703708</v>
      </c>
      <c r="P607" t="s">
        <v>9</v>
      </c>
      <c r="Q607">
        <v>-113</v>
      </c>
      <c r="R607">
        <f>Table2579[[#This Row],[RSSI]]</f>
        <v>-113</v>
      </c>
      <c r="S607">
        <v>-7.7</v>
      </c>
    </row>
    <row r="608" spans="2:19" x14ac:dyDescent="0.25">
      <c r="B608">
        <f>160+2*(Table1468[[#This Row],[min value (corrected)]]-32)</f>
        <v>178</v>
      </c>
      <c r="C608">
        <f>MINUTE(Table1468[[#This Row],[Corrected time]])</f>
        <v>41</v>
      </c>
      <c r="D608" s="1">
        <v>0.65421303240740747</v>
      </c>
      <c r="E608" s="1">
        <f>Table1468[[#This Row],[Time]]-TIME(0,0,11)</f>
        <v>0.65408571759259271</v>
      </c>
      <c r="F608" t="s">
        <v>9</v>
      </c>
      <c r="G608" t="s">
        <v>39</v>
      </c>
      <c r="H608">
        <f t="shared" si="92"/>
        <v>-114</v>
      </c>
      <c r="I608">
        <v>-8.5</v>
      </c>
      <c r="L608">
        <f>160+2*(Table2579[[#This Row],[min value (corrected)]]-23)</f>
        <v>176</v>
      </c>
      <c r="M608">
        <f>MINUTE(Table2579[[#This Row],[Corrected time]])</f>
        <v>31</v>
      </c>
      <c r="N608" s="1">
        <v>0.64668403935185181</v>
      </c>
      <c r="O608" s="1">
        <f>Table2579[[#This Row],[Time]]-TIME(0,0,10)</f>
        <v>0.64656829861111109</v>
      </c>
      <c r="P608" t="s">
        <v>9</v>
      </c>
      <c r="Q608">
        <v>-114</v>
      </c>
      <c r="R608">
        <f>Table2579[[#This Row],[RSSI]]</f>
        <v>-114</v>
      </c>
      <c r="S608">
        <v>-8.3000000000000007</v>
      </c>
    </row>
    <row r="609" spans="2:19" x14ac:dyDescent="0.25">
      <c r="B609">
        <f>160+2*(Table1468[[#This Row],[min value (corrected)]]-32)</f>
        <v>178</v>
      </c>
      <c r="C609">
        <f>MINUTE(Table1468[[#This Row],[Corrected time]])</f>
        <v>41</v>
      </c>
      <c r="D609" s="1">
        <v>0.65422523148148148</v>
      </c>
      <c r="E609" s="1">
        <f>Table1468[[#This Row],[Time]]-TIME(0,0,11)</f>
        <v>0.65409791666666672</v>
      </c>
      <c r="F609" t="s">
        <v>9</v>
      </c>
      <c r="G609" t="s">
        <v>37</v>
      </c>
      <c r="H609">
        <f t="shared" si="92"/>
        <v>-113</v>
      </c>
      <c r="I609">
        <v>-9</v>
      </c>
      <c r="L609">
        <f>160+2*(Table2579[[#This Row],[min value (corrected)]]-23)</f>
        <v>176</v>
      </c>
      <c r="M609">
        <f>MINUTE(Table2579[[#This Row],[Corrected time]])</f>
        <v>31</v>
      </c>
      <c r="N609" s="1">
        <v>0.6466962268518518</v>
      </c>
      <c r="O609" s="1">
        <f>Table2579[[#This Row],[Time]]-TIME(0,0,10)</f>
        <v>0.64658048611111107</v>
      </c>
      <c r="P609" t="s">
        <v>13</v>
      </c>
      <c r="Q609">
        <f>Q608</f>
        <v>-114</v>
      </c>
      <c r="R609">
        <f>Table2579[[#This Row],[RSSI]]</f>
        <v>-114</v>
      </c>
      <c r="S609">
        <f>S608</f>
        <v>-8.3000000000000007</v>
      </c>
    </row>
    <row r="610" spans="2:19" x14ac:dyDescent="0.25">
      <c r="B610">
        <f>160+2*(Table1468[[#This Row],[min value (corrected)]]-32)</f>
        <v>178</v>
      </c>
      <c r="C610">
        <f>MINUTE(Table1468[[#This Row],[Corrected time]])</f>
        <v>41</v>
      </c>
      <c r="D610" s="1">
        <v>0.65423741898148147</v>
      </c>
      <c r="E610" s="1">
        <f>Table1468[[#This Row],[Time]]-TIME(0,0,11)</f>
        <v>0.65411010416666671</v>
      </c>
      <c r="F610" t="s">
        <v>9</v>
      </c>
      <c r="G610" t="s">
        <v>39</v>
      </c>
      <c r="H610">
        <f t="shared" si="92"/>
        <v>-114</v>
      </c>
      <c r="I610">
        <v>-8.8000000000000007</v>
      </c>
      <c r="L610">
        <f>160+2*(Table2579[[#This Row],[min value (corrected)]]-23)</f>
        <v>176</v>
      </c>
      <c r="M610">
        <f>MINUTE(Table2579[[#This Row],[Corrected time]])</f>
        <v>31</v>
      </c>
      <c r="N610" s="1">
        <v>0.64670840277777775</v>
      </c>
      <c r="O610" s="1">
        <f>Table2579[[#This Row],[Time]]-TIME(0,0,10)</f>
        <v>0.64659266203703702</v>
      </c>
      <c r="P610" t="s">
        <v>9</v>
      </c>
      <c r="Q610">
        <v>-114</v>
      </c>
      <c r="R610">
        <f>Table2579[[#This Row],[RSSI]]</f>
        <v>-114</v>
      </c>
      <c r="S610">
        <v>-8.5</v>
      </c>
    </row>
    <row r="611" spans="2:19" x14ac:dyDescent="0.25">
      <c r="B611">
        <f>160+2*(Table1468[[#This Row],[min value (corrected)]]-32)</f>
        <v>178</v>
      </c>
      <c r="C611">
        <f>MINUTE(Table1468[[#This Row],[Corrected time]])</f>
        <v>41</v>
      </c>
      <c r="D611" s="1">
        <v>0.65424959490740742</v>
      </c>
      <c r="E611" s="1">
        <f>Table1468[[#This Row],[Time]]-TIME(0,0,11)</f>
        <v>0.65412228009259266</v>
      </c>
      <c r="F611" t="s">
        <v>13</v>
      </c>
      <c r="G611" t="str">
        <f>G610</f>
        <v>-114.0,</v>
      </c>
      <c r="H611">
        <f t="shared" si="92"/>
        <v>-114</v>
      </c>
      <c r="I611">
        <f>I610</f>
        <v>-8.8000000000000007</v>
      </c>
      <c r="L611">
        <f>160+2*(Table2579[[#This Row],[min value (corrected)]]-23)</f>
        <v>176</v>
      </c>
      <c r="M611">
        <f>MINUTE(Table2579[[#This Row],[Corrected time]])</f>
        <v>31</v>
      </c>
      <c r="N611" s="1">
        <v>0.64672059027777773</v>
      </c>
      <c r="O611" s="1">
        <f>Table2579[[#This Row],[Time]]-TIME(0,0,10)</f>
        <v>0.64660484953703701</v>
      </c>
      <c r="P611" t="s">
        <v>13</v>
      </c>
      <c r="Q611">
        <f>Q610</f>
        <v>-114</v>
      </c>
      <c r="R611">
        <f>Table2579[[#This Row],[RSSI]]</f>
        <v>-114</v>
      </c>
      <c r="S611">
        <f>S610</f>
        <v>-8.5</v>
      </c>
    </row>
    <row r="612" spans="2:19" x14ac:dyDescent="0.25">
      <c r="B612">
        <f>160+2*(Table1468[[#This Row],[min value (corrected)]]-32)</f>
        <v>178</v>
      </c>
      <c r="C612">
        <f>MINUTE(Table1468[[#This Row],[Corrected time]])</f>
        <v>41</v>
      </c>
      <c r="D612" s="1">
        <v>0.65426179398148143</v>
      </c>
      <c r="E612" s="1">
        <f>Table1468[[#This Row],[Time]]-TIME(0,0,11)</f>
        <v>0.65413447916666667</v>
      </c>
      <c r="F612" t="s">
        <v>9</v>
      </c>
      <c r="G612" t="s">
        <v>37</v>
      </c>
      <c r="H612">
        <f t="shared" si="92"/>
        <v>-113</v>
      </c>
      <c r="I612">
        <v>-8.8000000000000007</v>
      </c>
      <c r="L612">
        <f>160+2*(Table2579[[#This Row],[min value (corrected)]]-23)</f>
        <v>176</v>
      </c>
      <c r="M612">
        <f>MINUTE(Table2579[[#This Row],[Corrected time]])</f>
        <v>31</v>
      </c>
      <c r="N612" s="1">
        <v>0.64673277777777782</v>
      </c>
      <c r="O612" s="1">
        <f>Table2579[[#This Row],[Time]]-TIME(0,0,10)</f>
        <v>0.6466170370370371</v>
      </c>
      <c r="P612" t="s">
        <v>9</v>
      </c>
      <c r="Q612">
        <v>-114</v>
      </c>
      <c r="R612">
        <f>Table2579[[#This Row],[RSSI]]</f>
        <v>-114</v>
      </c>
      <c r="S612">
        <v>-9</v>
      </c>
    </row>
    <row r="613" spans="2:19" x14ac:dyDescent="0.25">
      <c r="B613">
        <f>160+2*(Table1468[[#This Row],[min value (corrected)]]-32)</f>
        <v>178</v>
      </c>
      <c r="C613">
        <f>MINUTE(Table1468[[#This Row],[Corrected time]])</f>
        <v>41</v>
      </c>
      <c r="D613" s="1">
        <v>0.65427398148148141</v>
      </c>
      <c r="E613" s="1">
        <f>Table1468[[#This Row],[Time]]-TIME(0,0,11)</f>
        <v>0.65414666666666665</v>
      </c>
      <c r="F613" t="s">
        <v>13</v>
      </c>
      <c r="G613" t="str">
        <f>G612</f>
        <v>-113.0,</v>
      </c>
      <c r="H613">
        <f t="shared" si="92"/>
        <v>-113</v>
      </c>
      <c r="I613">
        <f>I612</f>
        <v>-8.8000000000000007</v>
      </c>
      <c r="L613">
        <f>160+2*(Table2579[[#This Row],[min value (corrected)]]-23)</f>
        <v>176</v>
      </c>
      <c r="M613">
        <f>MINUTE(Table2579[[#This Row],[Corrected time]])</f>
        <v>31</v>
      </c>
      <c r="N613" s="1">
        <v>0.64674497685185184</v>
      </c>
      <c r="O613" s="1">
        <f>Table2579[[#This Row],[Time]]-TIME(0,0,10)</f>
        <v>0.64662923611111112</v>
      </c>
      <c r="P613" t="s">
        <v>13</v>
      </c>
      <c r="Q613">
        <f t="shared" ref="Q613:Q614" si="96">Q612</f>
        <v>-114</v>
      </c>
      <c r="R613">
        <f>Table2579[[#This Row],[RSSI]]</f>
        <v>-114</v>
      </c>
      <c r="S613">
        <f t="shared" ref="S613:S614" si="97">S612</f>
        <v>-9</v>
      </c>
    </row>
    <row r="614" spans="2:19" x14ac:dyDescent="0.25">
      <c r="B614">
        <f>160+2*(Table1468[[#This Row],[min value (corrected)]]-32)</f>
        <v>178</v>
      </c>
      <c r="C614">
        <f>MINUTE(Table1468[[#This Row],[Corrected time]])</f>
        <v>41</v>
      </c>
      <c r="D614" s="1">
        <v>0.65428615740740736</v>
      </c>
      <c r="E614" s="1">
        <f>Table1468[[#This Row],[Time]]-TIME(0,0,11)</f>
        <v>0.6541588425925926</v>
      </c>
      <c r="F614" t="s">
        <v>9</v>
      </c>
      <c r="G614" t="s">
        <v>37</v>
      </c>
      <c r="H614">
        <f t="shared" si="92"/>
        <v>-113</v>
      </c>
      <c r="I614">
        <v>-8</v>
      </c>
      <c r="L614">
        <f>160+2*(Table2579[[#This Row],[min value (corrected)]]-23)</f>
        <v>176</v>
      </c>
      <c r="M614">
        <f>MINUTE(Table2579[[#This Row],[Corrected time]])</f>
        <v>31</v>
      </c>
      <c r="N614" s="1">
        <v>0.64675716435185193</v>
      </c>
      <c r="O614" s="1">
        <f>Table2579[[#This Row],[Time]]-TIME(0,0,10)</f>
        <v>0.64664142361111121</v>
      </c>
      <c r="P614" t="s">
        <v>13</v>
      </c>
      <c r="Q614">
        <f t="shared" si="96"/>
        <v>-114</v>
      </c>
      <c r="R614">
        <f>Table2579[[#This Row],[RSSI]]</f>
        <v>-114</v>
      </c>
      <c r="S614">
        <f t="shared" si="97"/>
        <v>-9</v>
      </c>
    </row>
    <row r="615" spans="2:19" x14ac:dyDescent="0.25">
      <c r="B615">
        <f>160+2*(Table1468[[#This Row],[min value (corrected)]]-32)</f>
        <v>180</v>
      </c>
      <c r="C615">
        <f>MINUTE(Table1468[[#This Row],[Corrected time]])</f>
        <v>42</v>
      </c>
      <c r="D615" s="1">
        <v>0.65429834490740746</v>
      </c>
      <c r="E615" s="1">
        <f>Table1468[[#This Row],[Time]]-TIME(0,0,11)</f>
        <v>0.6541710300925927</v>
      </c>
      <c r="F615" t="s">
        <v>9</v>
      </c>
      <c r="G615" t="s">
        <v>39</v>
      </c>
      <c r="H615">
        <f t="shared" si="92"/>
        <v>-114</v>
      </c>
      <c r="I615">
        <v>-8.3000000000000007</v>
      </c>
      <c r="L615">
        <f>160+2*(Table2579[[#This Row],[min value (corrected)]]-23)</f>
        <v>176</v>
      </c>
      <c r="M615">
        <f>MINUTE(Table2579[[#This Row],[Corrected time]])</f>
        <v>31</v>
      </c>
      <c r="N615" s="1">
        <v>0.64676934027777777</v>
      </c>
      <c r="O615" s="1">
        <f>Table2579[[#This Row],[Time]]-TIME(0,0,10)</f>
        <v>0.64665359953703705</v>
      </c>
      <c r="P615" t="s">
        <v>9</v>
      </c>
      <c r="Q615">
        <v>-115</v>
      </c>
      <c r="R615">
        <f>Table2579[[#This Row],[RSSI]]</f>
        <v>-115</v>
      </c>
      <c r="S615">
        <v>-9.5</v>
      </c>
    </row>
    <row r="616" spans="2:19" x14ac:dyDescent="0.25">
      <c r="B616">
        <f>160+2*(Table1468[[#This Row],[min value (corrected)]]-32)</f>
        <v>180</v>
      </c>
      <c r="C616">
        <f>MINUTE(Table1468[[#This Row],[Corrected time]])</f>
        <v>42</v>
      </c>
      <c r="D616" s="1">
        <v>0.65431054398148147</v>
      </c>
      <c r="E616" s="1">
        <f>Table1468[[#This Row],[Time]]-TIME(0,0,11)</f>
        <v>0.65418322916666671</v>
      </c>
      <c r="F616" t="s">
        <v>13</v>
      </c>
      <c r="G616" t="str">
        <f t="shared" ref="G616:G617" si="98">G615</f>
        <v>-114.0,</v>
      </c>
      <c r="H616">
        <f t="shared" si="92"/>
        <v>-114</v>
      </c>
      <c r="I616">
        <f t="shared" ref="I616:I617" si="99">I615</f>
        <v>-8.3000000000000007</v>
      </c>
      <c r="L616">
        <f>160+2*(Table2579[[#This Row],[min value (corrected)]]-23)</f>
        <v>176</v>
      </c>
      <c r="M616">
        <f>MINUTE(Table2579[[#This Row],[Corrected time]])</f>
        <v>31</v>
      </c>
      <c r="N616" s="1">
        <v>0.6467815393518519</v>
      </c>
      <c r="O616" s="1">
        <f>Table2579[[#This Row],[Time]]-TIME(0,0,10)</f>
        <v>0.64666579861111118</v>
      </c>
      <c r="P616" t="s">
        <v>9</v>
      </c>
      <c r="Q616">
        <v>-114</v>
      </c>
      <c r="R616">
        <f>Table2579[[#This Row],[RSSI]]</f>
        <v>-114</v>
      </c>
      <c r="S616">
        <v>-8.3000000000000007</v>
      </c>
    </row>
    <row r="617" spans="2:19" x14ac:dyDescent="0.25">
      <c r="B617">
        <f>160+2*(Table1468[[#This Row],[min value (corrected)]]-32)</f>
        <v>180</v>
      </c>
      <c r="C617">
        <f>MINUTE(Table1468[[#This Row],[Corrected time]])</f>
        <v>42</v>
      </c>
      <c r="D617" s="1">
        <v>0.65432271990740742</v>
      </c>
      <c r="E617" s="1">
        <f>Table1468[[#This Row],[Time]]-TIME(0,0,11)</f>
        <v>0.65419540509259266</v>
      </c>
      <c r="F617" t="s">
        <v>13</v>
      </c>
      <c r="G617" t="str">
        <f t="shared" si="98"/>
        <v>-114.0,</v>
      </c>
      <c r="H617">
        <f t="shared" si="92"/>
        <v>-114</v>
      </c>
      <c r="I617">
        <f t="shared" si="99"/>
        <v>-8.3000000000000007</v>
      </c>
      <c r="L617">
        <f>160+2*(Table2579[[#This Row],[min value (corrected)]]-23)</f>
        <v>176</v>
      </c>
      <c r="M617">
        <f>MINUTE(Table2579[[#This Row],[Corrected time]])</f>
        <v>31</v>
      </c>
      <c r="N617" s="1">
        <v>0.64679372685185188</v>
      </c>
      <c r="O617" s="1">
        <f>Table2579[[#This Row],[Time]]-TIME(0,0,10)</f>
        <v>0.64667798611111116</v>
      </c>
      <c r="P617" t="s">
        <v>9</v>
      </c>
      <c r="Q617">
        <v>-114</v>
      </c>
      <c r="R617">
        <f>Table2579[[#This Row],[RSSI]]</f>
        <v>-114</v>
      </c>
      <c r="S617">
        <v>-9.3000000000000007</v>
      </c>
    </row>
    <row r="618" spans="2:19" x14ac:dyDescent="0.25">
      <c r="B618">
        <f>160+2*(Table1468[[#This Row],[min value (corrected)]]-32)</f>
        <v>180</v>
      </c>
      <c r="C618">
        <f>MINUTE(Table1468[[#This Row],[Corrected time]])</f>
        <v>42</v>
      </c>
      <c r="D618" s="1">
        <v>0.65433491898148144</v>
      </c>
      <c r="E618" s="1">
        <f>Table1468[[#This Row],[Time]]-TIME(0,0,11)</f>
        <v>0.65420760416666668</v>
      </c>
      <c r="F618" t="s">
        <v>9</v>
      </c>
      <c r="G618" t="s">
        <v>39</v>
      </c>
      <c r="H618">
        <f t="shared" si="92"/>
        <v>-114</v>
      </c>
      <c r="I618">
        <v>-8.5</v>
      </c>
      <c r="L618">
        <f>160+2*(Table2579[[#This Row],[min value (corrected)]]-23)</f>
        <v>176</v>
      </c>
      <c r="M618">
        <f>MINUTE(Table2579[[#This Row],[Corrected time]])</f>
        <v>31</v>
      </c>
      <c r="N618" s="1">
        <v>0.64680590277777772</v>
      </c>
      <c r="O618" s="1">
        <f>Table2579[[#This Row],[Time]]-TIME(0,0,10)</f>
        <v>0.646690162037037</v>
      </c>
      <c r="P618" t="s">
        <v>13</v>
      </c>
      <c r="Q618">
        <f>Q617</f>
        <v>-114</v>
      </c>
      <c r="R618">
        <f>Table2579[[#This Row],[RSSI]]</f>
        <v>-114</v>
      </c>
      <c r="S618">
        <f>S617</f>
        <v>-9.3000000000000007</v>
      </c>
    </row>
    <row r="619" spans="2:19" x14ac:dyDescent="0.25">
      <c r="B619">
        <f>160+2*(Table1468[[#This Row],[min value (corrected)]]-32)</f>
        <v>180</v>
      </c>
      <c r="C619">
        <f>MINUTE(Table1468[[#This Row],[Corrected time]])</f>
        <v>42</v>
      </c>
      <c r="D619" s="1">
        <v>0.65434710648148142</v>
      </c>
      <c r="E619" s="1">
        <f>Table1468[[#This Row],[Time]]-TIME(0,0,11)</f>
        <v>0.65421979166666666</v>
      </c>
      <c r="F619" t="s">
        <v>9</v>
      </c>
      <c r="G619" t="s">
        <v>39</v>
      </c>
      <c r="H619">
        <f t="shared" si="92"/>
        <v>-114</v>
      </c>
      <c r="I619">
        <v>-8</v>
      </c>
      <c r="L619">
        <f>160+2*(Table2579[[#This Row],[min value (corrected)]]-23)</f>
        <v>176</v>
      </c>
      <c r="M619">
        <f>MINUTE(Table2579[[#This Row],[Corrected time]])</f>
        <v>31</v>
      </c>
      <c r="N619" s="1">
        <v>0.64681809027777781</v>
      </c>
      <c r="O619" s="1">
        <f>Table2579[[#This Row],[Time]]-TIME(0,0,10)</f>
        <v>0.64670234953703709</v>
      </c>
      <c r="P619" t="s">
        <v>9</v>
      </c>
      <c r="Q619">
        <v>-114</v>
      </c>
      <c r="R619">
        <f>Table2579[[#This Row],[RSSI]]</f>
        <v>-114</v>
      </c>
      <c r="S619">
        <v>-9.5</v>
      </c>
    </row>
    <row r="620" spans="2:19" x14ac:dyDescent="0.25">
      <c r="B620">
        <f>160+2*(Table1468[[#This Row],[min value (corrected)]]-32)</f>
        <v>180</v>
      </c>
      <c r="C620">
        <f>MINUTE(Table1468[[#This Row],[Corrected time]])</f>
        <v>42</v>
      </c>
      <c r="D620" s="1">
        <v>0.6543592939814814</v>
      </c>
      <c r="E620" s="1">
        <f>Table1468[[#This Row],[Time]]-TIME(0,0,11)</f>
        <v>0.65423197916666664</v>
      </c>
      <c r="F620" t="s">
        <v>9</v>
      </c>
      <c r="G620" t="s">
        <v>37</v>
      </c>
      <c r="H620">
        <f t="shared" si="92"/>
        <v>-113</v>
      </c>
      <c r="I620">
        <v>-8.5</v>
      </c>
      <c r="L620">
        <f>160+2*(Table2579[[#This Row],[min value (corrected)]]-23)</f>
        <v>176</v>
      </c>
      <c r="M620">
        <f>MINUTE(Table2579[[#This Row],[Corrected time]])</f>
        <v>31</v>
      </c>
      <c r="N620" s="1">
        <v>0.6468302777777778</v>
      </c>
      <c r="O620" s="1">
        <f>Table2579[[#This Row],[Time]]-TIME(0,0,10)</f>
        <v>0.64671453703703707</v>
      </c>
      <c r="P620" t="s">
        <v>9</v>
      </c>
      <c r="Q620">
        <v>-114</v>
      </c>
      <c r="R620">
        <f>Table2579[[#This Row],[RSSI]]</f>
        <v>-114</v>
      </c>
      <c r="S620">
        <v>-8</v>
      </c>
    </row>
    <row r="621" spans="2:19" x14ac:dyDescent="0.25">
      <c r="B621">
        <f>160+2*(Table1468[[#This Row],[min value (corrected)]]-32)</f>
        <v>180</v>
      </c>
      <c r="C621">
        <f>MINUTE(Table1468[[#This Row],[Corrected time]])</f>
        <v>42</v>
      </c>
      <c r="D621" s="1">
        <v>0.65437146990740735</v>
      </c>
      <c r="E621" s="1">
        <f>Table1468[[#This Row],[Time]]-TIME(0,0,11)</f>
        <v>0.65424415509259259</v>
      </c>
      <c r="F621" t="s">
        <v>9</v>
      </c>
      <c r="G621" t="s">
        <v>39</v>
      </c>
      <c r="H621">
        <f t="shared" si="92"/>
        <v>-114</v>
      </c>
      <c r="I621">
        <v>-8.5</v>
      </c>
      <c r="L621">
        <f>160+2*(Table2579[[#This Row],[min value (corrected)]]-23)</f>
        <v>176</v>
      </c>
      <c r="M621">
        <f>MINUTE(Table2579[[#This Row],[Corrected time]])</f>
        <v>31</v>
      </c>
      <c r="N621" s="1">
        <v>0.64684247685185192</v>
      </c>
      <c r="O621" s="1">
        <f>Table2579[[#This Row],[Time]]-TIME(0,0,10)</f>
        <v>0.6467267361111112</v>
      </c>
      <c r="P621" t="s">
        <v>9</v>
      </c>
      <c r="Q621">
        <v>-114</v>
      </c>
      <c r="R621">
        <f>Table2579[[#This Row],[RSSI]]</f>
        <v>-114</v>
      </c>
      <c r="S621">
        <v>-8.5</v>
      </c>
    </row>
    <row r="622" spans="2:19" x14ac:dyDescent="0.25">
      <c r="B622">
        <f>160+2*(Table1468[[#This Row],[min value (corrected)]]-32)</f>
        <v>180</v>
      </c>
      <c r="C622">
        <f>MINUTE(Table1468[[#This Row],[Corrected time]])</f>
        <v>42</v>
      </c>
      <c r="D622" s="1">
        <v>0.65438366898148148</v>
      </c>
      <c r="E622" s="1">
        <f>Table1468[[#This Row],[Time]]-TIME(0,0,11)</f>
        <v>0.65425635416666672</v>
      </c>
      <c r="F622" t="s">
        <v>9</v>
      </c>
      <c r="G622" t="s">
        <v>39</v>
      </c>
      <c r="H622">
        <f t="shared" si="92"/>
        <v>-114</v>
      </c>
      <c r="I622">
        <v>-8.3000000000000007</v>
      </c>
      <c r="L622">
        <f>160+2*(Table2579[[#This Row],[min value (corrected)]]-23)</f>
        <v>176</v>
      </c>
      <c r="M622">
        <f>MINUTE(Table2579[[#This Row],[Corrected time]])</f>
        <v>31</v>
      </c>
      <c r="N622" s="1">
        <v>0.64685465277777776</v>
      </c>
      <c r="O622" s="1">
        <f>Table2579[[#This Row],[Time]]-TIME(0,0,10)</f>
        <v>0.64673891203703704</v>
      </c>
      <c r="P622" t="s">
        <v>9</v>
      </c>
      <c r="Q622">
        <v>-114</v>
      </c>
      <c r="R622">
        <f>Table2579[[#This Row],[RSSI]]</f>
        <v>-114</v>
      </c>
      <c r="S622">
        <v>-9</v>
      </c>
    </row>
    <row r="623" spans="2:19" x14ac:dyDescent="0.25">
      <c r="B623">
        <f>160+2*(Table1468[[#This Row],[min value (corrected)]]-32)</f>
        <v>180</v>
      </c>
      <c r="C623">
        <f>MINUTE(Table1468[[#This Row],[Corrected time]])</f>
        <v>42</v>
      </c>
      <c r="D623" s="1">
        <v>0.65439585648148157</v>
      </c>
      <c r="E623" s="1">
        <f>Table1468[[#This Row],[Time]]-TIME(0,0,11)</f>
        <v>0.65426854166666681</v>
      </c>
      <c r="F623" t="s">
        <v>9</v>
      </c>
      <c r="G623" t="s">
        <v>37</v>
      </c>
      <c r="H623">
        <f t="shared" si="92"/>
        <v>-113</v>
      </c>
      <c r="I623">
        <v>-8.8000000000000007</v>
      </c>
      <c r="L623">
        <f>160+2*(Table2579[[#This Row],[min value (corrected)]]-23)</f>
        <v>176</v>
      </c>
      <c r="M623">
        <f>MINUTE(Table2579[[#This Row],[Corrected time]])</f>
        <v>31</v>
      </c>
      <c r="N623" s="1">
        <v>0.64686685185185189</v>
      </c>
      <c r="O623" s="1">
        <f>Table2579[[#This Row],[Time]]-TIME(0,0,10)</f>
        <v>0.64675111111111117</v>
      </c>
      <c r="P623" t="s">
        <v>9</v>
      </c>
      <c r="Q623">
        <v>-114</v>
      </c>
      <c r="R623">
        <f>Table2579[[#This Row],[RSSI]]</f>
        <v>-114</v>
      </c>
      <c r="S623">
        <v>-8.5</v>
      </c>
    </row>
    <row r="624" spans="2:19" x14ac:dyDescent="0.25">
      <c r="B624">
        <f>160+2*(Table1468[[#This Row],[min value (corrected)]]-32)</f>
        <v>180</v>
      </c>
      <c r="C624">
        <f>MINUTE(Table1468[[#This Row],[Corrected time]])</f>
        <v>42</v>
      </c>
      <c r="D624" s="1">
        <v>0.65440804398148156</v>
      </c>
      <c r="E624" s="1">
        <f>Table1468[[#This Row],[Time]]-TIME(0,0,11)</f>
        <v>0.6542807291666668</v>
      </c>
      <c r="F624" t="s">
        <v>9</v>
      </c>
      <c r="G624" t="s">
        <v>39</v>
      </c>
      <c r="H624">
        <f t="shared" si="92"/>
        <v>-114</v>
      </c>
      <c r="I624">
        <v>-9</v>
      </c>
      <c r="L624">
        <f>160+2*(Table2579[[#This Row],[min value (corrected)]]-23)</f>
        <v>176</v>
      </c>
      <c r="M624">
        <f>MINUTE(Table2579[[#This Row],[Corrected time]])</f>
        <v>31</v>
      </c>
      <c r="N624" s="1">
        <v>0.64687902777777773</v>
      </c>
      <c r="O624" s="1">
        <f>Table2579[[#This Row],[Time]]-TIME(0,0,10)</f>
        <v>0.646763287037037</v>
      </c>
      <c r="P624" t="s">
        <v>9</v>
      </c>
      <c r="Q624">
        <v>-113</v>
      </c>
      <c r="R624">
        <f>Table2579[[#This Row],[RSSI]]</f>
        <v>-113</v>
      </c>
      <c r="S624">
        <v>-7.5</v>
      </c>
    </row>
    <row r="625" spans="2:19" x14ac:dyDescent="0.25">
      <c r="B625">
        <f>160+2*(Table1468[[#This Row],[min value (corrected)]]-32)</f>
        <v>180</v>
      </c>
      <c r="C625">
        <f>MINUTE(Table1468[[#This Row],[Corrected time]])</f>
        <v>42</v>
      </c>
      <c r="D625" s="1">
        <v>0.6544202199074074</v>
      </c>
      <c r="E625" s="1">
        <f>Table1468[[#This Row],[Time]]-TIME(0,0,11)</f>
        <v>0.65429290509259264</v>
      </c>
      <c r="F625" t="s">
        <v>9</v>
      </c>
      <c r="G625" t="s">
        <v>39</v>
      </c>
      <c r="H625">
        <f t="shared" si="92"/>
        <v>-114</v>
      </c>
      <c r="I625">
        <v>-8</v>
      </c>
      <c r="L625">
        <f>160+2*(Table2579[[#This Row],[min value (corrected)]]-23)</f>
        <v>176</v>
      </c>
      <c r="M625">
        <f>MINUTE(Table2579[[#This Row],[Corrected time]])</f>
        <v>31</v>
      </c>
      <c r="N625" s="1">
        <v>0.64689122685185185</v>
      </c>
      <c r="O625" s="1">
        <f>Table2579[[#This Row],[Time]]-TIME(0,0,10)</f>
        <v>0.64677548611111113</v>
      </c>
      <c r="P625" t="s">
        <v>13</v>
      </c>
      <c r="Q625">
        <f>Q624</f>
        <v>-113</v>
      </c>
      <c r="R625">
        <f>Table2579[[#This Row],[RSSI]]</f>
        <v>-113</v>
      </c>
      <c r="S625">
        <f>S624</f>
        <v>-7.5</v>
      </c>
    </row>
    <row r="626" spans="2:19" x14ac:dyDescent="0.25">
      <c r="B626">
        <f>160+2*(Table1468[[#This Row],[min value (corrected)]]-32)</f>
        <v>180</v>
      </c>
      <c r="C626">
        <f>MINUTE(Table1468[[#This Row],[Corrected time]])</f>
        <v>42</v>
      </c>
      <c r="D626" s="1">
        <v>0.65443241898148152</v>
      </c>
      <c r="E626" s="1">
        <f>Table1468[[#This Row],[Time]]-TIME(0,0,11)</f>
        <v>0.65430510416666676</v>
      </c>
      <c r="F626" t="s">
        <v>9</v>
      </c>
      <c r="G626" t="s">
        <v>38</v>
      </c>
      <c r="H626">
        <f t="shared" si="92"/>
        <v>-110</v>
      </c>
      <c r="I626">
        <v>-7.5</v>
      </c>
      <c r="L626">
        <f>160+2*(Table2579[[#This Row],[min value (corrected)]]-23)</f>
        <v>176</v>
      </c>
      <c r="M626">
        <f>MINUTE(Table2579[[#This Row],[Corrected time]])</f>
        <v>31</v>
      </c>
      <c r="N626" s="1">
        <v>0.6469034027777778</v>
      </c>
      <c r="O626" s="1">
        <f>Table2579[[#This Row],[Time]]-TIME(0,0,10)</f>
        <v>0.64678766203703708</v>
      </c>
      <c r="P626" t="s">
        <v>9</v>
      </c>
      <c r="Q626">
        <v>-114</v>
      </c>
      <c r="R626">
        <f>Table2579[[#This Row],[RSSI]]</f>
        <v>-114</v>
      </c>
      <c r="S626">
        <v>-8</v>
      </c>
    </row>
    <row r="627" spans="2:19" x14ac:dyDescent="0.25">
      <c r="B627">
        <f>160+2*(Table1468[[#This Row],[min value (corrected)]]-32)</f>
        <v>180</v>
      </c>
      <c r="C627">
        <f>MINUTE(Table1468[[#This Row],[Corrected time]])</f>
        <v>42</v>
      </c>
      <c r="D627" s="1">
        <v>0.65444460648148151</v>
      </c>
      <c r="E627" s="1">
        <f>Table1468[[#This Row],[Time]]-TIME(0,0,11)</f>
        <v>0.65431729166666674</v>
      </c>
      <c r="F627" t="s">
        <v>13</v>
      </c>
      <c r="G627" t="str">
        <f>G626</f>
        <v>-110.0,</v>
      </c>
      <c r="H627">
        <f t="shared" si="92"/>
        <v>-110</v>
      </c>
      <c r="I627">
        <f>I626</f>
        <v>-7.5</v>
      </c>
      <c r="L627">
        <f>160+2*(Table2579[[#This Row],[min value (corrected)]]-23)</f>
        <v>176</v>
      </c>
      <c r="M627">
        <f>MINUTE(Table2579[[#This Row],[Corrected time]])</f>
        <v>31</v>
      </c>
      <c r="N627" s="1">
        <v>0.64691560185185182</v>
      </c>
      <c r="O627" s="1">
        <f>Table2579[[#This Row],[Time]]-TIME(0,0,10)</f>
        <v>0.6467998611111111</v>
      </c>
      <c r="P627" t="s">
        <v>9</v>
      </c>
      <c r="Q627">
        <v>-114</v>
      </c>
      <c r="R627">
        <f>Table2579[[#This Row],[RSSI]]</f>
        <v>-114</v>
      </c>
      <c r="S627">
        <v>-8.5</v>
      </c>
    </row>
    <row r="628" spans="2:19" x14ac:dyDescent="0.25">
      <c r="B628">
        <f>160+2*(Table1468[[#This Row],[min value (corrected)]]-32)</f>
        <v>180</v>
      </c>
      <c r="C628">
        <f>MINUTE(Table1468[[#This Row],[Corrected time]])</f>
        <v>42</v>
      </c>
      <c r="D628" s="1">
        <v>0.65445679398148149</v>
      </c>
      <c r="E628" s="1">
        <f>Table1468[[#This Row],[Time]]-TIME(0,0,11)</f>
        <v>0.65432947916666673</v>
      </c>
      <c r="F628" t="s">
        <v>9</v>
      </c>
      <c r="G628" t="s">
        <v>37</v>
      </c>
      <c r="H628">
        <f t="shared" si="92"/>
        <v>-113</v>
      </c>
      <c r="I628">
        <v>-7.7</v>
      </c>
      <c r="L628">
        <f>160+2*(Table2579[[#This Row],[min value (corrected)]]-23)</f>
        <v>176</v>
      </c>
      <c r="M628">
        <f>MINUTE(Table2579[[#This Row],[Corrected time]])</f>
        <v>31</v>
      </c>
      <c r="N628" s="1">
        <v>0.64692777777777777</v>
      </c>
      <c r="O628" s="1">
        <f>Table2579[[#This Row],[Time]]-TIME(0,0,10)</f>
        <v>0.64681203703703705</v>
      </c>
      <c r="P628" t="s">
        <v>13</v>
      </c>
      <c r="Q628">
        <f>Q627</f>
        <v>-114</v>
      </c>
      <c r="R628">
        <f>Table2579[[#This Row],[RSSI]]</f>
        <v>-114</v>
      </c>
      <c r="S628">
        <f>S627</f>
        <v>-8.5</v>
      </c>
    </row>
    <row r="629" spans="2:19" x14ac:dyDescent="0.25">
      <c r="B629">
        <f>160+2*(Table1468[[#This Row],[min value (corrected)]]-32)</f>
        <v>180</v>
      </c>
      <c r="C629">
        <f>MINUTE(Table1468[[#This Row],[Corrected time]])</f>
        <v>42</v>
      </c>
      <c r="D629" s="1">
        <v>0.65446898148148147</v>
      </c>
      <c r="E629" s="1">
        <f>Table1468[[#This Row],[Time]]-TIME(0,0,11)</f>
        <v>0.65434166666666671</v>
      </c>
      <c r="F629" t="s">
        <v>9</v>
      </c>
      <c r="G629" t="s">
        <v>37</v>
      </c>
      <c r="H629">
        <f t="shared" si="92"/>
        <v>-113</v>
      </c>
      <c r="I629">
        <v>-8</v>
      </c>
      <c r="L629">
        <f>160+2*(Table2579[[#This Row],[min value (corrected)]]-23)</f>
        <v>176</v>
      </c>
      <c r="M629">
        <f>MINUTE(Table2579[[#This Row],[Corrected time]])</f>
        <v>31</v>
      </c>
      <c r="N629" s="1">
        <v>0.64693997685185189</v>
      </c>
      <c r="O629" s="1">
        <f>Table2579[[#This Row],[Time]]-TIME(0,0,10)</f>
        <v>0.64682423611111117</v>
      </c>
      <c r="P629" t="s">
        <v>9</v>
      </c>
      <c r="Q629">
        <v>-113</v>
      </c>
      <c r="R629">
        <f>Table2579[[#This Row],[RSSI]]</f>
        <v>-113</v>
      </c>
      <c r="S629">
        <v>-8.3000000000000007</v>
      </c>
    </row>
    <row r="630" spans="2:19" x14ac:dyDescent="0.25">
      <c r="B630">
        <f>160+2*(Table1468[[#This Row],[min value (corrected)]]-32)</f>
        <v>180</v>
      </c>
      <c r="C630">
        <f>MINUTE(Table1468[[#This Row],[Corrected time]])</f>
        <v>42</v>
      </c>
      <c r="D630" s="1">
        <v>0.65448116898148156</v>
      </c>
      <c r="E630" s="1">
        <f>Table1468[[#This Row],[Time]]-TIME(0,0,11)</f>
        <v>0.6543538541666668</v>
      </c>
      <c r="F630" t="s">
        <v>13</v>
      </c>
      <c r="G630" t="str">
        <f>G629</f>
        <v>-113.0,</v>
      </c>
      <c r="H630">
        <f t="shared" si="92"/>
        <v>-113</v>
      </c>
      <c r="I630">
        <f>I629</f>
        <v>-8</v>
      </c>
      <c r="L630">
        <f>160+2*(Table2579[[#This Row],[min value (corrected)]]-23)</f>
        <v>176</v>
      </c>
      <c r="M630">
        <f>MINUTE(Table2579[[#This Row],[Corrected time]])</f>
        <v>31</v>
      </c>
      <c r="N630" s="1">
        <v>0.64695215277777773</v>
      </c>
      <c r="O630" s="1">
        <f>Table2579[[#This Row],[Time]]-TIME(0,0,10)</f>
        <v>0.64683641203703701</v>
      </c>
      <c r="P630" t="s">
        <v>9</v>
      </c>
      <c r="Q630">
        <v>-115</v>
      </c>
      <c r="R630">
        <f>Table2579[[#This Row],[RSSI]]</f>
        <v>-115</v>
      </c>
      <c r="S630">
        <v>-9.3000000000000007</v>
      </c>
    </row>
    <row r="631" spans="2:19" x14ac:dyDescent="0.25">
      <c r="B631">
        <f>160+2*(Table1468[[#This Row],[min value (corrected)]]-32)</f>
        <v>180</v>
      </c>
      <c r="C631">
        <f>MINUTE(Table1468[[#This Row],[Corrected time]])</f>
        <v>42</v>
      </c>
      <c r="D631" s="1">
        <v>0.6544933449074074</v>
      </c>
      <c r="E631" s="1">
        <f>Table1468[[#This Row],[Time]]-TIME(0,0,11)</f>
        <v>0.65436603009259264</v>
      </c>
      <c r="F631" t="s">
        <v>9</v>
      </c>
      <c r="G631" t="s">
        <v>39</v>
      </c>
      <c r="H631">
        <f t="shared" si="92"/>
        <v>-114</v>
      </c>
      <c r="I631">
        <v>-9.3000000000000007</v>
      </c>
      <c r="L631">
        <f>160+2*(Table2579[[#This Row],[min value (corrected)]]-23)</f>
        <v>176</v>
      </c>
      <c r="M631">
        <f>MINUTE(Table2579[[#This Row],[Corrected time]])</f>
        <v>31</v>
      </c>
      <c r="N631" s="1">
        <v>0.64696435185185186</v>
      </c>
      <c r="O631" s="1">
        <f>Table2579[[#This Row],[Time]]-TIME(0,0,10)</f>
        <v>0.64684861111111114</v>
      </c>
      <c r="P631" t="s">
        <v>9</v>
      </c>
      <c r="Q631">
        <v>-114</v>
      </c>
      <c r="R631">
        <f>Table2579[[#This Row],[RSSI]]</f>
        <v>-114</v>
      </c>
      <c r="S631">
        <v>-8.3000000000000007</v>
      </c>
    </row>
    <row r="632" spans="2:19" x14ac:dyDescent="0.25">
      <c r="B632">
        <f>160+2*(Table1468[[#This Row],[min value (corrected)]]-32)</f>
        <v>180</v>
      </c>
      <c r="C632">
        <f>MINUTE(Table1468[[#This Row],[Corrected time]])</f>
        <v>42</v>
      </c>
      <c r="D632" s="1">
        <v>0.65450554398148153</v>
      </c>
      <c r="E632" s="1">
        <f>Table1468[[#This Row],[Time]]-TIME(0,0,11)</f>
        <v>0.65437822916666677</v>
      </c>
      <c r="F632" t="s">
        <v>9</v>
      </c>
      <c r="G632" t="s">
        <v>39</v>
      </c>
      <c r="H632">
        <f t="shared" si="92"/>
        <v>-114</v>
      </c>
      <c r="I632">
        <v>-9.3000000000000007</v>
      </c>
      <c r="L632">
        <f>160+2*(Table2579[[#This Row],[min value (corrected)]]-23)</f>
        <v>176</v>
      </c>
      <c r="M632">
        <f>MINUTE(Table2579[[#This Row],[Corrected time]])</f>
        <v>31</v>
      </c>
      <c r="N632" s="1">
        <v>0.6469765277777777</v>
      </c>
      <c r="O632" s="1">
        <f>Table2579[[#This Row],[Time]]-TIME(0,0,10)</f>
        <v>0.64686078703703698</v>
      </c>
      <c r="P632" t="s">
        <v>9</v>
      </c>
      <c r="Q632">
        <v>-113</v>
      </c>
      <c r="R632">
        <f>Table2579[[#This Row],[RSSI]]</f>
        <v>-113</v>
      </c>
      <c r="S632">
        <v>-7.7</v>
      </c>
    </row>
    <row r="633" spans="2:19" x14ac:dyDescent="0.25">
      <c r="B633">
        <f>160+2*(Table1468[[#This Row],[min value (corrected)]]-32)</f>
        <v>180</v>
      </c>
      <c r="C633">
        <f>MINUTE(Table1468[[#This Row],[Corrected time]])</f>
        <v>42</v>
      </c>
      <c r="D633" s="1">
        <v>0.65451773148148151</v>
      </c>
      <c r="E633" s="1">
        <f>Table1468[[#This Row],[Time]]-TIME(0,0,11)</f>
        <v>0.65439041666666675</v>
      </c>
      <c r="F633" t="s">
        <v>9</v>
      </c>
      <c r="G633" t="s">
        <v>39</v>
      </c>
      <c r="H633">
        <f t="shared" si="92"/>
        <v>-114</v>
      </c>
      <c r="I633">
        <v>-8.5</v>
      </c>
      <c r="L633">
        <f>160+2*(Table2579[[#This Row],[min value (corrected)]]-23)</f>
        <v>176</v>
      </c>
      <c r="M633">
        <f>MINUTE(Table2579[[#This Row],[Corrected time]])</f>
        <v>31</v>
      </c>
      <c r="N633" s="1">
        <v>0.64698871527777779</v>
      </c>
      <c r="O633" s="1">
        <f>Table2579[[#This Row],[Time]]-TIME(0,0,10)</f>
        <v>0.64687297453703707</v>
      </c>
      <c r="P633" t="s">
        <v>9</v>
      </c>
      <c r="Q633">
        <v>-114</v>
      </c>
      <c r="R633">
        <f>Table2579[[#This Row],[RSSI]]</f>
        <v>-114</v>
      </c>
      <c r="S633">
        <v>-9.5</v>
      </c>
    </row>
    <row r="634" spans="2:19" x14ac:dyDescent="0.25">
      <c r="B634">
        <f>160+2*(Table1468[[#This Row],[min value (corrected)]]-32)</f>
        <v>180</v>
      </c>
      <c r="C634">
        <f>MINUTE(Table1468[[#This Row],[Corrected time]])</f>
        <v>42</v>
      </c>
      <c r="D634" s="1">
        <v>0.65452990740740735</v>
      </c>
      <c r="E634" s="1">
        <f>Table1468[[#This Row],[Time]]-TIME(0,0,11)</f>
        <v>0.65440259259259259</v>
      </c>
      <c r="F634" t="s">
        <v>13</v>
      </c>
      <c r="G634" t="str">
        <f t="shared" ref="G634:G635" si="100">G633</f>
        <v>-114.0,</v>
      </c>
      <c r="H634">
        <f t="shared" si="92"/>
        <v>-114</v>
      </c>
      <c r="I634">
        <f t="shared" ref="I634:I635" si="101">I633</f>
        <v>-8.5</v>
      </c>
      <c r="L634">
        <f>160+2*(Table2579[[#This Row],[min value (corrected)]]-23)</f>
        <v>176</v>
      </c>
      <c r="M634">
        <f>MINUTE(Table2579[[#This Row],[Corrected time]])</f>
        <v>31</v>
      </c>
      <c r="N634" s="1">
        <v>0.64700090277777778</v>
      </c>
      <c r="O634" s="1">
        <f>Table2579[[#This Row],[Time]]-TIME(0,0,10)</f>
        <v>0.64688516203703705</v>
      </c>
      <c r="P634" t="s">
        <v>9</v>
      </c>
      <c r="Q634">
        <v>-114</v>
      </c>
      <c r="R634">
        <f>Table2579[[#This Row],[RSSI]]</f>
        <v>-114</v>
      </c>
      <c r="S634">
        <v>-8</v>
      </c>
    </row>
    <row r="635" spans="2:19" x14ac:dyDescent="0.25">
      <c r="B635">
        <f>160+2*(Table1468[[#This Row],[min value (corrected)]]-32)</f>
        <v>180</v>
      </c>
      <c r="C635">
        <f>MINUTE(Table1468[[#This Row],[Corrected time]])</f>
        <v>42</v>
      </c>
      <c r="D635" s="1">
        <v>0.65454210648148148</v>
      </c>
      <c r="E635" s="1">
        <f>Table1468[[#This Row],[Time]]-TIME(0,0,11)</f>
        <v>0.65441479166666672</v>
      </c>
      <c r="F635" t="s">
        <v>13</v>
      </c>
      <c r="G635" t="str">
        <f t="shared" si="100"/>
        <v>-114.0,</v>
      </c>
      <c r="H635">
        <f t="shared" si="92"/>
        <v>-114</v>
      </c>
      <c r="I635">
        <f t="shared" si="101"/>
        <v>-8.5</v>
      </c>
      <c r="L635">
        <f>160+2*(Table2579[[#This Row],[min value (corrected)]]-23)</f>
        <v>176</v>
      </c>
      <c r="M635">
        <f>MINUTE(Table2579[[#This Row],[Corrected time]])</f>
        <v>31</v>
      </c>
      <c r="N635" s="1">
        <v>0.6470131018518519</v>
      </c>
      <c r="O635" s="1">
        <f>Table2579[[#This Row],[Time]]-TIME(0,0,10)</f>
        <v>0.64689736111111118</v>
      </c>
      <c r="P635" t="s">
        <v>9</v>
      </c>
      <c r="Q635">
        <v>-114</v>
      </c>
      <c r="R635">
        <f>Table2579[[#This Row],[RSSI]]</f>
        <v>-114</v>
      </c>
      <c r="S635">
        <v>-8.5</v>
      </c>
    </row>
    <row r="636" spans="2:19" x14ac:dyDescent="0.25">
      <c r="B636">
        <f>160+2*(Table1468[[#This Row],[min value (corrected)]]-32)</f>
        <v>180</v>
      </c>
      <c r="C636">
        <f>MINUTE(Table1468[[#This Row],[Corrected time]])</f>
        <v>42</v>
      </c>
      <c r="D636" s="1">
        <v>0.65455428240740743</v>
      </c>
      <c r="E636" s="1">
        <f>Table1468[[#This Row],[Time]]-TIME(0,0,11)</f>
        <v>0.65442696759259267</v>
      </c>
      <c r="F636" t="s">
        <v>9</v>
      </c>
      <c r="G636" t="s">
        <v>39</v>
      </c>
      <c r="H636">
        <f t="shared" si="92"/>
        <v>-114</v>
      </c>
      <c r="I636">
        <v>-9</v>
      </c>
      <c r="L636">
        <f>160+2*(Table2579[[#This Row],[min value (corrected)]]-23)</f>
        <v>176</v>
      </c>
      <c r="M636">
        <f>MINUTE(Table2579[[#This Row],[Corrected time]])</f>
        <v>31</v>
      </c>
      <c r="N636" s="1">
        <v>0.64702528935185188</v>
      </c>
      <c r="O636" s="1">
        <f>Table2579[[#This Row],[Time]]-TIME(0,0,10)</f>
        <v>0.64690954861111116</v>
      </c>
      <c r="P636" t="s">
        <v>13</v>
      </c>
      <c r="Q636">
        <f>Q635</f>
        <v>-114</v>
      </c>
      <c r="R636">
        <f>Table2579[[#This Row],[RSSI]]</f>
        <v>-114</v>
      </c>
      <c r="S636">
        <f>S635</f>
        <v>-8.5</v>
      </c>
    </row>
    <row r="637" spans="2:19" x14ac:dyDescent="0.25">
      <c r="B637">
        <f>160+2*(Table1468[[#This Row],[min value (corrected)]]-32)</f>
        <v>180</v>
      </c>
      <c r="C637">
        <f>MINUTE(Table1468[[#This Row],[Corrected time]])</f>
        <v>42</v>
      </c>
      <c r="D637" s="1">
        <v>0.65456648148148155</v>
      </c>
      <c r="E637" s="1">
        <f>Table1468[[#This Row],[Time]]-TIME(0,0,11)</f>
        <v>0.65443916666666679</v>
      </c>
      <c r="F637" t="s">
        <v>9</v>
      </c>
      <c r="G637" t="s">
        <v>37</v>
      </c>
      <c r="H637">
        <f t="shared" si="92"/>
        <v>-113</v>
      </c>
      <c r="I637">
        <v>-7.7</v>
      </c>
      <c r="L637">
        <f>160+2*(Table2579[[#This Row],[min value (corrected)]]-23)</f>
        <v>176</v>
      </c>
      <c r="M637">
        <f>MINUTE(Table2579[[#This Row],[Corrected time]])</f>
        <v>31</v>
      </c>
      <c r="N637" s="1">
        <v>0.64703745370370369</v>
      </c>
      <c r="O637" s="1">
        <f>Table2579[[#This Row],[Time]]-TIME(0,0,10)</f>
        <v>0.64692171296296297</v>
      </c>
      <c r="P637" t="s">
        <v>9</v>
      </c>
      <c r="Q637">
        <v>-114</v>
      </c>
      <c r="R637">
        <f>Table2579[[#This Row],[RSSI]]</f>
        <v>-114</v>
      </c>
      <c r="S637">
        <v>-8.3000000000000007</v>
      </c>
    </row>
    <row r="638" spans="2:19" x14ac:dyDescent="0.25">
      <c r="B638">
        <f>160+2*(Table1468[[#This Row],[min value (corrected)]]-32)</f>
        <v>180</v>
      </c>
      <c r="C638">
        <f>MINUTE(Table1468[[#This Row],[Corrected time]])</f>
        <v>42</v>
      </c>
      <c r="D638" s="1">
        <v>0.65457866898148154</v>
      </c>
      <c r="E638" s="1">
        <f>Table1468[[#This Row],[Time]]-TIME(0,0,11)</f>
        <v>0.65445135416666678</v>
      </c>
      <c r="F638" t="s">
        <v>9</v>
      </c>
      <c r="G638" t="s">
        <v>39</v>
      </c>
      <c r="H638">
        <f t="shared" si="92"/>
        <v>-114</v>
      </c>
      <c r="I638">
        <v>-8.8000000000000007</v>
      </c>
      <c r="L638">
        <f>160+2*(Table2579[[#This Row],[min value (corrected)]]-23)</f>
        <v>176</v>
      </c>
      <c r="M638">
        <f>MINUTE(Table2579[[#This Row],[Corrected time]])</f>
        <v>31</v>
      </c>
      <c r="N638" s="1">
        <v>0.64704966435185185</v>
      </c>
      <c r="O638" s="1">
        <f>Table2579[[#This Row],[Time]]-TIME(0,0,10)</f>
        <v>0.64693392361111113</v>
      </c>
      <c r="P638" t="s">
        <v>9</v>
      </c>
      <c r="Q638">
        <v>-114</v>
      </c>
      <c r="R638">
        <f>Table2579[[#This Row],[RSSI]]</f>
        <v>-114</v>
      </c>
      <c r="S638">
        <v>-8.8000000000000007</v>
      </c>
    </row>
    <row r="639" spans="2:19" x14ac:dyDescent="0.25">
      <c r="B639">
        <f>160+2*(Table1468[[#This Row],[min value (corrected)]]-32)</f>
        <v>180</v>
      </c>
      <c r="C639">
        <f>MINUTE(Table1468[[#This Row],[Corrected time]])</f>
        <v>42</v>
      </c>
      <c r="D639" s="1">
        <v>0.65459085648148152</v>
      </c>
      <c r="E639" s="1">
        <f>Table1468[[#This Row],[Time]]-TIME(0,0,11)</f>
        <v>0.65446354166666676</v>
      </c>
      <c r="F639" t="s">
        <v>9</v>
      </c>
      <c r="G639" t="s">
        <v>39</v>
      </c>
      <c r="H639">
        <f t="shared" si="92"/>
        <v>-114</v>
      </c>
      <c r="I639">
        <v>-9</v>
      </c>
      <c r="L639">
        <f>160+2*(Table2579[[#This Row],[min value (corrected)]]-23)</f>
        <v>176</v>
      </c>
      <c r="M639">
        <f>MINUTE(Table2579[[#This Row],[Corrected time]])</f>
        <v>31</v>
      </c>
      <c r="N639" s="1">
        <v>0.64706185185185183</v>
      </c>
      <c r="O639" s="1">
        <f>Table2579[[#This Row],[Time]]-TIME(0,0,10)</f>
        <v>0.64694611111111111</v>
      </c>
      <c r="P639" t="s">
        <v>9</v>
      </c>
      <c r="Q639">
        <v>-114</v>
      </c>
      <c r="R639">
        <f>Table2579[[#This Row],[RSSI]]</f>
        <v>-114</v>
      </c>
      <c r="S639">
        <v>-8.8000000000000007</v>
      </c>
    </row>
    <row r="640" spans="2:19" x14ac:dyDescent="0.25">
      <c r="B640">
        <f>160+2*(Table1468[[#This Row],[min value (corrected)]]-32)</f>
        <v>180</v>
      </c>
      <c r="C640">
        <f>MINUTE(Table1468[[#This Row],[Corrected time]])</f>
        <v>42</v>
      </c>
      <c r="D640" s="1">
        <v>0.6546030439814815</v>
      </c>
      <c r="E640" s="1">
        <f>Table1468[[#This Row],[Time]]-TIME(0,0,11)</f>
        <v>0.65447572916666674</v>
      </c>
      <c r="F640" t="s">
        <v>9</v>
      </c>
      <c r="G640" t="s">
        <v>37</v>
      </c>
      <c r="H640">
        <f t="shared" si="92"/>
        <v>-113</v>
      </c>
      <c r="I640">
        <v>-8</v>
      </c>
      <c r="L640">
        <f>160+2*(Table2579[[#This Row],[min value (corrected)]]-23)</f>
        <v>176</v>
      </c>
      <c r="M640">
        <f>MINUTE(Table2579[[#This Row],[Corrected time]])</f>
        <v>31</v>
      </c>
      <c r="N640" s="1">
        <v>0.64707403935185182</v>
      </c>
      <c r="O640" s="1">
        <f>Table2579[[#This Row],[Time]]-TIME(0,0,10)</f>
        <v>0.64695829861111109</v>
      </c>
      <c r="P640" t="s">
        <v>9</v>
      </c>
      <c r="Q640">
        <v>-113</v>
      </c>
      <c r="R640">
        <f>Table2579[[#This Row],[RSSI]]</f>
        <v>-113</v>
      </c>
      <c r="S640">
        <v>-8.5</v>
      </c>
    </row>
    <row r="641" spans="2:19" x14ac:dyDescent="0.25">
      <c r="B641">
        <f>160+2*(Table1468[[#This Row],[min value (corrected)]]-32)</f>
        <v>180</v>
      </c>
      <c r="C641">
        <f>MINUTE(Table1468[[#This Row],[Corrected time]])</f>
        <v>42</v>
      </c>
      <c r="D641" s="1">
        <v>0.65461523148148149</v>
      </c>
      <c r="E641" s="1">
        <f>Table1468[[#This Row],[Time]]-TIME(0,0,11)</f>
        <v>0.65448791666666672</v>
      </c>
      <c r="F641" t="s">
        <v>9</v>
      </c>
      <c r="G641" t="s">
        <v>39</v>
      </c>
      <c r="H641">
        <f t="shared" si="92"/>
        <v>-114</v>
      </c>
      <c r="I641">
        <v>-7.7</v>
      </c>
      <c r="L641">
        <f>160+2*(Table2579[[#This Row],[min value (corrected)]]-23)</f>
        <v>176</v>
      </c>
      <c r="M641">
        <f>MINUTE(Table2579[[#This Row],[Corrected time]])</f>
        <v>31</v>
      </c>
      <c r="N641" s="1">
        <v>0.64708620370370373</v>
      </c>
      <c r="O641" s="1">
        <f>Table2579[[#This Row],[Time]]-TIME(0,0,10)</f>
        <v>0.64697046296296301</v>
      </c>
      <c r="P641" t="s">
        <v>9</v>
      </c>
      <c r="Q641">
        <v>-113</v>
      </c>
      <c r="R641">
        <f>Table2579[[#This Row],[RSSI]]</f>
        <v>-113</v>
      </c>
      <c r="S641">
        <v>-8</v>
      </c>
    </row>
    <row r="642" spans="2:19" x14ac:dyDescent="0.25">
      <c r="B642">
        <f>160+2*(Table1468[[#This Row],[min value (corrected)]]-32)</f>
        <v>180</v>
      </c>
      <c r="C642">
        <f>MINUTE(Table1468[[#This Row],[Corrected time]])</f>
        <v>42</v>
      </c>
      <c r="D642" s="1">
        <v>0.65462741898148147</v>
      </c>
      <c r="E642" s="1">
        <f>Table1468[[#This Row],[Time]]-TIME(0,0,11)</f>
        <v>0.65450010416666671</v>
      </c>
      <c r="F642" t="s">
        <v>9</v>
      </c>
      <c r="G642" t="s">
        <v>39</v>
      </c>
      <c r="H642">
        <f t="shared" si="92"/>
        <v>-114</v>
      </c>
      <c r="I642">
        <v>-8</v>
      </c>
      <c r="L642">
        <f>160+2*(Table2579[[#This Row],[min value (corrected)]]-23)</f>
        <v>176</v>
      </c>
      <c r="M642">
        <f>MINUTE(Table2579[[#This Row],[Corrected time]])</f>
        <v>31</v>
      </c>
      <c r="N642" s="1">
        <v>0.64709840277777786</v>
      </c>
      <c r="O642" s="1">
        <f>Table2579[[#This Row],[Time]]-TIME(0,0,10)</f>
        <v>0.64698266203703714</v>
      </c>
      <c r="P642" t="s">
        <v>13</v>
      </c>
      <c r="Q642">
        <f>Q641</f>
        <v>-113</v>
      </c>
      <c r="R642">
        <f>Table2579[[#This Row],[RSSI]]</f>
        <v>-113</v>
      </c>
      <c r="S642">
        <f>S641</f>
        <v>-8</v>
      </c>
    </row>
    <row r="643" spans="2:19" x14ac:dyDescent="0.25">
      <c r="B643">
        <f>160+2*(Table1468[[#This Row],[min value (corrected)]]-32)</f>
        <v>180</v>
      </c>
      <c r="C643">
        <f>MINUTE(Table1468[[#This Row],[Corrected time]])</f>
        <v>42</v>
      </c>
      <c r="D643" s="1">
        <v>0.65463960648148145</v>
      </c>
      <c r="E643" s="1">
        <f>Table1468[[#This Row],[Time]]-TIME(0,0,11)</f>
        <v>0.65451229166666669</v>
      </c>
      <c r="F643" t="s">
        <v>9</v>
      </c>
      <c r="G643" t="s">
        <v>37</v>
      </c>
      <c r="H643">
        <f t="shared" si="92"/>
        <v>-113</v>
      </c>
      <c r="I643">
        <v>-8.3000000000000007</v>
      </c>
      <c r="L643">
        <f>160+2*(Table2579[[#This Row],[min value (corrected)]]-23)</f>
        <v>176</v>
      </c>
      <c r="M643">
        <f>MINUTE(Table2579[[#This Row],[Corrected time]])</f>
        <v>31</v>
      </c>
      <c r="N643" s="1">
        <v>0.64711060185185187</v>
      </c>
      <c r="O643" s="1">
        <f>Table2579[[#This Row],[Time]]-TIME(0,0,10)</f>
        <v>0.64699486111111115</v>
      </c>
      <c r="P643" t="s">
        <v>9</v>
      </c>
      <c r="Q643">
        <v>-114</v>
      </c>
      <c r="R643">
        <f>Table2579[[#This Row],[RSSI]]</f>
        <v>-114</v>
      </c>
      <c r="S643">
        <v>-8.8000000000000007</v>
      </c>
    </row>
    <row r="644" spans="2:19" x14ac:dyDescent="0.25">
      <c r="B644">
        <f>160+2*(Table1468[[#This Row],[min value (corrected)]]-32)</f>
        <v>180</v>
      </c>
      <c r="C644">
        <f>MINUTE(Table1468[[#This Row],[Corrected time]])</f>
        <v>42</v>
      </c>
      <c r="D644" s="1">
        <v>0.65465179398148154</v>
      </c>
      <c r="E644" s="1">
        <f>Table1468[[#This Row],[Time]]-TIME(0,0,11)</f>
        <v>0.65452447916666678</v>
      </c>
      <c r="F644" t="s">
        <v>9</v>
      </c>
      <c r="G644" t="s">
        <v>39</v>
      </c>
      <c r="H644">
        <f t="shared" si="92"/>
        <v>-114</v>
      </c>
      <c r="I644">
        <v>-8.3000000000000007</v>
      </c>
      <c r="L644">
        <f>160+2*(Table2579[[#This Row],[min value (corrected)]]-23)</f>
        <v>176</v>
      </c>
      <c r="M644">
        <f>MINUTE(Table2579[[#This Row],[Corrected time]])</f>
        <v>31</v>
      </c>
      <c r="N644" s="1">
        <v>0.64712278935185186</v>
      </c>
      <c r="O644" s="1">
        <f>Table2579[[#This Row],[Time]]-TIME(0,0,10)</f>
        <v>0.64700704861111114</v>
      </c>
      <c r="P644" t="s">
        <v>9</v>
      </c>
      <c r="Q644">
        <v>-114</v>
      </c>
      <c r="R644">
        <f>Table2579[[#This Row],[RSSI]]</f>
        <v>-114</v>
      </c>
      <c r="S644">
        <v>-9</v>
      </c>
    </row>
    <row r="645" spans="2:19" x14ac:dyDescent="0.25">
      <c r="B645">
        <f>160+2*(Table1468[[#This Row],[min value (corrected)]]-32)</f>
        <v>180</v>
      </c>
      <c r="C645">
        <f>MINUTE(Table1468[[#This Row],[Corrected time]])</f>
        <v>42</v>
      </c>
      <c r="D645" s="1">
        <v>0.65466398148148153</v>
      </c>
      <c r="E645" s="1">
        <f>Table1468[[#This Row],[Time]]-TIME(0,0,11)</f>
        <v>0.65453666666666677</v>
      </c>
      <c r="F645" t="s">
        <v>13</v>
      </c>
      <c r="G645" t="str">
        <f>G644</f>
        <v>-114.0,</v>
      </c>
      <c r="H645">
        <f t="shared" si="92"/>
        <v>-114</v>
      </c>
      <c r="I645">
        <f>I644</f>
        <v>-8.3000000000000007</v>
      </c>
      <c r="L645">
        <f>160+2*(Table2579[[#This Row],[min value (corrected)]]-23)</f>
        <v>176</v>
      </c>
      <c r="M645">
        <f>MINUTE(Table2579[[#This Row],[Corrected time]])</f>
        <v>31</v>
      </c>
      <c r="N645" s="1">
        <v>0.64713496527777781</v>
      </c>
      <c r="O645" s="1">
        <f>Table2579[[#This Row],[Time]]-TIME(0,0,10)</f>
        <v>0.64701922453703709</v>
      </c>
      <c r="P645" t="s">
        <v>13</v>
      </c>
      <c r="Q645">
        <f t="shared" ref="Q645:Q646" si="102">Q644</f>
        <v>-114</v>
      </c>
      <c r="R645">
        <f>Table2579[[#This Row],[RSSI]]</f>
        <v>-114</v>
      </c>
      <c r="S645">
        <f t="shared" ref="S645:S646" si="103">S644</f>
        <v>-9</v>
      </c>
    </row>
    <row r="646" spans="2:19" x14ac:dyDescent="0.25">
      <c r="B646">
        <f>160+2*(Table1468[[#This Row],[min value (corrected)]]-32)</f>
        <v>180</v>
      </c>
      <c r="C646">
        <f>MINUTE(Table1468[[#This Row],[Corrected time]])</f>
        <v>42</v>
      </c>
      <c r="D646" s="1">
        <v>0.65467616898148151</v>
      </c>
      <c r="E646" s="1">
        <f>Table1468[[#This Row],[Time]]-TIME(0,0,11)</f>
        <v>0.65454885416666675</v>
      </c>
      <c r="F646" t="s">
        <v>9</v>
      </c>
      <c r="G646" t="s">
        <v>39</v>
      </c>
      <c r="H646">
        <f t="shared" si="92"/>
        <v>-114</v>
      </c>
      <c r="I646">
        <v>-8.5</v>
      </c>
      <c r="L646">
        <f>160+2*(Table2579[[#This Row],[min value (corrected)]]-23)</f>
        <v>176</v>
      </c>
      <c r="M646">
        <f>MINUTE(Table2579[[#This Row],[Corrected time]])</f>
        <v>31</v>
      </c>
      <c r="N646" s="1">
        <v>0.64714715277777779</v>
      </c>
      <c r="O646" s="1">
        <f>Table2579[[#This Row],[Time]]-TIME(0,0,10)</f>
        <v>0.64703141203703707</v>
      </c>
      <c r="P646" t="s">
        <v>13</v>
      </c>
      <c r="Q646">
        <f t="shared" si="102"/>
        <v>-114</v>
      </c>
      <c r="R646">
        <f>Table2579[[#This Row],[RSSI]]</f>
        <v>-114</v>
      </c>
      <c r="S646">
        <f t="shared" si="103"/>
        <v>-9</v>
      </c>
    </row>
    <row r="647" spans="2:19" x14ac:dyDescent="0.25">
      <c r="B647">
        <f>160+2*(Table1468[[#This Row],[min value (corrected)]]-32)</f>
        <v>180</v>
      </c>
      <c r="C647">
        <f>MINUTE(Table1468[[#This Row],[Corrected time]])</f>
        <v>42</v>
      </c>
      <c r="D647" s="1">
        <v>0.65468835648148149</v>
      </c>
      <c r="E647" s="1">
        <f>Table1468[[#This Row],[Time]]-TIME(0,0,11)</f>
        <v>0.65456104166666673</v>
      </c>
      <c r="F647" t="s">
        <v>9</v>
      </c>
      <c r="G647" t="s">
        <v>39</v>
      </c>
      <c r="H647">
        <f t="shared" si="92"/>
        <v>-114</v>
      </c>
      <c r="I647">
        <v>-8.3000000000000007</v>
      </c>
      <c r="L647">
        <f>160+2*(Table2579[[#This Row],[min value (corrected)]]-23)</f>
        <v>176</v>
      </c>
      <c r="M647">
        <f>MINUTE(Table2579[[#This Row],[Corrected time]])</f>
        <v>31</v>
      </c>
      <c r="N647" s="1">
        <v>0.64715934027777777</v>
      </c>
      <c r="O647" s="1">
        <f>Table2579[[#This Row],[Time]]-TIME(0,0,10)</f>
        <v>0.64704359953703705</v>
      </c>
      <c r="P647" t="s">
        <v>9</v>
      </c>
      <c r="Q647">
        <v>-114</v>
      </c>
      <c r="R647">
        <f>Table2579[[#This Row],[RSSI]]</f>
        <v>-114</v>
      </c>
      <c r="S647">
        <v>-8.5</v>
      </c>
    </row>
    <row r="648" spans="2:19" x14ac:dyDescent="0.25">
      <c r="B648">
        <f>160+2*(Table1468[[#This Row],[min value (corrected)]]-32)</f>
        <v>180</v>
      </c>
      <c r="C648">
        <f>MINUTE(Table1468[[#This Row],[Corrected time]])</f>
        <v>42</v>
      </c>
      <c r="D648" s="1">
        <v>0.65470054398148148</v>
      </c>
      <c r="E648" s="1">
        <f>Table1468[[#This Row],[Time]]-TIME(0,0,11)</f>
        <v>0.65457322916666671</v>
      </c>
      <c r="F648" t="s">
        <v>9</v>
      </c>
      <c r="G648" t="s">
        <v>39</v>
      </c>
      <c r="H648">
        <f t="shared" si="92"/>
        <v>-114</v>
      </c>
      <c r="I648">
        <v>-8</v>
      </c>
      <c r="L648">
        <f>160+2*(Table2579[[#This Row],[min value (corrected)]]-23)</f>
        <v>176</v>
      </c>
      <c r="M648">
        <f>MINUTE(Table2579[[#This Row],[Corrected time]])</f>
        <v>31</v>
      </c>
      <c r="N648" s="1">
        <v>0.64717153935185179</v>
      </c>
      <c r="O648" s="1">
        <f>Table2579[[#This Row],[Time]]-TIME(0,0,10)</f>
        <v>0.64705579861111107</v>
      </c>
      <c r="P648" t="s">
        <v>9</v>
      </c>
      <c r="Q648">
        <v>-113</v>
      </c>
      <c r="R648">
        <f>Table2579[[#This Row],[RSSI]]</f>
        <v>-113</v>
      </c>
      <c r="S648">
        <v>-8</v>
      </c>
    </row>
    <row r="649" spans="2:19" x14ac:dyDescent="0.25">
      <c r="B649">
        <f>160+2*(Table1468[[#This Row],[min value (corrected)]]-32)</f>
        <v>180</v>
      </c>
      <c r="C649">
        <f>MINUTE(Table1468[[#This Row],[Corrected time]])</f>
        <v>42</v>
      </c>
      <c r="D649" s="1">
        <v>0.65471273148148146</v>
      </c>
      <c r="E649" s="1">
        <f>Table1468[[#This Row],[Time]]-TIME(0,0,11)</f>
        <v>0.6545854166666667</v>
      </c>
      <c r="F649" t="s">
        <v>9</v>
      </c>
      <c r="G649" t="s">
        <v>39</v>
      </c>
      <c r="H649">
        <f t="shared" si="92"/>
        <v>-114</v>
      </c>
      <c r="I649">
        <v>-9</v>
      </c>
      <c r="L649">
        <f>160+2*(Table2579[[#This Row],[min value (corrected)]]-23)</f>
        <v>176</v>
      </c>
      <c r="M649">
        <f>MINUTE(Table2579[[#This Row],[Corrected time]])</f>
        <v>31</v>
      </c>
      <c r="N649" s="1">
        <v>0.64718372685185188</v>
      </c>
      <c r="O649" s="1">
        <f>Table2579[[#This Row],[Time]]-TIME(0,0,10)</f>
        <v>0.64706798611111116</v>
      </c>
      <c r="P649" t="s">
        <v>27</v>
      </c>
      <c r="Q649">
        <f t="shared" ref="Q649:Q650" si="104">Q648</f>
        <v>-113</v>
      </c>
      <c r="R649">
        <f>Table2579[[#This Row],[RSSI]]</f>
        <v>-113</v>
      </c>
      <c r="S649">
        <f t="shared" ref="S649:S650" si="105">S648</f>
        <v>-8</v>
      </c>
    </row>
    <row r="650" spans="2:19" x14ac:dyDescent="0.25">
      <c r="B650">
        <f>160+2*(Table1468[[#This Row],[min value (corrected)]]-32)</f>
        <v>180</v>
      </c>
      <c r="C650">
        <f>MINUTE(Table1468[[#This Row],[Corrected time]])</f>
        <v>42</v>
      </c>
      <c r="D650" s="1">
        <v>0.65472491898148144</v>
      </c>
      <c r="E650" s="1">
        <f>Table1468[[#This Row],[Time]]-TIME(0,0,11)</f>
        <v>0.65459760416666668</v>
      </c>
      <c r="F650" t="s">
        <v>9</v>
      </c>
      <c r="G650" t="s">
        <v>39</v>
      </c>
      <c r="H650">
        <f t="shared" si="92"/>
        <v>-114</v>
      </c>
      <c r="I650">
        <v>-8.8000000000000007</v>
      </c>
      <c r="L650">
        <f>160+2*(Table2579[[#This Row],[min value (corrected)]]-23)</f>
        <v>176</v>
      </c>
      <c r="M650">
        <f>MINUTE(Table2579[[#This Row],[Corrected time]])</f>
        <v>31</v>
      </c>
      <c r="N650" s="1">
        <v>0.64719590277777783</v>
      </c>
      <c r="O650" s="1">
        <f>Table2579[[#This Row],[Time]]-TIME(0,0,10)</f>
        <v>0.64708016203703711</v>
      </c>
      <c r="P650" t="s">
        <v>13</v>
      </c>
      <c r="Q650">
        <f t="shared" si="104"/>
        <v>-113</v>
      </c>
      <c r="R650">
        <f>Table2579[[#This Row],[RSSI]]</f>
        <v>-113</v>
      </c>
      <c r="S650">
        <f t="shared" si="105"/>
        <v>-8</v>
      </c>
    </row>
    <row r="651" spans="2:19" x14ac:dyDescent="0.25">
      <c r="B651">
        <f>160+2*(Table1468[[#This Row],[min value (corrected)]]-32)</f>
        <v>180</v>
      </c>
      <c r="C651">
        <f>MINUTE(Table1468[[#This Row],[Corrected time]])</f>
        <v>42</v>
      </c>
      <c r="D651" s="1">
        <v>0.65473710648148153</v>
      </c>
      <c r="E651" s="1">
        <f>Table1468[[#This Row],[Time]]-TIME(0,0,11)</f>
        <v>0.65460979166666677</v>
      </c>
      <c r="F651" t="s">
        <v>9</v>
      </c>
      <c r="G651" t="s">
        <v>39</v>
      </c>
      <c r="H651">
        <f t="shared" si="92"/>
        <v>-114</v>
      </c>
      <c r="I651">
        <v>-8.5</v>
      </c>
      <c r="L651">
        <f>160+2*(Table2579[[#This Row],[min value (corrected)]]-23)</f>
        <v>176</v>
      </c>
      <c r="M651">
        <f>MINUTE(Table2579[[#This Row],[Corrected time]])</f>
        <v>31</v>
      </c>
      <c r="N651" s="1">
        <v>0.64720809027777781</v>
      </c>
      <c r="O651" s="1">
        <f>Table2579[[#This Row],[Time]]-TIME(0,0,10)</f>
        <v>0.64709234953703709</v>
      </c>
      <c r="P651" t="s">
        <v>9</v>
      </c>
      <c r="Q651">
        <v>-114</v>
      </c>
      <c r="R651">
        <f>Table2579[[#This Row],[RSSI]]</f>
        <v>-114</v>
      </c>
      <c r="S651">
        <v>-8.8000000000000007</v>
      </c>
    </row>
    <row r="652" spans="2:19" x14ac:dyDescent="0.25">
      <c r="B652">
        <f>160+2*(Table1468[[#This Row],[min value (corrected)]]-32)</f>
        <v>180</v>
      </c>
      <c r="C652">
        <f>MINUTE(Table1468[[#This Row],[Corrected time]])</f>
        <v>42</v>
      </c>
      <c r="D652" s="1">
        <v>0.65474929398148152</v>
      </c>
      <c r="E652" s="1">
        <f>Table1468[[#This Row],[Time]]-TIME(0,0,11)</f>
        <v>0.65462197916666676</v>
      </c>
      <c r="F652" t="s">
        <v>13</v>
      </c>
      <c r="G652" t="str">
        <f>G651</f>
        <v>-114.0,</v>
      </c>
      <c r="H652">
        <f t="shared" si="92"/>
        <v>-114</v>
      </c>
      <c r="I652">
        <f>I651</f>
        <v>-8.5</v>
      </c>
      <c r="L652">
        <f>160+2*(Table2579[[#This Row],[min value (corrected)]]-23)</f>
        <v>176</v>
      </c>
      <c r="M652">
        <f>MINUTE(Table2579[[#This Row],[Corrected time]])</f>
        <v>31</v>
      </c>
      <c r="N652" s="1">
        <v>0.6472202777777778</v>
      </c>
      <c r="O652" s="1">
        <f>Table2579[[#This Row],[Time]]-TIME(0,0,10)</f>
        <v>0.64710453703703708</v>
      </c>
      <c r="P652" t="s">
        <v>9</v>
      </c>
      <c r="Q652">
        <v>-114</v>
      </c>
      <c r="R652">
        <f>Table2579[[#This Row],[RSSI]]</f>
        <v>-114</v>
      </c>
      <c r="S652">
        <v>-8</v>
      </c>
    </row>
    <row r="653" spans="2:19" x14ac:dyDescent="0.25">
      <c r="B653">
        <f>160+2*(Table1468[[#This Row],[min value (corrected)]]-32)</f>
        <v>180</v>
      </c>
      <c r="C653">
        <f>MINUTE(Table1468[[#This Row],[Corrected time]])</f>
        <v>42</v>
      </c>
      <c r="D653" s="1">
        <v>0.65476146990740747</v>
      </c>
      <c r="E653" s="1">
        <f>Table1468[[#This Row],[Time]]-TIME(0,0,11)</f>
        <v>0.65463415509259271</v>
      </c>
      <c r="F653" t="s">
        <v>9</v>
      </c>
      <c r="G653" t="s">
        <v>39</v>
      </c>
      <c r="H653">
        <f t="shared" si="92"/>
        <v>-114</v>
      </c>
      <c r="I653">
        <v>-9</v>
      </c>
      <c r="L653">
        <f>160+2*(Table2579[[#This Row],[min value (corrected)]]-23)</f>
        <v>176</v>
      </c>
      <c r="M653">
        <f>MINUTE(Table2579[[#This Row],[Corrected time]])</f>
        <v>31</v>
      </c>
      <c r="N653" s="1">
        <v>0.64723247685185181</v>
      </c>
      <c r="O653" s="1">
        <f>Table2579[[#This Row],[Time]]-TIME(0,0,10)</f>
        <v>0.64711673611111109</v>
      </c>
      <c r="P653" t="s">
        <v>9</v>
      </c>
      <c r="Q653">
        <v>-114</v>
      </c>
      <c r="R653">
        <f>Table2579[[#This Row],[RSSI]]</f>
        <v>-114</v>
      </c>
      <c r="S653">
        <v>-8.8000000000000007</v>
      </c>
    </row>
    <row r="654" spans="2:19" x14ac:dyDescent="0.25">
      <c r="B654">
        <f>160+2*(Table1468[[#This Row],[min value (corrected)]]-32)</f>
        <v>180</v>
      </c>
      <c r="C654">
        <f>MINUTE(Table1468[[#This Row],[Corrected time]])</f>
        <v>42</v>
      </c>
      <c r="D654" s="1">
        <v>0.65477366898148148</v>
      </c>
      <c r="E654" s="1">
        <f>Table1468[[#This Row],[Time]]-TIME(0,0,11)</f>
        <v>0.65464635416666672</v>
      </c>
      <c r="F654" t="s">
        <v>9</v>
      </c>
      <c r="G654" t="s">
        <v>41</v>
      </c>
      <c r="H654">
        <f t="shared" si="92"/>
        <v>-111</v>
      </c>
      <c r="I654">
        <v>-9.5</v>
      </c>
      <c r="L654">
        <f>160+2*(Table2579[[#This Row],[min value (corrected)]]-23)</f>
        <v>176</v>
      </c>
      <c r="M654">
        <f>MINUTE(Table2579[[#This Row],[Corrected time]])</f>
        <v>31</v>
      </c>
      <c r="N654" s="1">
        <v>0.64724465277777776</v>
      </c>
      <c r="O654" s="1">
        <f>Table2579[[#This Row],[Time]]-TIME(0,0,10)</f>
        <v>0.64712891203703704</v>
      </c>
      <c r="P654" t="s">
        <v>13</v>
      </c>
      <c r="Q654">
        <f>Q653</f>
        <v>-114</v>
      </c>
      <c r="R654">
        <f>Table2579[[#This Row],[RSSI]]</f>
        <v>-114</v>
      </c>
      <c r="S654">
        <f>S653</f>
        <v>-8.8000000000000007</v>
      </c>
    </row>
    <row r="655" spans="2:19" x14ac:dyDescent="0.25">
      <c r="B655">
        <f>160+2*(Table1468[[#This Row],[min value (corrected)]]-32)</f>
        <v>180</v>
      </c>
      <c r="C655">
        <f>MINUTE(Table1468[[#This Row],[Corrected time]])</f>
        <v>42</v>
      </c>
      <c r="D655" s="1">
        <v>0.65478585648148147</v>
      </c>
      <c r="E655" s="1">
        <f>Table1468[[#This Row],[Time]]-TIME(0,0,11)</f>
        <v>0.6546585416666667</v>
      </c>
      <c r="F655" t="s">
        <v>9</v>
      </c>
      <c r="G655" t="s">
        <v>37</v>
      </c>
      <c r="H655">
        <f t="shared" si="92"/>
        <v>-113</v>
      </c>
      <c r="I655">
        <v>-8.3000000000000007</v>
      </c>
      <c r="L655">
        <f>160+2*(Table2579[[#This Row],[min value (corrected)]]-23)</f>
        <v>176</v>
      </c>
      <c r="M655">
        <f>MINUTE(Table2579[[#This Row],[Corrected time]])</f>
        <v>31</v>
      </c>
      <c r="N655" s="1">
        <v>0.64725685185185178</v>
      </c>
      <c r="O655" s="1">
        <f>Table2579[[#This Row],[Time]]-TIME(0,0,10)</f>
        <v>0.64714111111111106</v>
      </c>
      <c r="P655" t="s">
        <v>9</v>
      </c>
      <c r="Q655">
        <v>-114</v>
      </c>
      <c r="R655">
        <f>Table2579[[#This Row],[RSSI]]</f>
        <v>-114</v>
      </c>
      <c r="S655">
        <v>-8</v>
      </c>
    </row>
    <row r="656" spans="2:19" x14ac:dyDescent="0.25">
      <c r="B656">
        <f>160+2*(Table1468[[#This Row],[min value (corrected)]]-32)</f>
        <v>180</v>
      </c>
      <c r="C656">
        <f>MINUTE(Table1468[[#This Row],[Corrected time]])</f>
        <v>42</v>
      </c>
      <c r="D656" s="1">
        <v>0.65479804398148145</v>
      </c>
      <c r="E656" s="1">
        <f>Table1468[[#This Row],[Time]]-TIME(0,0,11)</f>
        <v>0.65467072916666669</v>
      </c>
      <c r="F656" t="s">
        <v>9</v>
      </c>
      <c r="G656" t="s">
        <v>37</v>
      </c>
      <c r="H656">
        <f t="shared" si="92"/>
        <v>-113</v>
      </c>
      <c r="I656">
        <v>-8</v>
      </c>
      <c r="L656">
        <f>160+2*(Table2579[[#This Row],[min value (corrected)]]-23)</f>
        <v>176</v>
      </c>
      <c r="M656">
        <f>MINUTE(Table2579[[#This Row],[Corrected time]])</f>
        <v>31</v>
      </c>
      <c r="N656" s="1">
        <v>0.64726902777777784</v>
      </c>
      <c r="O656" s="1">
        <f>Table2579[[#This Row],[Time]]-TIME(0,0,10)</f>
        <v>0.64715328703703712</v>
      </c>
      <c r="P656" t="s">
        <v>13</v>
      </c>
      <c r="Q656">
        <f>Q655</f>
        <v>-114</v>
      </c>
      <c r="R656">
        <f>Table2579[[#This Row],[RSSI]]</f>
        <v>-114</v>
      </c>
      <c r="S656">
        <f>S655</f>
        <v>-8</v>
      </c>
    </row>
    <row r="657" spans="2:19" x14ac:dyDescent="0.25">
      <c r="B657">
        <f>160+2*(Table1468[[#This Row],[min value (corrected)]]-32)</f>
        <v>180</v>
      </c>
      <c r="C657">
        <f>MINUTE(Table1468[[#This Row],[Corrected time]])</f>
        <v>42</v>
      </c>
      <c r="D657" s="1">
        <v>0.65481023148148143</v>
      </c>
      <c r="E657" s="1">
        <f>Table1468[[#This Row],[Time]]-TIME(0,0,11)</f>
        <v>0.65468291666666667</v>
      </c>
      <c r="F657" t="s">
        <v>9</v>
      </c>
      <c r="G657" t="s">
        <v>39</v>
      </c>
      <c r="H657">
        <f t="shared" si="92"/>
        <v>-114</v>
      </c>
      <c r="I657">
        <v>-8.5</v>
      </c>
      <c r="L657">
        <f>160+2*(Table2579[[#This Row],[min value (corrected)]]-23)</f>
        <v>176</v>
      </c>
      <c r="M657">
        <f>MINUTE(Table2579[[#This Row],[Corrected time]])</f>
        <v>31</v>
      </c>
      <c r="N657" s="1">
        <v>0.64728122685185185</v>
      </c>
      <c r="O657" s="1">
        <f>Table2579[[#This Row],[Time]]-TIME(0,0,10)</f>
        <v>0.64716548611111113</v>
      </c>
      <c r="P657" t="s">
        <v>9</v>
      </c>
      <c r="Q657">
        <v>-111</v>
      </c>
      <c r="R657">
        <f>Table2579[[#This Row],[RSSI]]</f>
        <v>-111</v>
      </c>
      <c r="S657">
        <v>-8.3000000000000007</v>
      </c>
    </row>
    <row r="658" spans="2:19" x14ac:dyDescent="0.25">
      <c r="B658">
        <f>160+2*(Table1468[[#This Row],[min value (corrected)]]-32)</f>
        <v>180</v>
      </c>
      <c r="C658">
        <f>MINUTE(Table1468[[#This Row],[Corrected time]])</f>
        <v>42</v>
      </c>
      <c r="D658" s="1">
        <v>0.65482240740740749</v>
      </c>
      <c r="E658" s="1">
        <f>Table1468[[#This Row],[Time]]-TIME(0,0,11)</f>
        <v>0.65469509259259273</v>
      </c>
      <c r="F658" t="s">
        <v>9</v>
      </c>
      <c r="G658" t="s">
        <v>39</v>
      </c>
      <c r="H658">
        <f t="shared" si="92"/>
        <v>-114</v>
      </c>
      <c r="I658">
        <v>-8</v>
      </c>
      <c r="L658">
        <f>160+2*(Table2579[[#This Row],[min value (corrected)]]-23)</f>
        <v>176</v>
      </c>
      <c r="M658">
        <f>MINUTE(Table2579[[#This Row],[Corrected time]])</f>
        <v>31</v>
      </c>
      <c r="N658" s="1">
        <v>0.6472934027777778</v>
      </c>
      <c r="O658" s="1">
        <f>Table2579[[#This Row],[Time]]-TIME(0,0,10)</f>
        <v>0.64717766203703708</v>
      </c>
      <c r="P658" t="s">
        <v>9</v>
      </c>
      <c r="Q658">
        <v>-114</v>
      </c>
      <c r="R658">
        <f>Table2579[[#This Row],[RSSI]]</f>
        <v>-114</v>
      </c>
      <c r="S658">
        <v>-9.5</v>
      </c>
    </row>
    <row r="659" spans="2:19" x14ac:dyDescent="0.25">
      <c r="B659">
        <f>160+2*(Table1468[[#This Row],[min value (corrected)]]-32)</f>
        <v>180</v>
      </c>
      <c r="C659">
        <f>MINUTE(Table1468[[#This Row],[Corrected time]])</f>
        <v>42</v>
      </c>
      <c r="D659" s="1">
        <v>0.65483459490740747</v>
      </c>
      <c r="E659" s="1">
        <f>Table1468[[#This Row],[Time]]-TIME(0,0,11)</f>
        <v>0.65470728009259271</v>
      </c>
      <c r="F659" t="s">
        <v>9</v>
      </c>
      <c r="G659" t="s">
        <v>39</v>
      </c>
      <c r="H659">
        <f t="shared" si="92"/>
        <v>-114</v>
      </c>
      <c r="I659">
        <v>-8.5</v>
      </c>
      <c r="L659">
        <f>160+2*(Table2579[[#This Row],[min value (corrected)]]-23)</f>
        <v>176</v>
      </c>
      <c r="M659">
        <f>MINUTE(Table2579[[#This Row],[Corrected time]])</f>
        <v>31</v>
      </c>
      <c r="N659" s="1">
        <v>0.64730559027777779</v>
      </c>
      <c r="O659" s="1">
        <f>Table2579[[#This Row],[Time]]-TIME(0,0,10)</f>
        <v>0.64718984953703707</v>
      </c>
      <c r="P659" t="s">
        <v>27</v>
      </c>
      <c r="Q659">
        <f t="shared" ref="Q659:Q660" si="106">Q658</f>
        <v>-114</v>
      </c>
      <c r="R659">
        <f>Table2579[[#This Row],[RSSI]]</f>
        <v>-114</v>
      </c>
      <c r="S659">
        <f t="shared" ref="S659:S660" si="107">S658</f>
        <v>-9.5</v>
      </c>
    </row>
    <row r="660" spans="2:19" x14ac:dyDescent="0.25">
      <c r="B660">
        <f>160+2*(Table1468[[#This Row],[min value (corrected)]]-32)</f>
        <v>180</v>
      </c>
      <c r="C660">
        <f>MINUTE(Table1468[[#This Row],[Corrected time]])</f>
        <v>42</v>
      </c>
      <c r="D660" s="1">
        <v>0.65484678240740746</v>
      </c>
      <c r="E660" s="1">
        <f>Table1468[[#This Row],[Time]]-TIME(0,0,11)</f>
        <v>0.6547194675925927</v>
      </c>
      <c r="F660" t="s">
        <v>9</v>
      </c>
      <c r="G660" t="s">
        <v>39</v>
      </c>
      <c r="H660">
        <f t="shared" si="92"/>
        <v>-114</v>
      </c>
      <c r="I660">
        <v>-8.3000000000000007</v>
      </c>
      <c r="L660">
        <f>160+2*(Table2579[[#This Row],[min value (corrected)]]-23)</f>
        <v>176</v>
      </c>
      <c r="M660">
        <f>MINUTE(Table2579[[#This Row],[Corrected time]])</f>
        <v>31</v>
      </c>
      <c r="N660" s="1">
        <v>0.64731777777777777</v>
      </c>
      <c r="O660" s="1">
        <f>Table2579[[#This Row],[Time]]-TIME(0,0,10)</f>
        <v>0.64720203703703705</v>
      </c>
      <c r="P660" t="s">
        <v>13</v>
      </c>
      <c r="Q660">
        <f t="shared" si="106"/>
        <v>-114</v>
      </c>
      <c r="R660">
        <f>Table2579[[#This Row],[RSSI]]</f>
        <v>-114</v>
      </c>
      <c r="S660">
        <f t="shared" si="107"/>
        <v>-9.5</v>
      </c>
    </row>
    <row r="661" spans="2:19" x14ac:dyDescent="0.25">
      <c r="B661">
        <f>160+2*(Table1468[[#This Row],[min value (corrected)]]-32)</f>
        <v>180</v>
      </c>
      <c r="C661">
        <f>MINUTE(Table1468[[#This Row],[Corrected time]])</f>
        <v>42</v>
      </c>
      <c r="D661" s="1">
        <v>0.65485898148148147</v>
      </c>
      <c r="E661" s="1">
        <f>Table1468[[#This Row],[Time]]-TIME(0,0,11)</f>
        <v>0.65473166666666671</v>
      </c>
      <c r="F661" t="s">
        <v>9</v>
      </c>
      <c r="G661" t="s">
        <v>39</v>
      </c>
      <c r="H661">
        <f t="shared" si="92"/>
        <v>-114</v>
      </c>
      <c r="I661">
        <v>-8.8000000000000007</v>
      </c>
      <c r="L661">
        <f>160+2*(Table2579[[#This Row],[min value (corrected)]]-23)</f>
        <v>176</v>
      </c>
      <c r="M661">
        <f>MINUTE(Table2579[[#This Row],[Corrected time]])</f>
        <v>31</v>
      </c>
      <c r="N661" s="1">
        <v>0.64732996527777775</v>
      </c>
      <c r="O661" s="1">
        <f>Table2579[[#This Row],[Time]]-TIME(0,0,10)</f>
        <v>0.64721422453703703</v>
      </c>
      <c r="P661" t="s">
        <v>9</v>
      </c>
      <c r="Q661">
        <v>-114</v>
      </c>
      <c r="R661">
        <f>Table2579[[#This Row],[RSSI]]</f>
        <v>-114</v>
      </c>
      <c r="S661">
        <v>-8.5</v>
      </c>
    </row>
    <row r="662" spans="2:19" x14ac:dyDescent="0.25">
      <c r="B662">
        <f>160+2*(Table1468[[#This Row],[min value (corrected)]]-32)</f>
        <v>180</v>
      </c>
      <c r="C662">
        <f>MINUTE(Table1468[[#This Row],[Corrected time]])</f>
        <v>42</v>
      </c>
      <c r="D662" s="1">
        <v>0.65487116898148146</v>
      </c>
      <c r="E662" s="1">
        <f>Table1468[[#This Row],[Time]]-TIME(0,0,11)</f>
        <v>0.65474385416666669</v>
      </c>
      <c r="F662" t="s">
        <v>9</v>
      </c>
      <c r="G662" t="s">
        <v>39</v>
      </c>
      <c r="H662">
        <f t="shared" ref="H662:H667" si="108">VALUE(LEFT(G662,LEN(G662)-1))</f>
        <v>-114</v>
      </c>
      <c r="I662">
        <v>-10</v>
      </c>
      <c r="L662">
        <f>160+2*(Table2579[[#This Row],[min value (corrected)]]-23)</f>
        <v>178</v>
      </c>
      <c r="M662">
        <f>MINUTE(Table2579[[#This Row],[Corrected time]])</f>
        <v>32</v>
      </c>
      <c r="N662" s="1">
        <v>0.64734215277777774</v>
      </c>
      <c r="O662" s="1">
        <f>Table2579[[#This Row],[Time]]-TIME(0,0,10)</f>
        <v>0.64722641203703701</v>
      </c>
      <c r="P662" t="s">
        <v>13</v>
      </c>
      <c r="Q662">
        <f t="shared" ref="Q662:Q663" si="109">Q661</f>
        <v>-114</v>
      </c>
      <c r="R662">
        <f>Table2579[[#This Row],[RSSI]]</f>
        <v>-114</v>
      </c>
      <c r="S662">
        <f t="shared" ref="S662:S663" si="110">S661</f>
        <v>-8.5</v>
      </c>
    </row>
    <row r="663" spans="2:19" x14ac:dyDescent="0.25">
      <c r="B663">
        <f>160+2*(Table1468[[#This Row],[min value (corrected)]]-32)</f>
        <v>180</v>
      </c>
      <c r="C663">
        <f>MINUTE(Table1468[[#This Row],[Corrected time]])</f>
        <v>42</v>
      </c>
      <c r="D663" s="1">
        <v>0.65488335648148144</v>
      </c>
      <c r="E663" s="1">
        <f>Table1468[[#This Row],[Time]]-TIME(0,0,11)</f>
        <v>0.65475604166666668</v>
      </c>
      <c r="F663" t="s">
        <v>9</v>
      </c>
      <c r="G663" t="s">
        <v>37</v>
      </c>
      <c r="H663">
        <f t="shared" si="108"/>
        <v>-113</v>
      </c>
      <c r="I663">
        <v>-7.7</v>
      </c>
      <c r="L663">
        <f>160+2*(Table2579[[#This Row],[min value (corrected)]]-23)</f>
        <v>178</v>
      </c>
      <c r="M663">
        <f>MINUTE(Table2579[[#This Row],[Corrected time]])</f>
        <v>32</v>
      </c>
      <c r="N663" s="1">
        <v>0.64735434027777783</v>
      </c>
      <c r="O663" s="1">
        <f>Table2579[[#This Row],[Time]]-TIME(0,0,10)</f>
        <v>0.64723859953703711</v>
      </c>
      <c r="P663" t="s">
        <v>13</v>
      </c>
      <c r="Q663">
        <f t="shared" si="109"/>
        <v>-114</v>
      </c>
      <c r="R663">
        <f>Table2579[[#This Row],[RSSI]]</f>
        <v>-114</v>
      </c>
      <c r="S663">
        <f t="shared" si="110"/>
        <v>-8.5</v>
      </c>
    </row>
    <row r="664" spans="2:19" x14ac:dyDescent="0.25">
      <c r="B664">
        <f>160+2*(Table1468[[#This Row],[min value (corrected)]]-32)</f>
        <v>180</v>
      </c>
      <c r="C664">
        <f>MINUTE(Table1468[[#This Row],[Corrected time]])</f>
        <v>42</v>
      </c>
      <c r="D664" s="1">
        <v>0.65489553240740739</v>
      </c>
      <c r="E664" s="1">
        <f>Table1468[[#This Row],[Time]]-TIME(0,0,11)</f>
        <v>0.65476821759259263</v>
      </c>
      <c r="F664" t="s">
        <v>9</v>
      </c>
      <c r="G664" t="s">
        <v>39</v>
      </c>
      <c r="H664">
        <f t="shared" si="108"/>
        <v>-114</v>
      </c>
      <c r="I664">
        <v>-8.8000000000000007</v>
      </c>
      <c r="L664">
        <f>160+2*(Table2579[[#This Row],[min value (corrected)]]-23)</f>
        <v>178</v>
      </c>
      <c r="M664">
        <f>MINUTE(Table2579[[#This Row],[Corrected time]])</f>
        <v>32</v>
      </c>
      <c r="N664" s="1">
        <v>0.64736653935185184</v>
      </c>
      <c r="O664" s="1">
        <f>Table2579[[#This Row],[Time]]-TIME(0,0,10)</f>
        <v>0.64725079861111112</v>
      </c>
      <c r="P664" t="s">
        <v>9</v>
      </c>
      <c r="Q664">
        <v>-114</v>
      </c>
      <c r="R664">
        <f>Table2579[[#This Row],[RSSI]]</f>
        <v>-114</v>
      </c>
      <c r="S664">
        <v>-8.8000000000000007</v>
      </c>
    </row>
    <row r="665" spans="2:19" x14ac:dyDescent="0.25">
      <c r="B665">
        <f>160+2*(Table1468[[#This Row],[min value (corrected)]]-32)</f>
        <v>180</v>
      </c>
      <c r="C665">
        <f>MINUTE(Table1468[[#This Row],[Corrected time]])</f>
        <v>42</v>
      </c>
      <c r="D665" s="1">
        <v>0.65490773148148151</v>
      </c>
      <c r="E665" s="1">
        <f>Table1468[[#This Row],[Time]]-TIME(0,0,11)</f>
        <v>0.65478041666666675</v>
      </c>
      <c r="F665" t="s">
        <v>9</v>
      </c>
      <c r="G665" t="s">
        <v>39</v>
      </c>
      <c r="H665">
        <f t="shared" si="108"/>
        <v>-114</v>
      </c>
      <c r="I665">
        <v>-8.8000000000000007</v>
      </c>
      <c r="L665">
        <f>160+2*(Table2579[[#This Row],[min value (corrected)]]-23)</f>
        <v>178</v>
      </c>
      <c r="M665">
        <f>MINUTE(Table2579[[#This Row],[Corrected time]])</f>
        <v>32</v>
      </c>
      <c r="N665" s="1">
        <v>0.64737872685185183</v>
      </c>
      <c r="O665" s="1">
        <f>Table2579[[#This Row],[Time]]-TIME(0,0,10)</f>
        <v>0.6472629861111111</v>
      </c>
      <c r="P665" t="s">
        <v>9</v>
      </c>
      <c r="Q665">
        <v>-112</v>
      </c>
      <c r="R665">
        <f>Table2579[[#This Row],[RSSI]]</f>
        <v>-112</v>
      </c>
      <c r="S665">
        <v>-8.5</v>
      </c>
    </row>
    <row r="666" spans="2:19" x14ac:dyDescent="0.25">
      <c r="B666">
        <f>160+2*(Table1468[[#This Row],[min value (corrected)]]-32)</f>
        <v>180</v>
      </c>
      <c r="C666">
        <f>MINUTE(Table1468[[#This Row],[Corrected time]])</f>
        <v>42</v>
      </c>
      <c r="D666" s="1">
        <v>0.6549199189814815</v>
      </c>
      <c r="E666" s="1">
        <f>Table1468[[#This Row],[Time]]-TIME(0,0,11)</f>
        <v>0.65479260416666674</v>
      </c>
      <c r="F666" t="s">
        <v>9</v>
      </c>
      <c r="G666" t="s">
        <v>39</v>
      </c>
      <c r="H666">
        <f t="shared" si="108"/>
        <v>-114</v>
      </c>
      <c r="I666">
        <v>-9.5</v>
      </c>
      <c r="L666">
        <f>160+2*(Table2579[[#This Row],[min value (corrected)]]-23)</f>
        <v>178</v>
      </c>
      <c r="M666">
        <f>MINUTE(Table2579[[#This Row],[Corrected time]])</f>
        <v>32</v>
      </c>
      <c r="N666" s="1">
        <v>0.64739090277777778</v>
      </c>
      <c r="O666" s="1">
        <f>Table2579[[#This Row],[Time]]-TIME(0,0,10)</f>
        <v>0.64727516203703706</v>
      </c>
      <c r="P666" t="s">
        <v>9</v>
      </c>
      <c r="Q666">
        <v>-114</v>
      </c>
      <c r="R666">
        <f>Table2579[[#This Row],[RSSI]]</f>
        <v>-114</v>
      </c>
      <c r="S666">
        <v>-8.5</v>
      </c>
    </row>
    <row r="667" spans="2:19" x14ac:dyDescent="0.25">
      <c r="B667">
        <f>160+2*(Table1468[[#This Row],[min value (corrected)]]-32)</f>
        <v>180</v>
      </c>
      <c r="C667">
        <f>MINUTE(Table1468[[#This Row],[Corrected time]])</f>
        <v>42</v>
      </c>
      <c r="D667" s="1">
        <v>0.65493210648148148</v>
      </c>
      <c r="E667" s="1">
        <f>Table1468[[#This Row],[Time]]-TIME(0,0,11)</f>
        <v>0.65480479166666672</v>
      </c>
      <c r="F667" t="s">
        <v>9</v>
      </c>
      <c r="G667" t="s">
        <v>37</v>
      </c>
      <c r="H667">
        <f t="shared" si="108"/>
        <v>-113</v>
      </c>
      <c r="I667">
        <v>-8</v>
      </c>
      <c r="L667">
        <f>160+2*(Table2579[[#This Row],[min value (corrected)]]-23)</f>
        <v>178</v>
      </c>
      <c r="M667">
        <f>MINUTE(Table2579[[#This Row],[Corrected time]])</f>
        <v>32</v>
      </c>
      <c r="N667" s="1">
        <v>0.64740309027777776</v>
      </c>
      <c r="O667" s="1">
        <f>Table2579[[#This Row],[Time]]-TIME(0,0,10)</f>
        <v>0.64728734953703704</v>
      </c>
      <c r="P667" t="s">
        <v>9</v>
      </c>
      <c r="Q667">
        <v>-114</v>
      </c>
      <c r="R667">
        <f>Table2579[[#This Row],[RSSI]]</f>
        <v>-114</v>
      </c>
      <c r="S667">
        <v>-9</v>
      </c>
    </row>
    <row r="668" spans="2:19" x14ac:dyDescent="0.25">
      <c r="B668">
        <f>160+2*(Table1468[[#This Row],[min value (corrected)]]-32)</f>
        <v>180</v>
      </c>
      <c r="C668">
        <f>MINUTE(Table1468[[#This Row],[Corrected time]])</f>
        <v>42</v>
      </c>
      <c r="D668" s="1">
        <v>0.65494429398148146</v>
      </c>
      <c r="E668" s="1">
        <f>Table1468[[#This Row],[Time]]-TIME(0,0,11)</f>
        <v>0.6548169791666667</v>
      </c>
      <c r="F668" t="s">
        <v>9</v>
      </c>
      <c r="G668" t="s">
        <v>39</v>
      </c>
      <c r="H668" s="21">
        <f t="shared" ref="H668:H731" si="111">VALUE(LEFT(G668,LEN(G668)-1))</f>
        <v>-114</v>
      </c>
      <c r="I668">
        <v>-8.3000000000000007</v>
      </c>
      <c r="L668">
        <f>160+2*(Table2579[[#This Row],[min value (corrected)]]-23)</f>
        <v>178</v>
      </c>
      <c r="M668">
        <f>MINUTE(Table2579[[#This Row],[Corrected time]])</f>
        <v>32</v>
      </c>
      <c r="N668" s="1">
        <v>0.64741527777777774</v>
      </c>
      <c r="O668" s="1">
        <f>Table2579[[#This Row],[Time]]-TIME(0,0,10)</f>
        <v>0.64729953703703702</v>
      </c>
      <c r="P668" t="s">
        <v>9</v>
      </c>
      <c r="Q668">
        <v>-113</v>
      </c>
      <c r="R668" s="21">
        <f>Table2579[[#This Row],[RSSI]]</f>
        <v>-113</v>
      </c>
      <c r="S668">
        <v>-8.8000000000000007</v>
      </c>
    </row>
    <row r="669" spans="2:19" x14ac:dyDescent="0.25">
      <c r="B669">
        <f>160+2*(Table1468[[#This Row],[min value (corrected)]]-32)</f>
        <v>180</v>
      </c>
      <c r="C669">
        <f>MINUTE(Table1468[[#This Row],[Corrected time]])</f>
        <v>42</v>
      </c>
      <c r="D669" s="1">
        <v>0.65495646990740741</v>
      </c>
      <c r="E669" s="1">
        <f>Table1468[[#This Row],[Time]]-TIME(0,0,11)</f>
        <v>0.65482915509259265</v>
      </c>
      <c r="F669" t="s">
        <v>13</v>
      </c>
      <c r="G669" t="str">
        <f>G668</f>
        <v>-114.0,</v>
      </c>
      <c r="H669" s="21">
        <f t="shared" si="111"/>
        <v>-114</v>
      </c>
      <c r="I669">
        <f>I668</f>
        <v>-8.3000000000000007</v>
      </c>
      <c r="L669">
        <f>160+2*(Table2579[[#This Row],[min value (corrected)]]-23)</f>
        <v>178</v>
      </c>
      <c r="M669">
        <f>MINUTE(Table2579[[#This Row],[Corrected time]])</f>
        <v>32</v>
      </c>
      <c r="N669" s="1">
        <v>0.64742747685185187</v>
      </c>
      <c r="O669" s="1">
        <f>Table2579[[#This Row],[Time]]-TIME(0,0,10)</f>
        <v>0.64731173611111115</v>
      </c>
      <c r="P669" t="s">
        <v>9</v>
      </c>
      <c r="Q669">
        <v>-113</v>
      </c>
      <c r="R669" s="21">
        <f>Table2579[[#This Row],[RSSI]]</f>
        <v>-113</v>
      </c>
      <c r="S669">
        <v>-8</v>
      </c>
    </row>
    <row r="670" spans="2:19" x14ac:dyDescent="0.25">
      <c r="B670">
        <f>160+2*(Table1468[[#This Row],[min value (corrected)]]-32)</f>
        <v>180</v>
      </c>
      <c r="C670">
        <f>MINUTE(Table1468[[#This Row],[Corrected time]])</f>
        <v>42</v>
      </c>
      <c r="D670" s="1">
        <v>0.65496866898148143</v>
      </c>
      <c r="E670" s="1">
        <f>Table1468[[#This Row],[Time]]-TIME(0,0,11)</f>
        <v>0.65484135416666667</v>
      </c>
      <c r="F670" t="s">
        <v>9</v>
      </c>
      <c r="G670" t="s">
        <v>39</v>
      </c>
      <c r="H670" s="21">
        <f t="shared" si="111"/>
        <v>-114</v>
      </c>
      <c r="I670">
        <v>-8.5</v>
      </c>
      <c r="L670">
        <f>160+2*(Table2579[[#This Row],[min value (corrected)]]-23)</f>
        <v>178</v>
      </c>
      <c r="M670">
        <f>MINUTE(Table2579[[#This Row],[Corrected time]])</f>
        <v>32</v>
      </c>
      <c r="N670" s="1">
        <v>0.64743965277777782</v>
      </c>
      <c r="O670" s="1">
        <f>Table2579[[#This Row],[Time]]-TIME(0,0,10)</f>
        <v>0.6473239120370371</v>
      </c>
      <c r="P670" t="s">
        <v>13</v>
      </c>
      <c r="Q670">
        <f>Q669</f>
        <v>-113</v>
      </c>
      <c r="R670" s="21">
        <f>Table2579[[#This Row],[RSSI]]</f>
        <v>-113</v>
      </c>
      <c r="S670">
        <f>S669</f>
        <v>-8</v>
      </c>
    </row>
    <row r="671" spans="2:19" x14ac:dyDescent="0.25">
      <c r="B671">
        <f>160+2*(Table1468[[#This Row],[min value (corrected)]]-32)</f>
        <v>180</v>
      </c>
      <c r="C671">
        <f>MINUTE(Table1468[[#This Row],[Corrected time]])</f>
        <v>42</v>
      </c>
      <c r="D671" s="1">
        <v>0.65498085648148141</v>
      </c>
      <c r="E671" s="1">
        <f>Table1468[[#This Row],[Time]]-TIME(0,0,11)</f>
        <v>0.65485354166666665</v>
      </c>
      <c r="F671" t="s">
        <v>9</v>
      </c>
      <c r="G671" t="s">
        <v>39</v>
      </c>
      <c r="H671" s="21">
        <f t="shared" si="111"/>
        <v>-114</v>
      </c>
      <c r="I671">
        <v>-8.3000000000000007</v>
      </c>
      <c r="L671">
        <f>160+2*(Table2579[[#This Row],[min value (corrected)]]-23)</f>
        <v>178</v>
      </c>
      <c r="M671">
        <f>MINUTE(Table2579[[#This Row],[Corrected time]])</f>
        <v>32</v>
      </c>
      <c r="N671" s="1">
        <v>0.6474518402777778</v>
      </c>
      <c r="O671" s="1">
        <f>Table2579[[#This Row],[Time]]-TIME(0,0,10)</f>
        <v>0.64733609953703708</v>
      </c>
      <c r="P671" t="s">
        <v>9</v>
      </c>
      <c r="Q671">
        <v>-114</v>
      </c>
      <c r="R671" s="21">
        <f>Table2579[[#This Row],[RSSI]]</f>
        <v>-114</v>
      </c>
      <c r="S671">
        <v>-9.3000000000000007</v>
      </c>
    </row>
    <row r="672" spans="2:19" x14ac:dyDescent="0.25">
      <c r="B672">
        <f>160+2*(Table1468[[#This Row],[min value (corrected)]]-32)</f>
        <v>182</v>
      </c>
      <c r="C672">
        <f>MINUTE(Table1468[[#This Row],[Corrected time]])</f>
        <v>43</v>
      </c>
      <c r="D672" s="1">
        <v>0.65499303240740747</v>
      </c>
      <c r="E672" s="1">
        <f>Table1468[[#This Row],[Time]]-TIME(0,0,11)</f>
        <v>0.65486571759259271</v>
      </c>
      <c r="F672" t="s">
        <v>13</v>
      </c>
      <c r="G672" t="str">
        <f t="shared" ref="G672:G673" si="112">G671</f>
        <v>-114.0,</v>
      </c>
      <c r="H672" s="21">
        <f t="shared" si="111"/>
        <v>-114</v>
      </c>
      <c r="I672">
        <f t="shared" ref="I672:I673" si="113">I671</f>
        <v>-8.3000000000000007</v>
      </c>
      <c r="L672">
        <f>160+2*(Table2579[[#This Row],[min value (corrected)]]-23)</f>
        <v>178</v>
      </c>
      <c r="M672">
        <f>MINUTE(Table2579[[#This Row],[Corrected time]])</f>
        <v>32</v>
      </c>
      <c r="N672" s="1">
        <v>0.64746402777777778</v>
      </c>
      <c r="O672" s="1">
        <f>Table2579[[#This Row],[Time]]-TIME(0,0,10)</f>
        <v>0.64734828703703706</v>
      </c>
      <c r="P672" t="s">
        <v>13</v>
      </c>
      <c r="Q672">
        <f t="shared" ref="Q672:Q673" si="114">Q671</f>
        <v>-114</v>
      </c>
      <c r="R672" s="21">
        <f>Table2579[[#This Row],[RSSI]]</f>
        <v>-114</v>
      </c>
      <c r="S672">
        <f t="shared" ref="S672:S673" si="115">S671</f>
        <v>-9.3000000000000007</v>
      </c>
    </row>
    <row r="673" spans="2:19" x14ac:dyDescent="0.25">
      <c r="B673">
        <f>160+2*(Table1468[[#This Row],[min value (corrected)]]-32)</f>
        <v>182</v>
      </c>
      <c r="C673">
        <f>MINUTE(Table1468[[#This Row],[Corrected time]])</f>
        <v>43</v>
      </c>
      <c r="D673" s="1">
        <v>0.65500521990740745</v>
      </c>
      <c r="E673" s="1">
        <f>Table1468[[#This Row],[Time]]-TIME(0,0,11)</f>
        <v>0.65487790509259269</v>
      </c>
      <c r="F673" t="s">
        <v>13</v>
      </c>
      <c r="G673" t="str">
        <f t="shared" si="112"/>
        <v>-114.0,</v>
      </c>
      <c r="H673" s="21">
        <f t="shared" si="111"/>
        <v>-114</v>
      </c>
      <c r="I673">
        <f t="shared" si="113"/>
        <v>-8.3000000000000007</v>
      </c>
      <c r="L673">
        <f>160+2*(Table2579[[#This Row],[min value (corrected)]]-23)</f>
        <v>178</v>
      </c>
      <c r="M673">
        <f>MINUTE(Table2579[[#This Row],[Corrected time]])</f>
        <v>32</v>
      </c>
      <c r="N673" s="1">
        <v>0.64747622685185191</v>
      </c>
      <c r="O673" s="1">
        <f>Table2579[[#This Row],[Time]]-TIME(0,0,10)</f>
        <v>0.64736048611111119</v>
      </c>
      <c r="P673" t="s">
        <v>13</v>
      </c>
      <c r="Q673">
        <f t="shared" si="114"/>
        <v>-114</v>
      </c>
      <c r="R673" s="21">
        <f>Table2579[[#This Row],[RSSI]]</f>
        <v>-114</v>
      </c>
      <c r="S673">
        <f t="shared" si="115"/>
        <v>-9.3000000000000007</v>
      </c>
    </row>
    <row r="674" spans="2:19" x14ac:dyDescent="0.25">
      <c r="B674">
        <f>160+2*(Table1468[[#This Row],[min value (corrected)]]-32)</f>
        <v>182</v>
      </c>
      <c r="C674">
        <f>MINUTE(Table1468[[#This Row],[Corrected time]])</f>
        <v>43</v>
      </c>
      <c r="D674" s="1">
        <v>0.65501741898148147</v>
      </c>
      <c r="E674" s="1">
        <f>Table1468[[#This Row],[Time]]-TIME(0,0,11)</f>
        <v>0.65489010416666671</v>
      </c>
      <c r="F674" t="s">
        <v>9</v>
      </c>
      <c r="G674" t="s">
        <v>37</v>
      </c>
      <c r="H674" s="21">
        <f t="shared" si="111"/>
        <v>-113</v>
      </c>
      <c r="I674">
        <v>-7.5</v>
      </c>
      <c r="L674">
        <f>160+2*(Table2579[[#This Row],[min value (corrected)]]-23)</f>
        <v>178</v>
      </c>
      <c r="M674">
        <f>MINUTE(Table2579[[#This Row],[Corrected time]])</f>
        <v>32</v>
      </c>
      <c r="N674" s="1">
        <v>0.64748841435185189</v>
      </c>
      <c r="O674" s="1">
        <f>Table2579[[#This Row],[Time]]-TIME(0,0,10)</f>
        <v>0.64737267361111117</v>
      </c>
      <c r="P674" t="s">
        <v>9</v>
      </c>
      <c r="Q674">
        <v>-114</v>
      </c>
      <c r="R674" s="21">
        <f>Table2579[[#This Row],[RSSI]]</f>
        <v>-114</v>
      </c>
      <c r="S674">
        <v>-8.3000000000000007</v>
      </c>
    </row>
    <row r="675" spans="2:19" x14ac:dyDescent="0.25">
      <c r="B675">
        <f>160+2*(Table1468[[#This Row],[min value (corrected)]]-32)</f>
        <v>182</v>
      </c>
      <c r="C675">
        <f>MINUTE(Table1468[[#This Row],[Corrected time]])</f>
        <v>43</v>
      </c>
      <c r="D675" s="1">
        <v>0.65502960648148145</v>
      </c>
      <c r="E675" s="1">
        <f>Table1468[[#This Row],[Time]]-TIME(0,0,11)</f>
        <v>0.65490229166666669</v>
      </c>
      <c r="F675" t="s">
        <v>13</v>
      </c>
      <c r="G675" t="str">
        <f>G674</f>
        <v>-113.0,</v>
      </c>
      <c r="H675" s="21">
        <f t="shared" si="111"/>
        <v>-113</v>
      </c>
      <c r="I675">
        <f>I674</f>
        <v>-7.5</v>
      </c>
      <c r="L675">
        <f>160+2*(Table2579[[#This Row],[min value (corrected)]]-23)</f>
        <v>178</v>
      </c>
      <c r="M675">
        <f>MINUTE(Table2579[[#This Row],[Corrected time]])</f>
        <v>32</v>
      </c>
      <c r="N675" s="1">
        <v>0.64750059027777773</v>
      </c>
      <c r="O675" s="1">
        <f>Table2579[[#This Row],[Time]]-TIME(0,0,10)</f>
        <v>0.64738484953703701</v>
      </c>
      <c r="P675" t="s">
        <v>9</v>
      </c>
      <c r="Q675">
        <v>-114</v>
      </c>
      <c r="R675" s="21">
        <f>Table2579[[#This Row],[RSSI]]</f>
        <v>-114</v>
      </c>
      <c r="S675">
        <v>-8.3000000000000007</v>
      </c>
    </row>
    <row r="676" spans="2:19" x14ac:dyDescent="0.25">
      <c r="B676">
        <f>160+2*(Table1468[[#This Row],[min value (corrected)]]-32)</f>
        <v>182</v>
      </c>
      <c r="C676">
        <f>MINUTE(Table1468[[#This Row],[Corrected time]])</f>
        <v>43</v>
      </c>
      <c r="D676" s="1">
        <v>0.65504179398148143</v>
      </c>
      <c r="E676" s="1">
        <f>Table1468[[#This Row],[Time]]-TIME(0,0,11)</f>
        <v>0.65491447916666667</v>
      </c>
      <c r="F676" t="s">
        <v>9</v>
      </c>
      <c r="G676" t="s">
        <v>39</v>
      </c>
      <c r="H676" s="21">
        <f t="shared" si="111"/>
        <v>-114</v>
      </c>
      <c r="I676">
        <v>-8.5</v>
      </c>
      <c r="L676">
        <f>160+2*(Table2579[[#This Row],[min value (corrected)]]-23)</f>
        <v>178</v>
      </c>
      <c r="M676">
        <f>MINUTE(Table2579[[#This Row],[Corrected time]])</f>
        <v>32</v>
      </c>
      <c r="N676" s="1">
        <v>0.64751277777777771</v>
      </c>
      <c r="O676" s="1">
        <f>Table2579[[#This Row],[Time]]-TIME(0,0,10)</f>
        <v>0.64739703703703699</v>
      </c>
      <c r="P676" t="s">
        <v>27</v>
      </c>
      <c r="Q676">
        <f>Q675</f>
        <v>-114</v>
      </c>
      <c r="R676" s="21">
        <f>Table2579[[#This Row],[RSSI]]</f>
        <v>-114</v>
      </c>
      <c r="S676">
        <f>S675</f>
        <v>-8.3000000000000007</v>
      </c>
    </row>
    <row r="677" spans="2:19" x14ac:dyDescent="0.25">
      <c r="B677">
        <f>160+2*(Table1468[[#This Row],[min value (corrected)]]-32)</f>
        <v>182</v>
      </c>
      <c r="C677">
        <f>MINUTE(Table1468[[#This Row],[Corrected time]])</f>
        <v>43</v>
      </c>
      <c r="D677" s="1">
        <v>0.65505396990740739</v>
      </c>
      <c r="E677" s="1">
        <f>Table1468[[#This Row],[Time]]-TIME(0,0,11)</f>
        <v>0.65492665509259262</v>
      </c>
      <c r="F677" t="s">
        <v>13</v>
      </c>
      <c r="G677" t="str">
        <f>G676</f>
        <v>-114.0,</v>
      </c>
      <c r="H677" s="21">
        <f t="shared" si="111"/>
        <v>-114</v>
      </c>
      <c r="I677">
        <f>I676</f>
        <v>-8.5</v>
      </c>
      <c r="L677">
        <f>160+2*(Table2579[[#This Row],[min value (corrected)]]-23)</f>
        <v>178</v>
      </c>
      <c r="M677">
        <f>MINUTE(Table2579[[#This Row],[Corrected time]])</f>
        <v>32</v>
      </c>
      <c r="N677" s="1">
        <v>0.64752497685185184</v>
      </c>
      <c r="O677" s="1">
        <f>Table2579[[#This Row],[Time]]-TIME(0,0,10)</f>
        <v>0.64740923611111112</v>
      </c>
      <c r="P677" t="s">
        <v>9</v>
      </c>
      <c r="Q677">
        <v>-114</v>
      </c>
      <c r="R677" s="21">
        <f>Table2579[[#This Row],[RSSI]]</f>
        <v>-114</v>
      </c>
      <c r="S677">
        <v>-8.3000000000000007</v>
      </c>
    </row>
    <row r="678" spans="2:19" x14ac:dyDescent="0.25">
      <c r="B678">
        <f>160+2*(Table1468[[#This Row],[min value (corrected)]]-32)</f>
        <v>182</v>
      </c>
      <c r="C678">
        <f>MINUTE(Table1468[[#This Row],[Corrected time]])</f>
        <v>43</v>
      </c>
      <c r="D678" s="1">
        <v>0.6550661689814814</v>
      </c>
      <c r="E678" s="1">
        <f>Table1468[[#This Row],[Time]]-TIME(0,0,11)</f>
        <v>0.65493885416666664</v>
      </c>
      <c r="F678" t="s">
        <v>9</v>
      </c>
      <c r="G678" t="s">
        <v>43</v>
      </c>
      <c r="H678" s="21">
        <f t="shared" si="111"/>
        <v>-115</v>
      </c>
      <c r="I678">
        <v>-9.8000000000000007</v>
      </c>
      <c r="L678">
        <f>160+2*(Table2579[[#This Row],[min value (corrected)]]-23)</f>
        <v>178</v>
      </c>
      <c r="M678">
        <f>MINUTE(Table2579[[#This Row],[Corrected time]])</f>
        <v>32</v>
      </c>
      <c r="N678" s="1">
        <v>0.64753715277777779</v>
      </c>
      <c r="O678" s="1">
        <f>Table2579[[#This Row],[Time]]-TIME(0,0,10)</f>
        <v>0.64742141203703707</v>
      </c>
      <c r="P678" t="s">
        <v>9</v>
      </c>
      <c r="Q678">
        <v>-114</v>
      </c>
      <c r="R678" s="21">
        <f>Table2579[[#This Row],[RSSI]]</f>
        <v>-114</v>
      </c>
      <c r="S678">
        <v>-9</v>
      </c>
    </row>
    <row r="679" spans="2:19" x14ac:dyDescent="0.25">
      <c r="B679">
        <f>160+2*(Table1468[[#This Row],[min value (corrected)]]-32)</f>
        <v>182</v>
      </c>
      <c r="C679">
        <f>MINUTE(Table1468[[#This Row],[Corrected time]])</f>
        <v>43</v>
      </c>
      <c r="D679" s="1">
        <v>0.65507835648148149</v>
      </c>
      <c r="E679" s="1">
        <f>Table1468[[#This Row],[Time]]-TIME(0,0,11)</f>
        <v>0.65495104166666673</v>
      </c>
      <c r="F679" t="s">
        <v>9</v>
      </c>
      <c r="G679" t="s">
        <v>37</v>
      </c>
      <c r="H679" s="21">
        <f t="shared" si="111"/>
        <v>-113</v>
      </c>
      <c r="I679">
        <v>-8.3000000000000007</v>
      </c>
      <c r="L679">
        <f>160+2*(Table2579[[#This Row],[min value (corrected)]]-23)</f>
        <v>178</v>
      </c>
      <c r="M679">
        <f>MINUTE(Table2579[[#This Row],[Corrected time]])</f>
        <v>32</v>
      </c>
      <c r="N679" s="1">
        <v>0.64754935185185192</v>
      </c>
      <c r="O679" s="1">
        <f>Table2579[[#This Row],[Time]]-TIME(0,0,10)</f>
        <v>0.6474336111111112</v>
      </c>
      <c r="P679" t="s">
        <v>9</v>
      </c>
      <c r="Q679">
        <v>-113</v>
      </c>
      <c r="R679" s="21">
        <f>Table2579[[#This Row],[RSSI]]</f>
        <v>-113</v>
      </c>
      <c r="S679">
        <v>-8</v>
      </c>
    </row>
    <row r="680" spans="2:19" x14ac:dyDescent="0.25">
      <c r="B680">
        <f>160+2*(Table1468[[#This Row],[min value (corrected)]]-32)</f>
        <v>182</v>
      </c>
      <c r="C680">
        <f>MINUTE(Table1468[[#This Row],[Corrected time]])</f>
        <v>43</v>
      </c>
      <c r="D680" s="1">
        <v>0.65509054398148148</v>
      </c>
      <c r="E680" s="1">
        <f>Table1468[[#This Row],[Time]]-TIME(0,0,11)</f>
        <v>0.65496322916666672</v>
      </c>
      <c r="F680" t="s">
        <v>9</v>
      </c>
      <c r="G680" t="s">
        <v>39</v>
      </c>
      <c r="H680" s="21">
        <f t="shared" si="111"/>
        <v>-114</v>
      </c>
      <c r="I680">
        <v>-9.5</v>
      </c>
      <c r="L680">
        <f>160+2*(Table2579[[#This Row],[min value (corrected)]]-23)</f>
        <v>178</v>
      </c>
      <c r="M680">
        <f>MINUTE(Table2579[[#This Row],[Corrected time]])</f>
        <v>32</v>
      </c>
      <c r="N680" s="1">
        <v>0.64756152777777776</v>
      </c>
      <c r="O680" s="1">
        <f>Table2579[[#This Row],[Time]]-TIME(0,0,10)</f>
        <v>0.64744578703703703</v>
      </c>
      <c r="P680" t="s">
        <v>9</v>
      </c>
      <c r="Q680">
        <v>-114</v>
      </c>
      <c r="R680" s="21">
        <f>Table2579[[#This Row],[RSSI]]</f>
        <v>-114</v>
      </c>
      <c r="S680">
        <v>-9</v>
      </c>
    </row>
    <row r="681" spans="2:19" x14ac:dyDescent="0.25">
      <c r="B681">
        <f>160+2*(Table1468[[#This Row],[min value (corrected)]]-32)</f>
        <v>182</v>
      </c>
      <c r="C681">
        <f>MINUTE(Table1468[[#This Row],[Corrected time]])</f>
        <v>43</v>
      </c>
      <c r="D681" s="1">
        <v>0.65510273148148146</v>
      </c>
      <c r="E681" s="1">
        <f>Table1468[[#This Row],[Time]]-TIME(0,0,11)</f>
        <v>0.6549754166666667</v>
      </c>
      <c r="F681" t="s">
        <v>9</v>
      </c>
      <c r="G681" t="s">
        <v>39</v>
      </c>
      <c r="H681" s="21">
        <f t="shared" si="111"/>
        <v>-114</v>
      </c>
      <c r="I681">
        <v>-8.5</v>
      </c>
      <c r="L681">
        <f>160+2*(Table2579[[#This Row],[min value (corrected)]]-23)</f>
        <v>178</v>
      </c>
      <c r="M681">
        <f>MINUTE(Table2579[[#This Row],[Corrected time]])</f>
        <v>32</v>
      </c>
      <c r="N681" s="1">
        <v>0.64757370370370371</v>
      </c>
      <c r="O681" s="1">
        <f>Table2579[[#This Row],[Time]]-TIME(0,0,10)</f>
        <v>0.64745796296296299</v>
      </c>
      <c r="P681" t="s">
        <v>27</v>
      </c>
      <c r="Q681">
        <f>Q680</f>
        <v>-114</v>
      </c>
      <c r="R681" s="21">
        <f>Table2579[[#This Row],[RSSI]]</f>
        <v>-114</v>
      </c>
      <c r="S681">
        <f>S680</f>
        <v>-9</v>
      </c>
    </row>
    <row r="682" spans="2:19" x14ac:dyDescent="0.25">
      <c r="B682">
        <f>160+2*(Table1468[[#This Row],[min value (corrected)]]-32)</f>
        <v>182</v>
      </c>
      <c r="C682">
        <f>MINUTE(Table1468[[#This Row],[Corrected time]])</f>
        <v>43</v>
      </c>
      <c r="D682" s="1">
        <v>0.65511490740740741</v>
      </c>
      <c r="E682" s="1">
        <f>Table1468[[#This Row],[Time]]-TIME(0,0,11)</f>
        <v>0.65498759259259265</v>
      </c>
      <c r="F682" t="s">
        <v>9</v>
      </c>
      <c r="G682" t="s">
        <v>39</v>
      </c>
      <c r="H682" s="21">
        <f t="shared" si="111"/>
        <v>-114</v>
      </c>
      <c r="I682">
        <v>-8.3000000000000007</v>
      </c>
      <c r="L682">
        <f>160+2*(Table2579[[#This Row],[min value (corrected)]]-23)</f>
        <v>178</v>
      </c>
      <c r="M682">
        <f>MINUTE(Table2579[[#This Row],[Corrected time]])</f>
        <v>32</v>
      </c>
      <c r="N682" s="1">
        <v>0.64758590277777772</v>
      </c>
      <c r="O682" s="1">
        <f>Table2579[[#This Row],[Time]]-TIME(0,0,10)</f>
        <v>0.647470162037037</v>
      </c>
      <c r="P682" t="s">
        <v>9</v>
      </c>
      <c r="Q682">
        <v>-115</v>
      </c>
      <c r="R682" s="21">
        <f>Table2579[[#This Row],[RSSI]]</f>
        <v>-115</v>
      </c>
      <c r="S682">
        <v>-9.3000000000000007</v>
      </c>
    </row>
    <row r="683" spans="2:19" x14ac:dyDescent="0.25">
      <c r="B683">
        <f>160+2*(Table1468[[#This Row],[min value (corrected)]]-32)</f>
        <v>182</v>
      </c>
      <c r="C683">
        <f>MINUTE(Table1468[[#This Row],[Corrected time]])</f>
        <v>43</v>
      </c>
      <c r="D683" s="1">
        <v>0.65512710648148154</v>
      </c>
      <c r="E683" s="1">
        <f>Table1468[[#This Row],[Time]]-TIME(0,0,11)</f>
        <v>0.65499979166666678</v>
      </c>
      <c r="F683" t="s">
        <v>9</v>
      </c>
      <c r="G683" t="s">
        <v>39</v>
      </c>
      <c r="H683" s="21">
        <f t="shared" si="111"/>
        <v>-114</v>
      </c>
      <c r="I683">
        <v>-8.5</v>
      </c>
      <c r="L683">
        <f>160+2*(Table2579[[#This Row],[min value (corrected)]]-23)</f>
        <v>178</v>
      </c>
      <c r="M683">
        <f>MINUTE(Table2579[[#This Row],[Corrected time]])</f>
        <v>32</v>
      </c>
      <c r="N683" s="1">
        <v>0.64759810185185185</v>
      </c>
      <c r="O683" s="1">
        <f>Table2579[[#This Row],[Time]]-TIME(0,0,10)</f>
        <v>0.64748236111111113</v>
      </c>
      <c r="P683" t="s">
        <v>9</v>
      </c>
      <c r="Q683">
        <v>-114</v>
      </c>
      <c r="R683" s="21">
        <f>Table2579[[#This Row],[RSSI]]</f>
        <v>-114</v>
      </c>
      <c r="S683">
        <v>-8.5</v>
      </c>
    </row>
    <row r="684" spans="2:19" x14ac:dyDescent="0.25">
      <c r="B684">
        <f>160+2*(Table1468[[#This Row],[min value (corrected)]]-32)</f>
        <v>182</v>
      </c>
      <c r="C684">
        <f>MINUTE(Table1468[[#This Row],[Corrected time]])</f>
        <v>43</v>
      </c>
      <c r="D684" s="1">
        <v>0.65513929398148152</v>
      </c>
      <c r="E684" s="1">
        <f>Table1468[[#This Row],[Time]]-TIME(0,0,11)</f>
        <v>0.65501197916666676</v>
      </c>
      <c r="F684" t="s">
        <v>13</v>
      </c>
      <c r="G684" t="str">
        <f>G683</f>
        <v>-114.0,</v>
      </c>
      <c r="H684" s="21">
        <f t="shared" si="111"/>
        <v>-114</v>
      </c>
      <c r="I684">
        <f>I683</f>
        <v>-8.5</v>
      </c>
      <c r="L684">
        <f>160+2*(Table2579[[#This Row],[min value (corrected)]]-23)</f>
        <v>178</v>
      </c>
      <c r="M684">
        <f>MINUTE(Table2579[[#This Row],[Corrected time]])</f>
        <v>32</v>
      </c>
      <c r="N684" s="1">
        <v>0.6476102777777778</v>
      </c>
      <c r="O684" s="1">
        <f>Table2579[[#This Row],[Time]]-TIME(0,0,10)</f>
        <v>0.64749453703703708</v>
      </c>
      <c r="P684" t="s">
        <v>9</v>
      </c>
      <c r="Q684">
        <v>-114</v>
      </c>
      <c r="R684" s="21">
        <f>Table2579[[#This Row],[RSSI]]</f>
        <v>-114</v>
      </c>
      <c r="S684">
        <v>-8.8000000000000007</v>
      </c>
    </row>
    <row r="685" spans="2:19" x14ac:dyDescent="0.25">
      <c r="B685">
        <f>160+2*(Table1468[[#This Row],[min value (corrected)]]-32)</f>
        <v>182</v>
      </c>
      <c r="C685">
        <f>MINUTE(Table1468[[#This Row],[Corrected time]])</f>
        <v>43</v>
      </c>
      <c r="D685" s="1">
        <v>0.6551514814814815</v>
      </c>
      <c r="E685" s="1">
        <f>Table1468[[#This Row],[Time]]-TIME(0,0,11)</f>
        <v>0.65502416666666674</v>
      </c>
      <c r="F685" t="s">
        <v>9</v>
      </c>
      <c r="G685" t="s">
        <v>39</v>
      </c>
      <c r="H685" s="21">
        <f t="shared" si="111"/>
        <v>-114</v>
      </c>
      <c r="I685">
        <v>-8.3000000000000007</v>
      </c>
      <c r="L685">
        <f>160+2*(Table2579[[#This Row],[min value (corrected)]]-23)</f>
        <v>178</v>
      </c>
      <c r="M685">
        <f>MINUTE(Table2579[[#This Row],[Corrected time]])</f>
        <v>32</v>
      </c>
      <c r="N685" s="1">
        <v>0.64762246527777778</v>
      </c>
      <c r="O685" s="1">
        <f>Table2579[[#This Row],[Time]]-TIME(0,0,10)</f>
        <v>0.64750672453703706</v>
      </c>
      <c r="P685" t="s">
        <v>13</v>
      </c>
      <c r="Q685">
        <f t="shared" ref="Q685:Q686" si="116">Q684</f>
        <v>-114</v>
      </c>
      <c r="R685" s="21">
        <f>Table2579[[#This Row],[RSSI]]</f>
        <v>-114</v>
      </c>
      <c r="S685">
        <f t="shared" ref="S685:S686" si="117">S684</f>
        <v>-8.8000000000000007</v>
      </c>
    </row>
    <row r="686" spans="2:19" x14ac:dyDescent="0.25">
      <c r="B686">
        <f>160+2*(Table1468[[#This Row],[min value (corrected)]]-32)</f>
        <v>182</v>
      </c>
      <c r="C686">
        <f>MINUTE(Table1468[[#This Row],[Corrected time]])</f>
        <v>43</v>
      </c>
      <c r="D686" s="1">
        <v>0.65516365740740745</v>
      </c>
      <c r="E686" s="1">
        <f>Table1468[[#This Row],[Time]]-TIME(0,0,11)</f>
        <v>0.65503634259259269</v>
      </c>
      <c r="F686" t="s">
        <v>9</v>
      </c>
      <c r="G686" t="s">
        <v>39</v>
      </c>
      <c r="H686" s="21">
        <f t="shared" si="111"/>
        <v>-114</v>
      </c>
      <c r="I686">
        <v>-7.7</v>
      </c>
      <c r="L686">
        <f>160+2*(Table2579[[#This Row],[min value (corrected)]]-23)</f>
        <v>178</v>
      </c>
      <c r="M686">
        <f>MINUTE(Table2579[[#This Row],[Corrected time]])</f>
        <v>32</v>
      </c>
      <c r="N686" s="1">
        <v>0.64763465277777776</v>
      </c>
      <c r="O686" s="1">
        <f>Table2579[[#This Row],[Time]]-TIME(0,0,10)</f>
        <v>0.64751891203703704</v>
      </c>
      <c r="P686" t="s">
        <v>13</v>
      </c>
      <c r="Q686">
        <f t="shared" si="116"/>
        <v>-114</v>
      </c>
      <c r="R686" s="21">
        <f>Table2579[[#This Row],[RSSI]]</f>
        <v>-114</v>
      </c>
      <c r="S686">
        <f t="shared" si="117"/>
        <v>-8.8000000000000007</v>
      </c>
    </row>
    <row r="687" spans="2:19" x14ac:dyDescent="0.25">
      <c r="B687">
        <f>160+2*(Table1468[[#This Row],[min value (corrected)]]-32)</f>
        <v>182</v>
      </c>
      <c r="C687">
        <f>MINUTE(Table1468[[#This Row],[Corrected time]])</f>
        <v>43</v>
      </c>
      <c r="D687" s="1">
        <v>0.65517585648148147</v>
      </c>
      <c r="E687" s="1">
        <f>Table1468[[#This Row],[Time]]-TIME(0,0,11)</f>
        <v>0.65504854166666671</v>
      </c>
      <c r="F687" t="s">
        <v>9</v>
      </c>
      <c r="G687" t="s">
        <v>39</v>
      </c>
      <c r="H687" s="21">
        <f t="shared" si="111"/>
        <v>-114</v>
      </c>
      <c r="I687">
        <v>-9.5</v>
      </c>
      <c r="L687">
        <f>160+2*(Table2579[[#This Row],[min value (corrected)]]-23)</f>
        <v>178</v>
      </c>
      <c r="M687">
        <f>MINUTE(Table2579[[#This Row],[Corrected time]])</f>
        <v>32</v>
      </c>
      <c r="N687" s="1">
        <v>0.64764685185185189</v>
      </c>
      <c r="O687" s="1">
        <f>Table2579[[#This Row],[Time]]-TIME(0,0,10)</f>
        <v>0.64753111111111117</v>
      </c>
      <c r="P687" t="s">
        <v>9</v>
      </c>
      <c r="Q687">
        <v>-114</v>
      </c>
      <c r="R687" s="21">
        <f>Table2579[[#This Row],[RSSI]]</f>
        <v>-114</v>
      </c>
      <c r="S687">
        <v>-8.5</v>
      </c>
    </row>
    <row r="688" spans="2:19" x14ac:dyDescent="0.25">
      <c r="B688">
        <f>160+2*(Table1468[[#This Row],[min value (corrected)]]-32)</f>
        <v>182</v>
      </c>
      <c r="C688">
        <f>MINUTE(Table1468[[#This Row],[Corrected time]])</f>
        <v>43</v>
      </c>
      <c r="D688" s="1">
        <v>0.65518804398148156</v>
      </c>
      <c r="E688" s="1">
        <f>Table1468[[#This Row],[Time]]-TIME(0,0,11)</f>
        <v>0.6550607291666668</v>
      </c>
      <c r="F688" t="s">
        <v>9</v>
      </c>
      <c r="G688" t="s">
        <v>37</v>
      </c>
      <c r="H688" s="21">
        <f t="shared" si="111"/>
        <v>-113</v>
      </c>
      <c r="I688">
        <v>-8.3000000000000007</v>
      </c>
      <c r="L688">
        <f>160+2*(Table2579[[#This Row],[min value (corrected)]]-23)</f>
        <v>178</v>
      </c>
      <c r="M688">
        <f>MINUTE(Table2579[[#This Row],[Corrected time]])</f>
        <v>32</v>
      </c>
      <c r="N688" s="1">
        <v>0.64765902777777773</v>
      </c>
      <c r="O688" s="1">
        <f>Table2579[[#This Row],[Time]]-TIME(0,0,10)</f>
        <v>0.64754328703703701</v>
      </c>
      <c r="P688" t="s">
        <v>13</v>
      </c>
      <c r="Q688">
        <f>Q687</f>
        <v>-114</v>
      </c>
      <c r="R688" s="21">
        <f>Table2579[[#This Row],[RSSI]]</f>
        <v>-114</v>
      </c>
      <c r="S688">
        <f>S687</f>
        <v>-8.5</v>
      </c>
    </row>
    <row r="689" spans="2:19" x14ac:dyDescent="0.25">
      <c r="B689">
        <f>160+2*(Table1468[[#This Row],[min value (corrected)]]-32)</f>
        <v>182</v>
      </c>
      <c r="C689">
        <f>MINUTE(Table1468[[#This Row],[Corrected time]])</f>
        <v>43</v>
      </c>
      <c r="D689" s="1">
        <v>0.65520023148148154</v>
      </c>
      <c r="E689" s="1">
        <f>Table1468[[#This Row],[Time]]-TIME(0,0,11)</f>
        <v>0.65507291666666678</v>
      </c>
      <c r="F689" t="s">
        <v>9</v>
      </c>
      <c r="G689" t="s">
        <v>39</v>
      </c>
      <c r="H689" s="21">
        <f t="shared" si="111"/>
        <v>-114</v>
      </c>
      <c r="I689">
        <v>-9</v>
      </c>
      <c r="L689">
        <f>160+2*(Table2579[[#This Row],[min value (corrected)]]-23)</f>
        <v>178</v>
      </c>
      <c r="M689">
        <f>MINUTE(Table2579[[#This Row],[Corrected time]])</f>
        <v>32</v>
      </c>
      <c r="N689" s="1">
        <v>0.64767120370370368</v>
      </c>
      <c r="O689" s="1">
        <f>Table2579[[#This Row],[Time]]-TIME(0,0,10)</f>
        <v>0.64755546296296296</v>
      </c>
      <c r="P689" t="s">
        <v>9</v>
      </c>
      <c r="Q689">
        <v>-113</v>
      </c>
      <c r="R689" s="21">
        <f>Table2579[[#This Row],[RSSI]]</f>
        <v>-113</v>
      </c>
      <c r="S689">
        <v>-7.7</v>
      </c>
    </row>
    <row r="690" spans="2:19" x14ac:dyDescent="0.25">
      <c r="B690">
        <f>160+2*(Table1468[[#This Row],[min value (corrected)]]-32)</f>
        <v>182</v>
      </c>
      <c r="C690">
        <f>MINUTE(Table1468[[#This Row],[Corrected time]])</f>
        <v>43</v>
      </c>
      <c r="D690" s="1">
        <v>0.65521240740740738</v>
      </c>
      <c r="E690" s="1">
        <f>Table1468[[#This Row],[Time]]-TIME(0,0,11)</f>
        <v>0.65508509259259262</v>
      </c>
      <c r="F690" t="s">
        <v>13</v>
      </c>
      <c r="G690" t="str">
        <f>G689</f>
        <v>-114.0,</v>
      </c>
      <c r="H690" s="21">
        <f t="shared" si="111"/>
        <v>-114</v>
      </c>
      <c r="I690">
        <f>I689</f>
        <v>-9</v>
      </c>
      <c r="L690">
        <f>160+2*(Table2579[[#This Row],[min value (corrected)]]-23)</f>
        <v>178</v>
      </c>
      <c r="M690">
        <f>MINUTE(Table2579[[#This Row],[Corrected time]])</f>
        <v>32</v>
      </c>
      <c r="N690" s="1">
        <v>0.64768341435185184</v>
      </c>
      <c r="O690" s="1">
        <f>Table2579[[#This Row],[Time]]-TIME(0,0,10)</f>
        <v>0.64756767361111112</v>
      </c>
      <c r="P690" t="s">
        <v>9</v>
      </c>
      <c r="Q690">
        <v>-114</v>
      </c>
      <c r="R690" s="21">
        <f>Table2579[[#This Row],[RSSI]]</f>
        <v>-114</v>
      </c>
      <c r="S690">
        <v>-9.5</v>
      </c>
    </row>
    <row r="691" spans="2:19" x14ac:dyDescent="0.25">
      <c r="B691">
        <f>160+2*(Table1468[[#This Row],[min value (corrected)]]-32)</f>
        <v>182</v>
      </c>
      <c r="C691">
        <f>MINUTE(Table1468[[#This Row],[Corrected time]])</f>
        <v>43</v>
      </c>
      <c r="D691" s="1">
        <v>0.65522460648148151</v>
      </c>
      <c r="E691" s="1">
        <f>Table1468[[#This Row],[Time]]-TIME(0,0,11)</f>
        <v>0.65509729166666675</v>
      </c>
      <c r="F691" t="s">
        <v>9</v>
      </c>
      <c r="G691" t="s">
        <v>39</v>
      </c>
      <c r="H691" s="21">
        <f t="shared" si="111"/>
        <v>-114</v>
      </c>
      <c r="I691">
        <v>-8.5</v>
      </c>
      <c r="L691">
        <f>160+2*(Table2579[[#This Row],[min value (corrected)]]-23)</f>
        <v>178</v>
      </c>
      <c r="M691">
        <f>MINUTE(Table2579[[#This Row],[Corrected time]])</f>
        <v>32</v>
      </c>
      <c r="N691" s="1">
        <v>0.64769559027777779</v>
      </c>
      <c r="O691" s="1">
        <f>Table2579[[#This Row],[Time]]-TIME(0,0,10)</f>
        <v>0.64757984953703707</v>
      </c>
      <c r="P691" t="s">
        <v>9</v>
      </c>
      <c r="Q691">
        <v>-113</v>
      </c>
      <c r="R691" s="21">
        <f>Table2579[[#This Row],[RSSI]]</f>
        <v>-113</v>
      </c>
      <c r="S691">
        <v>-8.5</v>
      </c>
    </row>
    <row r="692" spans="2:19" x14ac:dyDescent="0.25">
      <c r="B692">
        <f>160+2*(Table1468[[#This Row],[min value (corrected)]]-32)</f>
        <v>182</v>
      </c>
      <c r="C692">
        <f>MINUTE(Table1468[[#This Row],[Corrected time]])</f>
        <v>43</v>
      </c>
      <c r="D692" s="1">
        <v>0.65523679398148149</v>
      </c>
      <c r="E692" s="1">
        <f>Table1468[[#This Row],[Time]]-TIME(0,0,11)</f>
        <v>0.65510947916666673</v>
      </c>
      <c r="F692" t="s">
        <v>9</v>
      </c>
      <c r="G692" t="s">
        <v>39</v>
      </c>
      <c r="H692" s="21">
        <f t="shared" si="111"/>
        <v>-114</v>
      </c>
      <c r="I692">
        <v>-8.5</v>
      </c>
      <c r="L692">
        <f>160+2*(Table2579[[#This Row],[min value (corrected)]]-23)</f>
        <v>178</v>
      </c>
      <c r="M692">
        <f>MINUTE(Table2579[[#This Row],[Corrected time]])</f>
        <v>32</v>
      </c>
      <c r="N692" s="1">
        <v>0.64770777777777777</v>
      </c>
      <c r="O692" s="1">
        <f>Table2579[[#This Row],[Time]]-TIME(0,0,10)</f>
        <v>0.64759203703703705</v>
      </c>
      <c r="P692" t="s">
        <v>9</v>
      </c>
      <c r="Q692">
        <v>-114</v>
      </c>
      <c r="R692" s="21">
        <f>Table2579[[#This Row],[RSSI]]</f>
        <v>-114</v>
      </c>
      <c r="S692">
        <v>-8</v>
      </c>
    </row>
    <row r="693" spans="2:19" x14ac:dyDescent="0.25">
      <c r="B693">
        <f>160+2*(Table1468[[#This Row],[min value (corrected)]]-32)</f>
        <v>182</v>
      </c>
      <c r="C693">
        <f>MINUTE(Table1468[[#This Row],[Corrected time]])</f>
        <v>43</v>
      </c>
      <c r="D693" s="1">
        <v>0.65524898148148147</v>
      </c>
      <c r="E693" s="1">
        <f>Table1468[[#This Row],[Time]]-TIME(0,0,11)</f>
        <v>0.65512166666666671</v>
      </c>
      <c r="F693" t="s">
        <v>9</v>
      </c>
      <c r="G693" t="s">
        <v>39</v>
      </c>
      <c r="H693" s="21">
        <f t="shared" si="111"/>
        <v>-114</v>
      </c>
      <c r="I693">
        <v>-8.8000000000000007</v>
      </c>
      <c r="L693">
        <f>160+2*(Table2579[[#This Row],[min value (corrected)]]-23)</f>
        <v>178</v>
      </c>
      <c r="M693">
        <f>MINUTE(Table2579[[#This Row],[Corrected time]])</f>
        <v>32</v>
      </c>
      <c r="N693" s="1">
        <v>0.64771996527777775</v>
      </c>
      <c r="O693" s="1">
        <f>Table2579[[#This Row],[Time]]-TIME(0,0,10)</f>
        <v>0.64760422453703703</v>
      </c>
      <c r="P693" t="s">
        <v>9</v>
      </c>
      <c r="Q693">
        <v>-114</v>
      </c>
      <c r="R693" s="21">
        <f>Table2579[[#This Row],[RSSI]]</f>
        <v>-114</v>
      </c>
      <c r="S693">
        <v>-8.8000000000000007</v>
      </c>
    </row>
    <row r="694" spans="2:19" x14ac:dyDescent="0.25">
      <c r="B694">
        <f>160+2*(Table1468[[#This Row],[min value (corrected)]]-32)</f>
        <v>182</v>
      </c>
      <c r="C694">
        <f>MINUTE(Table1468[[#This Row],[Corrected time]])</f>
        <v>43</v>
      </c>
      <c r="D694" s="1">
        <v>0.65526116898148146</v>
      </c>
      <c r="E694" s="1">
        <f>Table1468[[#This Row],[Time]]-TIME(0,0,11)</f>
        <v>0.6551338541666667</v>
      </c>
      <c r="F694" t="s">
        <v>9</v>
      </c>
      <c r="G694" t="s">
        <v>40</v>
      </c>
      <c r="H694" s="21">
        <f t="shared" si="111"/>
        <v>-112</v>
      </c>
      <c r="I694">
        <v>-8.8000000000000007</v>
      </c>
      <c r="L694">
        <f>160+2*(Table2579[[#This Row],[min value (corrected)]]-23)</f>
        <v>178</v>
      </c>
      <c r="M694">
        <f>MINUTE(Table2579[[#This Row],[Corrected time]])</f>
        <v>32</v>
      </c>
      <c r="N694" s="1">
        <v>0.64773215277777774</v>
      </c>
      <c r="O694" s="1">
        <f>Table2579[[#This Row],[Time]]-TIME(0,0,10)</f>
        <v>0.64761641203703701</v>
      </c>
      <c r="P694" t="s">
        <v>9</v>
      </c>
      <c r="Q694">
        <v>-113</v>
      </c>
      <c r="R694" s="21">
        <f>Table2579[[#This Row],[RSSI]]</f>
        <v>-113</v>
      </c>
      <c r="S694">
        <v>-8.3000000000000007</v>
      </c>
    </row>
    <row r="695" spans="2:19" x14ac:dyDescent="0.25">
      <c r="B695">
        <f>160+2*(Table1468[[#This Row],[min value (corrected)]]-32)</f>
        <v>182</v>
      </c>
      <c r="C695">
        <f>MINUTE(Table1468[[#This Row],[Corrected time]])</f>
        <v>43</v>
      </c>
      <c r="D695" s="1">
        <v>0.65527333333333337</v>
      </c>
      <c r="E695" s="1">
        <f>Table1468[[#This Row],[Time]]-TIME(0,0,11)</f>
        <v>0.65514601851851861</v>
      </c>
      <c r="F695" t="s">
        <v>9</v>
      </c>
      <c r="G695" t="s">
        <v>39</v>
      </c>
      <c r="H695" s="21">
        <f t="shared" si="111"/>
        <v>-114</v>
      </c>
      <c r="I695">
        <v>-8.3000000000000007</v>
      </c>
      <c r="L695">
        <f>160+2*(Table2579[[#This Row],[min value (corrected)]]-23)</f>
        <v>178</v>
      </c>
      <c r="M695">
        <f>MINUTE(Table2579[[#This Row],[Corrected time]])</f>
        <v>32</v>
      </c>
      <c r="N695" s="1">
        <v>0.64774434027777772</v>
      </c>
      <c r="O695" s="1">
        <f>Table2579[[#This Row],[Time]]-TIME(0,0,10)</f>
        <v>0.647628599537037</v>
      </c>
      <c r="P695" t="s">
        <v>9</v>
      </c>
      <c r="Q695">
        <v>-112</v>
      </c>
      <c r="R695" s="21">
        <f>Table2579[[#This Row],[RSSI]]</f>
        <v>-112</v>
      </c>
      <c r="S695">
        <v>-8</v>
      </c>
    </row>
    <row r="696" spans="2:19" x14ac:dyDescent="0.25">
      <c r="B696">
        <f>160+2*(Table1468[[#This Row],[min value (corrected)]]-32)</f>
        <v>182</v>
      </c>
      <c r="C696">
        <f>MINUTE(Table1468[[#This Row],[Corrected time]])</f>
        <v>43</v>
      </c>
      <c r="D696" s="1">
        <v>0.65528554398148153</v>
      </c>
      <c r="E696" s="1">
        <f>Table1468[[#This Row],[Time]]-TIME(0,0,11)</f>
        <v>0.65515822916666677</v>
      </c>
      <c r="F696" t="s">
        <v>9</v>
      </c>
      <c r="G696" t="s">
        <v>37</v>
      </c>
      <c r="H696" s="21">
        <f t="shared" si="111"/>
        <v>-113</v>
      </c>
      <c r="I696">
        <v>-8.8000000000000007</v>
      </c>
      <c r="L696">
        <f>160+2*(Table2579[[#This Row],[min value (corrected)]]-23)</f>
        <v>178</v>
      </c>
      <c r="M696">
        <f>MINUTE(Table2579[[#This Row],[Corrected time]])</f>
        <v>32</v>
      </c>
      <c r="N696" s="1">
        <v>0.64775653935185185</v>
      </c>
      <c r="O696" s="1">
        <f>Table2579[[#This Row],[Time]]-TIME(0,0,10)</f>
        <v>0.64764079861111112</v>
      </c>
      <c r="P696" t="s">
        <v>9</v>
      </c>
      <c r="Q696">
        <v>-114</v>
      </c>
      <c r="R696" s="21">
        <f>Table2579[[#This Row],[RSSI]]</f>
        <v>-114</v>
      </c>
      <c r="S696">
        <v>-8.3000000000000007</v>
      </c>
    </row>
    <row r="697" spans="2:19" x14ac:dyDescent="0.25">
      <c r="B697">
        <f>160+2*(Table1468[[#This Row],[min value (corrected)]]-32)</f>
        <v>182</v>
      </c>
      <c r="C697">
        <f>MINUTE(Table1468[[#This Row],[Corrected time]])</f>
        <v>43</v>
      </c>
      <c r="D697" s="1">
        <v>0.65529771990740737</v>
      </c>
      <c r="E697" s="1">
        <f>Table1468[[#This Row],[Time]]-TIME(0,0,11)</f>
        <v>0.65517040509259261</v>
      </c>
      <c r="F697" t="s">
        <v>9</v>
      </c>
      <c r="G697" t="s">
        <v>39</v>
      </c>
      <c r="H697" s="21">
        <f t="shared" si="111"/>
        <v>-114</v>
      </c>
      <c r="I697">
        <v>-8.3000000000000007</v>
      </c>
      <c r="L697">
        <f>160+2*(Table2579[[#This Row],[min value (corrected)]]-23)</f>
        <v>178</v>
      </c>
      <c r="M697">
        <f>MINUTE(Table2579[[#This Row],[Corrected time]])</f>
        <v>32</v>
      </c>
      <c r="N697" s="1">
        <v>0.6477687152777778</v>
      </c>
      <c r="O697" s="1">
        <f>Table2579[[#This Row],[Time]]-TIME(0,0,10)</f>
        <v>0.64765297453703707</v>
      </c>
      <c r="P697" t="s">
        <v>9</v>
      </c>
      <c r="Q697">
        <v>-113</v>
      </c>
      <c r="R697" s="21">
        <f>Table2579[[#This Row],[RSSI]]</f>
        <v>-113</v>
      </c>
      <c r="S697">
        <v>-8</v>
      </c>
    </row>
    <row r="698" spans="2:19" x14ac:dyDescent="0.25">
      <c r="B698">
        <f>160+2*(Table1468[[#This Row],[min value (corrected)]]-32)</f>
        <v>182</v>
      </c>
      <c r="C698">
        <f>MINUTE(Table1468[[#This Row],[Corrected time]])</f>
        <v>43</v>
      </c>
      <c r="D698" s="1">
        <v>0.6553099189814815</v>
      </c>
      <c r="E698" s="1">
        <f>Table1468[[#This Row],[Time]]-TIME(0,0,11)</f>
        <v>0.65518260416666674</v>
      </c>
      <c r="F698" t="s">
        <v>9</v>
      </c>
      <c r="G698" t="s">
        <v>39</v>
      </c>
      <c r="H698" s="21">
        <f t="shared" si="111"/>
        <v>-114</v>
      </c>
      <c r="I698">
        <v>-9</v>
      </c>
      <c r="L698">
        <f>160+2*(Table2579[[#This Row],[min value (corrected)]]-23)</f>
        <v>178</v>
      </c>
      <c r="M698">
        <f>MINUTE(Table2579[[#This Row],[Corrected time]])</f>
        <v>32</v>
      </c>
      <c r="N698" s="1">
        <v>0.64778089120370375</v>
      </c>
      <c r="O698" s="1">
        <f>Table2579[[#This Row],[Time]]-TIME(0,0,10)</f>
        <v>0.64766515046296302</v>
      </c>
      <c r="P698" t="s">
        <v>9</v>
      </c>
      <c r="Q698">
        <v>-115</v>
      </c>
      <c r="R698" s="21">
        <f>Table2579[[#This Row],[RSSI]]</f>
        <v>-115</v>
      </c>
      <c r="S698">
        <v>-9</v>
      </c>
    </row>
    <row r="699" spans="2:19" x14ac:dyDescent="0.25">
      <c r="B699">
        <f>160+2*(Table1468[[#This Row],[min value (corrected)]]-32)</f>
        <v>182</v>
      </c>
      <c r="C699">
        <f>MINUTE(Table1468[[#This Row],[Corrected time]])</f>
        <v>43</v>
      </c>
      <c r="D699" s="1">
        <v>0.65532209490740734</v>
      </c>
      <c r="E699" s="1">
        <f>Table1468[[#This Row],[Time]]-TIME(0,0,11)</f>
        <v>0.65519478009259258</v>
      </c>
      <c r="F699" t="s">
        <v>9</v>
      </c>
      <c r="G699" t="s">
        <v>39</v>
      </c>
      <c r="H699" s="21">
        <f t="shared" si="111"/>
        <v>-114</v>
      </c>
      <c r="I699">
        <v>-8.3000000000000007</v>
      </c>
      <c r="L699">
        <f>160+2*(Table2579[[#This Row],[min value (corrected)]]-23)</f>
        <v>178</v>
      </c>
      <c r="M699">
        <f>MINUTE(Table2579[[#This Row],[Corrected time]])</f>
        <v>32</v>
      </c>
      <c r="N699" s="1">
        <v>0.6477931018518519</v>
      </c>
      <c r="O699" s="1">
        <f>Table2579[[#This Row],[Time]]-TIME(0,0,10)</f>
        <v>0.64767736111111118</v>
      </c>
      <c r="P699" t="s">
        <v>9</v>
      </c>
      <c r="Q699">
        <v>-114</v>
      </c>
      <c r="R699" s="21">
        <f>Table2579[[#This Row],[RSSI]]</f>
        <v>-114</v>
      </c>
      <c r="S699">
        <v>-9.5</v>
      </c>
    </row>
    <row r="700" spans="2:19" x14ac:dyDescent="0.25">
      <c r="B700">
        <f>160+2*(Table1468[[#This Row],[min value (corrected)]]-32)</f>
        <v>182</v>
      </c>
      <c r="C700">
        <f>MINUTE(Table1468[[#This Row],[Corrected time]])</f>
        <v>43</v>
      </c>
      <c r="D700" s="1">
        <v>0.65533429398148146</v>
      </c>
      <c r="E700" s="1">
        <f>Table1468[[#This Row],[Time]]-TIME(0,0,11)</f>
        <v>0.6552069791666667</v>
      </c>
      <c r="F700" t="s">
        <v>9</v>
      </c>
      <c r="G700" t="s">
        <v>39</v>
      </c>
      <c r="H700" s="21">
        <f t="shared" si="111"/>
        <v>-114</v>
      </c>
      <c r="I700">
        <v>-9</v>
      </c>
      <c r="L700">
        <f>160+2*(Table2579[[#This Row],[min value (corrected)]]-23)</f>
        <v>178</v>
      </c>
      <c r="M700">
        <f>MINUTE(Table2579[[#This Row],[Corrected time]])</f>
        <v>32</v>
      </c>
      <c r="N700" s="1">
        <v>0.64780527777777774</v>
      </c>
      <c r="O700" s="1">
        <f>Table2579[[#This Row],[Time]]-TIME(0,0,10)</f>
        <v>0.64768953703703702</v>
      </c>
      <c r="P700" t="s">
        <v>9</v>
      </c>
      <c r="Q700">
        <v>-114</v>
      </c>
      <c r="R700" s="21">
        <f>Table2579[[#This Row],[RSSI]]</f>
        <v>-114</v>
      </c>
      <c r="S700">
        <v>-8.3000000000000007</v>
      </c>
    </row>
    <row r="701" spans="2:19" x14ac:dyDescent="0.25">
      <c r="B701">
        <f>160+2*(Table1468[[#This Row],[min value (corrected)]]-32)</f>
        <v>182</v>
      </c>
      <c r="C701">
        <f>MINUTE(Table1468[[#This Row],[Corrected time]])</f>
        <v>43</v>
      </c>
      <c r="D701" s="1">
        <v>0.65534648148148145</v>
      </c>
      <c r="E701" s="1">
        <f>Table1468[[#This Row],[Time]]-TIME(0,0,11)</f>
        <v>0.65521916666666669</v>
      </c>
      <c r="F701" t="s">
        <v>9</v>
      </c>
      <c r="G701" t="s">
        <v>37</v>
      </c>
      <c r="H701" s="21">
        <f t="shared" si="111"/>
        <v>-113</v>
      </c>
      <c r="I701">
        <v>-9</v>
      </c>
      <c r="L701">
        <f>160+2*(Table2579[[#This Row],[min value (corrected)]]-23)</f>
        <v>178</v>
      </c>
      <c r="M701">
        <f>MINUTE(Table2579[[#This Row],[Corrected time]])</f>
        <v>32</v>
      </c>
      <c r="N701" s="1">
        <v>0.64781746527777773</v>
      </c>
      <c r="O701" s="1">
        <f>Table2579[[#This Row],[Time]]-TIME(0,0,10)</f>
        <v>0.647701724537037</v>
      </c>
      <c r="P701" t="s">
        <v>9</v>
      </c>
      <c r="Q701">
        <v>-114</v>
      </c>
      <c r="R701" s="21">
        <f>Table2579[[#This Row],[RSSI]]</f>
        <v>-114</v>
      </c>
      <c r="S701">
        <v>-8.5</v>
      </c>
    </row>
    <row r="702" spans="2:19" x14ac:dyDescent="0.25">
      <c r="B702">
        <f>160+2*(Table1468[[#This Row],[min value (corrected)]]-32)</f>
        <v>182</v>
      </c>
      <c r="C702">
        <f>MINUTE(Table1468[[#This Row],[Corrected time]])</f>
        <v>43</v>
      </c>
      <c r="D702" s="1">
        <v>0.6553586574074074</v>
      </c>
      <c r="E702" s="1">
        <f>Table1468[[#This Row],[Time]]-TIME(0,0,11)</f>
        <v>0.65523134259259264</v>
      </c>
      <c r="F702" t="s">
        <v>9</v>
      </c>
      <c r="G702" t="s">
        <v>37</v>
      </c>
      <c r="H702" s="21">
        <f t="shared" si="111"/>
        <v>-113</v>
      </c>
      <c r="I702">
        <v>-8</v>
      </c>
      <c r="L702">
        <f>160+2*(Table2579[[#This Row],[min value (corrected)]]-23)</f>
        <v>178</v>
      </c>
      <c r="M702">
        <f>MINUTE(Table2579[[#This Row],[Corrected time]])</f>
        <v>32</v>
      </c>
      <c r="N702" s="1">
        <v>0.64782965277777782</v>
      </c>
      <c r="O702" s="1">
        <f>Table2579[[#This Row],[Time]]-TIME(0,0,10)</f>
        <v>0.6477139120370371</v>
      </c>
      <c r="P702" t="s">
        <v>9</v>
      </c>
      <c r="Q702">
        <v>-113</v>
      </c>
      <c r="R702" s="21">
        <f>Table2579[[#This Row],[RSSI]]</f>
        <v>-113</v>
      </c>
      <c r="S702">
        <v>-8.3000000000000007</v>
      </c>
    </row>
    <row r="703" spans="2:19" x14ac:dyDescent="0.25">
      <c r="B703">
        <f>160+2*(Table1468[[#This Row],[min value (corrected)]]-32)</f>
        <v>182</v>
      </c>
      <c r="C703">
        <f>MINUTE(Table1468[[#This Row],[Corrected time]])</f>
        <v>43</v>
      </c>
      <c r="D703" s="1">
        <v>0.65537084490740738</v>
      </c>
      <c r="E703" s="1">
        <f>Table1468[[#This Row],[Time]]-TIME(0,0,11)</f>
        <v>0.65524353009259262</v>
      </c>
      <c r="F703" t="s">
        <v>9</v>
      </c>
      <c r="G703" t="s">
        <v>39</v>
      </c>
      <c r="H703" s="21">
        <f t="shared" si="111"/>
        <v>-114</v>
      </c>
      <c r="I703">
        <v>-8</v>
      </c>
      <c r="L703">
        <f>160+2*(Table2579[[#This Row],[min value (corrected)]]-23)</f>
        <v>178</v>
      </c>
      <c r="M703">
        <f>MINUTE(Table2579[[#This Row],[Corrected time]])</f>
        <v>32</v>
      </c>
      <c r="N703" s="1">
        <v>0.64784185185185184</v>
      </c>
      <c r="O703" s="1">
        <f>Table2579[[#This Row],[Time]]-TIME(0,0,10)</f>
        <v>0.64772611111111111</v>
      </c>
      <c r="P703" t="s">
        <v>13</v>
      </c>
      <c r="Q703">
        <f t="shared" ref="Q703:Q704" si="118">Q702</f>
        <v>-113</v>
      </c>
      <c r="R703" s="21">
        <f>Table2579[[#This Row],[RSSI]]</f>
        <v>-113</v>
      </c>
      <c r="S703">
        <f t="shared" ref="S703:S704" si="119">S702</f>
        <v>-8.3000000000000007</v>
      </c>
    </row>
    <row r="704" spans="2:19" x14ac:dyDescent="0.25">
      <c r="B704">
        <f>160+2*(Table1468[[#This Row],[min value (corrected)]]-32)</f>
        <v>182</v>
      </c>
      <c r="C704">
        <f>MINUTE(Table1468[[#This Row],[Corrected time]])</f>
        <v>43</v>
      </c>
      <c r="D704" s="1">
        <v>0.65538303240740736</v>
      </c>
      <c r="E704" s="1">
        <f>Table1468[[#This Row],[Time]]-TIME(0,0,11)</f>
        <v>0.6552557175925926</v>
      </c>
      <c r="F704" t="s">
        <v>27</v>
      </c>
      <c r="G704" t="str">
        <f>G703</f>
        <v>-114.0,</v>
      </c>
      <c r="H704" s="21">
        <f t="shared" si="111"/>
        <v>-114</v>
      </c>
      <c r="I704">
        <f>I703</f>
        <v>-8</v>
      </c>
      <c r="L704">
        <f>160+2*(Table2579[[#This Row],[min value (corrected)]]-23)</f>
        <v>178</v>
      </c>
      <c r="M704">
        <f>MINUTE(Table2579[[#This Row],[Corrected time]])</f>
        <v>32</v>
      </c>
      <c r="N704" s="1">
        <v>0.64785403935185182</v>
      </c>
      <c r="O704" s="1">
        <f>Table2579[[#This Row],[Time]]-TIME(0,0,10)</f>
        <v>0.6477382986111111</v>
      </c>
      <c r="P704" t="s">
        <v>13</v>
      </c>
      <c r="Q704">
        <f t="shared" si="118"/>
        <v>-113</v>
      </c>
      <c r="R704" s="21">
        <f>Table2579[[#This Row],[RSSI]]</f>
        <v>-113</v>
      </c>
      <c r="S704">
        <f t="shared" si="119"/>
        <v>-8.3000000000000007</v>
      </c>
    </row>
    <row r="705" spans="2:19" x14ac:dyDescent="0.25">
      <c r="B705">
        <f>160+2*(Table1468[[#This Row],[min value (corrected)]]-32)</f>
        <v>182</v>
      </c>
      <c r="C705">
        <f>MINUTE(Table1468[[#This Row],[Corrected time]])</f>
        <v>43</v>
      </c>
      <c r="D705" s="1">
        <v>0.65538303240740736</v>
      </c>
      <c r="E705" s="1">
        <f>Table1468[[#This Row],[Time]]-TIME(0,0,11)</f>
        <v>0.6552557175925926</v>
      </c>
      <c r="F705" t="s">
        <v>9</v>
      </c>
      <c r="G705" t="s">
        <v>37</v>
      </c>
      <c r="H705" s="21">
        <f t="shared" si="111"/>
        <v>-113</v>
      </c>
      <c r="I705">
        <v>-7.7</v>
      </c>
      <c r="L705">
        <f>160+2*(Table2579[[#This Row],[min value (corrected)]]-23)</f>
        <v>178</v>
      </c>
      <c r="M705">
        <f>MINUTE(Table2579[[#This Row],[Corrected time]])</f>
        <v>32</v>
      </c>
      <c r="N705" s="1">
        <v>0.64786621527777777</v>
      </c>
      <c r="O705" s="1">
        <f>Table2579[[#This Row],[Time]]-TIME(0,0,10)</f>
        <v>0.64775047453703705</v>
      </c>
      <c r="P705" t="s">
        <v>9</v>
      </c>
      <c r="Q705">
        <v>-113</v>
      </c>
      <c r="R705" s="21">
        <f>Table2579[[#This Row],[RSSI]]</f>
        <v>-113</v>
      </c>
      <c r="S705">
        <v>-8.3000000000000007</v>
      </c>
    </row>
    <row r="706" spans="2:19" x14ac:dyDescent="0.25">
      <c r="B706">
        <f>160+2*(Table1468[[#This Row],[min value (corrected)]]-32)</f>
        <v>182</v>
      </c>
      <c r="C706">
        <f>MINUTE(Table1468[[#This Row],[Corrected time]])</f>
        <v>43</v>
      </c>
      <c r="D706" s="1">
        <v>0.65540741898148147</v>
      </c>
      <c r="E706" s="1">
        <f>Table1468[[#This Row],[Time]]-TIME(0,0,11)</f>
        <v>0.65528010416666671</v>
      </c>
      <c r="F706" t="s">
        <v>9</v>
      </c>
      <c r="G706" t="s">
        <v>39</v>
      </c>
      <c r="H706" s="21">
        <f t="shared" si="111"/>
        <v>-114</v>
      </c>
      <c r="I706">
        <v>-8.5</v>
      </c>
      <c r="L706">
        <f>160+2*(Table2579[[#This Row],[min value (corrected)]]-23)</f>
        <v>178</v>
      </c>
      <c r="M706">
        <f>MINUTE(Table2579[[#This Row],[Corrected time]])</f>
        <v>32</v>
      </c>
      <c r="N706" s="1">
        <v>0.64787839120370372</v>
      </c>
      <c r="O706" s="1">
        <f>Table2579[[#This Row],[Time]]-TIME(0,0,10)</f>
        <v>0.647762650462963</v>
      </c>
      <c r="P706" t="s">
        <v>9</v>
      </c>
      <c r="Q706">
        <v>-114</v>
      </c>
      <c r="R706" s="21">
        <f>Table2579[[#This Row],[RSSI]]</f>
        <v>-114</v>
      </c>
      <c r="S706">
        <v>-8.8000000000000007</v>
      </c>
    </row>
    <row r="707" spans="2:19" x14ac:dyDescent="0.25">
      <c r="B707">
        <f>160+2*(Table1468[[#This Row],[min value (corrected)]]-32)</f>
        <v>182</v>
      </c>
      <c r="C707">
        <f>MINUTE(Table1468[[#This Row],[Corrected time]])</f>
        <v>43</v>
      </c>
      <c r="D707" s="1">
        <v>0.65541960648148145</v>
      </c>
      <c r="E707" s="1">
        <f>Table1468[[#This Row],[Time]]-TIME(0,0,11)</f>
        <v>0.65529229166666669</v>
      </c>
      <c r="F707" t="s">
        <v>9</v>
      </c>
      <c r="G707" t="s">
        <v>37</v>
      </c>
      <c r="H707" s="21">
        <f t="shared" si="111"/>
        <v>-113</v>
      </c>
      <c r="I707">
        <v>-8</v>
      </c>
      <c r="L707">
        <f>160+2*(Table2579[[#This Row],[min value (corrected)]]-23)</f>
        <v>178</v>
      </c>
      <c r="M707">
        <f>MINUTE(Table2579[[#This Row],[Corrected time]])</f>
        <v>32</v>
      </c>
      <c r="N707" s="1">
        <v>0.64789059027777784</v>
      </c>
      <c r="O707" s="1">
        <f>Table2579[[#This Row],[Time]]-TIME(0,0,10)</f>
        <v>0.64777484953703712</v>
      </c>
      <c r="P707" t="s">
        <v>9</v>
      </c>
      <c r="Q707">
        <v>-114</v>
      </c>
      <c r="R707" s="21">
        <f>Table2579[[#This Row],[RSSI]]</f>
        <v>-114</v>
      </c>
      <c r="S707">
        <v>-8.5</v>
      </c>
    </row>
    <row r="708" spans="2:19" x14ac:dyDescent="0.25">
      <c r="B708">
        <f>160+2*(Table1468[[#This Row],[min value (corrected)]]-32)</f>
        <v>182</v>
      </c>
      <c r="C708">
        <f>MINUTE(Table1468[[#This Row],[Corrected time]])</f>
        <v>43</v>
      </c>
      <c r="D708" s="1">
        <v>0.6554317824074074</v>
      </c>
      <c r="E708" s="1">
        <f>Table1468[[#This Row],[Time]]-TIME(0,0,11)</f>
        <v>0.65530446759259264</v>
      </c>
      <c r="F708" t="s">
        <v>9</v>
      </c>
      <c r="G708" t="s">
        <v>39</v>
      </c>
      <c r="H708" s="21">
        <f t="shared" si="111"/>
        <v>-114</v>
      </c>
      <c r="I708">
        <v>-9.5</v>
      </c>
      <c r="L708">
        <f>160+2*(Table2579[[#This Row],[min value (corrected)]]-23)</f>
        <v>178</v>
      </c>
      <c r="M708">
        <f>MINUTE(Table2579[[#This Row],[Corrected time]])</f>
        <v>32</v>
      </c>
      <c r="N708" s="1">
        <v>0.64790277777777783</v>
      </c>
      <c r="O708" s="1">
        <f>Table2579[[#This Row],[Time]]-TIME(0,0,10)</f>
        <v>0.64778703703703711</v>
      </c>
      <c r="P708" t="s">
        <v>9</v>
      </c>
      <c r="Q708">
        <v>-113</v>
      </c>
      <c r="R708" s="21">
        <f>Table2579[[#This Row],[RSSI]]</f>
        <v>-113</v>
      </c>
      <c r="S708">
        <v>-8.8000000000000007</v>
      </c>
    </row>
    <row r="709" spans="2:19" x14ac:dyDescent="0.25">
      <c r="B709">
        <f>160+2*(Table1468[[#This Row],[min value (corrected)]]-32)</f>
        <v>182</v>
      </c>
      <c r="C709">
        <f>MINUTE(Table1468[[#This Row],[Corrected time]])</f>
        <v>43</v>
      </c>
      <c r="D709" s="1">
        <v>0.65544396990740739</v>
      </c>
      <c r="E709" s="1">
        <f>Table1468[[#This Row],[Time]]-TIME(0,0,11)</f>
        <v>0.65531665509259263</v>
      </c>
      <c r="F709" t="s">
        <v>9</v>
      </c>
      <c r="G709" t="s">
        <v>39</v>
      </c>
      <c r="H709" s="21">
        <f t="shared" si="111"/>
        <v>-114</v>
      </c>
      <c r="I709">
        <v>-8.5</v>
      </c>
      <c r="L709">
        <f>160+2*(Table2579[[#This Row],[min value (corrected)]]-23)</f>
        <v>178</v>
      </c>
      <c r="M709">
        <f>MINUTE(Table2579[[#This Row],[Corrected time]])</f>
        <v>32</v>
      </c>
      <c r="N709" s="1">
        <v>0.64791497685185184</v>
      </c>
      <c r="O709" s="1">
        <f>Table2579[[#This Row],[Time]]-TIME(0,0,10)</f>
        <v>0.64779923611111112</v>
      </c>
      <c r="P709" t="s">
        <v>9</v>
      </c>
      <c r="Q709">
        <v>-113</v>
      </c>
      <c r="R709" s="21">
        <f>Table2579[[#This Row],[RSSI]]</f>
        <v>-113</v>
      </c>
      <c r="S709">
        <v>-8.5</v>
      </c>
    </row>
    <row r="710" spans="2:19" x14ac:dyDescent="0.25">
      <c r="B710">
        <f>160+2*(Table1468[[#This Row],[min value (corrected)]]-32)</f>
        <v>182</v>
      </c>
      <c r="C710">
        <f>MINUTE(Table1468[[#This Row],[Corrected time]])</f>
        <v>43</v>
      </c>
      <c r="D710" s="1">
        <v>0.65545614583333334</v>
      </c>
      <c r="E710" s="1">
        <f>Table1468[[#This Row],[Time]]-TIME(0,0,11)</f>
        <v>0.65532883101851858</v>
      </c>
      <c r="F710" t="s">
        <v>13</v>
      </c>
      <c r="G710" t="str">
        <f>G709</f>
        <v>-114.0,</v>
      </c>
      <c r="H710" s="21">
        <f t="shared" si="111"/>
        <v>-114</v>
      </c>
      <c r="I710">
        <f>I709</f>
        <v>-8.5</v>
      </c>
      <c r="L710">
        <f>160+2*(Table2579[[#This Row],[min value (corrected)]]-23)</f>
        <v>178</v>
      </c>
      <c r="M710">
        <f>MINUTE(Table2579[[#This Row],[Corrected time]])</f>
        <v>32</v>
      </c>
      <c r="N710" s="1">
        <v>0.64792714120370365</v>
      </c>
      <c r="O710" s="1">
        <f>Table2579[[#This Row],[Time]]-TIME(0,0,10)</f>
        <v>0.64781140046296293</v>
      </c>
      <c r="P710" t="s">
        <v>9</v>
      </c>
      <c r="Q710">
        <v>-114</v>
      </c>
      <c r="R710" s="21">
        <f>Table2579[[#This Row],[RSSI]]</f>
        <v>-114</v>
      </c>
      <c r="S710">
        <v>-8.8000000000000007</v>
      </c>
    </row>
    <row r="711" spans="2:19" x14ac:dyDescent="0.25">
      <c r="B711">
        <f>160+2*(Table1468[[#This Row],[min value (corrected)]]-32)</f>
        <v>182</v>
      </c>
      <c r="C711">
        <f>MINUTE(Table1468[[#This Row],[Corrected time]])</f>
        <v>43</v>
      </c>
      <c r="D711" s="1">
        <v>0.6554683564814815</v>
      </c>
      <c r="E711" s="1">
        <f>Table1468[[#This Row],[Time]]-TIME(0,0,11)</f>
        <v>0.65534104166666673</v>
      </c>
      <c r="F711" t="s">
        <v>9</v>
      </c>
      <c r="G711" t="s">
        <v>39</v>
      </c>
      <c r="H711" s="21">
        <f t="shared" si="111"/>
        <v>-114</v>
      </c>
      <c r="I711">
        <v>-8.8000000000000007</v>
      </c>
      <c r="L711">
        <f>160+2*(Table2579[[#This Row],[min value (corrected)]]-23)</f>
        <v>178</v>
      </c>
      <c r="M711">
        <f>MINUTE(Table2579[[#This Row],[Corrected time]])</f>
        <v>32</v>
      </c>
      <c r="N711" s="1">
        <v>0.64793935185185181</v>
      </c>
      <c r="O711" s="1">
        <f>Table2579[[#This Row],[Time]]-TIME(0,0,10)</f>
        <v>0.64782361111111109</v>
      </c>
      <c r="P711" t="s">
        <v>9</v>
      </c>
      <c r="Q711">
        <v>-111</v>
      </c>
      <c r="R711" s="21">
        <f>Table2579[[#This Row],[RSSI]]</f>
        <v>-111</v>
      </c>
      <c r="S711">
        <v>-8.8000000000000007</v>
      </c>
    </row>
    <row r="712" spans="2:19" x14ac:dyDescent="0.25">
      <c r="B712">
        <f>160+2*(Table1468[[#This Row],[min value (corrected)]]-32)</f>
        <v>182</v>
      </c>
      <c r="C712">
        <f>MINUTE(Table1468[[#This Row],[Corrected time]])</f>
        <v>43</v>
      </c>
      <c r="D712" s="1">
        <v>0.65548053240740733</v>
      </c>
      <c r="E712" s="1">
        <f>Table1468[[#This Row],[Time]]-TIME(0,0,11)</f>
        <v>0.65535321759259257</v>
      </c>
      <c r="F712" t="s">
        <v>9</v>
      </c>
      <c r="G712" t="s">
        <v>39</v>
      </c>
      <c r="H712" s="21">
        <f t="shared" si="111"/>
        <v>-114</v>
      </c>
      <c r="I712">
        <v>-8.3000000000000007</v>
      </c>
      <c r="L712">
        <f>160+2*(Table2579[[#This Row],[min value (corrected)]]-23)</f>
        <v>178</v>
      </c>
      <c r="M712">
        <f>MINUTE(Table2579[[#This Row],[Corrected time]])</f>
        <v>32</v>
      </c>
      <c r="N712" s="1">
        <v>0.64795152777777776</v>
      </c>
      <c r="O712" s="1">
        <f>Table2579[[#This Row],[Time]]-TIME(0,0,10)</f>
        <v>0.64783578703703704</v>
      </c>
      <c r="P712" t="s">
        <v>9</v>
      </c>
      <c r="Q712">
        <v>-114</v>
      </c>
      <c r="R712" s="21">
        <f>Table2579[[#This Row],[RSSI]]</f>
        <v>-114</v>
      </c>
      <c r="S712">
        <v>-9.3000000000000007</v>
      </c>
    </row>
    <row r="713" spans="2:19" x14ac:dyDescent="0.25">
      <c r="B713">
        <f>160+2*(Table1468[[#This Row],[min value (corrected)]]-32)</f>
        <v>182</v>
      </c>
      <c r="C713">
        <f>MINUTE(Table1468[[#This Row],[Corrected time]])</f>
        <v>43</v>
      </c>
      <c r="D713" s="1">
        <v>0.65549273148148146</v>
      </c>
      <c r="E713" s="1">
        <f>Table1468[[#This Row],[Time]]-TIME(0,0,11)</f>
        <v>0.6553654166666667</v>
      </c>
      <c r="F713" t="s">
        <v>9</v>
      </c>
      <c r="G713" t="s">
        <v>39</v>
      </c>
      <c r="H713" s="21">
        <f t="shared" si="111"/>
        <v>-114</v>
      </c>
      <c r="I713">
        <v>-8.8000000000000007</v>
      </c>
      <c r="L713">
        <f>160+2*(Table2579[[#This Row],[min value (corrected)]]-23)</f>
        <v>178</v>
      </c>
      <c r="M713">
        <f>MINUTE(Table2579[[#This Row],[Corrected time]])</f>
        <v>32</v>
      </c>
      <c r="N713" s="1">
        <v>0.64796371527777785</v>
      </c>
      <c r="O713" s="1">
        <f>Table2579[[#This Row],[Time]]-TIME(0,0,10)</f>
        <v>0.64784797453703713</v>
      </c>
      <c r="P713" t="s">
        <v>9</v>
      </c>
      <c r="Q713">
        <v>-114</v>
      </c>
      <c r="R713" s="21">
        <f>Table2579[[#This Row],[RSSI]]</f>
        <v>-114</v>
      </c>
      <c r="S713">
        <v>-8.8000000000000007</v>
      </c>
    </row>
    <row r="714" spans="2:19" x14ac:dyDescent="0.25">
      <c r="B714">
        <f>160+2*(Table1468[[#This Row],[min value (corrected)]]-32)</f>
        <v>182</v>
      </c>
      <c r="C714">
        <f>MINUTE(Table1468[[#This Row],[Corrected time]])</f>
        <v>43</v>
      </c>
      <c r="D714" s="1">
        <v>0.65550490740740741</v>
      </c>
      <c r="E714" s="1">
        <f>Table1468[[#This Row],[Time]]-TIME(0,0,11)</f>
        <v>0.65537759259259265</v>
      </c>
      <c r="F714" t="s">
        <v>9</v>
      </c>
      <c r="G714" t="s">
        <v>43</v>
      </c>
      <c r="H714" s="21">
        <f t="shared" si="111"/>
        <v>-115</v>
      </c>
      <c r="I714">
        <v>-9.5</v>
      </c>
      <c r="L714">
        <f>160+2*(Table2579[[#This Row],[min value (corrected)]]-23)</f>
        <v>178</v>
      </c>
      <c r="M714">
        <f>MINUTE(Table2579[[#This Row],[Corrected time]])</f>
        <v>32</v>
      </c>
      <c r="N714" s="1">
        <v>0.64797590277777783</v>
      </c>
      <c r="O714" s="1">
        <f>Table2579[[#This Row],[Time]]-TIME(0,0,10)</f>
        <v>0.64786016203703711</v>
      </c>
      <c r="P714" t="s">
        <v>9</v>
      </c>
      <c r="Q714">
        <v>-114</v>
      </c>
      <c r="R714" s="21">
        <f>Table2579[[#This Row],[RSSI]]</f>
        <v>-114</v>
      </c>
      <c r="S714">
        <v>-8.5</v>
      </c>
    </row>
    <row r="715" spans="2:19" x14ac:dyDescent="0.25">
      <c r="B715">
        <f>160+2*(Table1468[[#This Row],[min value (corrected)]]-32)</f>
        <v>182</v>
      </c>
      <c r="C715">
        <f>MINUTE(Table1468[[#This Row],[Corrected time]])</f>
        <v>43</v>
      </c>
      <c r="D715" s="1">
        <v>0.65551710648148143</v>
      </c>
      <c r="E715" s="1">
        <f>Table1468[[#This Row],[Time]]-TIME(0,0,11)</f>
        <v>0.65538979166666667</v>
      </c>
      <c r="F715" t="s">
        <v>9</v>
      </c>
      <c r="G715" t="s">
        <v>37</v>
      </c>
      <c r="H715" s="21">
        <f t="shared" si="111"/>
        <v>-113</v>
      </c>
      <c r="I715">
        <v>-7.7</v>
      </c>
      <c r="L715">
        <f>160+2*(Table2579[[#This Row],[min value (corrected)]]-23)</f>
        <v>178</v>
      </c>
      <c r="M715">
        <f>MINUTE(Table2579[[#This Row],[Corrected time]])</f>
        <v>32</v>
      </c>
      <c r="N715" s="1">
        <v>0.64798809027777782</v>
      </c>
      <c r="O715" s="1">
        <f>Table2579[[#This Row],[Time]]-TIME(0,0,10)</f>
        <v>0.6478723495370371</v>
      </c>
      <c r="P715" t="s">
        <v>13</v>
      </c>
      <c r="Q715">
        <f>Q714</f>
        <v>-114</v>
      </c>
      <c r="R715" s="21">
        <f>Table2579[[#This Row],[RSSI]]</f>
        <v>-114</v>
      </c>
      <c r="S715">
        <f>S714</f>
        <v>-8.5</v>
      </c>
    </row>
    <row r="716" spans="2:19" x14ac:dyDescent="0.25">
      <c r="B716">
        <f>160+2*(Table1468[[#This Row],[min value (corrected)]]-32)</f>
        <v>182</v>
      </c>
      <c r="C716">
        <f>MINUTE(Table1468[[#This Row],[Corrected time]])</f>
        <v>43</v>
      </c>
      <c r="D716" s="1">
        <v>0.65552927083333334</v>
      </c>
      <c r="E716" s="1">
        <f>Table1468[[#This Row],[Time]]-TIME(0,0,11)</f>
        <v>0.65540195601851858</v>
      </c>
      <c r="F716" t="s">
        <v>13</v>
      </c>
      <c r="G716" t="str">
        <f>G715</f>
        <v>-113.0,</v>
      </c>
      <c r="H716" s="21">
        <f t="shared" si="111"/>
        <v>-113</v>
      </c>
      <c r="I716">
        <f>I715</f>
        <v>-7.7</v>
      </c>
      <c r="L716">
        <f>160+2*(Table2579[[#This Row],[min value (corrected)]]-23)</f>
        <v>178</v>
      </c>
      <c r="M716">
        <f>MINUTE(Table2579[[#This Row],[Corrected time]])</f>
        <v>32</v>
      </c>
      <c r="N716" s="1">
        <v>0.6480002777777778</v>
      </c>
      <c r="O716" s="1">
        <f>Table2579[[#This Row],[Time]]-TIME(0,0,10)</f>
        <v>0.64788453703703708</v>
      </c>
      <c r="P716" t="s">
        <v>9</v>
      </c>
      <c r="Q716">
        <v>-114</v>
      </c>
      <c r="R716" s="21">
        <f>Table2579[[#This Row],[RSSI]]</f>
        <v>-114</v>
      </c>
      <c r="S716">
        <v>-8.3000000000000007</v>
      </c>
    </row>
    <row r="717" spans="2:19" x14ac:dyDescent="0.25">
      <c r="B717">
        <f>160+2*(Table1468[[#This Row],[min value (corrected)]]-32)</f>
        <v>182</v>
      </c>
      <c r="C717">
        <f>MINUTE(Table1468[[#This Row],[Corrected time]])</f>
        <v>43</v>
      </c>
      <c r="D717" s="1">
        <v>0.6555414814814815</v>
      </c>
      <c r="E717" s="1">
        <f>Table1468[[#This Row],[Time]]-TIME(0,0,11)</f>
        <v>0.65541416666666674</v>
      </c>
      <c r="F717" t="s">
        <v>9</v>
      </c>
      <c r="G717" t="s">
        <v>37</v>
      </c>
      <c r="H717" s="21">
        <f t="shared" si="111"/>
        <v>-113</v>
      </c>
      <c r="I717">
        <v>-8</v>
      </c>
      <c r="L717">
        <f>160+2*(Table2579[[#This Row],[min value (corrected)]]-23)</f>
        <v>178</v>
      </c>
      <c r="M717">
        <f>MINUTE(Table2579[[#This Row],[Corrected time]])</f>
        <v>32</v>
      </c>
      <c r="N717" s="1">
        <v>0.64801247685185182</v>
      </c>
      <c r="O717" s="1">
        <f>Table2579[[#This Row],[Time]]-TIME(0,0,10)</f>
        <v>0.64789673611111109</v>
      </c>
      <c r="P717" t="s">
        <v>27</v>
      </c>
      <c r="Q717">
        <f>Q716</f>
        <v>-114</v>
      </c>
      <c r="R717" s="21">
        <f>Table2579[[#This Row],[RSSI]]</f>
        <v>-114</v>
      </c>
      <c r="S717">
        <f>S716</f>
        <v>-8.3000000000000007</v>
      </c>
    </row>
    <row r="718" spans="2:19" x14ac:dyDescent="0.25">
      <c r="B718">
        <f>160+2*(Table1468[[#This Row],[min value (corrected)]]-32)</f>
        <v>182</v>
      </c>
      <c r="C718">
        <f>MINUTE(Table1468[[#This Row],[Corrected time]])</f>
        <v>43</v>
      </c>
      <c r="D718" s="1">
        <v>0.65555365740740745</v>
      </c>
      <c r="E718" s="1">
        <f>Table1468[[#This Row],[Time]]-TIME(0,0,11)</f>
        <v>0.65542634259259269</v>
      </c>
      <c r="F718" t="s">
        <v>9</v>
      </c>
      <c r="G718" t="s">
        <v>37</v>
      </c>
      <c r="H718" s="21">
        <f t="shared" si="111"/>
        <v>-113</v>
      </c>
      <c r="I718">
        <v>-8.3000000000000007</v>
      </c>
      <c r="L718">
        <f>160+2*(Table2579[[#This Row],[min value (corrected)]]-23)</f>
        <v>178</v>
      </c>
      <c r="M718">
        <f>MINUTE(Table2579[[#This Row],[Corrected time]])</f>
        <v>32</v>
      </c>
      <c r="N718" s="1">
        <v>0.64802465277777777</v>
      </c>
      <c r="O718" s="1">
        <f>Table2579[[#This Row],[Time]]-TIME(0,0,10)</f>
        <v>0.64790891203703704</v>
      </c>
      <c r="P718" t="s">
        <v>9</v>
      </c>
      <c r="Q718">
        <v>-114</v>
      </c>
      <c r="R718" s="21">
        <f>Table2579[[#This Row],[RSSI]]</f>
        <v>-114</v>
      </c>
      <c r="S718">
        <v>-8.5</v>
      </c>
    </row>
    <row r="719" spans="2:19" x14ac:dyDescent="0.25">
      <c r="B719">
        <f>160+2*(Table1468[[#This Row],[min value (corrected)]]-32)</f>
        <v>182</v>
      </c>
      <c r="C719">
        <f>MINUTE(Table1468[[#This Row],[Corrected time]])</f>
        <v>43</v>
      </c>
      <c r="D719" s="1">
        <v>0.65556585648148147</v>
      </c>
      <c r="E719" s="1">
        <f>Table1468[[#This Row],[Time]]-TIME(0,0,11)</f>
        <v>0.65543854166666671</v>
      </c>
      <c r="F719" t="s">
        <v>9</v>
      </c>
      <c r="G719" t="s">
        <v>39</v>
      </c>
      <c r="H719" s="21">
        <f t="shared" si="111"/>
        <v>-114</v>
      </c>
      <c r="I719">
        <v>-9.3000000000000007</v>
      </c>
      <c r="L719">
        <f>160+2*(Table2579[[#This Row],[min value (corrected)]]-23)</f>
        <v>180</v>
      </c>
      <c r="M719">
        <f>MINUTE(Table2579[[#This Row],[Corrected time]])</f>
        <v>33</v>
      </c>
      <c r="N719" s="1">
        <v>0.64803684027777775</v>
      </c>
      <c r="O719" s="1">
        <f>Table2579[[#This Row],[Time]]-TIME(0,0,10)</f>
        <v>0.64792109953703703</v>
      </c>
      <c r="P719" t="s">
        <v>13</v>
      </c>
      <c r="Q719">
        <f t="shared" ref="Q719:Q721" si="120">Q718</f>
        <v>-114</v>
      </c>
      <c r="R719" s="21">
        <f>Table2579[[#This Row],[RSSI]]</f>
        <v>-114</v>
      </c>
      <c r="S719">
        <f t="shared" ref="S719:S721" si="121">S718</f>
        <v>-8.5</v>
      </c>
    </row>
    <row r="720" spans="2:19" x14ac:dyDescent="0.25">
      <c r="B720">
        <f>160+2*(Table1468[[#This Row],[min value (corrected)]]-32)</f>
        <v>182</v>
      </c>
      <c r="C720">
        <f>MINUTE(Table1468[[#This Row],[Corrected time]])</f>
        <v>43</v>
      </c>
      <c r="D720" s="1">
        <v>0.65557803240740742</v>
      </c>
      <c r="E720" s="1">
        <f>Table1468[[#This Row],[Time]]-TIME(0,0,11)</f>
        <v>0.65545071759259266</v>
      </c>
      <c r="F720" t="s">
        <v>9</v>
      </c>
      <c r="G720" t="s">
        <v>39</v>
      </c>
      <c r="H720" s="21">
        <f t="shared" si="111"/>
        <v>-114</v>
      </c>
      <c r="I720">
        <v>-9.3000000000000007</v>
      </c>
      <c r="L720">
        <f>160+2*(Table2579[[#This Row],[min value (corrected)]]-23)</f>
        <v>180</v>
      </c>
      <c r="M720">
        <f>MINUTE(Table2579[[#This Row],[Corrected time]])</f>
        <v>33</v>
      </c>
      <c r="N720" s="1">
        <v>0.64804902777777784</v>
      </c>
      <c r="O720" s="1">
        <f>Table2579[[#This Row],[Time]]-TIME(0,0,10)</f>
        <v>0.64793328703703712</v>
      </c>
      <c r="P720" t="s">
        <v>13</v>
      </c>
      <c r="Q720">
        <f t="shared" si="120"/>
        <v>-114</v>
      </c>
      <c r="R720" s="21">
        <f>Table2579[[#This Row],[RSSI]]</f>
        <v>-114</v>
      </c>
      <c r="S720">
        <f t="shared" si="121"/>
        <v>-8.5</v>
      </c>
    </row>
    <row r="721" spans="2:19" x14ac:dyDescent="0.25">
      <c r="B721">
        <f>160+2*(Table1468[[#This Row],[min value (corrected)]]-32)</f>
        <v>182</v>
      </c>
      <c r="C721">
        <f>MINUTE(Table1468[[#This Row],[Corrected time]])</f>
        <v>43</v>
      </c>
      <c r="D721" s="1">
        <v>0.65559023148148143</v>
      </c>
      <c r="E721" s="1">
        <f>Table1468[[#This Row],[Time]]-TIME(0,0,11)</f>
        <v>0.65546291666666667</v>
      </c>
      <c r="F721" t="s">
        <v>13</v>
      </c>
      <c r="G721" t="str">
        <f t="shared" ref="G721:G722" si="122">G720</f>
        <v>-114.0,</v>
      </c>
      <c r="H721" s="21">
        <f t="shared" si="111"/>
        <v>-114</v>
      </c>
      <c r="I721">
        <f t="shared" ref="I721:I722" si="123">I720</f>
        <v>-9.3000000000000007</v>
      </c>
      <c r="L721">
        <f>160+2*(Table2579[[#This Row],[min value (corrected)]]-23)</f>
        <v>180</v>
      </c>
      <c r="M721">
        <f>MINUTE(Table2579[[#This Row],[Corrected time]])</f>
        <v>33</v>
      </c>
      <c r="N721" s="1">
        <v>0.64806121527777782</v>
      </c>
      <c r="O721" s="1">
        <f>Table2579[[#This Row],[Time]]-TIME(0,0,10)</f>
        <v>0.6479454745370371</v>
      </c>
      <c r="P721" t="s">
        <v>13</v>
      </c>
      <c r="Q721">
        <f t="shared" si="120"/>
        <v>-114</v>
      </c>
      <c r="R721" s="21">
        <f>Table2579[[#This Row],[RSSI]]</f>
        <v>-114</v>
      </c>
      <c r="S721">
        <f t="shared" si="121"/>
        <v>-8.5</v>
      </c>
    </row>
    <row r="722" spans="2:19" x14ac:dyDescent="0.25">
      <c r="B722">
        <f>160+2*(Table1468[[#This Row],[min value (corrected)]]-32)</f>
        <v>182</v>
      </c>
      <c r="C722">
        <f>MINUTE(Table1468[[#This Row],[Corrected time]])</f>
        <v>43</v>
      </c>
      <c r="D722" s="1">
        <v>0.65560241898148142</v>
      </c>
      <c r="E722" s="1">
        <f>Table1468[[#This Row],[Time]]-TIME(0,0,11)</f>
        <v>0.65547510416666666</v>
      </c>
      <c r="F722" t="s">
        <v>13</v>
      </c>
      <c r="G722" t="str">
        <f t="shared" si="122"/>
        <v>-114.0,</v>
      </c>
      <c r="H722" s="21">
        <f t="shared" si="111"/>
        <v>-114</v>
      </c>
      <c r="I722">
        <f t="shared" si="123"/>
        <v>-9.3000000000000007</v>
      </c>
      <c r="L722">
        <f>160+2*(Table2579[[#This Row],[min value (corrected)]]-23)</f>
        <v>180</v>
      </c>
      <c r="M722">
        <f>MINUTE(Table2579[[#This Row],[Corrected time]])</f>
        <v>33</v>
      </c>
      <c r="N722" s="1">
        <v>0.64807341435185184</v>
      </c>
      <c r="O722" s="1">
        <f>Table2579[[#This Row],[Time]]-TIME(0,0,10)</f>
        <v>0.64795767361111112</v>
      </c>
      <c r="P722" t="s">
        <v>9</v>
      </c>
      <c r="Q722">
        <v>-114</v>
      </c>
      <c r="R722" s="21">
        <f>Table2579[[#This Row],[RSSI]]</f>
        <v>-114</v>
      </c>
      <c r="S722">
        <v>-8.8000000000000007</v>
      </c>
    </row>
    <row r="723" spans="2:19" x14ac:dyDescent="0.25">
      <c r="B723">
        <f>160+2*(Table1468[[#This Row],[min value (corrected)]]-32)</f>
        <v>182</v>
      </c>
      <c r="C723">
        <f>MINUTE(Table1468[[#This Row],[Corrected time]])</f>
        <v>43</v>
      </c>
      <c r="D723" s="1">
        <v>0.65561460648148151</v>
      </c>
      <c r="E723" s="1">
        <f>Table1468[[#This Row],[Time]]-TIME(0,0,11)</f>
        <v>0.65548729166666675</v>
      </c>
      <c r="F723" t="s">
        <v>9</v>
      </c>
      <c r="G723" t="s">
        <v>39</v>
      </c>
      <c r="H723" s="21">
        <f t="shared" si="111"/>
        <v>-114</v>
      </c>
      <c r="I723">
        <v>-9</v>
      </c>
      <c r="L723">
        <f>160+2*(Table2579[[#This Row],[min value (corrected)]]-23)</f>
        <v>180</v>
      </c>
      <c r="M723">
        <f>MINUTE(Table2579[[#This Row],[Corrected time]])</f>
        <v>33</v>
      </c>
      <c r="N723" s="1">
        <v>0.64808557870370365</v>
      </c>
      <c r="O723" s="1">
        <f>Table2579[[#This Row],[Time]]-TIME(0,0,10)</f>
        <v>0.64796983796296292</v>
      </c>
      <c r="P723" t="s">
        <v>9</v>
      </c>
      <c r="Q723">
        <v>-114</v>
      </c>
      <c r="R723" s="21">
        <f>Table2579[[#This Row],[RSSI]]</f>
        <v>-114</v>
      </c>
      <c r="S723">
        <v>-8</v>
      </c>
    </row>
    <row r="724" spans="2:19" x14ac:dyDescent="0.25">
      <c r="B724">
        <f>160+2*(Table1468[[#This Row],[min value (corrected)]]-32)</f>
        <v>182</v>
      </c>
      <c r="C724">
        <f>MINUTE(Table1468[[#This Row],[Corrected time]])</f>
        <v>43</v>
      </c>
      <c r="D724" s="1">
        <v>0.65562678240740746</v>
      </c>
      <c r="E724" s="1">
        <f>Table1468[[#This Row],[Time]]-TIME(0,0,11)</f>
        <v>0.6554994675925927</v>
      </c>
      <c r="F724" t="s">
        <v>9</v>
      </c>
      <c r="G724" t="s">
        <v>37</v>
      </c>
      <c r="H724" s="21">
        <f t="shared" si="111"/>
        <v>-113</v>
      </c>
      <c r="I724">
        <v>-8.3000000000000007</v>
      </c>
      <c r="L724">
        <f>160+2*(Table2579[[#This Row],[min value (corrected)]]-23)</f>
        <v>180</v>
      </c>
      <c r="M724">
        <f>MINUTE(Table2579[[#This Row],[Corrected time]])</f>
        <v>33</v>
      </c>
      <c r="N724" s="1">
        <v>0.64809778935185181</v>
      </c>
      <c r="O724" s="1">
        <f>Table2579[[#This Row],[Time]]-TIME(0,0,10)</f>
        <v>0.64798204861111108</v>
      </c>
      <c r="P724" t="s">
        <v>9</v>
      </c>
      <c r="Q724">
        <v>-113</v>
      </c>
      <c r="R724" s="21">
        <f>Table2579[[#This Row],[RSSI]]</f>
        <v>-113</v>
      </c>
      <c r="S724">
        <v>-7.7</v>
      </c>
    </row>
    <row r="725" spans="2:19" x14ac:dyDescent="0.25">
      <c r="B725">
        <f>160+2*(Table1468[[#This Row],[min value (corrected)]]-32)</f>
        <v>182</v>
      </c>
      <c r="C725">
        <f>MINUTE(Table1468[[#This Row],[Corrected time]])</f>
        <v>43</v>
      </c>
      <c r="D725" s="1">
        <v>0.65563898148148148</v>
      </c>
      <c r="E725" s="1">
        <f>Table1468[[#This Row],[Time]]-TIME(0,0,11)</f>
        <v>0.65551166666666671</v>
      </c>
      <c r="F725" t="s">
        <v>9</v>
      </c>
      <c r="G725" t="s">
        <v>39</v>
      </c>
      <c r="H725" s="21">
        <f t="shared" si="111"/>
        <v>-114</v>
      </c>
      <c r="I725">
        <v>-9</v>
      </c>
      <c r="L725">
        <f>160+2*(Table2579[[#This Row],[min value (corrected)]]-23)</f>
        <v>180</v>
      </c>
      <c r="M725">
        <f>MINUTE(Table2579[[#This Row],[Corrected time]])</f>
        <v>33</v>
      </c>
      <c r="N725" s="1">
        <v>0.64810996527777776</v>
      </c>
      <c r="O725" s="1">
        <f>Table2579[[#This Row],[Time]]-TIME(0,0,10)</f>
        <v>0.64799422453703703</v>
      </c>
      <c r="P725" t="s">
        <v>13</v>
      </c>
      <c r="Q725">
        <f>Q724</f>
        <v>-113</v>
      </c>
      <c r="R725" s="21">
        <f>Table2579[[#This Row],[RSSI]]</f>
        <v>-113</v>
      </c>
      <c r="S725">
        <f>S724</f>
        <v>-7.7</v>
      </c>
    </row>
    <row r="726" spans="2:19" x14ac:dyDescent="0.25">
      <c r="B726">
        <f>160+2*(Table1468[[#This Row],[min value (corrected)]]-32)</f>
        <v>182</v>
      </c>
      <c r="C726">
        <f>MINUTE(Table1468[[#This Row],[Corrected time]])</f>
        <v>43</v>
      </c>
      <c r="D726" s="1">
        <v>0.65565115740740743</v>
      </c>
      <c r="E726" s="1">
        <f>Table1468[[#This Row],[Time]]-TIME(0,0,11)</f>
        <v>0.65552384259259266</v>
      </c>
      <c r="F726" t="s">
        <v>9</v>
      </c>
      <c r="G726" t="s">
        <v>39</v>
      </c>
      <c r="H726" s="21">
        <f t="shared" si="111"/>
        <v>-114</v>
      </c>
      <c r="I726">
        <v>-8.3000000000000007</v>
      </c>
      <c r="L726">
        <f>160+2*(Table2579[[#This Row],[min value (corrected)]]-23)</f>
        <v>180</v>
      </c>
      <c r="M726">
        <f>MINUTE(Table2579[[#This Row],[Corrected time]])</f>
        <v>33</v>
      </c>
      <c r="N726" s="1">
        <v>0.64812216435185177</v>
      </c>
      <c r="O726" s="1">
        <f>Table2579[[#This Row],[Time]]-TIME(0,0,10)</f>
        <v>0.64800642361111105</v>
      </c>
      <c r="P726" t="s">
        <v>9</v>
      </c>
      <c r="Q726">
        <v>-114</v>
      </c>
      <c r="R726" s="21">
        <f>Table2579[[#This Row],[RSSI]]</f>
        <v>-114</v>
      </c>
      <c r="S726">
        <v>-8.8000000000000007</v>
      </c>
    </row>
    <row r="727" spans="2:19" x14ac:dyDescent="0.25">
      <c r="B727">
        <f>160+2*(Table1468[[#This Row],[min value (corrected)]]-32)</f>
        <v>182</v>
      </c>
      <c r="C727">
        <f>MINUTE(Table1468[[#This Row],[Corrected time]])</f>
        <v>43</v>
      </c>
      <c r="D727" s="1">
        <v>0.65566334490740741</v>
      </c>
      <c r="E727" s="1">
        <f>Table1468[[#This Row],[Time]]-TIME(0,0,11)</f>
        <v>0.65553603009259265</v>
      </c>
      <c r="F727" t="s">
        <v>13</v>
      </c>
      <c r="G727" t="str">
        <f>G726</f>
        <v>-114.0,</v>
      </c>
      <c r="H727" s="21">
        <f t="shared" si="111"/>
        <v>-114</v>
      </c>
      <c r="I727">
        <f>I726</f>
        <v>-8.3000000000000007</v>
      </c>
      <c r="L727">
        <f>160+2*(Table2579[[#This Row],[min value (corrected)]]-23)</f>
        <v>180</v>
      </c>
      <c r="M727">
        <f>MINUTE(Table2579[[#This Row],[Corrected time]])</f>
        <v>33</v>
      </c>
      <c r="N727" s="1">
        <v>0.64813434027777783</v>
      </c>
      <c r="O727" s="1">
        <f>Table2579[[#This Row],[Time]]-TIME(0,0,10)</f>
        <v>0.64801859953703711</v>
      </c>
      <c r="P727" t="s">
        <v>9</v>
      </c>
      <c r="Q727">
        <v>-115</v>
      </c>
      <c r="R727" s="21">
        <f>Table2579[[#This Row],[RSSI]]</f>
        <v>-115</v>
      </c>
      <c r="S727">
        <v>-9</v>
      </c>
    </row>
    <row r="728" spans="2:19" x14ac:dyDescent="0.25">
      <c r="B728">
        <f>160+2*(Table1468[[#This Row],[min value (corrected)]]-32)</f>
        <v>182</v>
      </c>
      <c r="C728">
        <f>MINUTE(Table1468[[#This Row],[Corrected time]])</f>
        <v>43</v>
      </c>
      <c r="D728" s="1">
        <v>0.65567553240740739</v>
      </c>
      <c r="E728" s="1">
        <f>Table1468[[#This Row],[Time]]-TIME(0,0,11)</f>
        <v>0.65554821759259263</v>
      </c>
      <c r="F728" t="s">
        <v>9</v>
      </c>
      <c r="G728" t="s">
        <v>39</v>
      </c>
      <c r="H728" s="21">
        <f t="shared" si="111"/>
        <v>-114</v>
      </c>
      <c r="I728">
        <v>-7.7</v>
      </c>
      <c r="L728">
        <f>160+2*(Table2579[[#This Row],[min value (corrected)]]-23)</f>
        <v>180</v>
      </c>
      <c r="M728">
        <f>MINUTE(Table2579[[#This Row],[Corrected time]])</f>
        <v>33</v>
      </c>
      <c r="N728" s="1">
        <v>0.64814653935185185</v>
      </c>
      <c r="O728" s="1">
        <f>Table2579[[#This Row],[Time]]-TIME(0,0,10)</f>
        <v>0.64803079861111113</v>
      </c>
      <c r="P728" t="s">
        <v>9</v>
      </c>
      <c r="Q728">
        <v>-114</v>
      </c>
      <c r="R728" s="21">
        <f>Table2579[[#This Row],[RSSI]]</f>
        <v>-114</v>
      </c>
      <c r="S728">
        <v>-8.5</v>
      </c>
    </row>
    <row r="729" spans="2:19" x14ac:dyDescent="0.25">
      <c r="B729">
        <f>160+2*(Table1468[[#This Row],[min value (corrected)]]-32)</f>
        <v>184</v>
      </c>
      <c r="C729">
        <f>MINUTE(Table1468[[#This Row],[Corrected time]])</f>
        <v>44</v>
      </c>
      <c r="D729" s="1">
        <v>0.65568771990740737</v>
      </c>
      <c r="E729" s="1">
        <f>Table1468[[#This Row],[Time]]-TIME(0,0,11)</f>
        <v>0.65556040509259261</v>
      </c>
      <c r="F729" t="s">
        <v>13</v>
      </c>
      <c r="G729" t="str">
        <f t="shared" ref="G729:G738" si="124">G728</f>
        <v>-114.0,</v>
      </c>
      <c r="H729" s="21">
        <f t="shared" si="111"/>
        <v>-114</v>
      </c>
      <c r="I729">
        <f t="shared" ref="I729:I738" si="125">I728</f>
        <v>-7.7</v>
      </c>
      <c r="L729">
        <f>160+2*(Table2579[[#This Row],[min value (corrected)]]-23)</f>
        <v>180</v>
      </c>
      <c r="M729">
        <f>MINUTE(Table2579[[#This Row],[Corrected time]])</f>
        <v>33</v>
      </c>
      <c r="N729" s="1">
        <v>0.6481587152777778</v>
      </c>
      <c r="O729" s="1">
        <f>Table2579[[#This Row],[Time]]-TIME(0,0,10)</f>
        <v>0.64804297453703708</v>
      </c>
      <c r="P729" t="s">
        <v>9</v>
      </c>
      <c r="Q729">
        <v>-113</v>
      </c>
      <c r="R729" s="21">
        <f>Table2579[[#This Row],[RSSI]]</f>
        <v>-113</v>
      </c>
      <c r="S729">
        <v>-8.3000000000000007</v>
      </c>
    </row>
    <row r="730" spans="2:19" x14ac:dyDescent="0.25">
      <c r="B730">
        <f>160+2*(Table1468[[#This Row],[min value (corrected)]]-32)</f>
        <v>184</v>
      </c>
      <c r="C730">
        <f>MINUTE(Table1468[[#This Row],[Corrected time]])</f>
        <v>44</v>
      </c>
      <c r="D730" s="1">
        <v>0.6556999189814815</v>
      </c>
      <c r="E730" s="1">
        <f>Table1468[[#This Row],[Time]]-TIME(0,0,11)</f>
        <v>0.65557260416666674</v>
      </c>
      <c r="F730" t="s">
        <v>13</v>
      </c>
      <c r="G730" t="str">
        <f t="shared" si="124"/>
        <v>-114.0,</v>
      </c>
      <c r="H730" s="21">
        <f t="shared" si="111"/>
        <v>-114</v>
      </c>
      <c r="I730">
        <f t="shared" si="125"/>
        <v>-7.7</v>
      </c>
      <c r="L730">
        <f>160+2*(Table2579[[#This Row],[min value (corrected)]]-23)</f>
        <v>180</v>
      </c>
      <c r="M730">
        <f>MINUTE(Table2579[[#This Row],[Corrected time]])</f>
        <v>33</v>
      </c>
      <c r="N730" s="1">
        <v>0.64817090277777778</v>
      </c>
      <c r="O730" s="1">
        <f>Table2579[[#This Row],[Time]]-TIME(0,0,10)</f>
        <v>0.64805516203703706</v>
      </c>
      <c r="P730" t="s">
        <v>13</v>
      </c>
      <c r="Q730">
        <f>Q729</f>
        <v>-113</v>
      </c>
      <c r="R730" s="21">
        <f>Table2579[[#This Row],[RSSI]]</f>
        <v>-113</v>
      </c>
      <c r="S730">
        <f>S729</f>
        <v>-8.3000000000000007</v>
      </c>
    </row>
    <row r="731" spans="2:19" x14ac:dyDescent="0.25">
      <c r="B731">
        <f>160+2*(Table1468[[#This Row],[min value (corrected)]]-32)</f>
        <v>184</v>
      </c>
      <c r="C731">
        <f>MINUTE(Table1468[[#This Row],[Corrected time]])</f>
        <v>44</v>
      </c>
      <c r="D731" s="1">
        <v>0.65571209490740745</v>
      </c>
      <c r="E731" s="1">
        <f>Table1468[[#This Row],[Time]]-TIME(0,0,11)</f>
        <v>0.65558478009259269</v>
      </c>
      <c r="F731" t="s">
        <v>13</v>
      </c>
      <c r="G731" t="str">
        <f t="shared" si="124"/>
        <v>-114.0,</v>
      </c>
      <c r="H731" s="21">
        <f t="shared" si="111"/>
        <v>-114</v>
      </c>
      <c r="I731">
        <f t="shared" si="125"/>
        <v>-7.7</v>
      </c>
      <c r="L731">
        <f>160+2*(Table2579[[#This Row],[min value (corrected)]]-23)</f>
        <v>180</v>
      </c>
      <c r="M731">
        <f>MINUTE(Table2579[[#This Row],[Corrected time]])</f>
        <v>33</v>
      </c>
      <c r="N731" s="1">
        <v>0.6481831018518518</v>
      </c>
      <c r="O731" s="1">
        <f>Table2579[[#This Row],[Time]]-TIME(0,0,10)</f>
        <v>0.64806736111111107</v>
      </c>
      <c r="P731" t="s">
        <v>9</v>
      </c>
      <c r="Q731">
        <v>-113</v>
      </c>
      <c r="R731" s="21">
        <f>Table2579[[#This Row],[RSSI]]</f>
        <v>-113</v>
      </c>
      <c r="S731">
        <v>-8.5</v>
      </c>
    </row>
    <row r="732" spans="2:19" x14ac:dyDescent="0.25">
      <c r="B732">
        <f>160+2*(Table1468[[#This Row],[min value (corrected)]]-32)</f>
        <v>184</v>
      </c>
      <c r="C732">
        <f>MINUTE(Table1468[[#This Row],[Corrected time]])</f>
        <v>44</v>
      </c>
      <c r="D732" s="1">
        <v>0.65572428240740743</v>
      </c>
      <c r="E732" s="1">
        <f>Table1468[[#This Row],[Time]]-TIME(0,0,11)</f>
        <v>0.65559696759259267</v>
      </c>
      <c r="F732" t="s">
        <v>13</v>
      </c>
      <c r="G732" t="str">
        <f t="shared" si="124"/>
        <v>-114.0,</v>
      </c>
      <c r="H732" s="21">
        <f t="shared" ref="H732:H795" si="126">VALUE(LEFT(G732,LEN(G732)-1))</f>
        <v>-114</v>
      </c>
      <c r="I732">
        <f t="shared" si="125"/>
        <v>-7.7</v>
      </c>
      <c r="L732">
        <f>160+2*(Table2579[[#This Row],[min value (corrected)]]-23)</f>
        <v>180</v>
      </c>
      <c r="M732">
        <f>MINUTE(Table2579[[#This Row],[Corrected time]])</f>
        <v>33</v>
      </c>
      <c r="N732" s="1">
        <v>0.64819527777777775</v>
      </c>
      <c r="O732" s="1">
        <f>Table2579[[#This Row],[Time]]-TIME(0,0,10)</f>
        <v>0.64807953703703702</v>
      </c>
      <c r="P732" t="s">
        <v>9</v>
      </c>
      <c r="Q732">
        <v>-114</v>
      </c>
      <c r="R732" s="21">
        <f>Table2579[[#This Row],[RSSI]]</f>
        <v>-114</v>
      </c>
      <c r="S732">
        <v>-8.8000000000000007</v>
      </c>
    </row>
    <row r="733" spans="2:19" x14ac:dyDescent="0.25">
      <c r="B733">
        <f>160+2*(Table1468[[#This Row],[min value (corrected)]]-32)</f>
        <v>184</v>
      </c>
      <c r="C733">
        <f>MINUTE(Table1468[[#This Row],[Corrected time]])</f>
        <v>44</v>
      </c>
      <c r="D733" s="1">
        <v>0.65573646990740742</v>
      </c>
      <c r="E733" s="1">
        <f>Table1468[[#This Row],[Time]]-TIME(0,0,11)</f>
        <v>0.65560915509259265</v>
      </c>
      <c r="F733" t="s">
        <v>13</v>
      </c>
      <c r="G733" t="str">
        <f t="shared" si="124"/>
        <v>-114.0,</v>
      </c>
      <c r="H733" s="21">
        <f t="shared" si="126"/>
        <v>-114</v>
      </c>
      <c r="I733">
        <f t="shared" si="125"/>
        <v>-7.7</v>
      </c>
      <c r="L733">
        <f>160+2*(Table2579[[#This Row],[min value (corrected)]]-23)</f>
        <v>180</v>
      </c>
      <c r="M733">
        <f>MINUTE(Table2579[[#This Row],[Corrected time]])</f>
        <v>33</v>
      </c>
      <c r="N733" s="1">
        <v>0.64820746527777773</v>
      </c>
      <c r="O733" s="1">
        <f>Table2579[[#This Row],[Time]]-TIME(0,0,10)</f>
        <v>0.64809172453703701</v>
      </c>
      <c r="P733" t="s">
        <v>9</v>
      </c>
      <c r="Q733">
        <v>-114</v>
      </c>
      <c r="R733" s="21">
        <f>Table2579[[#This Row],[RSSI]]</f>
        <v>-114</v>
      </c>
      <c r="S733">
        <v>-8.8000000000000007</v>
      </c>
    </row>
    <row r="734" spans="2:19" x14ac:dyDescent="0.25">
      <c r="B734">
        <f>160+2*(Table1468[[#This Row],[min value (corrected)]]-32)</f>
        <v>184</v>
      </c>
      <c r="C734">
        <f>MINUTE(Table1468[[#This Row],[Corrected time]])</f>
        <v>44</v>
      </c>
      <c r="D734" s="1">
        <v>0.65574866898148143</v>
      </c>
      <c r="E734" s="1">
        <f>Table1468[[#This Row],[Time]]-TIME(0,0,11)</f>
        <v>0.65562135416666667</v>
      </c>
      <c r="F734" t="s">
        <v>13</v>
      </c>
      <c r="G734" t="str">
        <f t="shared" si="124"/>
        <v>-114.0,</v>
      </c>
      <c r="H734" s="21">
        <f t="shared" si="126"/>
        <v>-114</v>
      </c>
      <c r="I734">
        <f t="shared" si="125"/>
        <v>-7.7</v>
      </c>
      <c r="L734">
        <f>160+2*(Table2579[[#This Row],[min value (corrected)]]-23)</f>
        <v>180</v>
      </c>
      <c r="M734">
        <f>MINUTE(Table2579[[#This Row],[Corrected time]])</f>
        <v>33</v>
      </c>
      <c r="N734" s="1">
        <v>0.64821966435185185</v>
      </c>
      <c r="O734" s="1">
        <f>Table2579[[#This Row],[Time]]-TIME(0,0,10)</f>
        <v>0.64810392361111113</v>
      </c>
      <c r="P734" t="s">
        <v>9</v>
      </c>
      <c r="Q734">
        <v>-115</v>
      </c>
      <c r="R734" s="21">
        <f>Table2579[[#This Row],[RSSI]]</f>
        <v>-115</v>
      </c>
      <c r="S734">
        <v>-8.8000000000000007</v>
      </c>
    </row>
    <row r="735" spans="2:19" x14ac:dyDescent="0.25">
      <c r="B735">
        <f>160+2*(Table1468[[#This Row],[min value (corrected)]]-32)</f>
        <v>184</v>
      </c>
      <c r="C735">
        <f>MINUTE(Table1468[[#This Row],[Corrected time]])</f>
        <v>44</v>
      </c>
      <c r="D735" s="1">
        <v>0.65576084490740738</v>
      </c>
      <c r="E735" s="1">
        <f>Table1468[[#This Row],[Time]]-TIME(0,0,11)</f>
        <v>0.65563353009259262</v>
      </c>
      <c r="F735" t="s">
        <v>13</v>
      </c>
      <c r="G735" t="str">
        <f t="shared" si="124"/>
        <v>-114.0,</v>
      </c>
      <c r="H735" s="21">
        <f t="shared" si="126"/>
        <v>-114</v>
      </c>
      <c r="I735">
        <f t="shared" si="125"/>
        <v>-7.7</v>
      </c>
      <c r="L735">
        <f>160+2*(Table2579[[#This Row],[min value (corrected)]]-23)</f>
        <v>180</v>
      </c>
      <c r="M735">
        <f>MINUTE(Table2579[[#This Row],[Corrected time]])</f>
        <v>33</v>
      </c>
      <c r="N735" s="1">
        <v>0.6482318402777778</v>
      </c>
      <c r="O735" s="1">
        <f>Table2579[[#This Row],[Time]]-TIME(0,0,10)</f>
        <v>0.64811609953703708</v>
      </c>
      <c r="P735" t="s">
        <v>9</v>
      </c>
      <c r="Q735">
        <v>-114</v>
      </c>
      <c r="R735" s="21">
        <f>Table2579[[#This Row],[RSSI]]</f>
        <v>-114</v>
      </c>
      <c r="S735">
        <v>-8.8000000000000007</v>
      </c>
    </row>
    <row r="736" spans="2:19" x14ac:dyDescent="0.25">
      <c r="B736">
        <f>160+2*(Table1468[[#This Row],[min value (corrected)]]-32)</f>
        <v>184</v>
      </c>
      <c r="C736">
        <f>MINUTE(Table1468[[#This Row],[Corrected time]])</f>
        <v>44</v>
      </c>
      <c r="D736" s="1">
        <v>0.65577303240740736</v>
      </c>
      <c r="E736" s="1">
        <f>Table1468[[#This Row],[Time]]-TIME(0,0,11)</f>
        <v>0.6556457175925926</v>
      </c>
      <c r="F736" t="s">
        <v>13</v>
      </c>
      <c r="G736" t="str">
        <f t="shared" si="124"/>
        <v>-114.0,</v>
      </c>
      <c r="H736" s="21">
        <f t="shared" si="126"/>
        <v>-114</v>
      </c>
      <c r="I736">
        <f t="shared" si="125"/>
        <v>-7.7</v>
      </c>
      <c r="L736">
        <f>160+2*(Table2579[[#This Row],[min value (corrected)]]-23)</f>
        <v>180</v>
      </c>
      <c r="M736">
        <f>MINUTE(Table2579[[#This Row],[Corrected time]])</f>
        <v>33</v>
      </c>
      <c r="N736" s="1">
        <v>0.64824401620370375</v>
      </c>
      <c r="O736" s="1">
        <f>Table2579[[#This Row],[Time]]-TIME(0,0,10)</f>
        <v>0.64812827546296303</v>
      </c>
      <c r="P736" t="s">
        <v>9</v>
      </c>
      <c r="Q736">
        <v>-114</v>
      </c>
      <c r="R736" s="21">
        <f>Table2579[[#This Row],[RSSI]]</f>
        <v>-114</v>
      </c>
      <c r="S736">
        <v>-8.5</v>
      </c>
    </row>
    <row r="737" spans="2:19" x14ac:dyDescent="0.25">
      <c r="B737">
        <f>160+2*(Table1468[[#This Row],[min value (corrected)]]-32)</f>
        <v>184</v>
      </c>
      <c r="C737">
        <f>MINUTE(Table1468[[#This Row],[Corrected time]])</f>
        <v>44</v>
      </c>
      <c r="D737" s="1">
        <v>0.65578523148148149</v>
      </c>
      <c r="E737" s="1">
        <f>Table1468[[#This Row],[Time]]-TIME(0,0,11)</f>
        <v>0.65565791666666673</v>
      </c>
      <c r="F737" t="s">
        <v>13</v>
      </c>
      <c r="G737" t="str">
        <f t="shared" si="124"/>
        <v>-114.0,</v>
      </c>
      <c r="H737" s="21">
        <f t="shared" si="126"/>
        <v>-114</v>
      </c>
      <c r="I737">
        <f t="shared" si="125"/>
        <v>-7.7</v>
      </c>
      <c r="L737">
        <f>160+2*(Table2579[[#This Row],[min value (corrected)]]-23)</f>
        <v>180</v>
      </c>
      <c r="M737">
        <f>MINUTE(Table2579[[#This Row],[Corrected time]])</f>
        <v>33</v>
      </c>
      <c r="N737" s="1">
        <v>0.64825621527777777</v>
      </c>
      <c r="O737" s="1">
        <f>Table2579[[#This Row],[Time]]-TIME(0,0,10)</f>
        <v>0.64814047453703705</v>
      </c>
      <c r="P737" t="s">
        <v>9</v>
      </c>
      <c r="Q737">
        <v>-114</v>
      </c>
      <c r="R737" s="21">
        <f>Table2579[[#This Row],[RSSI]]</f>
        <v>-114</v>
      </c>
      <c r="S737">
        <v>-8.5</v>
      </c>
    </row>
    <row r="738" spans="2:19" x14ac:dyDescent="0.25">
      <c r="B738">
        <f>160+2*(Table1468[[#This Row],[min value (corrected)]]-32)</f>
        <v>184</v>
      </c>
      <c r="C738">
        <f>MINUTE(Table1468[[#This Row],[Corrected time]])</f>
        <v>44</v>
      </c>
      <c r="D738" s="1">
        <v>0.65579740740740744</v>
      </c>
      <c r="E738" s="1">
        <f>Table1468[[#This Row],[Time]]-TIME(0,0,11)</f>
        <v>0.65567009259259268</v>
      </c>
      <c r="F738" t="s">
        <v>27</v>
      </c>
      <c r="G738" t="str">
        <f t="shared" si="124"/>
        <v>-114.0,</v>
      </c>
      <c r="H738" s="21">
        <f t="shared" si="126"/>
        <v>-114</v>
      </c>
      <c r="I738">
        <f t="shared" si="125"/>
        <v>-7.7</v>
      </c>
      <c r="L738">
        <f>160+2*(Table2579[[#This Row],[min value (corrected)]]-23)</f>
        <v>180</v>
      </c>
      <c r="M738">
        <f>MINUTE(Table2579[[#This Row],[Corrected time]])</f>
        <v>33</v>
      </c>
      <c r="N738" s="1">
        <v>0.64826840277777775</v>
      </c>
      <c r="O738" s="1">
        <f>Table2579[[#This Row],[Time]]-TIME(0,0,10)</f>
        <v>0.64815266203703703</v>
      </c>
      <c r="P738" t="s">
        <v>9</v>
      </c>
      <c r="Q738">
        <v>-114</v>
      </c>
      <c r="R738" s="21">
        <f>Table2579[[#This Row],[RSSI]]</f>
        <v>-114</v>
      </c>
      <c r="S738">
        <v>-9</v>
      </c>
    </row>
    <row r="739" spans="2:19" x14ac:dyDescent="0.25">
      <c r="B739">
        <f>160+2*(Table1468[[#This Row],[min value (corrected)]]-32)</f>
        <v>184</v>
      </c>
      <c r="C739">
        <f>MINUTE(Table1468[[#This Row],[Corrected time]])</f>
        <v>44</v>
      </c>
      <c r="D739" s="1">
        <v>0.65582179398148144</v>
      </c>
      <c r="E739" s="1">
        <f>Table1468[[#This Row],[Time]]-TIME(0,0,11)</f>
        <v>0.65569447916666668</v>
      </c>
      <c r="F739" t="s">
        <v>9</v>
      </c>
      <c r="G739" t="s">
        <v>39</v>
      </c>
      <c r="H739" s="21">
        <f t="shared" si="126"/>
        <v>-114</v>
      </c>
      <c r="I739">
        <v>-9.5</v>
      </c>
      <c r="L739">
        <f>160+2*(Table2579[[#This Row],[min value (corrected)]]-23)</f>
        <v>180</v>
      </c>
      <c r="M739">
        <f>MINUTE(Table2579[[#This Row],[Corrected time]])</f>
        <v>33</v>
      </c>
      <c r="N739" s="1">
        <v>0.64828059027777774</v>
      </c>
      <c r="O739" s="1">
        <f>Table2579[[#This Row],[Time]]-TIME(0,0,10)</f>
        <v>0.64816484953703701</v>
      </c>
      <c r="P739" t="s">
        <v>9</v>
      </c>
      <c r="Q739">
        <v>-114</v>
      </c>
      <c r="R739" s="21">
        <f>Table2579[[#This Row],[RSSI]]</f>
        <v>-114</v>
      </c>
      <c r="S739">
        <v>-8.5</v>
      </c>
    </row>
    <row r="740" spans="2:19" x14ac:dyDescent="0.25">
      <c r="B740">
        <f>160+2*(Table1468[[#This Row],[min value (corrected)]]-32)</f>
        <v>184</v>
      </c>
      <c r="C740">
        <f>MINUTE(Table1468[[#This Row],[Corrected time]])</f>
        <v>44</v>
      </c>
      <c r="D740" s="1">
        <v>0.65583396990740739</v>
      </c>
      <c r="E740" s="1">
        <f>Table1468[[#This Row],[Time]]-TIME(0,0,11)</f>
        <v>0.65570665509259263</v>
      </c>
      <c r="F740" t="s">
        <v>13</v>
      </c>
      <c r="G740" t="str">
        <f t="shared" ref="G740:G751" si="127">G739</f>
        <v>-114.0,</v>
      </c>
      <c r="H740" s="21">
        <f t="shared" si="126"/>
        <v>-114</v>
      </c>
      <c r="I740">
        <f t="shared" ref="I740:I751" si="128">I739</f>
        <v>-9.5</v>
      </c>
      <c r="L740">
        <f>160+2*(Table2579[[#This Row],[min value (corrected)]]-23)</f>
        <v>180</v>
      </c>
      <c r="M740">
        <f>MINUTE(Table2579[[#This Row],[Corrected time]])</f>
        <v>33</v>
      </c>
      <c r="N740" s="1">
        <v>0.64829277777777772</v>
      </c>
      <c r="O740" s="1">
        <f>Table2579[[#This Row],[Time]]-TIME(0,0,10)</f>
        <v>0.648177037037037</v>
      </c>
      <c r="P740" t="s">
        <v>9</v>
      </c>
      <c r="Q740">
        <v>-113</v>
      </c>
      <c r="R740" s="21">
        <f>Table2579[[#This Row],[RSSI]]</f>
        <v>-113</v>
      </c>
      <c r="S740">
        <v>-8.8000000000000007</v>
      </c>
    </row>
    <row r="741" spans="2:19" x14ac:dyDescent="0.25">
      <c r="B741">
        <f>160+2*(Table1468[[#This Row],[min value (corrected)]]-32)</f>
        <v>184</v>
      </c>
      <c r="C741">
        <f>MINUTE(Table1468[[#This Row],[Corrected time]])</f>
        <v>44</v>
      </c>
      <c r="D741" s="1">
        <v>0.65584615740740737</v>
      </c>
      <c r="E741" s="1">
        <f>Table1468[[#This Row],[Time]]-TIME(0,0,11)</f>
        <v>0.65571884259259261</v>
      </c>
      <c r="F741" t="s">
        <v>13</v>
      </c>
      <c r="G741" t="str">
        <f t="shared" si="127"/>
        <v>-114.0,</v>
      </c>
      <c r="H741" s="21">
        <f t="shared" si="126"/>
        <v>-114</v>
      </c>
      <c r="I741">
        <f t="shared" si="128"/>
        <v>-9.5</v>
      </c>
      <c r="L741">
        <f>160+2*(Table2579[[#This Row],[min value (corrected)]]-23)</f>
        <v>180</v>
      </c>
      <c r="M741">
        <f>MINUTE(Table2579[[#This Row],[Corrected time]])</f>
        <v>33</v>
      </c>
      <c r="N741" s="1">
        <v>0.64830497685185184</v>
      </c>
      <c r="O741" s="1">
        <f>Table2579[[#This Row],[Time]]-TIME(0,0,10)</f>
        <v>0.64818923611111112</v>
      </c>
      <c r="P741" t="s">
        <v>9</v>
      </c>
      <c r="Q741">
        <v>-114</v>
      </c>
      <c r="R741" s="21">
        <f>Table2579[[#This Row],[RSSI]]</f>
        <v>-114</v>
      </c>
      <c r="S741">
        <v>-8.8000000000000007</v>
      </c>
    </row>
    <row r="742" spans="2:19" x14ac:dyDescent="0.25">
      <c r="B742">
        <f>160+2*(Table1468[[#This Row],[min value (corrected)]]-32)</f>
        <v>184</v>
      </c>
      <c r="C742">
        <f>MINUTE(Table1468[[#This Row],[Corrected time]])</f>
        <v>44</v>
      </c>
      <c r="D742" s="1">
        <v>0.6558583564814815</v>
      </c>
      <c r="E742" s="1">
        <f>Table1468[[#This Row],[Time]]-TIME(0,0,11)</f>
        <v>0.65573104166666674</v>
      </c>
      <c r="F742" t="s">
        <v>13</v>
      </c>
      <c r="G742" t="str">
        <f t="shared" si="127"/>
        <v>-114.0,</v>
      </c>
      <c r="H742" s="21">
        <f t="shared" si="126"/>
        <v>-114</v>
      </c>
      <c r="I742">
        <f t="shared" si="128"/>
        <v>-9.5</v>
      </c>
      <c r="L742">
        <f>160+2*(Table2579[[#This Row],[min value (corrected)]]-23)</f>
        <v>180</v>
      </c>
      <c r="M742">
        <f>MINUTE(Table2579[[#This Row],[Corrected time]])</f>
        <v>33</v>
      </c>
      <c r="N742" s="1">
        <v>0.64831715277777779</v>
      </c>
      <c r="O742" s="1">
        <f>Table2579[[#This Row],[Time]]-TIME(0,0,10)</f>
        <v>0.64820141203703707</v>
      </c>
      <c r="P742" t="s">
        <v>9</v>
      </c>
      <c r="Q742">
        <v>-113</v>
      </c>
      <c r="R742" s="21">
        <f>Table2579[[#This Row],[RSSI]]</f>
        <v>-113</v>
      </c>
      <c r="S742">
        <v>-8.3000000000000007</v>
      </c>
    </row>
    <row r="743" spans="2:19" x14ac:dyDescent="0.25">
      <c r="B743">
        <f>160+2*(Table1468[[#This Row],[min value (corrected)]]-32)</f>
        <v>184</v>
      </c>
      <c r="C743">
        <f>MINUTE(Table1468[[#This Row],[Corrected time]])</f>
        <v>44</v>
      </c>
      <c r="D743" s="1">
        <v>0.65587053240740745</v>
      </c>
      <c r="E743" s="1">
        <f>Table1468[[#This Row],[Time]]-TIME(0,0,11)</f>
        <v>0.65574321759259269</v>
      </c>
      <c r="F743" t="s">
        <v>13</v>
      </c>
      <c r="G743" t="str">
        <f t="shared" si="127"/>
        <v>-114.0,</v>
      </c>
      <c r="H743" s="21">
        <f t="shared" si="126"/>
        <v>-114</v>
      </c>
      <c r="I743">
        <f t="shared" si="128"/>
        <v>-9.5</v>
      </c>
      <c r="L743">
        <f>160+2*(Table2579[[#This Row],[min value (corrected)]]-23)</f>
        <v>180</v>
      </c>
      <c r="M743">
        <f>MINUTE(Table2579[[#This Row],[Corrected time]])</f>
        <v>33</v>
      </c>
      <c r="N743" s="1">
        <v>0.64832935185185192</v>
      </c>
      <c r="O743" s="1">
        <f>Table2579[[#This Row],[Time]]-TIME(0,0,10)</f>
        <v>0.6482136111111112</v>
      </c>
      <c r="P743" t="s">
        <v>9</v>
      </c>
      <c r="Q743">
        <v>-114</v>
      </c>
      <c r="R743" s="21">
        <f>Table2579[[#This Row],[RSSI]]</f>
        <v>-114</v>
      </c>
      <c r="S743">
        <v>-9.3000000000000007</v>
      </c>
    </row>
    <row r="744" spans="2:19" x14ac:dyDescent="0.25">
      <c r="B744">
        <f>160+2*(Table1468[[#This Row],[min value (corrected)]]-32)</f>
        <v>184</v>
      </c>
      <c r="C744">
        <f>MINUTE(Table1468[[#This Row],[Corrected time]])</f>
        <v>44</v>
      </c>
      <c r="D744" s="1">
        <v>0.65588271990740743</v>
      </c>
      <c r="E744" s="1">
        <f>Table1468[[#This Row],[Time]]-TIME(0,0,11)</f>
        <v>0.65575540509259267</v>
      </c>
      <c r="F744" t="s">
        <v>13</v>
      </c>
      <c r="G744" t="str">
        <f t="shared" si="127"/>
        <v>-114.0,</v>
      </c>
      <c r="H744" s="21">
        <f t="shared" si="126"/>
        <v>-114</v>
      </c>
      <c r="I744">
        <f t="shared" si="128"/>
        <v>-9.5</v>
      </c>
      <c r="L744">
        <f>160+2*(Table2579[[#This Row],[min value (corrected)]]-23)</f>
        <v>180</v>
      </c>
      <c r="M744">
        <f>MINUTE(Table2579[[#This Row],[Corrected time]])</f>
        <v>33</v>
      </c>
      <c r="N744" s="1">
        <v>0.6483415393518519</v>
      </c>
      <c r="O744" s="1">
        <f>Table2579[[#This Row],[Time]]-TIME(0,0,10)</f>
        <v>0.64822579861111118</v>
      </c>
      <c r="P744" t="s">
        <v>9</v>
      </c>
      <c r="Q744">
        <v>-114</v>
      </c>
      <c r="R744" s="21">
        <f>Table2579[[#This Row],[RSSI]]</f>
        <v>-114</v>
      </c>
      <c r="S744">
        <v>-8.8000000000000007</v>
      </c>
    </row>
    <row r="745" spans="2:19" x14ac:dyDescent="0.25">
      <c r="B745">
        <f>160+2*(Table1468[[#This Row],[min value (corrected)]]-32)</f>
        <v>184</v>
      </c>
      <c r="C745">
        <f>MINUTE(Table1468[[#This Row],[Corrected time]])</f>
        <v>44</v>
      </c>
      <c r="D745" s="1">
        <v>0.65589490740740741</v>
      </c>
      <c r="E745" s="1">
        <f>Table1468[[#This Row],[Time]]-TIME(0,0,11)</f>
        <v>0.65576759259259265</v>
      </c>
      <c r="F745" t="s">
        <v>13</v>
      </c>
      <c r="G745" t="str">
        <f t="shared" si="127"/>
        <v>-114.0,</v>
      </c>
      <c r="H745" s="21">
        <f t="shared" si="126"/>
        <v>-114</v>
      </c>
      <c r="I745">
        <f t="shared" si="128"/>
        <v>-9.5</v>
      </c>
      <c r="L745">
        <f>160+2*(Table2579[[#This Row],[min value (corrected)]]-23)</f>
        <v>180</v>
      </c>
      <c r="M745">
        <f>MINUTE(Table2579[[#This Row],[Corrected time]])</f>
        <v>33</v>
      </c>
      <c r="N745" s="1">
        <v>0.64835371527777774</v>
      </c>
      <c r="O745" s="1">
        <f>Table2579[[#This Row],[Time]]-TIME(0,0,10)</f>
        <v>0.64823797453703702</v>
      </c>
      <c r="P745" t="s">
        <v>13</v>
      </c>
      <c r="Q745">
        <f>Q744</f>
        <v>-114</v>
      </c>
      <c r="R745" s="21">
        <f>Table2579[[#This Row],[RSSI]]</f>
        <v>-114</v>
      </c>
      <c r="S745">
        <f>S744</f>
        <v>-8.8000000000000007</v>
      </c>
    </row>
    <row r="746" spans="2:19" x14ac:dyDescent="0.25">
      <c r="B746">
        <f>160+2*(Table1468[[#This Row],[min value (corrected)]]-32)</f>
        <v>184</v>
      </c>
      <c r="C746">
        <f>MINUTE(Table1468[[#This Row],[Corrected time]])</f>
        <v>44</v>
      </c>
      <c r="D746" s="1">
        <v>0.65590708333333336</v>
      </c>
      <c r="E746" s="1">
        <f>Table1468[[#This Row],[Time]]-TIME(0,0,11)</f>
        <v>0.6557797685185186</v>
      </c>
      <c r="F746" t="s">
        <v>27</v>
      </c>
      <c r="G746" t="str">
        <f t="shared" si="127"/>
        <v>-114.0,</v>
      </c>
      <c r="H746" s="21">
        <f t="shared" si="126"/>
        <v>-114</v>
      </c>
      <c r="I746">
        <f t="shared" si="128"/>
        <v>-9.5</v>
      </c>
      <c r="L746">
        <f>160+2*(Table2579[[#This Row],[min value (corrected)]]-23)</f>
        <v>180</v>
      </c>
      <c r="M746">
        <f>MINUTE(Table2579[[#This Row],[Corrected time]])</f>
        <v>33</v>
      </c>
      <c r="N746" s="1">
        <v>0.64836590277777773</v>
      </c>
      <c r="O746" s="1">
        <f>Table2579[[#This Row],[Time]]-TIME(0,0,10)</f>
        <v>0.648250162037037</v>
      </c>
      <c r="P746" t="s">
        <v>9</v>
      </c>
      <c r="Q746">
        <v>-114</v>
      </c>
      <c r="R746" s="21">
        <f>Table2579[[#This Row],[RSSI]]</f>
        <v>-114</v>
      </c>
      <c r="S746">
        <v>-9</v>
      </c>
    </row>
    <row r="747" spans="2:19" x14ac:dyDescent="0.25">
      <c r="B747">
        <f>160+2*(Table1468[[#This Row],[min value (corrected)]]-32)</f>
        <v>184</v>
      </c>
      <c r="C747">
        <f>MINUTE(Table1468[[#This Row],[Corrected time]])</f>
        <v>44</v>
      </c>
      <c r="D747" s="1">
        <v>0.65590708333333336</v>
      </c>
      <c r="E747" s="1">
        <f>Table1468[[#This Row],[Time]]-TIME(0,0,11)</f>
        <v>0.6557797685185186</v>
      </c>
      <c r="F747" t="s">
        <v>13</v>
      </c>
      <c r="G747" t="str">
        <f t="shared" si="127"/>
        <v>-114.0,</v>
      </c>
      <c r="H747" s="21">
        <f t="shared" si="126"/>
        <v>-114</v>
      </c>
      <c r="I747">
        <f t="shared" si="128"/>
        <v>-9.5</v>
      </c>
      <c r="L747">
        <f>160+2*(Table2579[[#This Row],[min value (corrected)]]-23)</f>
        <v>180</v>
      </c>
      <c r="M747">
        <f>MINUTE(Table2579[[#This Row],[Corrected time]])</f>
        <v>33</v>
      </c>
      <c r="N747" s="1">
        <v>0.64837810185185185</v>
      </c>
      <c r="O747" s="1">
        <f>Table2579[[#This Row],[Time]]-TIME(0,0,10)</f>
        <v>0.64826236111111113</v>
      </c>
      <c r="P747" t="s">
        <v>9</v>
      </c>
      <c r="Q747">
        <v>-114</v>
      </c>
      <c r="R747" s="21">
        <f>Table2579[[#This Row],[RSSI]]</f>
        <v>-114</v>
      </c>
      <c r="S747">
        <v>-9.3000000000000007</v>
      </c>
    </row>
    <row r="748" spans="2:19" x14ac:dyDescent="0.25">
      <c r="B748">
        <f>160+2*(Table1468[[#This Row],[min value (corrected)]]-32)</f>
        <v>184</v>
      </c>
      <c r="C748">
        <f>MINUTE(Table1468[[#This Row],[Corrected time]])</f>
        <v>44</v>
      </c>
      <c r="D748" s="1">
        <v>0.6559314814814815</v>
      </c>
      <c r="E748" s="1">
        <f>Table1468[[#This Row],[Time]]-TIME(0,0,11)</f>
        <v>0.65580416666666674</v>
      </c>
      <c r="F748" t="s">
        <v>13</v>
      </c>
      <c r="G748" t="str">
        <f t="shared" si="127"/>
        <v>-114.0,</v>
      </c>
      <c r="H748" s="21">
        <f t="shared" si="126"/>
        <v>-114</v>
      </c>
      <c r="I748">
        <f t="shared" si="128"/>
        <v>-9.5</v>
      </c>
      <c r="L748">
        <f>160+2*(Table2579[[#This Row],[min value (corrected)]]-23)</f>
        <v>180</v>
      </c>
      <c r="M748">
        <f>MINUTE(Table2579[[#This Row],[Corrected time]])</f>
        <v>33</v>
      </c>
      <c r="N748" s="1">
        <v>0.64839028935185183</v>
      </c>
      <c r="O748" s="1">
        <f>Table2579[[#This Row],[Time]]-TIME(0,0,10)</f>
        <v>0.64827454861111111</v>
      </c>
      <c r="P748" t="s">
        <v>9</v>
      </c>
      <c r="Q748">
        <v>-113</v>
      </c>
      <c r="R748" s="21">
        <f>Table2579[[#This Row],[RSSI]]</f>
        <v>-113</v>
      </c>
      <c r="S748">
        <v>-8</v>
      </c>
    </row>
    <row r="749" spans="2:19" x14ac:dyDescent="0.25">
      <c r="B749">
        <f>160+2*(Table1468[[#This Row],[min value (corrected)]]-32)</f>
        <v>184</v>
      </c>
      <c r="C749">
        <f>MINUTE(Table1468[[#This Row],[Corrected time]])</f>
        <v>44</v>
      </c>
      <c r="D749" s="1">
        <v>0.65594365740740734</v>
      </c>
      <c r="E749" s="1">
        <f>Table1468[[#This Row],[Time]]-TIME(0,0,11)</f>
        <v>0.65581634259259258</v>
      </c>
      <c r="F749" t="s">
        <v>13</v>
      </c>
      <c r="G749" t="str">
        <f t="shared" si="127"/>
        <v>-114.0,</v>
      </c>
      <c r="H749" s="21">
        <f t="shared" si="126"/>
        <v>-114</v>
      </c>
      <c r="I749">
        <f t="shared" si="128"/>
        <v>-9.5</v>
      </c>
      <c r="L749">
        <f>160+2*(Table2579[[#This Row],[min value (corrected)]]-23)</f>
        <v>180</v>
      </c>
      <c r="M749">
        <f>MINUTE(Table2579[[#This Row],[Corrected time]])</f>
        <v>33</v>
      </c>
      <c r="N749" s="1">
        <v>0.64840246527777778</v>
      </c>
      <c r="O749" s="1">
        <f>Table2579[[#This Row],[Time]]-TIME(0,0,10)</f>
        <v>0.64828672453703706</v>
      </c>
      <c r="P749" t="s">
        <v>13</v>
      </c>
      <c r="Q749">
        <f>Q748</f>
        <v>-113</v>
      </c>
      <c r="R749" s="21">
        <f>Table2579[[#This Row],[RSSI]]</f>
        <v>-113</v>
      </c>
      <c r="S749">
        <f>S748</f>
        <v>-8</v>
      </c>
    </row>
    <row r="750" spans="2:19" x14ac:dyDescent="0.25">
      <c r="B750">
        <f>160+2*(Table1468[[#This Row],[min value (corrected)]]-32)</f>
        <v>184</v>
      </c>
      <c r="C750">
        <f>MINUTE(Table1468[[#This Row],[Corrected time]])</f>
        <v>44</v>
      </c>
      <c r="D750" s="1">
        <v>0.65595585648148147</v>
      </c>
      <c r="E750" s="1">
        <f>Table1468[[#This Row],[Time]]-TIME(0,0,11)</f>
        <v>0.65582854166666671</v>
      </c>
      <c r="F750" t="s">
        <v>13</v>
      </c>
      <c r="G750" t="str">
        <f t="shared" si="127"/>
        <v>-114.0,</v>
      </c>
      <c r="H750" s="21">
        <f t="shared" si="126"/>
        <v>-114</v>
      </c>
      <c r="I750">
        <f t="shared" si="128"/>
        <v>-9.5</v>
      </c>
      <c r="L750">
        <f>160+2*(Table2579[[#This Row],[min value (corrected)]]-23)</f>
        <v>180</v>
      </c>
      <c r="M750">
        <f>MINUTE(Table2579[[#This Row],[Corrected time]])</f>
        <v>33</v>
      </c>
      <c r="N750" s="1">
        <v>0.64841466435185191</v>
      </c>
      <c r="O750" s="1">
        <f>Table2579[[#This Row],[Time]]-TIME(0,0,10)</f>
        <v>0.64829892361111119</v>
      </c>
      <c r="P750" t="s">
        <v>9</v>
      </c>
      <c r="Q750">
        <v>-114</v>
      </c>
      <c r="R750" s="21">
        <f>Table2579[[#This Row],[RSSI]]</f>
        <v>-114</v>
      </c>
      <c r="S750">
        <v>-8.8000000000000007</v>
      </c>
    </row>
    <row r="751" spans="2:19" x14ac:dyDescent="0.25">
      <c r="B751">
        <f>160+2*(Table1468[[#This Row],[min value (corrected)]]-32)</f>
        <v>184</v>
      </c>
      <c r="C751">
        <f>MINUTE(Table1468[[#This Row],[Corrected time]])</f>
        <v>44</v>
      </c>
      <c r="D751" s="1">
        <v>0.65596803240740742</v>
      </c>
      <c r="E751" s="1">
        <f>Table1468[[#This Row],[Time]]-TIME(0,0,11)</f>
        <v>0.65584071759259266</v>
      </c>
      <c r="F751" t="s">
        <v>13</v>
      </c>
      <c r="G751" t="str">
        <f t="shared" si="127"/>
        <v>-114.0,</v>
      </c>
      <c r="H751" s="21">
        <f t="shared" si="126"/>
        <v>-114</v>
      </c>
      <c r="I751">
        <f t="shared" si="128"/>
        <v>-9.5</v>
      </c>
      <c r="L751">
        <f>160+2*(Table2579[[#This Row],[min value (corrected)]]-23)</f>
        <v>180</v>
      </c>
      <c r="M751">
        <f>MINUTE(Table2579[[#This Row],[Corrected time]])</f>
        <v>33</v>
      </c>
      <c r="N751" s="1">
        <v>0.64842684027777775</v>
      </c>
      <c r="O751" s="1">
        <f>Table2579[[#This Row],[Time]]-TIME(0,0,10)</f>
        <v>0.64831109953703703</v>
      </c>
      <c r="P751" t="s">
        <v>9</v>
      </c>
      <c r="Q751">
        <v>-114</v>
      </c>
      <c r="R751" s="21">
        <f>Table2579[[#This Row],[RSSI]]</f>
        <v>-114</v>
      </c>
      <c r="S751">
        <v>-8.5</v>
      </c>
    </row>
    <row r="752" spans="2:19" x14ac:dyDescent="0.25">
      <c r="B752">
        <f>160+2*(Table1468[[#This Row],[min value (corrected)]]-32)</f>
        <v>184</v>
      </c>
      <c r="C752">
        <f>MINUTE(Table1468[[#This Row],[Corrected time]])</f>
        <v>44</v>
      </c>
      <c r="D752" s="1">
        <v>0.65598023148148155</v>
      </c>
      <c r="E752" s="1">
        <f>Table1468[[#This Row],[Time]]-TIME(0,0,11)</f>
        <v>0.65585291666666679</v>
      </c>
      <c r="F752" t="s">
        <v>9</v>
      </c>
      <c r="G752" t="s">
        <v>44</v>
      </c>
      <c r="H752" s="21">
        <f t="shared" si="126"/>
        <v>-109</v>
      </c>
      <c r="I752">
        <v>-9.3000000000000007</v>
      </c>
      <c r="L752">
        <f>160+2*(Table2579[[#This Row],[min value (corrected)]]-23)</f>
        <v>180</v>
      </c>
      <c r="M752">
        <f>MINUTE(Table2579[[#This Row],[Corrected time]])</f>
        <v>33</v>
      </c>
      <c r="N752" s="1">
        <v>0.64843902777777773</v>
      </c>
      <c r="O752" s="1">
        <f>Table2579[[#This Row],[Time]]-TIME(0,0,10)</f>
        <v>0.64832328703703701</v>
      </c>
      <c r="P752" t="s">
        <v>9</v>
      </c>
      <c r="Q752">
        <v>-113</v>
      </c>
      <c r="R752" s="21">
        <f>Table2579[[#This Row],[RSSI]]</f>
        <v>-113</v>
      </c>
      <c r="S752">
        <v>-8.3000000000000007</v>
      </c>
    </row>
    <row r="753" spans="2:19" x14ac:dyDescent="0.25">
      <c r="B753">
        <f>160+2*(Table1468[[#This Row],[min value (corrected)]]-32)</f>
        <v>184</v>
      </c>
      <c r="C753">
        <f>MINUTE(Table1468[[#This Row],[Corrected time]])</f>
        <v>44</v>
      </c>
      <c r="D753" s="1">
        <v>0.65599241898148153</v>
      </c>
      <c r="E753" s="1">
        <f>Table1468[[#This Row],[Time]]-TIME(0,0,11)</f>
        <v>0.65586510416666677</v>
      </c>
      <c r="F753" t="s">
        <v>13</v>
      </c>
      <c r="G753" t="str">
        <f t="shared" ref="G753:G764" si="129">G752</f>
        <v>-109.0,</v>
      </c>
      <c r="H753" s="21">
        <f t="shared" si="126"/>
        <v>-109</v>
      </c>
      <c r="I753">
        <f t="shared" ref="I753:I764" si="130">I752</f>
        <v>-9.3000000000000007</v>
      </c>
      <c r="L753">
        <f>160+2*(Table2579[[#This Row],[min value (corrected)]]-23)</f>
        <v>180</v>
      </c>
      <c r="M753">
        <f>MINUTE(Table2579[[#This Row],[Corrected time]])</f>
        <v>33</v>
      </c>
      <c r="N753" s="1">
        <v>0.64845121527777771</v>
      </c>
      <c r="O753" s="1">
        <f>Table2579[[#This Row],[Time]]-TIME(0,0,10)</f>
        <v>0.64833547453703699</v>
      </c>
      <c r="P753" t="s">
        <v>9</v>
      </c>
      <c r="Q753">
        <v>-114</v>
      </c>
      <c r="R753" s="21">
        <f>Table2579[[#This Row],[RSSI]]</f>
        <v>-114</v>
      </c>
      <c r="S753">
        <v>-9</v>
      </c>
    </row>
    <row r="754" spans="2:19" x14ac:dyDescent="0.25">
      <c r="B754">
        <f>160+2*(Table1468[[#This Row],[min value (corrected)]]-32)</f>
        <v>184</v>
      </c>
      <c r="C754">
        <f>MINUTE(Table1468[[#This Row],[Corrected time]])</f>
        <v>44</v>
      </c>
      <c r="D754" s="1">
        <v>0.65600459490740737</v>
      </c>
      <c r="E754" s="1">
        <f>Table1468[[#This Row],[Time]]-TIME(0,0,11)</f>
        <v>0.65587728009259261</v>
      </c>
      <c r="F754" t="s">
        <v>13</v>
      </c>
      <c r="G754" t="str">
        <f t="shared" si="129"/>
        <v>-109.0,</v>
      </c>
      <c r="H754" s="21">
        <f t="shared" si="126"/>
        <v>-109</v>
      </c>
      <c r="I754">
        <f t="shared" si="130"/>
        <v>-9.3000000000000007</v>
      </c>
      <c r="L754">
        <f>160+2*(Table2579[[#This Row],[min value (corrected)]]-23)</f>
        <v>180</v>
      </c>
      <c r="M754">
        <f>MINUTE(Table2579[[#This Row],[Corrected time]])</f>
        <v>33</v>
      </c>
      <c r="N754" s="1">
        <v>0.6484634027777777</v>
      </c>
      <c r="O754" s="1">
        <f>Table2579[[#This Row],[Time]]-TIME(0,0,10)</f>
        <v>0.64834766203703698</v>
      </c>
      <c r="P754" t="s">
        <v>9</v>
      </c>
      <c r="Q754">
        <v>-113</v>
      </c>
      <c r="R754" s="21">
        <f>Table2579[[#This Row],[RSSI]]</f>
        <v>-113</v>
      </c>
      <c r="S754">
        <v>-8.5</v>
      </c>
    </row>
    <row r="755" spans="2:19" x14ac:dyDescent="0.25">
      <c r="B755">
        <f>160+2*(Table1468[[#This Row],[min value (corrected)]]-32)</f>
        <v>184</v>
      </c>
      <c r="C755">
        <f>MINUTE(Table1468[[#This Row],[Corrected time]])</f>
        <v>44</v>
      </c>
      <c r="D755" s="1">
        <v>0.65601679398148149</v>
      </c>
      <c r="E755" s="1">
        <f>Table1468[[#This Row],[Time]]-TIME(0,0,11)</f>
        <v>0.65588947916666673</v>
      </c>
      <c r="F755" t="s">
        <v>13</v>
      </c>
      <c r="G755" t="str">
        <f t="shared" si="129"/>
        <v>-109.0,</v>
      </c>
      <c r="H755" s="21">
        <f t="shared" si="126"/>
        <v>-109</v>
      </c>
      <c r="I755">
        <f t="shared" si="130"/>
        <v>-9.3000000000000007</v>
      </c>
      <c r="L755">
        <f>160+2*(Table2579[[#This Row],[min value (corrected)]]-23)</f>
        <v>180</v>
      </c>
      <c r="M755">
        <f>MINUTE(Table2579[[#This Row],[Corrected time]])</f>
        <v>33</v>
      </c>
      <c r="N755" s="1">
        <v>0.64847560185185182</v>
      </c>
      <c r="O755" s="1">
        <f>Table2579[[#This Row],[Time]]-TIME(0,0,10)</f>
        <v>0.6483598611111111</v>
      </c>
      <c r="P755" t="s">
        <v>9</v>
      </c>
      <c r="Q755">
        <v>-114</v>
      </c>
      <c r="R755" s="21">
        <f>Table2579[[#This Row],[RSSI]]</f>
        <v>-114</v>
      </c>
      <c r="S755">
        <v>-9</v>
      </c>
    </row>
    <row r="756" spans="2:19" x14ac:dyDescent="0.25">
      <c r="B756">
        <f>160+2*(Table1468[[#This Row],[min value (corrected)]]-32)</f>
        <v>184</v>
      </c>
      <c r="C756">
        <f>MINUTE(Table1468[[#This Row],[Corrected time]])</f>
        <v>44</v>
      </c>
      <c r="D756" s="1">
        <v>0.65602896990740744</v>
      </c>
      <c r="E756" s="1">
        <f>Table1468[[#This Row],[Time]]-TIME(0,0,11)</f>
        <v>0.65590165509259268</v>
      </c>
      <c r="F756" t="s">
        <v>13</v>
      </c>
      <c r="G756" t="str">
        <f t="shared" si="129"/>
        <v>-109.0,</v>
      </c>
      <c r="H756" s="21">
        <f t="shared" si="126"/>
        <v>-109</v>
      </c>
      <c r="I756">
        <f t="shared" si="130"/>
        <v>-9.3000000000000007</v>
      </c>
      <c r="L756">
        <f>160+2*(Table2579[[#This Row],[min value (corrected)]]-23)</f>
        <v>180</v>
      </c>
      <c r="M756">
        <f>MINUTE(Table2579[[#This Row],[Corrected time]])</f>
        <v>33</v>
      </c>
      <c r="N756" s="1">
        <v>0.64848777777777777</v>
      </c>
      <c r="O756" s="1">
        <f>Table2579[[#This Row],[Time]]-TIME(0,0,10)</f>
        <v>0.64837203703703705</v>
      </c>
      <c r="P756" t="s">
        <v>9</v>
      </c>
      <c r="Q756">
        <v>-114</v>
      </c>
      <c r="R756" s="21">
        <f>Table2579[[#This Row],[RSSI]]</f>
        <v>-114</v>
      </c>
      <c r="S756">
        <v>-8.3000000000000007</v>
      </c>
    </row>
    <row r="757" spans="2:19" x14ac:dyDescent="0.25">
      <c r="B757">
        <f>160+2*(Table1468[[#This Row],[min value (corrected)]]-32)</f>
        <v>184</v>
      </c>
      <c r="C757">
        <f>MINUTE(Table1468[[#This Row],[Corrected time]])</f>
        <v>44</v>
      </c>
      <c r="D757" s="1">
        <v>0.65604116898148146</v>
      </c>
      <c r="E757" s="1">
        <f>Table1468[[#This Row],[Time]]-TIME(0,0,11)</f>
        <v>0.6559138541666667</v>
      </c>
      <c r="F757" t="s">
        <v>13</v>
      </c>
      <c r="G757" t="str">
        <f t="shared" si="129"/>
        <v>-109.0,</v>
      </c>
      <c r="H757" s="21">
        <f t="shared" si="126"/>
        <v>-109</v>
      </c>
      <c r="I757">
        <f t="shared" si="130"/>
        <v>-9.3000000000000007</v>
      </c>
      <c r="L757">
        <f>160+2*(Table2579[[#This Row],[min value (corrected)]]-23)</f>
        <v>180</v>
      </c>
      <c r="M757">
        <f>MINUTE(Table2579[[#This Row],[Corrected time]])</f>
        <v>33</v>
      </c>
      <c r="N757" s="1">
        <v>0.64849996527777776</v>
      </c>
      <c r="O757" s="1">
        <f>Table2579[[#This Row],[Time]]-TIME(0,0,10)</f>
        <v>0.64838422453703703</v>
      </c>
      <c r="P757" t="s">
        <v>9</v>
      </c>
      <c r="Q757">
        <v>-114</v>
      </c>
      <c r="R757" s="21">
        <f>Table2579[[#This Row],[RSSI]]</f>
        <v>-114</v>
      </c>
      <c r="S757">
        <v>-8.3000000000000007</v>
      </c>
    </row>
    <row r="758" spans="2:19" x14ac:dyDescent="0.25">
      <c r="B758">
        <f>160+2*(Table1468[[#This Row],[min value (corrected)]]-32)</f>
        <v>184</v>
      </c>
      <c r="C758">
        <f>MINUTE(Table1468[[#This Row],[Corrected time]])</f>
        <v>44</v>
      </c>
      <c r="D758" s="1">
        <v>0.65605334490740741</v>
      </c>
      <c r="E758" s="1">
        <f>Table1468[[#This Row],[Time]]-TIME(0,0,11)</f>
        <v>0.65592603009259265</v>
      </c>
      <c r="F758" t="s">
        <v>13</v>
      </c>
      <c r="G758" t="str">
        <f t="shared" si="129"/>
        <v>-109.0,</v>
      </c>
      <c r="H758" s="21">
        <f t="shared" si="126"/>
        <v>-109</v>
      </c>
      <c r="I758">
        <f t="shared" si="130"/>
        <v>-9.3000000000000007</v>
      </c>
      <c r="L758">
        <f>160+2*(Table2579[[#This Row],[min value (corrected)]]-23)</f>
        <v>180</v>
      </c>
      <c r="M758">
        <f>MINUTE(Table2579[[#This Row],[Corrected time]])</f>
        <v>33</v>
      </c>
      <c r="N758" s="1">
        <v>0.64851214120370371</v>
      </c>
      <c r="O758" s="1">
        <f>Table2579[[#This Row],[Time]]-TIME(0,0,10)</f>
        <v>0.64839640046296299</v>
      </c>
      <c r="P758" t="s">
        <v>9</v>
      </c>
      <c r="Q758">
        <v>-114</v>
      </c>
      <c r="R758" s="21">
        <f>Table2579[[#This Row],[RSSI]]</f>
        <v>-114</v>
      </c>
      <c r="S758">
        <v>-8.5</v>
      </c>
    </row>
    <row r="759" spans="2:19" x14ac:dyDescent="0.25">
      <c r="B759">
        <f>160+2*(Table1468[[#This Row],[min value (corrected)]]-32)</f>
        <v>184</v>
      </c>
      <c r="C759">
        <f>MINUTE(Table1468[[#This Row],[Corrected time]])</f>
        <v>44</v>
      </c>
      <c r="D759" s="1">
        <v>0.65606553240740739</v>
      </c>
      <c r="E759" s="1">
        <f>Table1468[[#This Row],[Time]]-TIME(0,0,11)</f>
        <v>0.65593821759259263</v>
      </c>
      <c r="F759" t="s">
        <v>13</v>
      </c>
      <c r="G759" t="str">
        <f t="shared" si="129"/>
        <v>-109.0,</v>
      </c>
      <c r="H759" s="21">
        <f t="shared" si="126"/>
        <v>-109</v>
      </c>
      <c r="I759">
        <f t="shared" si="130"/>
        <v>-9.3000000000000007</v>
      </c>
      <c r="L759">
        <f>160+2*(Table2579[[#This Row],[min value (corrected)]]-23)</f>
        <v>180</v>
      </c>
      <c r="M759">
        <f>MINUTE(Table2579[[#This Row],[Corrected time]])</f>
        <v>33</v>
      </c>
      <c r="N759" s="1">
        <v>0.64852435185185187</v>
      </c>
      <c r="O759" s="1">
        <f>Table2579[[#This Row],[Time]]-TIME(0,0,10)</f>
        <v>0.64840861111111114</v>
      </c>
      <c r="P759" t="s">
        <v>9</v>
      </c>
      <c r="Q759">
        <v>-114</v>
      </c>
      <c r="R759" s="21">
        <f>Table2579[[#This Row],[RSSI]]</f>
        <v>-114</v>
      </c>
      <c r="S759">
        <v>-8.3000000000000007</v>
      </c>
    </row>
    <row r="760" spans="2:19" x14ac:dyDescent="0.25">
      <c r="B760">
        <f>160+2*(Table1468[[#This Row],[min value (corrected)]]-32)</f>
        <v>184</v>
      </c>
      <c r="C760">
        <f>MINUTE(Table1468[[#This Row],[Corrected time]])</f>
        <v>44</v>
      </c>
      <c r="D760" s="1">
        <v>0.65607771990740738</v>
      </c>
      <c r="E760" s="1">
        <f>Table1468[[#This Row],[Time]]-TIME(0,0,11)</f>
        <v>0.65595040509259261</v>
      </c>
      <c r="F760" t="s">
        <v>13</v>
      </c>
      <c r="G760" t="str">
        <f t="shared" si="129"/>
        <v>-109.0,</v>
      </c>
      <c r="H760" s="21">
        <f t="shared" si="126"/>
        <v>-109</v>
      </c>
      <c r="I760">
        <f t="shared" si="130"/>
        <v>-9.3000000000000007</v>
      </c>
      <c r="L760">
        <f>160+2*(Table2579[[#This Row],[min value (corrected)]]-23)</f>
        <v>180</v>
      </c>
      <c r="M760">
        <f>MINUTE(Table2579[[#This Row],[Corrected time]])</f>
        <v>33</v>
      </c>
      <c r="N760" s="1">
        <v>0.6485365277777777</v>
      </c>
      <c r="O760" s="1">
        <f>Table2579[[#This Row],[Time]]-TIME(0,0,10)</f>
        <v>0.64842078703703698</v>
      </c>
      <c r="P760" t="s">
        <v>9</v>
      </c>
      <c r="Q760">
        <v>-114</v>
      </c>
      <c r="R760" s="21">
        <f>Table2579[[#This Row],[RSSI]]</f>
        <v>-114</v>
      </c>
      <c r="S760">
        <v>-8.8000000000000007</v>
      </c>
    </row>
    <row r="761" spans="2:19" x14ac:dyDescent="0.25">
      <c r="B761">
        <f>160+2*(Table1468[[#This Row],[min value (corrected)]]-32)</f>
        <v>184</v>
      </c>
      <c r="C761">
        <f>MINUTE(Table1468[[#This Row],[Corrected time]])</f>
        <v>44</v>
      </c>
      <c r="D761" s="1">
        <v>0.6560899189814815</v>
      </c>
      <c r="E761" s="1">
        <f>Table1468[[#This Row],[Time]]-TIME(0,0,11)</f>
        <v>0.65596260416666674</v>
      </c>
      <c r="F761" t="s">
        <v>13</v>
      </c>
      <c r="G761" t="str">
        <f t="shared" si="129"/>
        <v>-109.0,</v>
      </c>
      <c r="H761" s="21">
        <f t="shared" si="126"/>
        <v>-109</v>
      </c>
      <c r="I761">
        <f t="shared" si="130"/>
        <v>-9.3000000000000007</v>
      </c>
      <c r="L761">
        <f>160+2*(Table2579[[#This Row],[min value (corrected)]]-23)</f>
        <v>180</v>
      </c>
      <c r="M761">
        <f>MINUTE(Table2579[[#This Row],[Corrected time]])</f>
        <v>33</v>
      </c>
      <c r="N761" s="1">
        <v>0.64854871527777769</v>
      </c>
      <c r="O761" s="1">
        <f>Table2579[[#This Row],[Time]]-TIME(0,0,10)</f>
        <v>0.64843297453703697</v>
      </c>
      <c r="P761" t="s">
        <v>13</v>
      </c>
      <c r="Q761">
        <f>Q760</f>
        <v>-114</v>
      </c>
      <c r="R761" s="21">
        <f>Table2579[[#This Row],[RSSI]]</f>
        <v>-114</v>
      </c>
      <c r="S761">
        <f>S760</f>
        <v>-8.8000000000000007</v>
      </c>
    </row>
    <row r="762" spans="2:19" x14ac:dyDescent="0.25">
      <c r="B762">
        <f>160+2*(Table1468[[#This Row],[min value (corrected)]]-32)</f>
        <v>184</v>
      </c>
      <c r="C762">
        <f>MINUTE(Table1468[[#This Row],[Corrected time]])</f>
        <v>44</v>
      </c>
      <c r="D762" s="1">
        <v>0.65610209490740734</v>
      </c>
      <c r="E762" s="1">
        <f>Table1468[[#This Row],[Time]]-TIME(0,0,11)</f>
        <v>0.65597478009259258</v>
      </c>
      <c r="F762" t="s">
        <v>13</v>
      </c>
      <c r="G762" t="str">
        <f t="shared" si="129"/>
        <v>-109.0,</v>
      </c>
      <c r="H762" s="21">
        <f t="shared" si="126"/>
        <v>-109</v>
      </c>
      <c r="I762">
        <f t="shared" si="130"/>
        <v>-9.3000000000000007</v>
      </c>
      <c r="L762">
        <f>160+2*(Table2579[[#This Row],[min value (corrected)]]-23)</f>
        <v>180</v>
      </c>
      <c r="M762">
        <f>MINUTE(Table2579[[#This Row],[Corrected time]])</f>
        <v>33</v>
      </c>
      <c r="N762" s="1">
        <v>0.64856089120370375</v>
      </c>
      <c r="O762" s="1">
        <f>Table2579[[#This Row],[Time]]-TIME(0,0,10)</f>
        <v>0.64844515046296303</v>
      </c>
      <c r="P762" t="s">
        <v>9</v>
      </c>
      <c r="Q762">
        <v>-114</v>
      </c>
      <c r="R762" s="21">
        <f>Table2579[[#This Row],[RSSI]]</f>
        <v>-114</v>
      </c>
      <c r="S762">
        <v>-8.3000000000000007</v>
      </c>
    </row>
    <row r="763" spans="2:19" x14ac:dyDescent="0.25">
      <c r="B763">
        <f>160+2*(Table1468[[#This Row],[min value (corrected)]]-32)</f>
        <v>184</v>
      </c>
      <c r="C763">
        <f>MINUTE(Table1468[[#This Row],[Corrected time]])</f>
        <v>44</v>
      </c>
      <c r="D763" s="1">
        <v>0.65611429398148147</v>
      </c>
      <c r="E763" s="1">
        <f>Table1468[[#This Row],[Time]]-TIME(0,0,11)</f>
        <v>0.65598697916666671</v>
      </c>
      <c r="F763" t="s">
        <v>13</v>
      </c>
      <c r="G763" t="str">
        <f t="shared" si="129"/>
        <v>-109.0,</v>
      </c>
      <c r="H763" s="21">
        <f t="shared" si="126"/>
        <v>-109</v>
      </c>
      <c r="I763">
        <f t="shared" si="130"/>
        <v>-9.3000000000000007</v>
      </c>
      <c r="L763">
        <f>160+2*(Table2579[[#This Row],[min value (corrected)]]-23)</f>
        <v>180</v>
      </c>
      <c r="M763">
        <f>MINUTE(Table2579[[#This Row],[Corrected time]])</f>
        <v>33</v>
      </c>
      <c r="N763" s="1">
        <v>0.64857309027777776</v>
      </c>
      <c r="O763" s="1">
        <f>Table2579[[#This Row],[Time]]-TIME(0,0,10)</f>
        <v>0.64845734953703704</v>
      </c>
      <c r="P763" t="s">
        <v>13</v>
      </c>
      <c r="Q763">
        <f t="shared" ref="Q763:Q765" si="131">Q762</f>
        <v>-114</v>
      </c>
      <c r="R763" s="21">
        <f>Table2579[[#This Row],[RSSI]]</f>
        <v>-114</v>
      </c>
      <c r="S763">
        <f t="shared" ref="S763:S765" si="132">S762</f>
        <v>-8.3000000000000007</v>
      </c>
    </row>
    <row r="764" spans="2:19" x14ac:dyDescent="0.25">
      <c r="B764">
        <f>160+2*(Table1468[[#This Row],[min value (corrected)]]-32)</f>
        <v>184</v>
      </c>
      <c r="C764">
        <f>MINUTE(Table1468[[#This Row],[Corrected time]])</f>
        <v>44</v>
      </c>
      <c r="D764" s="1">
        <v>0.65612648148148145</v>
      </c>
      <c r="E764" s="1">
        <f>Table1468[[#This Row],[Time]]-TIME(0,0,11)</f>
        <v>0.65599916666666669</v>
      </c>
      <c r="F764" t="s">
        <v>13</v>
      </c>
      <c r="G764" t="str">
        <f t="shared" si="129"/>
        <v>-109.0,</v>
      </c>
      <c r="H764" s="21">
        <f t="shared" si="126"/>
        <v>-109</v>
      </c>
      <c r="I764">
        <f t="shared" si="130"/>
        <v>-9.3000000000000007</v>
      </c>
      <c r="L764">
        <f>160+2*(Table2579[[#This Row],[min value (corrected)]]-23)</f>
        <v>180</v>
      </c>
      <c r="M764">
        <f>MINUTE(Table2579[[#This Row],[Corrected time]])</f>
        <v>33</v>
      </c>
      <c r="N764" s="1">
        <v>0.64858527777777775</v>
      </c>
      <c r="O764" s="1">
        <f>Table2579[[#This Row],[Time]]-TIME(0,0,10)</f>
        <v>0.64846953703703702</v>
      </c>
      <c r="P764" t="s">
        <v>13</v>
      </c>
      <c r="Q764">
        <f t="shared" si="131"/>
        <v>-114</v>
      </c>
      <c r="R764" s="21">
        <f>Table2579[[#This Row],[RSSI]]</f>
        <v>-114</v>
      </c>
      <c r="S764">
        <f t="shared" si="132"/>
        <v>-8.3000000000000007</v>
      </c>
    </row>
    <row r="765" spans="2:19" x14ac:dyDescent="0.25">
      <c r="B765">
        <f>160+2*(Table1468[[#This Row],[min value (corrected)]]-32)</f>
        <v>184</v>
      </c>
      <c r="C765">
        <f>MINUTE(Table1468[[#This Row],[Corrected time]])</f>
        <v>44</v>
      </c>
      <c r="D765" s="1">
        <v>0.6561386574074074</v>
      </c>
      <c r="E765" s="1">
        <f>Table1468[[#This Row],[Time]]-TIME(0,0,11)</f>
        <v>0.65601134259259264</v>
      </c>
      <c r="F765" t="s">
        <v>9</v>
      </c>
      <c r="G765" t="s">
        <v>43</v>
      </c>
      <c r="H765" s="21">
        <f t="shared" si="126"/>
        <v>-115</v>
      </c>
      <c r="I765">
        <v>-9.3000000000000007</v>
      </c>
      <c r="L765">
        <f>160+2*(Table2579[[#This Row],[min value (corrected)]]-23)</f>
        <v>180</v>
      </c>
      <c r="M765">
        <f>MINUTE(Table2579[[#This Row],[Corrected time]])</f>
        <v>33</v>
      </c>
      <c r="N765" s="1">
        <v>0.64859747685185187</v>
      </c>
      <c r="O765" s="1">
        <f>Table2579[[#This Row],[Time]]-TIME(0,0,10)</f>
        <v>0.64848173611111115</v>
      </c>
      <c r="P765" t="s">
        <v>13</v>
      </c>
      <c r="Q765">
        <f t="shared" si="131"/>
        <v>-114</v>
      </c>
      <c r="R765" s="21">
        <f>Table2579[[#This Row],[RSSI]]</f>
        <v>-114</v>
      </c>
      <c r="S765">
        <f t="shared" si="132"/>
        <v>-8.3000000000000007</v>
      </c>
    </row>
    <row r="766" spans="2:19" x14ac:dyDescent="0.25">
      <c r="B766">
        <f>160+2*(Table1468[[#This Row],[min value (corrected)]]-32)</f>
        <v>184</v>
      </c>
      <c r="C766">
        <f>MINUTE(Table1468[[#This Row],[Corrected time]])</f>
        <v>44</v>
      </c>
      <c r="D766" s="1">
        <v>0.65615085648148153</v>
      </c>
      <c r="E766" s="1">
        <f>Table1468[[#This Row],[Time]]-TIME(0,0,11)</f>
        <v>0.65602354166666677</v>
      </c>
      <c r="F766" t="s">
        <v>13</v>
      </c>
      <c r="G766" t="str">
        <f t="shared" ref="G766:G784" si="133">G765</f>
        <v>-115.0,</v>
      </c>
      <c r="H766" s="21">
        <f t="shared" si="126"/>
        <v>-115</v>
      </c>
      <c r="I766">
        <f t="shared" ref="I766:I784" si="134">I765</f>
        <v>-9.3000000000000007</v>
      </c>
      <c r="L766">
        <f>160+2*(Table2579[[#This Row],[min value (corrected)]]-23)</f>
        <v>180</v>
      </c>
      <c r="M766">
        <f>MINUTE(Table2579[[#This Row],[Corrected time]])</f>
        <v>33</v>
      </c>
      <c r="N766" s="1">
        <v>0.64860964120370368</v>
      </c>
      <c r="O766" s="1">
        <f>Table2579[[#This Row],[Time]]-TIME(0,0,10)</f>
        <v>0.64849390046296296</v>
      </c>
      <c r="P766" t="s">
        <v>9</v>
      </c>
      <c r="Q766">
        <v>-114</v>
      </c>
      <c r="R766" s="21">
        <f>Table2579[[#This Row],[RSSI]]</f>
        <v>-114</v>
      </c>
      <c r="S766">
        <v>-8.8000000000000007</v>
      </c>
    </row>
    <row r="767" spans="2:19" x14ac:dyDescent="0.25">
      <c r="B767">
        <f>160+2*(Table1468[[#This Row],[min value (corrected)]]-32)</f>
        <v>184</v>
      </c>
      <c r="C767">
        <f>MINUTE(Table1468[[#This Row],[Corrected time]])</f>
        <v>44</v>
      </c>
      <c r="D767" s="1">
        <v>0.65616303240740737</v>
      </c>
      <c r="E767" s="1">
        <f>Table1468[[#This Row],[Time]]-TIME(0,0,11)</f>
        <v>0.6560357175925926</v>
      </c>
      <c r="F767" t="s">
        <v>13</v>
      </c>
      <c r="G767" t="str">
        <f t="shared" si="133"/>
        <v>-115.0,</v>
      </c>
      <c r="H767" s="21">
        <f t="shared" si="126"/>
        <v>-115</v>
      </c>
      <c r="I767">
        <f t="shared" si="134"/>
        <v>-9.3000000000000007</v>
      </c>
      <c r="L767">
        <f>160+2*(Table2579[[#This Row],[min value (corrected)]]-23)</f>
        <v>180</v>
      </c>
      <c r="M767">
        <f>MINUTE(Table2579[[#This Row],[Corrected time]])</f>
        <v>33</v>
      </c>
      <c r="N767" s="1">
        <v>0.64862184027777781</v>
      </c>
      <c r="O767" s="1">
        <f>Table2579[[#This Row],[Time]]-TIME(0,0,10)</f>
        <v>0.64850609953703708</v>
      </c>
      <c r="P767" t="s">
        <v>13</v>
      </c>
      <c r="Q767">
        <f t="shared" ref="Q767:Q769" si="135">Q766</f>
        <v>-114</v>
      </c>
      <c r="R767" s="21">
        <f>Table2579[[#This Row],[RSSI]]</f>
        <v>-114</v>
      </c>
      <c r="S767">
        <f t="shared" ref="S767:S769" si="136">S766</f>
        <v>-8.8000000000000007</v>
      </c>
    </row>
    <row r="768" spans="2:19" x14ac:dyDescent="0.25">
      <c r="B768">
        <f>160+2*(Table1468[[#This Row],[min value (corrected)]]-32)</f>
        <v>184</v>
      </c>
      <c r="C768">
        <f>MINUTE(Table1468[[#This Row],[Corrected time]])</f>
        <v>44</v>
      </c>
      <c r="D768" s="1">
        <v>0.65617523148148149</v>
      </c>
      <c r="E768" s="1">
        <f>Table1468[[#This Row],[Time]]-TIME(0,0,11)</f>
        <v>0.65604791666666673</v>
      </c>
      <c r="F768" t="s">
        <v>27</v>
      </c>
      <c r="G768" t="str">
        <f t="shared" si="133"/>
        <v>-115.0,</v>
      </c>
      <c r="H768" s="21">
        <f t="shared" si="126"/>
        <v>-115</v>
      </c>
      <c r="I768">
        <f t="shared" si="134"/>
        <v>-9.3000000000000007</v>
      </c>
      <c r="L768">
        <f>160+2*(Table2579[[#This Row],[min value (corrected)]]-23)</f>
        <v>180</v>
      </c>
      <c r="M768">
        <f>MINUTE(Table2579[[#This Row],[Corrected time]])</f>
        <v>33</v>
      </c>
      <c r="N768" s="1">
        <v>0.64863402777777779</v>
      </c>
      <c r="O768" s="1">
        <f>Table2579[[#This Row],[Time]]-TIME(0,0,10)</f>
        <v>0.64851828703703707</v>
      </c>
      <c r="P768" t="s">
        <v>13</v>
      </c>
      <c r="Q768">
        <f t="shared" si="135"/>
        <v>-114</v>
      </c>
      <c r="R768" s="21">
        <f>Table2579[[#This Row],[RSSI]]</f>
        <v>-114</v>
      </c>
      <c r="S768">
        <f t="shared" si="136"/>
        <v>-8.8000000000000007</v>
      </c>
    </row>
    <row r="769" spans="2:19" x14ac:dyDescent="0.25">
      <c r="B769">
        <f>160+2*(Table1468[[#This Row],[min value (corrected)]]-32)</f>
        <v>184</v>
      </c>
      <c r="C769">
        <f>MINUTE(Table1468[[#This Row],[Corrected time]])</f>
        <v>44</v>
      </c>
      <c r="D769" s="1">
        <v>0.65617523148148149</v>
      </c>
      <c r="E769" s="1">
        <f>Table1468[[#This Row],[Time]]-TIME(0,0,11)</f>
        <v>0.65604791666666673</v>
      </c>
      <c r="F769" t="s">
        <v>13</v>
      </c>
      <c r="G769" t="str">
        <f t="shared" si="133"/>
        <v>-115.0,</v>
      </c>
      <c r="H769" s="21">
        <f t="shared" si="126"/>
        <v>-115</v>
      </c>
      <c r="I769">
        <f t="shared" si="134"/>
        <v>-9.3000000000000007</v>
      </c>
      <c r="L769">
        <f>160+2*(Table2579[[#This Row],[min value (corrected)]]-23)</f>
        <v>180</v>
      </c>
      <c r="M769">
        <f>MINUTE(Table2579[[#This Row],[Corrected time]])</f>
        <v>33</v>
      </c>
      <c r="N769" s="1">
        <v>0.6486462268518518</v>
      </c>
      <c r="O769" s="1">
        <f>Table2579[[#This Row],[Time]]-TIME(0,0,10)</f>
        <v>0.64853048611111108</v>
      </c>
      <c r="P769" t="s">
        <v>13</v>
      </c>
      <c r="Q769">
        <f t="shared" si="135"/>
        <v>-114</v>
      </c>
      <c r="R769" s="21">
        <f>Table2579[[#This Row],[RSSI]]</f>
        <v>-114</v>
      </c>
      <c r="S769">
        <f t="shared" si="136"/>
        <v>-8.8000000000000007</v>
      </c>
    </row>
    <row r="770" spans="2:19" x14ac:dyDescent="0.25">
      <c r="B770">
        <f>160+2*(Table1468[[#This Row],[min value (corrected)]]-32)</f>
        <v>184</v>
      </c>
      <c r="C770">
        <f>MINUTE(Table1468[[#This Row],[Corrected time]])</f>
        <v>44</v>
      </c>
      <c r="D770" s="1">
        <v>0.65619960648148146</v>
      </c>
      <c r="E770" s="1">
        <f>Table1468[[#This Row],[Time]]-TIME(0,0,11)</f>
        <v>0.6560722916666667</v>
      </c>
      <c r="F770" t="s">
        <v>13</v>
      </c>
      <c r="G770" t="str">
        <f t="shared" si="133"/>
        <v>-115.0,</v>
      </c>
      <c r="H770" s="21">
        <f t="shared" si="126"/>
        <v>-115</v>
      </c>
      <c r="I770">
        <f t="shared" si="134"/>
        <v>-9.3000000000000007</v>
      </c>
      <c r="L770">
        <f>160+2*(Table2579[[#This Row],[min value (corrected)]]-23)</f>
        <v>180</v>
      </c>
      <c r="M770">
        <f>MINUTE(Table2579[[#This Row],[Corrected time]])</f>
        <v>33</v>
      </c>
      <c r="N770" s="1">
        <v>0.64865840277777786</v>
      </c>
      <c r="O770" s="1">
        <f>Table2579[[#This Row],[Time]]-TIME(0,0,10)</f>
        <v>0.64854266203703714</v>
      </c>
      <c r="P770" t="s">
        <v>9</v>
      </c>
      <c r="Q770">
        <v>-113</v>
      </c>
      <c r="R770" s="21">
        <f>Table2579[[#This Row],[RSSI]]</f>
        <v>-113</v>
      </c>
      <c r="S770">
        <v>-8.3000000000000007</v>
      </c>
    </row>
    <row r="771" spans="2:19" x14ac:dyDescent="0.25">
      <c r="B771">
        <f>160+2*(Table1468[[#This Row],[min value (corrected)]]-32)</f>
        <v>184</v>
      </c>
      <c r="C771">
        <f>MINUTE(Table1468[[#This Row],[Corrected time]])</f>
        <v>44</v>
      </c>
      <c r="D771" s="1">
        <v>0.65621178240740741</v>
      </c>
      <c r="E771" s="1">
        <f>Table1468[[#This Row],[Time]]-TIME(0,0,11)</f>
        <v>0.65608446759259265</v>
      </c>
      <c r="F771" t="s">
        <v>13</v>
      </c>
      <c r="G771" t="str">
        <f t="shared" si="133"/>
        <v>-115.0,</v>
      </c>
      <c r="H771" s="21">
        <f t="shared" si="126"/>
        <v>-115</v>
      </c>
      <c r="I771">
        <f t="shared" si="134"/>
        <v>-9.3000000000000007</v>
      </c>
      <c r="L771">
        <f>160+2*(Table2579[[#This Row],[min value (corrected)]]-23)</f>
        <v>180</v>
      </c>
      <c r="M771">
        <f>MINUTE(Table2579[[#This Row],[Corrected time]])</f>
        <v>33</v>
      </c>
      <c r="N771" s="1">
        <v>0.64867059027777785</v>
      </c>
      <c r="O771" s="1">
        <f>Table2579[[#This Row],[Time]]-TIME(0,0,10)</f>
        <v>0.64855484953703713</v>
      </c>
      <c r="P771" t="s">
        <v>9</v>
      </c>
      <c r="Q771">
        <v>-113</v>
      </c>
      <c r="R771" s="21">
        <f>Table2579[[#This Row],[RSSI]]</f>
        <v>-113</v>
      </c>
      <c r="S771">
        <v>-8.3000000000000007</v>
      </c>
    </row>
    <row r="772" spans="2:19" x14ac:dyDescent="0.25">
      <c r="B772">
        <f>160+2*(Table1468[[#This Row],[min value (corrected)]]-32)</f>
        <v>184</v>
      </c>
      <c r="C772">
        <f>MINUTE(Table1468[[#This Row],[Corrected time]])</f>
        <v>44</v>
      </c>
      <c r="D772" s="1">
        <v>0.65622398148148153</v>
      </c>
      <c r="E772" s="1">
        <f>Table1468[[#This Row],[Time]]-TIME(0,0,11)</f>
        <v>0.65609666666666677</v>
      </c>
      <c r="F772" t="s">
        <v>13</v>
      </c>
      <c r="G772" t="str">
        <f t="shared" si="133"/>
        <v>-115.0,</v>
      </c>
      <c r="H772" s="21">
        <f t="shared" si="126"/>
        <v>-115</v>
      </c>
      <c r="I772">
        <f t="shared" si="134"/>
        <v>-9.3000000000000007</v>
      </c>
      <c r="L772">
        <f>160+2*(Table2579[[#This Row],[min value (corrected)]]-23)</f>
        <v>180</v>
      </c>
      <c r="M772">
        <f>MINUTE(Table2579[[#This Row],[Corrected time]])</f>
        <v>33</v>
      </c>
      <c r="N772" s="1">
        <v>0.64868278935185186</v>
      </c>
      <c r="O772" s="1">
        <f>Table2579[[#This Row],[Time]]-TIME(0,0,10)</f>
        <v>0.64856704861111114</v>
      </c>
      <c r="P772" t="s">
        <v>9</v>
      </c>
      <c r="Q772">
        <v>-114</v>
      </c>
      <c r="R772" s="21">
        <f>Table2579[[#This Row],[RSSI]]</f>
        <v>-114</v>
      </c>
      <c r="S772">
        <v>-8.8000000000000007</v>
      </c>
    </row>
    <row r="773" spans="2:19" x14ac:dyDescent="0.25">
      <c r="B773">
        <f>160+2*(Table1468[[#This Row],[min value (corrected)]]-32)</f>
        <v>184</v>
      </c>
      <c r="C773">
        <f>MINUTE(Table1468[[#This Row],[Corrected time]])</f>
        <v>44</v>
      </c>
      <c r="D773" s="1">
        <v>0.65623615740740737</v>
      </c>
      <c r="E773" s="1">
        <f>Table1468[[#This Row],[Time]]-TIME(0,0,11)</f>
        <v>0.65610884259259261</v>
      </c>
      <c r="F773" t="s">
        <v>13</v>
      </c>
      <c r="G773" t="str">
        <f t="shared" si="133"/>
        <v>-115.0,</v>
      </c>
      <c r="H773" s="21">
        <f t="shared" si="126"/>
        <v>-115</v>
      </c>
      <c r="I773">
        <f t="shared" si="134"/>
        <v>-9.3000000000000007</v>
      </c>
      <c r="L773">
        <f>160+2*(Table2579[[#This Row],[min value (corrected)]]-23)</f>
        <v>180</v>
      </c>
      <c r="M773">
        <f>MINUTE(Table2579[[#This Row],[Corrected time]])</f>
        <v>33</v>
      </c>
      <c r="N773" s="1">
        <v>0.64869496527777781</v>
      </c>
      <c r="O773" s="1">
        <f>Table2579[[#This Row],[Time]]-TIME(0,0,10)</f>
        <v>0.64857922453703709</v>
      </c>
      <c r="P773" t="s">
        <v>9</v>
      </c>
      <c r="Q773">
        <v>-114</v>
      </c>
      <c r="R773" s="21">
        <f>Table2579[[#This Row],[RSSI]]</f>
        <v>-114</v>
      </c>
      <c r="S773">
        <v>-8</v>
      </c>
    </row>
    <row r="774" spans="2:19" x14ac:dyDescent="0.25">
      <c r="B774">
        <f>160+2*(Table1468[[#This Row],[min value (corrected)]]-32)</f>
        <v>184</v>
      </c>
      <c r="C774">
        <f>MINUTE(Table1468[[#This Row],[Corrected time]])</f>
        <v>44</v>
      </c>
      <c r="D774" s="1">
        <v>0.6562483564814815</v>
      </c>
      <c r="E774" s="1">
        <f>Table1468[[#This Row],[Time]]-TIME(0,0,11)</f>
        <v>0.65612104166666674</v>
      </c>
      <c r="F774" t="s">
        <v>13</v>
      </c>
      <c r="G774" t="str">
        <f t="shared" si="133"/>
        <v>-115.0,</v>
      </c>
      <c r="H774" s="21">
        <f t="shared" si="126"/>
        <v>-115</v>
      </c>
      <c r="I774">
        <f t="shared" si="134"/>
        <v>-9.3000000000000007</v>
      </c>
      <c r="L774">
        <f>160+2*(Table2579[[#This Row],[min value (corrected)]]-23)</f>
        <v>180</v>
      </c>
      <c r="M774">
        <f>MINUTE(Table2579[[#This Row],[Corrected time]])</f>
        <v>33</v>
      </c>
      <c r="N774" s="1">
        <v>0.6487071527777778</v>
      </c>
      <c r="O774" s="1">
        <f>Table2579[[#This Row],[Time]]-TIME(0,0,10)</f>
        <v>0.64859141203703707</v>
      </c>
      <c r="P774" t="s">
        <v>9</v>
      </c>
      <c r="Q774">
        <v>-113</v>
      </c>
      <c r="R774" s="21">
        <f>Table2579[[#This Row],[RSSI]]</f>
        <v>-113</v>
      </c>
      <c r="S774">
        <v>-8</v>
      </c>
    </row>
    <row r="775" spans="2:19" x14ac:dyDescent="0.25">
      <c r="B775">
        <f>160+2*(Table1468[[#This Row],[min value (corrected)]]-32)</f>
        <v>184</v>
      </c>
      <c r="C775">
        <f>MINUTE(Table1468[[#This Row],[Corrected time]])</f>
        <v>44</v>
      </c>
      <c r="D775" s="1">
        <v>0.65626053240740745</v>
      </c>
      <c r="E775" s="1">
        <f>Table1468[[#This Row],[Time]]-TIME(0,0,11)</f>
        <v>0.65613321759259269</v>
      </c>
      <c r="F775" t="s">
        <v>13</v>
      </c>
      <c r="G775" t="str">
        <f t="shared" si="133"/>
        <v>-115.0,</v>
      </c>
      <c r="H775" s="21">
        <f t="shared" si="126"/>
        <v>-115</v>
      </c>
      <c r="I775">
        <f t="shared" si="134"/>
        <v>-9.3000000000000007</v>
      </c>
      <c r="L775">
        <f>160+2*(Table2579[[#This Row],[min value (corrected)]]-23)</f>
        <v>180</v>
      </c>
      <c r="M775">
        <f>MINUTE(Table2579[[#This Row],[Corrected time]])</f>
        <v>33</v>
      </c>
      <c r="N775" s="1">
        <v>0.64871932870370363</v>
      </c>
      <c r="O775" s="1">
        <f>Table2579[[#This Row],[Time]]-TIME(0,0,10)</f>
        <v>0.64860358796296291</v>
      </c>
      <c r="P775" t="s">
        <v>9</v>
      </c>
      <c r="Q775">
        <v>-114</v>
      </c>
      <c r="R775" s="21">
        <f>Table2579[[#This Row],[RSSI]]</f>
        <v>-114</v>
      </c>
      <c r="S775">
        <v>-8.8000000000000007</v>
      </c>
    </row>
    <row r="776" spans="2:19" x14ac:dyDescent="0.25">
      <c r="B776">
        <f>160+2*(Table1468[[#This Row],[min value (corrected)]]-32)</f>
        <v>184</v>
      </c>
      <c r="C776">
        <f>MINUTE(Table1468[[#This Row],[Corrected time]])</f>
        <v>44</v>
      </c>
      <c r="D776" s="1">
        <v>0.65627271990740743</v>
      </c>
      <c r="E776" s="1">
        <f>Table1468[[#This Row],[Time]]-TIME(0,0,11)</f>
        <v>0.65614540509259267</v>
      </c>
      <c r="F776" t="s">
        <v>13</v>
      </c>
      <c r="G776" t="str">
        <f t="shared" si="133"/>
        <v>-115.0,</v>
      </c>
      <c r="H776" s="21">
        <f t="shared" si="126"/>
        <v>-115</v>
      </c>
      <c r="I776">
        <f t="shared" si="134"/>
        <v>-9.3000000000000007</v>
      </c>
      <c r="L776">
        <f>160+2*(Table2579[[#This Row],[min value (corrected)]]-23)</f>
        <v>182</v>
      </c>
      <c r="M776">
        <f>MINUTE(Table2579[[#This Row],[Corrected time]])</f>
        <v>34</v>
      </c>
      <c r="N776" s="1">
        <v>0.64873152777777776</v>
      </c>
      <c r="O776" s="1">
        <f>Table2579[[#This Row],[Time]]-TIME(0,0,10)</f>
        <v>0.64861578703703704</v>
      </c>
      <c r="P776" t="s">
        <v>13</v>
      </c>
      <c r="Q776">
        <f t="shared" ref="Q776:Q777" si="137">Q775</f>
        <v>-114</v>
      </c>
      <c r="R776" s="21">
        <f>Table2579[[#This Row],[RSSI]]</f>
        <v>-114</v>
      </c>
      <c r="S776">
        <f t="shared" ref="S776:S777" si="138">S775</f>
        <v>-8.8000000000000007</v>
      </c>
    </row>
    <row r="777" spans="2:19" x14ac:dyDescent="0.25">
      <c r="B777">
        <f>160+2*(Table1468[[#This Row],[min value (corrected)]]-32)</f>
        <v>184</v>
      </c>
      <c r="C777">
        <f>MINUTE(Table1468[[#This Row],[Corrected time]])</f>
        <v>44</v>
      </c>
      <c r="D777" s="1">
        <v>0.65628490740740741</v>
      </c>
      <c r="E777" s="1">
        <f>Table1468[[#This Row],[Time]]-TIME(0,0,11)</f>
        <v>0.65615759259259265</v>
      </c>
      <c r="F777" t="s">
        <v>13</v>
      </c>
      <c r="G777" t="str">
        <f t="shared" si="133"/>
        <v>-115.0,</v>
      </c>
      <c r="H777" s="21">
        <f t="shared" si="126"/>
        <v>-115</v>
      </c>
      <c r="I777">
        <f t="shared" si="134"/>
        <v>-9.3000000000000007</v>
      </c>
      <c r="L777">
        <f>160+2*(Table2579[[#This Row],[min value (corrected)]]-23)</f>
        <v>182</v>
      </c>
      <c r="M777">
        <f>MINUTE(Table2579[[#This Row],[Corrected time]])</f>
        <v>34</v>
      </c>
      <c r="N777" s="1">
        <v>0.64874371527777785</v>
      </c>
      <c r="O777" s="1">
        <f>Table2579[[#This Row],[Time]]-TIME(0,0,10)</f>
        <v>0.64862797453703713</v>
      </c>
      <c r="P777" t="s">
        <v>13</v>
      </c>
      <c r="Q777">
        <f t="shared" si="137"/>
        <v>-114</v>
      </c>
      <c r="R777" s="21">
        <f>Table2579[[#This Row],[RSSI]]</f>
        <v>-114</v>
      </c>
      <c r="S777">
        <f t="shared" si="138"/>
        <v>-8.8000000000000007</v>
      </c>
    </row>
    <row r="778" spans="2:19" x14ac:dyDescent="0.25">
      <c r="B778">
        <f>160+2*(Table1468[[#This Row],[min value (corrected)]]-32)</f>
        <v>184</v>
      </c>
      <c r="C778">
        <f>MINUTE(Table1468[[#This Row],[Corrected time]])</f>
        <v>44</v>
      </c>
      <c r="D778" s="1">
        <v>0.6562970949074074</v>
      </c>
      <c r="E778" s="1">
        <f>Table1468[[#This Row],[Time]]-TIME(0,0,11)</f>
        <v>0.65616978009259264</v>
      </c>
      <c r="F778" t="s">
        <v>13</v>
      </c>
      <c r="G778" t="str">
        <f t="shared" si="133"/>
        <v>-115.0,</v>
      </c>
      <c r="H778" s="21">
        <f t="shared" si="126"/>
        <v>-115</v>
      </c>
      <c r="I778">
        <f t="shared" si="134"/>
        <v>-9.3000000000000007</v>
      </c>
      <c r="L778">
        <f>160+2*(Table2579[[#This Row],[min value (corrected)]]-23)</f>
        <v>182</v>
      </c>
      <c r="M778">
        <f>MINUTE(Table2579[[#This Row],[Corrected time]])</f>
        <v>34</v>
      </c>
      <c r="N778" s="1">
        <v>0.64875590277777784</v>
      </c>
      <c r="O778" s="1">
        <f>Table2579[[#This Row],[Time]]-TIME(0,0,10)</f>
        <v>0.64864016203703712</v>
      </c>
      <c r="P778" t="s">
        <v>9</v>
      </c>
      <c r="Q778">
        <v>-113</v>
      </c>
      <c r="R778" s="21">
        <f>Table2579[[#This Row],[RSSI]]</f>
        <v>-113</v>
      </c>
      <c r="S778">
        <v>-8.5</v>
      </c>
    </row>
    <row r="779" spans="2:19" x14ac:dyDescent="0.25">
      <c r="B779">
        <f>160+2*(Table1468[[#This Row],[min value (corrected)]]-32)</f>
        <v>184</v>
      </c>
      <c r="C779">
        <f>MINUTE(Table1468[[#This Row],[Corrected time]])</f>
        <v>44</v>
      </c>
      <c r="D779" s="1">
        <v>0.65630928240740749</v>
      </c>
      <c r="E779" s="1">
        <f>Table1468[[#This Row],[Time]]-TIME(0,0,11)</f>
        <v>0.65618196759259273</v>
      </c>
      <c r="F779" t="s">
        <v>13</v>
      </c>
      <c r="G779" t="str">
        <f t="shared" si="133"/>
        <v>-115.0,</v>
      </c>
      <c r="H779" s="21">
        <f t="shared" si="126"/>
        <v>-115</v>
      </c>
      <c r="I779">
        <f t="shared" si="134"/>
        <v>-9.3000000000000007</v>
      </c>
      <c r="L779">
        <f>160+2*(Table2579[[#This Row],[min value (corrected)]]-23)</f>
        <v>182</v>
      </c>
      <c r="M779">
        <f>MINUTE(Table2579[[#This Row],[Corrected time]])</f>
        <v>34</v>
      </c>
      <c r="N779" s="1">
        <v>0.64876807870370368</v>
      </c>
      <c r="O779" s="1">
        <f>Table2579[[#This Row],[Time]]-TIME(0,0,10)</f>
        <v>0.64865233796296295</v>
      </c>
      <c r="P779" t="s">
        <v>13</v>
      </c>
      <c r="Q779">
        <f t="shared" ref="Q779:Q781" si="139">Q778</f>
        <v>-113</v>
      </c>
      <c r="R779" s="21">
        <f>Table2579[[#This Row],[RSSI]]</f>
        <v>-113</v>
      </c>
      <c r="S779">
        <f t="shared" ref="S779:S781" si="140">S778</f>
        <v>-8.5</v>
      </c>
    </row>
    <row r="780" spans="2:19" x14ac:dyDescent="0.25">
      <c r="B780">
        <f>160+2*(Table1468[[#This Row],[min value (corrected)]]-32)</f>
        <v>184</v>
      </c>
      <c r="C780">
        <f>MINUTE(Table1468[[#This Row],[Corrected time]])</f>
        <v>44</v>
      </c>
      <c r="D780" s="1">
        <v>0.65632146990740747</v>
      </c>
      <c r="E780" s="1">
        <f>Table1468[[#This Row],[Time]]-TIME(0,0,11)</f>
        <v>0.65619415509259271</v>
      </c>
      <c r="F780" t="s">
        <v>13</v>
      </c>
      <c r="G780" t="str">
        <f t="shared" si="133"/>
        <v>-115.0,</v>
      </c>
      <c r="H780" s="21">
        <f t="shared" si="126"/>
        <v>-115</v>
      </c>
      <c r="I780">
        <f t="shared" si="134"/>
        <v>-9.3000000000000007</v>
      </c>
      <c r="L780">
        <f>160+2*(Table2579[[#This Row],[min value (corrected)]]-23)</f>
        <v>182</v>
      </c>
      <c r="M780">
        <f>MINUTE(Table2579[[#This Row],[Corrected time]])</f>
        <v>34</v>
      </c>
      <c r="N780" s="1">
        <v>0.6487802777777778</v>
      </c>
      <c r="O780" s="1">
        <f>Table2579[[#This Row],[Time]]-TIME(0,0,10)</f>
        <v>0.64866453703703708</v>
      </c>
      <c r="P780" t="s">
        <v>13</v>
      </c>
      <c r="Q780">
        <f t="shared" si="139"/>
        <v>-113</v>
      </c>
      <c r="R780" s="21">
        <f>Table2579[[#This Row],[RSSI]]</f>
        <v>-113</v>
      </c>
      <c r="S780">
        <f t="shared" si="140"/>
        <v>-8.5</v>
      </c>
    </row>
    <row r="781" spans="2:19" x14ac:dyDescent="0.25">
      <c r="B781">
        <f>160+2*(Table1468[[#This Row],[min value (corrected)]]-32)</f>
        <v>184</v>
      </c>
      <c r="C781">
        <f>MINUTE(Table1468[[#This Row],[Corrected time]])</f>
        <v>44</v>
      </c>
      <c r="D781" s="1">
        <v>0.65633365740740746</v>
      </c>
      <c r="E781" s="1">
        <f>Table1468[[#This Row],[Time]]-TIME(0,0,11)</f>
        <v>0.6562063425925927</v>
      </c>
      <c r="F781" t="s">
        <v>13</v>
      </c>
      <c r="G781" t="str">
        <f t="shared" si="133"/>
        <v>-115.0,</v>
      </c>
      <c r="H781" s="21">
        <f t="shared" si="126"/>
        <v>-115</v>
      </c>
      <c r="I781">
        <f t="shared" si="134"/>
        <v>-9.3000000000000007</v>
      </c>
      <c r="L781">
        <f>160+2*(Table2579[[#This Row],[min value (corrected)]]-23)</f>
        <v>182</v>
      </c>
      <c r="M781">
        <f>MINUTE(Table2579[[#This Row],[Corrected time]])</f>
        <v>34</v>
      </c>
      <c r="N781" s="1">
        <v>0.64879246527777779</v>
      </c>
      <c r="O781" s="1">
        <f>Table2579[[#This Row],[Time]]-TIME(0,0,10)</f>
        <v>0.64867672453703706</v>
      </c>
      <c r="P781" t="s">
        <v>13</v>
      </c>
      <c r="Q781">
        <f t="shared" si="139"/>
        <v>-113</v>
      </c>
      <c r="R781" s="21">
        <f>Table2579[[#This Row],[RSSI]]</f>
        <v>-113</v>
      </c>
      <c r="S781">
        <f t="shared" si="140"/>
        <v>-8.5</v>
      </c>
    </row>
    <row r="782" spans="2:19" x14ac:dyDescent="0.25">
      <c r="B782">
        <f>160+2*(Table1468[[#This Row],[min value (corrected)]]-32)</f>
        <v>184</v>
      </c>
      <c r="C782">
        <f>MINUTE(Table1468[[#This Row],[Corrected time]])</f>
        <v>44</v>
      </c>
      <c r="D782" s="1">
        <v>0.65634584490740744</v>
      </c>
      <c r="E782" s="1">
        <f>Table1468[[#This Row],[Time]]-TIME(0,0,11)</f>
        <v>0.65621853009259268</v>
      </c>
      <c r="F782" t="s">
        <v>13</v>
      </c>
      <c r="G782" t="str">
        <f t="shared" si="133"/>
        <v>-115.0,</v>
      </c>
      <c r="H782" s="21">
        <f t="shared" si="126"/>
        <v>-115</v>
      </c>
      <c r="I782">
        <f t="shared" si="134"/>
        <v>-9.3000000000000007</v>
      </c>
      <c r="L782">
        <f>160+2*(Table2579[[#This Row],[min value (corrected)]]-23)</f>
        <v>182</v>
      </c>
      <c r="M782">
        <f>MINUTE(Table2579[[#This Row],[Corrected time]])</f>
        <v>34</v>
      </c>
      <c r="N782" s="1">
        <v>0.64880465277777777</v>
      </c>
      <c r="O782" s="1">
        <f>Table2579[[#This Row],[Time]]-TIME(0,0,10)</f>
        <v>0.64868891203703705</v>
      </c>
      <c r="P782" t="s">
        <v>9</v>
      </c>
      <c r="Q782">
        <v>-113</v>
      </c>
      <c r="R782" s="21">
        <f>Table2579[[#This Row],[RSSI]]</f>
        <v>-113</v>
      </c>
      <c r="S782">
        <v>-8.5</v>
      </c>
    </row>
    <row r="783" spans="2:19" x14ac:dyDescent="0.25">
      <c r="B783">
        <f>160+2*(Table1468[[#This Row],[min value (corrected)]]-32)</f>
        <v>184</v>
      </c>
      <c r="C783">
        <f>MINUTE(Table1468[[#This Row],[Corrected time]])</f>
        <v>44</v>
      </c>
      <c r="D783" s="1">
        <v>0.65635803240740742</v>
      </c>
      <c r="E783" s="1">
        <f>Table1468[[#This Row],[Time]]-TIME(0,0,11)</f>
        <v>0.65623071759259266</v>
      </c>
      <c r="F783" t="s">
        <v>13</v>
      </c>
      <c r="G783" t="str">
        <f t="shared" si="133"/>
        <v>-115.0,</v>
      </c>
      <c r="H783" s="21">
        <f t="shared" si="126"/>
        <v>-115</v>
      </c>
      <c r="I783">
        <f t="shared" si="134"/>
        <v>-9.3000000000000007</v>
      </c>
      <c r="L783">
        <f>160+2*(Table2579[[#This Row],[min value (corrected)]]-23)</f>
        <v>182</v>
      </c>
      <c r="M783">
        <f>MINUTE(Table2579[[#This Row],[Corrected time]])</f>
        <v>34</v>
      </c>
      <c r="N783" s="1">
        <v>0.64881684027777775</v>
      </c>
      <c r="O783" s="1">
        <f>Table2579[[#This Row],[Time]]-TIME(0,0,10)</f>
        <v>0.64870109953703703</v>
      </c>
      <c r="P783" t="s">
        <v>9</v>
      </c>
      <c r="Q783">
        <v>-114</v>
      </c>
      <c r="R783" s="21">
        <f>Table2579[[#This Row],[RSSI]]</f>
        <v>-114</v>
      </c>
      <c r="S783">
        <v>-9</v>
      </c>
    </row>
    <row r="784" spans="2:19" x14ac:dyDescent="0.25">
      <c r="B784">
        <f>160+2*(Table1468[[#This Row],[min value (corrected)]]-32)</f>
        <v>184</v>
      </c>
      <c r="C784">
        <f>MINUTE(Table1468[[#This Row],[Corrected time]])</f>
        <v>44</v>
      </c>
      <c r="D784" s="1">
        <v>0.6563702199074074</v>
      </c>
      <c r="E784" s="1">
        <f>Table1468[[#This Row],[Time]]-TIME(0,0,11)</f>
        <v>0.65624290509259264</v>
      </c>
      <c r="F784" t="s">
        <v>13</v>
      </c>
      <c r="G784" t="str">
        <f t="shared" si="133"/>
        <v>-115.0,</v>
      </c>
      <c r="H784" s="21">
        <f t="shared" si="126"/>
        <v>-115</v>
      </c>
      <c r="I784">
        <f t="shared" si="134"/>
        <v>-9.3000000000000007</v>
      </c>
      <c r="L784">
        <f>160+2*(Table2579[[#This Row],[min value (corrected)]]-23)</f>
        <v>182</v>
      </c>
      <c r="M784">
        <f>MINUTE(Table2579[[#This Row],[Corrected time]])</f>
        <v>34</v>
      </c>
      <c r="N784" s="1">
        <v>0.64882902777777784</v>
      </c>
      <c r="O784" s="1">
        <f>Table2579[[#This Row],[Time]]-TIME(0,0,10)</f>
        <v>0.64871328703703712</v>
      </c>
      <c r="P784" t="s">
        <v>9</v>
      </c>
      <c r="Q784">
        <v>-114</v>
      </c>
      <c r="R784" s="21">
        <f>Table2579[[#This Row],[RSSI]]</f>
        <v>-114</v>
      </c>
      <c r="S784">
        <v>-8.5</v>
      </c>
    </row>
    <row r="785" spans="2:19" x14ac:dyDescent="0.25">
      <c r="B785">
        <f>160+2*(Table1468[[#This Row],[min value (corrected)]]-32)</f>
        <v>186</v>
      </c>
      <c r="C785">
        <f>MINUTE(Table1468[[#This Row],[Corrected time]])</f>
        <v>45</v>
      </c>
      <c r="D785" s="1">
        <v>0.65638240740740739</v>
      </c>
      <c r="E785" s="1">
        <f>Table1468[[#This Row],[Time]]-TIME(0,0,11)</f>
        <v>0.65625509259259263</v>
      </c>
      <c r="F785" t="s">
        <v>9</v>
      </c>
      <c r="G785" t="s">
        <v>39</v>
      </c>
      <c r="H785" s="21">
        <f t="shared" si="126"/>
        <v>-114</v>
      </c>
      <c r="I785">
        <v>-9.3000000000000007</v>
      </c>
      <c r="L785">
        <f>160+2*(Table2579[[#This Row],[min value (corrected)]]-23)</f>
        <v>182</v>
      </c>
      <c r="M785">
        <f>MINUTE(Table2579[[#This Row],[Corrected time]])</f>
        <v>34</v>
      </c>
      <c r="N785" s="1">
        <v>0.64884121527777783</v>
      </c>
      <c r="O785" s="1">
        <f>Table2579[[#This Row],[Time]]-TIME(0,0,10)</f>
        <v>0.64872547453703711</v>
      </c>
      <c r="P785" t="s">
        <v>9</v>
      </c>
      <c r="Q785">
        <v>-114</v>
      </c>
      <c r="R785" s="21">
        <f>Table2579[[#This Row],[RSSI]]</f>
        <v>-114</v>
      </c>
      <c r="S785">
        <v>-8.3000000000000007</v>
      </c>
    </row>
    <row r="786" spans="2:19" x14ac:dyDescent="0.25">
      <c r="B786">
        <f>160+2*(Table1468[[#This Row],[min value (corrected)]]-32)</f>
        <v>186</v>
      </c>
      <c r="C786">
        <f>MINUTE(Table1468[[#This Row],[Corrected time]])</f>
        <v>45</v>
      </c>
      <c r="D786" s="1">
        <v>0.65639459490740748</v>
      </c>
      <c r="E786" s="1">
        <f>Table1468[[#This Row],[Time]]-TIME(0,0,11)</f>
        <v>0.65626728009259272</v>
      </c>
      <c r="F786" t="s">
        <v>9</v>
      </c>
      <c r="G786" t="s">
        <v>43</v>
      </c>
      <c r="H786" s="21">
        <f t="shared" si="126"/>
        <v>-115</v>
      </c>
      <c r="I786">
        <v>-9</v>
      </c>
      <c r="L786">
        <f>160+2*(Table2579[[#This Row],[min value (corrected)]]-23)</f>
        <v>182</v>
      </c>
      <c r="M786">
        <f>MINUTE(Table2579[[#This Row],[Corrected time]])</f>
        <v>34</v>
      </c>
      <c r="N786" s="1">
        <v>0.64885340277777781</v>
      </c>
      <c r="O786" s="1">
        <f>Table2579[[#This Row],[Time]]-TIME(0,0,10)</f>
        <v>0.64873766203703709</v>
      </c>
      <c r="P786" t="s">
        <v>9</v>
      </c>
      <c r="Q786">
        <v>-113</v>
      </c>
      <c r="R786" s="21">
        <f>Table2579[[#This Row],[RSSI]]</f>
        <v>-113</v>
      </c>
      <c r="S786">
        <v>-8.5</v>
      </c>
    </row>
    <row r="787" spans="2:19" x14ac:dyDescent="0.25">
      <c r="B787">
        <f>160+2*(Table1468[[#This Row],[min value (corrected)]]-32)</f>
        <v>186</v>
      </c>
      <c r="C787">
        <f>MINUTE(Table1468[[#This Row],[Corrected time]])</f>
        <v>45</v>
      </c>
      <c r="D787" s="1">
        <v>0.65640677083333332</v>
      </c>
      <c r="E787" s="1">
        <f>Table1468[[#This Row],[Time]]-TIME(0,0,11)</f>
        <v>0.65627945601851856</v>
      </c>
      <c r="F787" t="s">
        <v>13</v>
      </c>
      <c r="G787" t="str">
        <f t="shared" ref="G787:G789" si="141">G786</f>
        <v>-115.0,</v>
      </c>
      <c r="H787" s="21">
        <f t="shared" si="126"/>
        <v>-115</v>
      </c>
      <c r="I787">
        <f t="shared" ref="I787:I789" si="142">I786</f>
        <v>-9</v>
      </c>
      <c r="L787">
        <f>160+2*(Table2579[[#This Row],[min value (corrected)]]-23)</f>
        <v>182</v>
      </c>
      <c r="M787">
        <f>MINUTE(Table2579[[#This Row],[Corrected time]])</f>
        <v>34</v>
      </c>
      <c r="N787" s="1">
        <v>0.64886559027777779</v>
      </c>
      <c r="O787" s="1">
        <f>Table2579[[#This Row],[Time]]-TIME(0,0,10)</f>
        <v>0.64874984953703707</v>
      </c>
      <c r="P787" t="s">
        <v>27</v>
      </c>
      <c r="Q787">
        <f t="shared" ref="Q787:Q789" si="143">Q786</f>
        <v>-113</v>
      </c>
      <c r="R787" s="21">
        <f>Table2579[[#This Row],[RSSI]]</f>
        <v>-113</v>
      </c>
      <c r="S787">
        <f t="shared" ref="S787:S789" si="144">S786</f>
        <v>-8.5</v>
      </c>
    </row>
    <row r="788" spans="2:19" x14ac:dyDescent="0.25">
      <c r="B788">
        <f>160+2*(Table1468[[#This Row],[min value (corrected)]]-32)</f>
        <v>186</v>
      </c>
      <c r="C788">
        <f>MINUTE(Table1468[[#This Row],[Corrected time]])</f>
        <v>45</v>
      </c>
      <c r="D788" s="1">
        <v>0.65641896990740745</v>
      </c>
      <c r="E788" s="1">
        <f>Table1468[[#This Row],[Time]]-TIME(0,0,11)</f>
        <v>0.65629165509259269</v>
      </c>
      <c r="F788" t="s">
        <v>13</v>
      </c>
      <c r="G788" t="str">
        <f t="shared" si="141"/>
        <v>-115.0,</v>
      </c>
      <c r="H788" s="21">
        <f t="shared" si="126"/>
        <v>-115</v>
      </c>
      <c r="I788">
        <f t="shared" si="142"/>
        <v>-9</v>
      </c>
      <c r="L788">
        <f>160+2*(Table2579[[#This Row],[min value (corrected)]]-23)</f>
        <v>182</v>
      </c>
      <c r="M788">
        <f>MINUTE(Table2579[[#This Row],[Corrected time]])</f>
        <v>34</v>
      </c>
      <c r="N788" s="1">
        <v>0.64887777777777778</v>
      </c>
      <c r="O788" s="1">
        <f>Table2579[[#This Row],[Time]]-TIME(0,0,10)</f>
        <v>0.64876203703703705</v>
      </c>
      <c r="P788" t="s">
        <v>13</v>
      </c>
      <c r="Q788">
        <f t="shared" si="143"/>
        <v>-113</v>
      </c>
      <c r="R788" s="21">
        <f>Table2579[[#This Row],[RSSI]]</f>
        <v>-113</v>
      </c>
      <c r="S788">
        <f t="shared" si="144"/>
        <v>-8.5</v>
      </c>
    </row>
    <row r="789" spans="2:19" x14ac:dyDescent="0.25">
      <c r="B789">
        <f>160+2*(Table1468[[#This Row],[min value (corrected)]]-32)</f>
        <v>186</v>
      </c>
      <c r="C789">
        <f>MINUTE(Table1468[[#This Row],[Corrected time]])</f>
        <v>45</v>
      </c>
      <c r="D789" s="1">
        <v>0.65643115740740743</v>
      </c>
      <c r="E789" s="1">
        <f>Table1468[[#This Row],[Time]]-TIME(0,0,11)</f>
        <v>0.65630384259259267</v>
      </c>
      <c r="F789" t="s">
        <v>13</v>
      </c>
      <c r="G789" t="str">
        <f t="shared" si="141"/>
        <v>-115.0,</v>
      </c>
      <c r="H789" s="21">
        <f t="shared" si="126"/>
        <v>-115</v>
      </c>
      <c r="I789">
        <f t="shared" si="142"/>
        <v>-9</v>
      </c>
      <c r="L789">
        <f>160+2*(Table2579[[#This Row],[min value (corrected)]]-23)</f>
        <v>182</v>
      </c>
      <c r="M789">
        <f>MINUTE(Table2579[[#This Row],[Corrected time]])</f>
        <v>34</v>
      </c>
      <c r="N789" s="1">
        <v>0.64888995370370361</v>
      </c>
      <c r="O789" s="1">
        <f>Table2579[[#This Row],[Time]]-TIME(0,0,10)</f>
        <v>0.64877421296296289</v>
      </c>
      <c r="P789" t="s">
        <v>27</v>
      </c>
      <c r="Q789">
        <f t="shared" si="143"/>
        <v>-113</v>
      </c>
      <c r="R789" s="21">
        <f>Table2579[[#This Row],[RSSI]]</f>
        <v>-113</v>
      </c>
      <c r="S789">
        <f t="shared" si="144"/>
        <v>-8.5</v>
      </c>
    </row>
    <row r="790" spans="2:19" x14ac:dyDescent="0.25">
      <c r="B790">
        <f>160+2*(Table1468[[#This Row],[min value (corrected)]]-32)</f>
        <v>186</v>
      </c>
      <c r="C790">
        <f>MINUTE(Table1468[[#This Row],[Corrected time]])</f>
        <v>45</v>
      </c>
      <c r="D790" s="1">
        <v>0.65644334490740741</v>
      </c>
      <c r="E790" s="1">
        <f>Table1468[[#This Row],[Time]]-TIME(0,0,11)</f>
        <v>0.65631603009259265</v>
      </c>
      <c r="F790" t="s">
        <v>9</v>
      </c>
      <c r="G790" t="s">
        <v>37</v>
      </c>
      <c r="H790" s="21">
        <f t="shared" si="126"/>
        <v>-113</v>
      </c>
      <c r="I790">
        <v>-8.8000000000000007</v>
      </c>
      <c r="L790">
        <f>160+2*(Table2579[[#This Row],[min value (corrected)]]-23)</f>
        <v>182</v>
      </c>
      <c r="M790">
        <f>MINUTE(Table2579[[#This Row],[Corrected time]])</f>
        <v>34</v>
      </c>
      <c r="N790" s="1">
        <v>0.64890215277777774</v>
      </c>
      <c r="O790" s="1">
        <f>Table2579[[#This Row],[Time]]-TIME(0,0,10)</f>
        <v>0.64878641203703702</v>
      </c>
      <c r="P790" t="s">
        <v>9</v>
      </c>
      <c r="Q790">
        <v>-114</v>
      </c>
      <c r="R790" s="21">
        <f>Table2579[[#This Row],[RSSI]]</f>
        <v>-114</v>
      </c>
      <c r="S790">
        <v>-8.8000000000000007</v>
      </c>
    </row>
    <row r="791" spans="2:19" x14ac:dyDescent="0.25">
      <c r="B791">
        <f>160+2*(Table1468[[#This Row],[min value (corrected)]]-32)</f>
        <v>186</v>
      </c>
      <c r="C791">
        <f>MINUTE(Table1468[[#This Row],[Corrected time]])</f>
        <v>45</v>
      </c>
      <c r="D791" s="1">
        <v>0.65645553240740739</v>
      </c>
      <c r="E791" s="1">
        <f>Table1468[[#This Row],[Time]]-TIME(0,0,11)</f>
        <v>0.65632821759259263</v>
      </c>
      <c r="F791" t="s">
        <v>13</v>
      </c>
      <c r="G791" t="str">
        <f t="shared" ref="G791:G792" si="145">G790</f>
        <v>-113.0,</v>
      </c>
      <c r="H791" s="21">
        <f t="shared" si="126"/>
        <v>-113</v>
      </c>
      <c r="I791">
        <f t="shared" ref="I791:I792" si="146">I790</f>
        <v>-8.8000000000000007</v>
      </c>
      <c r="L791">
        <f>160+2*(Table2579[[#This Row],[min value (corrected)]]-23)</f>
        <v>182</v>
      </c>
      <c r="M791">
        <f>MINUTE(Table2579[[#This Row],[Corrected time]])</f>
        <v>34</v>
      </c>
      <c r="N791" s="1">
        <v>0.64891434027777783</v>
      </c>
      <c r="O791" s="1">
        <f>Table2579[[#This Row],[Time]]-TIME(0,0,10)</f>
        <v>0.64879859953703711</v>
      </c>
      <c r="P791" t="s">
        <v>9</v>
      </c>
      <c r="Q791">
        <v>-114</v>
      </c>
      <c r="R791" s="21">
        <f>Table2579[[#This Row],[RSSI]]</f>
        <v>-114</v>
      </c>
      <c r="S791">
        <v>-8.5</v>
      </c>
    </row>
    <row r="792" spans="2:19" x14ac:dyDescent="0.25">
      <c r="B792">
        <f>160+2*(Table1468[[#This Row],[min value (corrected)]]-32)</f>
        <v>186</v>
      </c>
      <c r="C792">
        <f>MINUTE(Table1468[[#This Row],[Corrected time]])</f>
        <v>45</v>
      </c>
      <c r="D792" s="1">
        <v>0.65646771990740738</v>
      </c>
      <c r="E792" s="1">
        <f>Table1468[[#This Row],[Time]]-TIME(0,0,11)</f>
        <v>0.65634040509259262</v>
      </c>
      <c r="F792" t="s">
        <v>13</v>
      </c>
      <c r="G792" t="str">
        <f t="shared" si="145"/>
        <v>-113.0,</v>
      </c>
      <c r="H792" s="21">
        <f t="shared" si="126"/>
        <v>-113</v>
      </c>
      <c r="I792">
        <f t="shared" si="146"/>
        <v>-8.8000000000000007</v>
      </c>
      <c r="L792">
        <f>160+2*(Table2579[[#This Row],[min value (corrected)]]-23)</f>
        <v>182</v>
      </c>
      <c r="M792">
        <f>MINUTE(Table2579[[#This Row],[Corrected time]])</f>
        <v>34</v>
      </c>
      <c r="N792" s="1">
        <v>0.64892651620370367</v>
      </c>
      <c r="O792" s="1">
        <f>Table2579[[#This Row],[Time]]-TIME(0,0,10)</f>
        <v>0.64881077546296295</v>
      </c>
      <c r="P792" t="s">
        <v>13</v>
      </c>
      <c r="Q792">
        <f>Q791</f>
        <v>-114</v>
      </c>
      <c r="R792" s="21">
        <f>Table2579[[#This Row],[RSSI]]</f>
        <v>-114</v>
      </c>
      <c r="S792">
        <f>S791</f>
        <v>-8.5</v>
      </c>
    </row>
    <row r="793" spans="2:19" x14ac:dyDescent="0.25">
      <c r="B793">
        <f>160+2*(Table1468[[#This Row],[min value (corrected)]]-32)</f>
        <v>186</v>
      </c>
      <c r="C793">
        <f>MINUTE(Table1468[[#This Row],[Corrected time]])</f>
        <v>45</v>
      </c>
      <c r="D793" s="1">
        <v>0.65647990740740747</v>
      </c>
      <c r="E793" s="1">
        <f>Table1468[[#This Row],[Time]]-TIME(0,0,11)</f>
        <v>0.65635259259259271</v>
      </c>
      <c r="F793" t="s">
        <v>9</v>
      </c>
      <c r="G793" t="s">
        <v>39</v>
      </c>
      <c r="H793" s="21">
        <f t="shared" si="126"/>
        <v>-114</v>
      </c>
      <c r="I793">
        <v>-8.5</v>
      </c>
      <c r="L793">
        <f>160+2*(Table2579[[#This Row],[min value (corrected)]]-23)</f>
        <v>182</v>
      </c>
      <c r="M793">
        <f>MINUTE(Table2579[[#This Row],[Corrected time]])</f>
        <v>34</v>
      </c>
      <c r="N793" s="1">
        <v>0.6489387152777778</v>
      </c>
      <c r="O793" s="1">
        <f>Table2579[[#This Row],[Time]]-TIME(0,0,10)</f>
        <v>0.64882297453703708</v>
      </c>
      <c r="P793" t="s">
        <v>9</v>
      </c>
      <c r="Q793">
        <v>-114</v>
      </c>
      <c r="R793" s="21">
        <f>Table2579[[#This Row],[RSSI]]</f>
        <v>-114</v>
      </c>
      <c r="S793">
        <v>-9</v>
      </c>
    </row>
    <row r="794" spans="2:19" x14ac:dyDescent="0.25">
      <c r="B794">
        <f>160+2*(Table1468[[#This Row],[min value (corrected)]]-32)</f>
        <v>186</v>
      </c>
      <c r="C794">
        <f>MINUTE(Table1468[[#This Row],[Corrected time]])</f>
        <v>45</v>
      </c>
      <c r="D794" s="1">
        <v>0.65649209490740745</v>
      </c>
      <c r="E794" s="1">
        <f>Table1468[[#This Row],[Time]]-TIME(0,0,11)</f>
        <v>0.65636478009259269</v>
      </c>
      <c r="F794" t="s">
        <v>9</v>
      </c>
      <c r="G794" t="s">
        <v>39</v>
      </c>
      <c r="H794" s="21">
        <f t="shared" si="126"/>
        <v>-114</v>
      </c>
      <c r="I794">
        <v>-9</v>
      </c>
      <c r="L794">
        <f>160+2*(Table2579[[#This Row],[min value (corrected)]]-23)</f>
        <v>182</v>
      </c>
      <c r="M794">
        <f>MINUTE(Table2579[[#This Row],[Corrected time]])</f>
        <v>34</v>
      </c>
      <c r="N794" s="1">
        <v>0.64895090277777778</v>
      </c>
      <c r="O794" s="1">
        <f>Table2579[[#This Row],[Time]]-TIME(0,0,10)</f>
        <v>0.64883516203703706</v>
      </c>
      <c r="P794" t="s">
        <v>9</v>
      </c>
      <c r="Q794">
        <v>-114</v>
      </c>
      <c r="R794" s="21">
        <f>Table2579[[#This Row],[RSSI]]</f>
        <v>-114</v>
      </c>
      <c r="S794">
        <v>-8.8000000000000007</v>
      </c>
    </row>
    <row r="795" spans="2:19" x14ac:dyDescent="0.25">
      <c r="B795">
        <f>160+2*(Table1468[[#This Row],[min value (corrected)]]-32)</f>
        <v>186</v>
      </c>
      <c r="C795">
        <f>MINUTE(Table1468[[#This Row],[Corrected time]])</f>
        <v>45</v>
      </c>
      <c r="D795" s="1">
        <v>0.65650428240740744</v>
      </c>
      <c r="E795" s="1">
        <f>Table1468[[#This Row],[Time]]-TIME(0,0,11)</f>
        <v>0.65637696759259267</v>
      </c>
      <c r="F795" t="s">
        <v>9</v>
      </c>
      <c r="G795" t="s">
        <v>39</v>
      </c>
      <c r="H795" s="21">
        <f t="shared" si="126"/>
        <v>-114</v>
      </c>
      <c r="I795">
        <v>-9.3000000000000007</v>
      </c>
      <c r="L795">
        <f>160+2*(Table2579[[#This Row],[min value (corrected)]]-23)</f>
        <v>182</v>
      </c>
      <c r="M795">
        <f>MINUTE(Table2579[[#This Row],[Corrected time]])</f>
        <v>34</v>
      </c>
      <c r="N795" s="1">
        <v>0.64896309027777777</v>
      </c>
      <c r="O795" s="1">
        <f>Table2579[[#This Row],[Time]]-TIME(0,0,10)</f>
        <v>0.64884734953703704</v>
      </c>
      <c r="P795" t="s">
        <v>9</v>
      </c>
      <c r="Q795">
        <v>-114</v>
      </c>
      <c r="R795" s="21">
        <f>Table2579[[#This Row],[RSSI]]</f>
        <v>-114</v>
      </c>
      <c r="S795">
        <v>-8.3000000000000007</v>
      </c>
    </row>
    <row r="796" spans="2:19" x14ac:dyDescent="0.25">
      <c r="B796">
        <f>160+2*(Table1468[[#This Row],[min value (corrected)]]-32)</f>
        <v>186</v>
      </c>
      <c r="C796">
        <f>MINUTE(Table1468[[#This Row],[Corrected time]])</f>
        <v>45</v>
      </c>
      <c r="D796" s="1">
        <v>0.65651646990740742</v>
      </c>
      <c r="E796" s="1">
        <f>Table1468[[#This Row],[Time]]-TIME(0,0,11)</f>
        <v>0.65638915509259266</v>
      </c>
      <c r="F796" t="s">
        <v>13</v>
      </c>
      <c r="G796" t="str">
        <f t="shared" ref="G796:G810" si="147">G795</f>
        <v>-114.0,</v>
      </c>
      <c r="H796" s="21">
        <f t="shared" ref="H796:H859" si="148">VALUE(LEFT(G796,LEN(G796)-1))</f>
        <v>-114</v>
      </c>
      <c r="I796">
        <f t="shared" ref="I796:I810" si="149">I795</f>
        <v>-9.3000000000000007</v>
      </c>
      <c r="L796">
        <f>160+2*(Table2579[[#This Row],[min value (corrected)]]-23)</f>
        <v>182</v>
      </c>
      <c r="M796">
        <f>MINUTE(Table2579[[#This Row],[Corrected time]])</f>
        <v>34</v>
      </c>
      <c r="N796" s="1">
        <v>0.64897527777777775</v>
      </c>
      <c r="O796" s="1">
        <f>Table2579[[#This Row],[Time]]-TIME(0,0,10)</f>
        <v>0.64885953703703703</v>
      </c>
      <c r="P796" t="s">
        <v>9</v>
      </c>
      <c r="Q796">
        <v>-112</v>
      </c>
      <c r="R796" s="21">
        <f>Table2579[[#This Row],[RSSI]]</f>
        <v>-112</v>
      </c>
      <c r="S796">
        <v>-8.3000000000000007</v>
      </c>
    </row>
    <row r="797" spans="2:19" x14ac:dyDescent="0.25">
      <c r="B797">
        <f>160+2*(Table1468[[#This Row],[min value (corrected)]]-32)</f>
        <v>186</v>
      </c>
      <c r="C797">
        <f>MINUTE(Table1468[[#This Row],[Corrected time]])</f>
        <v>45</v>
      </c>
      <c r="D797" s="1">
        <v>0.6565286574074074</v>
      </c>
      <c r="E797" s="1">
        <f>Table1468[[#This Row],[Time]]-TIME(0,0,11)</f>
        <v>0.65640134259259264</v>
      </c>
      <c r="F797" t="s">
        <v>13</v>
      </c>
      <c r="G797" t="str">
        <f t="shared" si="147"/>
        <v>-114.0,</v>
      </c>
      <c r="H797" s="21">
        <f t="shared" si="148"/>
        <v>-114</v>
      </c>
      <c r="I797">
        <f t="shared" si="149"/>
        <v>-9.3000000000000007</v>
      </c>
      <c r="L797">
        <f>160+2*(Table2579[[#This Row],[min value (corrected)]]-23)</f>
        <v>182</v>
      </c>
      <c r="M797">
        <f>MINUTE(Table2579[[#This Row],[Corrected time]])</f>
        <v>34</v>
      </c>
      <c r="N797" s="1">
        <v>0.6489874537037037</v>
      </c>
      <c r="O797" s="1">
        <f>Table2579[[#This Row],[Time]]-TIME(0,0,10)</f>
        <v>0.64887171296296298</v>
      </c>
      <c r="P797" t="s">
        <v>9</v>
      </c>
      <c r="Q797">
        <v>-114</v>
      </c>
      <c r="R797" s="21">
        <f>Table2579[[#This Row],[RSSI]]</f>
        <v>-114</v>
      </c>
      <c r="S797">
        <v>-9.3000000000000007</v>
      </c>
    </row>
    <row r="798" spans="2:19" x14ac:dyDescent="0.25">
      <c r="B798">
        <f>160+2*(Table1468[[#This Row],[min value (corrected)]]-32)</f>
        <v>186</v>
      </c>
      <c r="C798">
        <f>MINUTE(Table1468[[#This Row],[Corrected time]])</f>
        <v>45</v>
      </c>
      <c r="D798" s="1">
        <v>0.65654084490740738</v>
      </c>
      <c r="E798" s="1">
        <f>Table1468[[#This Row],[Time]]-TIME(0,0,11)</f>
        <v>0.65641353009259262</v>
      </c>
      <c r="F798" t="s">
        <v>13</v>
      </c>
      <c r="G798" t="str">
        <f t="shared" si="147"/>
        <v>-114.0,</v>
      </c>
      <c r="H798" s="21">
        <f t="shared" si="148"/>
        <v>-114</v>
      </c>
      <c r="I798">
        <f t="shared" si="149"/>
        <v>-9.3000000000000007</v>
      </c>
      <c r="L798">
        <f>160+2*(Table2579[[#This Row],[min value (corrected)]]-23)</f>
        <v>182</v>
      </c>
      <c r="M798">
        <f>MINUTE(Table2579[[#This Row],[Corrected time]])</f>
        <v>34</v>
      </c>
      <c r="N798" s="1">
        <v>0.64899965277777782</v>
      </c>
      <c r="O798" s="1">
        <f>Table2579[[#This Row],[Time]]-TIME(0,0,10)</f>
        <v>0.6488839120370371</v>
      </c>
      <c r="P798" t="s">
        <v>9</v>
      </c>
      <c r="Q798">
        <v>-113</v>
      </c>
      <c r="R798" s="21">
        <f>Table2579[[#This Row],[RSSI]]</f>
        <v>-113</v>
      </c>
      <c r="S798">
        <v>-8.3000000000000007</v>
      </c>
    </row>
    <row r="799" spans="2:19" x14ac:dyDescent="0.25">
      <c r="B799">
        <f>160+2*(Table1468[[#This Row],[min value (corrected)]]-32)</f>
        <v>186</v>
      </c>
      <c r="C799">
        <f>MINUTE(Table1468[[#This Row],[Corrected time]])</f>
        <v>45</v>
      </c>
      <c r="D799" s="1">
        <v>0.65655303240740737</v>
      </c>
      <c r="E799" s="1">
        <f>Table1468[[#This Row],[Time]]-TIME(0,0,11)</f>
        <v>0.65642571759259261</v>
      </c>
      <c r="F799" t="s">
        <v>13</v>
      </c>
      <c r="G799" t="str">
        <f t="shared" si="147"/>
        <v>-114.0,</v>
      </c>
      <c r="H799" s="21">
        <f t="shared" si="148"/>
        <v>-114</v>
      </c>
      <c r="I799">
        <f t="shared" si="149"/>
        <v>-9.3000000000000007</v>
      </c>
      <c r="L799">
        <f>160+2*(Table2579[[#This Row],[min value (corrected)]]-23)</f>
        <v>182</v>
      </c>
      <c r="M799">
        <f>MINUTE(Table2579[[#This Row],[Corrected time]])</f>
        <v>34</v>
      </c>
      <c r="N799" s="1">
        <v>0.64901184027777781</v>
      </c>
      <c r="O799" s="1">
        <f>Table2579[[#This Row],[Time]]-TIME(0,0,10)</f>
        <v>0.64889609953703709</v>
      </c>
      <c r="P799" t="s">
        <v>9</v>
      </c>
      <c r="Q799">
        <v>-113</v>
      </c>
      <c r="R799" s="21">
        <f>Table2579[[#This Row],[RSSI]]</f>
        <v>-113</v>
      </c>
      <c r="S799">
        <v>-7.7</v>
      </c>
    </row>
    <row r="800" spans="2:19" x14ac:dyDescent="0.25">
      <c r="B800">
        <f>160+2*(Table1468[[#This Row],[min value (corrected)]]-32)</f>
        <v>186</v>
      </c>
      <c r="C800">
        <f>MINUTE(Table1468[[#This Row],[Corrected time]])</f>
        <v>45</v>
      </c>
      <c r="D800" s="1">
        <v>0.65656521990740746</v>
      </c>
      <c r="E800" s="1">
        <f>Table1468[[#This Row],[Time]]-TIME(0,0,11)</f>
        <v>0.6564379050925927</v>
      </c>
      <c r="F800" t="s">
        <v>13</v>
      </c>
      <c r="G800" t="str">
        <f t="shared" si="147"/>
        <v>-114.0,</v>
      </c>
      <c r="H800" s="21">
        <f t="shared" si="148"/>
        <v>-114</v>
      </c>
      <c r="I800">
        <f t="shared" si="149"/>
        <v>-9.3000000000000007</v>
      </c>
      <c r="L800">
        <f>160+2*(Table2579[[#This Row],[min value (corrected)]]-23)</f>
        <v>182</v>
      </c>
      <c r="M800">
        <f>MINUTE(Table2579[[#This Row],[Corrected time]])</f>
        <v>34</v>
      </c>
      <c r="N800" s="1">
        <v>0.64902402777777779</v>
      </c>
      <c r="O800" s="1">
        <f>Table2579[[#This Row],[Time]]-TIME(0,0,10)</f>
        <v>0.64890828703703707</v>
      </c>
      <c r="P800" t="s">
        <v>9</v>
      </c>
      <c r="Q800">
        <v>-114</v>
      </c>
      <c r="R800" s="21">
        <f>Table2579[[#This Row],[RSSI]]</f>
        <v>-114</v>
      </c>
      <c r="S800">
        <v>-8.3000000000000007</v>
      </c>
    </row>
    <row r="801" spans="2:19" x14ac:dyDescent="0.25">
      <c r="B801">
        <f>160+2*(Table1468[[#This Row],[min value (corrected)]]-32)</f>
        <v>186</v>
      </c>
      <c r="C801">
        <f>MINUTE(Table1468[[#This Row],[Corrected time]])</f>
        <v>45</v>
      </c>
      <c r="D801" s="1">
        <v>0.65657740740740744</v>
      </c>
      <c r="E801" s="1">
        <f>Table1468[[#This Row],[Time]]-TIME(0,0,11)</f>
        <v>0.65645009259259268</v>
      </c>
      <c r="F801" t="s">
        <v>13</v>
      </c>
      <c r="G801" t="str">
        <f t="shared" si="147"/>
        <v>-114.0,</v>
      </c>
      <c r="H801" s="21">
        <f t="shared" si="148"/>
        <v>-114</v>
      </c>
      <c r="I801">
        <f t="shared" si="149"/>
        <v>-9.3000000000000007</v>
      </c>
      <c r="L801">
        <f>160+2*(Table2579[[#This Row],[min value (corrected)]]-23)</f>
        <v>182</v>
      </c>
      <c r="M801">
        <f>MINUTE(Table2579[[#This Row],[Corrected time]])</f>
        <v>34</v>
      </c>
      <c r="N801" s="1">
        <v>0.64903621527777777</v>
      </c>
      <c r="O801" s="1">
        <f>Table2579[[#This Row],[Time]]-TIME(0,0,10)</f>
        <v>0.64892047453703705</v>
      </c>
      <c r="P801" t="s">
        <v>9</v>
      </c>
      <c r="Q801">
        <v>-113</v>
      </c>
      <c r="R801" s="21">
        <f>Table2579[[#This Row],[RSSI]]</f>
        <v>-113</v>
      </c>
      <c r="S801">
        <v>-8.3000000000000007</v>
      </c>
    </row>
    <row r="802" spans="2:19" x14ac:dyDescent="0.25">
      <c r="B802">
        <f>160+2*(Table1468[[#This Row],[min value (corrected)]]-32)</f>
        <v>186</v>
      </c>
      <c r="C802">
        <f>MINUTE(Table1468[[#This Row],[Corrected time]])</f>
        <v>45</v>
      </c>
      <c r="D802" s="1">
        <v>0.65658959490740743</v>
      </c>
      <c r="E802" s="1">
        <f>Table1468[[#This Row],[Time]]-TIME(0,0,11)</f>
        <v>0.65646228009259266</v>
      </c>
      <c r="F802" t="s">
        <v>27</v>
      </c>
      <c r="G802" t="str">
        <f t="shared" si="147"/>
        <v>-114.0,</v>
      </c>
      <c r="H802" s="21">
        <f t="shared" si="148"/>
        <v>-114</v>
      </c>
      <c r="I802">
        <f t="shared" si="149"/>
        <v>-9.3000000000000007</v>
      </c>
      <c r="L802">
        <f>160+2*(Table2579[[#This Row],[min value (corrected)]]-23)</f>
        <v>182</v>
      </c>
      <c r="M802">
        <f>MINUTE(Table2579[[#This Row],[Corrected time]])</f>
        <v>34</v>
      </c>
      <c r="N802" s="1">
        <v>0.64904840277777776</v>
      </c>
      <c r="O802" s="1">
        <f>Table2579[[#This Row],[Time]]-TIME(0,0,10)</f>
        <v>0.64893266203703703</v>
      </c>
      <c r="P802" t="s">
        <v>9</v>
      </c>
      <c r="Q802">
        <v>-111</v>
      </c>
      <c r="R802" s="21">
        <f>Table2579[[#This Row],[RSSI]]</f>
        <v>-111</v>
      </c>
      <c r="S802">
        <v>-9</v>
      </c>
    </row>
    <row r="803" spans="2:19" x14ac:dyDescent="0.25">
      <c r="B803">
        <f>160+2*(Table1468[[#This Row],[min value (corrected)]]-32)</f>
        <v>186</v>
      </c>
      <c r="C803">
        <f>MINUTE(Table1468[[#This Row],[Corrected time]])</f>
        <v>45</v>
      </c>
      <c r="D803" s="1">
        <v>0.65658959490740743</v>
      </c>
      <c r="E803" s="1">
        <f>Table1468[[#This Row],[Time]]-TIME(0,0,11)</f>
        <v>0.65646228009259266</v>
      </c>
      <c r="F803" t="s">
        <v>13</v>
      </c>
      <c r="G803" t="str">
        <f t="shared" si="147"/>
        <v>-114.0,</v>
      </c>
      <c r="H803" s="21">
        <f t="shared" si="148"/>
        <v>-114</v>
      </c>
      <c r="I803">
        <f t="shared" si="149"/>
        <v>-9.3000000000000007</v>
      </c>
      <c r="L803">
        <f>160+2*(Table2579[[#This Row],[min value (corrected)]]-23)</f>
        <v>182</v>
      </c>
      <c r="M803">
        <f>MINUTE(Table2579[[#This Row],[Corrected time]])</f>
        <v>34</v>
      </c>
      <c r="N803" s="1">
        <v>0.64906059027777774</v>
      </c>
      <c r="O803" s="1">
        <f>Table2579[[#This Row],[Time]]-TIME(0,0,10)</f>
        <v>0.64894484953703702</v>
      </c>
      <c r="P803" t="s">
        <v>9</v>
      </c>
      <c r="Q803">
        <v>-113</v>
      </c>
      <c r="R803" s="21">
        <f>Table2579[[#This Row],[RSSI]]</f>
        <v>-113</v>
      </c>
      <c r="S803">
        <v>-8.5</v>
      </c>
    </row>
    <row r="804" spans="2:19" x14ac:dyDescent="0.25">
      <c r="B804">
        <f>160+2*(Table1468[[#This Row],[min value (corrected)]]-32)</f>
        <v>186</v>
      </c>
      <c r="C804">
        <f>MINUTE(Table1468[[#This Row],[Corrected time]])</f>
        <v>45</v>
      </c>
      <c r="D804" s="1">
        <v>0.65661396990740739</v>
      </c>
      <c r="E804" s="1">
        <f>Table1468[[#This Row],[Time]]-TIME(0,0,11)</f>
        <v>0.65648665509259263</v>
      </c>
      <c r="F804" t="s">
        <v>13</v>
      </c>
      <c r="G804" t="str">
        <f t="shared" si="147"/>
        <v>-114.0,</v>
      </c>
      <c r="H804" s="21">
        <f t="shared" si="148"/>
        <v>-114</v>
      </c>
      <c r="I804">
        <f t="shared" si="149"/>
        <v>-9.3000000000000007</v>
      </c>
      <c r="L804">
        <f>160+2*(Table2579[[#This Row],[min value (corrected)]]-23)</f>
        <v>182</v>
      </c>
      <c r="M804">
        <f>MINUTE(Table2579[[#This Row],[Corrected time]])</f>
        <v>34</v>
      </c>
      <c r="N804" s="1">
        <v>0.64907277777777772</v>
      </c>
      <c r="O804" s="1">
        <f>Table2579[[#This Row],[Time]]-TIME(0,0,10)</f>
        <v>0.648957037037037</v>
      </c>
      <c r="P804" t="s">
        <v>9</v>
      </c>
      <c r="Q804">
        <v>-114</v>
      </c>
      <c r="R804" s="21">
        <f>Table2579[[#This Row],[RSSI]]</f>
        <v>-114</v>
      </c>
      <c r="S804">
        <v>-8.5</v>
      </c>
    </row>
    <row r="805" spans="2:19" x14ac:dyDescent="0.25">
      <c r="B805">
        <f>160+2*(Table1468[[#This Row],[min value (corrected)]]-32)</f>
        <v>186</v>
      </c>
      <c r="C805">
        <f>MINUTE(Table1468[[#This Row],[Corrected time]])</f>
        <v>45</v>
      </c>
      <c r="D805" s="1">
        <v>0.65662615740740737</v>
      </c>
      <c r="E805" s="1">
        <f>Table1468[[#This Row],[Time]]-TIME(0,0,11)</f>
        <v>0.65649884259259261</v>
      </c>
      <c r="F805" t="s">
        <v>13</v>
      </c>
      <c r="G805" t="str">
        <f t="shared" si="147"/>
        <v>-114.0,</v>
      </c>
      <c r="H805" s="21">
        <f t="shared" si="148"/>
        <v>-114</v>
      </c>
      <c r="I805">
        <f t="shared" si="149"/>
        <v>-9.3000000000000007</v>
      </c>
      <c r="L805">
        <f>160+2*(Table2579[[#This Row],[min value (corrected)]]-23)</f>
        <v>182</v>
      </c>
      <c r="M805">
        <f>MINUTE(Table2579[[#This Row],[Corrected time]])</f>
        <v>34</v>
      </c>
      <c r="N805" s="1">
        <v>0.64908496527777781</v>
      </c>
      <c r="O805" s="1">
        <f>Table2579[[#This Row],[Time]]-TIME(0,0,10)</f>
        <v>0.64896922453703709</v>
      </c>
      <c r="P805" t="s">
        <v>9</v>
      </c>
      <c r="Q805">
        <v>-114</v>
      </c>
      <c r="R805" s="21">
        <f>Table2579[[#This Row],[RSSI]]</f>
        <v>-114</v>
      </c>
      <c r="S805">
        <v>-8.3000000000000007</v>
      </c>
    </row>
    <row r="806" spans="2:19" x14ac:dyDescent="0.25">
      <c r="B806">
        <f>160+2*(Table1468[[#This Row],[min value (corrected)]]-32)</f>
        <v>186</v>
      </c>
      <c r="C806">
        <f>MINUTE(Table1468[[#This Row],[Corrected time]])</f>
        <v>45</v>
      </c>
      <c r="D806" s="1">
        <v>0.65663834490740736</v>
      </c>
      <c r="E806" s="1">
        <f>Table1468[[#This Row],[Time]]-TIME(0,0,11)</f>
        <v>0.6565110300925926</v>
      </c>
      <c r="F806" t="s">
        <v>13</v>
      </c>
      <c r="G806" t="str">
        <f t="shared" si="147"/>
        <v>-114.0,</v>
      </c>
      <c r="H806" s="21">
        <f t="shared" si="148"/>
        <v>-114</v>
      </c>
      <c r="I806">
        <f t="shared" si="149"/>
        <v>-9.3000000000000007</v>
      </c>
      <c r="L806">
        <f>160+2*(Table2579[[#This Row],[min value (corrected)]]-23)</f>
        <v>182</v>
      </c>
      <c r="M806">
        <f>MINUTE(Table2579[[#This Row],[Corrected time]])</f>
        <v>34</v>
      </c>
      <c r="N806" s="1">
        <v>0.6490971527777778</v>
      </c>
      <c r="O806" s="1">
        <f>Table2579[[#This Row],[Time]]-TIME(0,0,10)</f>
        <v>0.64898141203703708</v>
      </c>
      <c r="P806" t="s">
        <v>9</v>
      </c>
      <c r="Q806">
        <v>-114</v>
      </c>
      <c r="R806" s="21">
        <f>Table2579[[#This Row],[RSSI]]</f>
        <v>-114</v>
      </c>
      <c r="S806">
        <v>-8.5</v>
      </c>
    </row>
    <row r="807" spans="2:19" x14ac:dyDescent="0.25">
      <c r="B807">
        <f>160+2*(Table1468[[#This Row],[min value (corrected)]]-32)</f>
        <v>186</v>
      </c>
      <c r="C807">
        <f>MINUTE(Table1468[[#This Row],[Corrected time]])</f>
        <v>45</v>
      </c>
      <c r="D807" s="1">
        <v>0.65665053240740745</v>
      </c>
      <c r="E807" s="1">
        <f>Table1468[[#This Row],[Time]]-TIME(0,0,11)</f>
        <v>0.65652321759259269</v>
      </c>
      <c r="F807" t="s">
        <v>13</v>
      </c>
      <c r="G807" t="str">
        <f t="shared" si="147"/>
        <v>-114.0,</v>
      </c>
      <c r="H807" s="21">
        <f t="shared" si="148"/>
        <v>-114</v>
      </c>
      <c r="I807">
        <f t="shared" si="149"/>
        <v>-9.3000000000000007</v>
      </c>
      <c r="L807">
        <f>160+2*(Table2579[[#This Row],[min value (corrected)]]-23)</f>
        <v>182</v>
      </c>
      <c r="M807">
        <f>MINUTE(Table2579[[#This Row],[Corrected time]])</f>
        <v>34</v>
      </c>
      <c r="N807" s="1">
        <v>0.64910934027777778</v>
      </c>
      <c r="O807" s="1">
        <f>Table2579[[#This Row],[Time]]-TIME(0,0,10)</f>
        <v>0.64899359953703706</v>
      </c>
      <c r="P807" t="s">
        <v>9</v>
      </c>
      <c r="Q807">
        <v>-113</v>
      </c>
      <c r="R807" s="21">
        <f>Table2579[[#This Row],[RSSI]]</f>
        <v>-113</v>
      </c>
      <c r="S807">
        <v>-8.5</v>
      </c>
    </row>
    <row r="808" spans="2:19" x14ac:dyDescent="0.25">
      <c r="B808">
        <f>160+2*(Table1468[[#This Row],[min value (corrected)]]-32)</f>
        <v>186</v>
      </c>
      <c r="C808">
        <f>MINUTE(Table1468[[#This Row],[Corrected time]])</f>
        <v>45</v>
      </c>
      <c r="D808" s="1">
        <v>0.65666271990740743</v>
      </c>
      <c r="E808" s="1">
        <f>Table1468[[#This Row],[Time]]-TIME(0,0,11)</f>
        <v>0.65653540509259267</v>
      </c>
      <c r="F808" t="s">
        <v>13</v>
      </c>
      <c r="G808" t="str">
        <f t="shared" si="147"/>
        <v>-114.0,</v>
      </c>
      <c r="H808" s="21">
        <f t="shared" si="148"/>
        <v>-114</v>
      </c>
      <c r="I808">
        <f t="shared" si="149"/>
        <v>-9.3000000000000007</v>
      </c>
      <c r="L808">
        <f>160+2*(Table2579[[#This Row],[min value (corrected)]]-23)</f>
        <v>182</v>
      </c>
      <c r="M808">
        <f>MINUTE(Table2579[[#This Row],[Corrected time]])</f>
        <v>34</v>
      </c>
      <c r="N808" s="1">
        <v>0.64912151620370373</v>
      </c>
      <c r="O808" s="1">
        <f>Table2579[[#This Row],[Time]]-TIME(0,0,10)</f>
        <v>0.64900577546296301</v>
      </c>
      <c r="P808" t="s">
        <v>9</v>
      </c>
      <c r="Q808">
        <v>-114</v>
      </c>
      <c r="R808" s="21">
        <f>Table2579[[#This Row],[RSSI]]</f>
        <v>-114</v>
      </c>
      <c r="S808">
        <v>-9.3000000000000007</v>
      </c>
    </row>
    <row r="809" spans="2:19" x14ac:dyDescent="0.25">
      <c r="B809">
        <f>160+2*(Table1468[[#This Row],[min value (corrected)]]-32)</f>
        <v>186</v>
      </c>
      <c r="C809">
        <f>MINUTE(Table1468[[#This Row],[Corrected time]])</f>
        <v>45</v>
      </c>
      <c r="D809" s="1">
        <v>0.65667490740740742</v>
      </c>
      <c r="E809" s="1">
        <f>Table1468[[#This Row],[Time]]-TIME(0,0,11)</f>
        <v>0.65654759259259265</v>
      </c>
      <c r="F809" t="s">
        <v>13</v>
      </c>
      <c r="G809" t="str">
        <f t="shared" si="147"/>
        <v>-114.0,</v>
      </c>
      <c r="H809" s="21">
        <f t="shared" si="148"/>
        <v>-114</v>
      </c>
      <c r="I809">
        <f t="shared" si="149"/>
        <v>-9.3000000000000007</v>
      </c>
      <c r="L809">
        <f>160+2*(Table2579[[#This Row],[min value (corrected)]]-23)</f>
        <v>182</v>
      </c>
      <c r="M809">
        <f>MINUTE(Table2579[[#This Row],[Corrected time]])</f>
        <v>34</v>
      </c>
      <c r="N809" s="1">
        <v>0.64913371527777775</v>
      </c>
      <c r="O809" s="1">
        <f>Table2579[[#This Row],[Time]]-TIME(0,0,10)</f>
        <v>0.64901797453703702</v>
      </c>
      <c r="P809" t="s">
        <v>9</v>
      </c>
      <c r="Q809">
        <v>-114</v>
      </c>
      <c r="R809" s="21">
        <f>Table2579[[#This Row],[RSSI]]</f>
        <v>-114</v>
      </c>
      <c r="S809">
        <v>-9</v>
      </c>
    </row>
    <row r="810" spans="2:19" x14ac:dyDescent="0.25">
      <c r="B810">
        <f>160+2*(Table1468[[#This Row],[min value (corrected)]]-32)</f>
        <v>186</v>
      </c>
      <c r="C810">
        <f>MINUTE(Table1468[[#This Row],[Corrected time]])</f>
        <v>45</v>
      </c>
      <c r="D810" s="1">
        <v>0.6566870949074074</v>
      </c>
      <c r="E810" s="1">
        <f>Table1468[[#This Row],[Time]]-TIME(0,0,11)</f>
        <v>0.65655978009259264</v>
      </c>
      <c r="F810" t="s">
        <v>13</v>
      </c>
      <c r="G810" t="str">
        <f t="shared" si="147"/>
        <v>-114.0,</v>
      </c>
      <c r="H810" s="21">
        <f t="shared" si="148"/>
        <v>-114</v>
      </c>
      <c r="I810">
        <f t="shared" si="149"/>
        <v>-9.3000000000000007</v>
      </c>
      <c r="L810">
        <f>160+2*(Table2579[[#This Row],[min value (corrected)]]-23)</f>
        <v>182</v>
      </c>
      <c r="M810">
        <f>MINUTE(Table2579[[#This Row],[Corrected time]])</f>
        <v>34</v>
      </c>
      <c r="N810" s="1">
        <v>0.64914590277777773</v>
      </c>
      <c r="O810" s="1">
        <f>Table2579[[#This Row],[Time]]-TIME(0,0,10)</f>
        <v>0.64903016203703701</v>
      </c>
      <c r="P810" t="s">
        <v>9</v>
      </c>
      <c r="Q810">
        <v>-114</v>
      </c>
      <c r="R810" s="21">
        <f>Table2579[[#This Row],[RSSI]]</f>
        <v>-114</v>
      </c>
      <c r="S810">
        <v>-8.3000000000000007</v>
      </c>
    </row>
    <row r="811" spans="2:19" x14ac:dyDescent="0.25">
      <c r="B811">
        <f>160+2*(Table1468[[#This Row],[min value (corrected)]]-32)</f>
        <v>186</v>
      </c>
      <c r="C811">
        <f>MINUTE(Table1468[[#This Row],[Corrected time]])</f>
        <v>45</v>
      </c>
      <c r="D811" s="1">
        <v>0.65669928240740738</v>
      </c>
      <c r="E811" s="1">
        <f>Table1468[[#This Row],[Time]]-TIME(0,0,11)</f>
        <v>0.65657196759259262</v>
      </c>
      <c r="F811" t="s">
        <v>9</v>
      </c>
      <c r="G811" t="s">
        <v>43</v>
      </c>
      <c r="H811" s="21">
        <f t="shared" si="148"/>
        <v>-115</v>
      </c>
      <c r="I811">
        <v>-9.3000000000000007</v>
      </c>
      <c r="L811">
        <f>160+2*(Table2579[[#This Row],[min value (corrected)]]-23)</f>
        <v>182</v>
      </c>
      <c r="M811">
        <f>MINUTE(Table2579[[#This Row],[Corrected time]])</f>
        <v>34</v>
      </c>
      <c r="N811" s="1">
        <v>0.64915809027777771</v>
      </c>
      <c r="O811" s="1">
        <f>Table2579[[#This Row],[Time]]-TIME(0,0,10)</f>
        <v>0.64904234953703699</v>
      </c>
      <c r="P811" t="s">
        <v>9</v>
      </c>
      <c r="Q811">
        <v>-114</v>
      </c>
      <c r="R811" s="21">
        <f>Table2579[[#This Row],[RSSI]]</f>
        <v>-114</v>
      </c>
      <c r="S811">
        <v>-8.3000000000000007</v>
      </c>
    </row>
    <row r="812" spans="2:19" x14ac:dyDescent="0.25">
      <c r="B812">
        <f>160+2*(Table1468[[#This Row],[min value (corrected)]]-32)</f>
        <v>186</v>
      </c>
      <c r="C812">
        <f>MINUTE(Table1468[[#This Row],[Corrected time]])</f>
        <v>45</v>
      </c>
      <c r="D812" s="1">
        <v>0.65671145833333333</v>
      </c>
      <c r="E812" s="1">
        <f>Table1468[[#This Row],[Time]]-TIME(0,0,11)</f>
        <v>0.65658414351851857</v>
      </c>
      <c r="F812" t="s">
        <v>13</v>
      </c>
      <c r="G812" t="str">
        <f t="shared" ref="G812:G818" si="150">G811</f>
        <v>-115.0,</v>
      </c>
      <c r="H812" s="21">
        <f t="shared" si="148"/>
        <v>-115</v>
      </c>
      <c r="I812">
        <f t="shared" ref="I812:I818" si="151">I811</f>
        <v>-9.3000000000000007</v>
      </c>
      <c r="L812">
        <f>160+2*(Table2579[[#This Row],[min value (corrected)]]-23)</f>
        <v>182</v>
      </c>
      <c r="M812">
        <f>MINUTE(Table2579[[#This Row],[Corrected time]])</f>
        <v>34</v>
      </c>
      <c r="N812" s="1">
        <v>0.6491702777777778</v>
      </c>
      <c r="O812" s="1">
        <f>Table2579[[#This Row],[Time]]-TIME(0,0,10)</f>
        <v>0.64905453703703708</v>
      </c>
      <c r="P812" t="s">
        <v>9</v>
      </c>
      <c r="Q812">
        <v>-114</v>
      </c>
      <c r="R812" s="21">
        <f>Table2579[[#This Row],[RSSI]]</f>
        <v>-114</v>
      </c>
      <c r="S812">
        <v>-8.5</v>
      </c>
    </row>
    <row r="813" spans="2:19" x14ac:dyDescent="0.25">
      <c r="B813">
        <f>160+2*(Table1468[[#This Row],[min value (corrected)]]-32)</f>
        <v>186</v>
      </c>
      <c r="C813">
        <f>MINUTE(Table1468[[#This Row],[Corrected time]])</f>
        <v>45</v>
      </c>
      <c r="D813" s="1">
        <v>0.65672365740740735</v>
      </c>
      <c r="E813" s="1">
        <f>Table1468[[#This Row],[Time]]-TIME(0,0,11)</f>
        <v>0.65659634259259259</v>
      </c>
      <c r="F813" t="s">
        <v>13</v>
      </c>
      <c r="G813" t="str">
        <f t="shared" si="150"/>
        <v>-115.0,</v>
      </c>
      <c r="H813" s="21">
        <f t="shared" si="148"/>
        <v>-115</v>
      </c>
      <c r="I813">
        <f t="shared" si="151"/>
        <v>-9.3000000000000007</v>
      </c>
      <c r="L813">
        <f>160+2*(Table2579[[#This Row],[min value (corrected)]]-23)</f>
        <v>182</v>
      </c>
      <c r="M813">
        <f>MINUTE(Table2579[[#This Row],[Corrected time]])</f>
        <v>34</v>
      </c>
      <c r="N813" s="1">
        <v>0.64918246527777779</v>
      </c>
      <c r="O813" s="1">
        <f>Table2579[[#This Row],[Time]]-TIME(0,0,10)</f>
        <v>0.64906672453703707</v>
      </c>
      <c r="P813" t="s">
        <v>9</v>
      </c>
      <c r="Q813">
        <v>-113</v>
      </c>
      <c r="R813" s="21">
        <f>Table2579[[#This Row],[RSSI]]</f>
        <v>-113</v>
      </c>
      <c r="S813">
        <v>-8</v>
      </c>
    </row>
    <row r="814" spans="2:19" x14ac:dyDescent="0.25">
      <c r="B814">
        <f>160+2*(Table1468[[#This Row],[min value (corrected)]]-32)</f>
        <v>186</v>
      </c>
      <c r="C814">
        <f>MINUTE(Table1468[[#This Row],[Corrected time]])</f>
        <v>45</v>
      </c>
      <c r="D814" s="1">
        <v>0.65673584490740744</v>
      </c>
      <c r="E814" s="1">
        <f>Table1468[[#This Row],[Time]]-TIME(0,0,11)</f>
        <v>0.65660853009259268</v>
      </c>
      <c r="F814" t="s">
        <v>13</v>
      </c>
      <c r="G814" t="str">
        <f t="shared" si="150"/>
        <v>-115.0,</v>
      </c>
      <c r="H814" s="21">
        <f t="shared" si="148"/>
        <v>-115</v>
      </c>
      <c r="I814">
        <f t="shared" si="151"/>
        <v>-9.3000000000000007</v>
      </c>
      <c r="L814">
        <f>160+2*(Table2579[[#This Row],[min value (corrected)]]-23)</f>
        <v>182</v>
      </c>
      <c r="M814">
        <f>MINUTE(Table2579[[#This Row],[Corrected time]])</f>
        <v>34</v>
      </c>
      <c r="N814" s="1">
        <v>0.64919464120370374</v>
      </c>
      <c r="O814" s="1">
        <f>Table2579[[#This Row],[Time]]-TIME(0,0,10)</f>
        <v>0.64907890046296302</v>
      </c>
      <c r="P814" t="s">
        <v>9</v>
      </c>
      <c r="Q814">
        <v>-113</v>
      </c>
      <c r="R814" s="21">
        <f>Table2579[[#This Row],[RSSI]]</f>
        <v>-113</v>
      </c>
      <c r="S814">
        <v>-8.8000000000000007</v>
      </c>
    </row>
    <row r="815" spans="2:19" x14ac:dyDescent="0.25">
      <c r="B815">
        <f>160+2*(Table1468[[#This Row],[min value (corrected)]]-32)</f>
        <v>186</v>
      </c>
      <c r="C815">
        <f>MINUTE(Table1468[[#This Row],[Corrected time]])</f>
        <v>45</v>
      </c>
      <c r="D815" s="1">
        <v>0.65674803240740742</v>
      </c>
      <c r="E815" s="1">
        <f>Table1468[[#This Row],[Time]]-TIME(0,0,11)</f>
        <v>0.65662071759259266</v>
      </c>
      <c r="F815" t="s">
        <v>13</v>
      </c>
      <c r="G815" t="str">
        <f t="shared" si="150"/>
        <v>-115.0,</v>
      </c>
      <c r="H815" s="21">
        <f t="shared" si="148"/>
        <v>-115</v>
      </c>
      <c r="I815">
        <f t="shared" si="151"/>
        <v>-9.3000000000000007</v>
      </c>
      <c r="L815">
        <f>160+2*(Table2579[[#This Row],[min value (corrected)]]-23)</f>
        <v>182</v>
      </c>
      <c r="M815">
        <f>MINUTE(Table2579[[#This Row],[Corrected time]])</f>
        <v>34</v>
      </c>
      <c r="N815" s="1">
        <v>0.64920684027777775</v>
      </c>
      <c r="O815" s="1">
        <f>Table2579[[#This Row],[Time]]-TIME(0,0,10)</f>
        <v>0.64909109953703703</v>
      </c>
      <c r="P815" t="s">
        <v>13</v>
      </c>
      <c r="Q815">
        <f t="shared" ref="Q815:Q816" si="152">Q814</f>
        <v>-113</v>
      </c>
      <c r="R815" s="21">
        <f>Table2579[[#This Row],[RSSI]]</f>
        <v>-113</v>
      </c>
      <c r="S815">
        <f t="shared" ref="S815:S816" si="153">S814</f>
        <v>-8.8000000000000007</v>
      </c>
    </row>
    <row r="816" spans="2:19" x14ac:dyDescent="0.25">
      <c r="B816">
        <f>160+2*(Table1468[[#This Row],[min value (corrected)]]-32)</f>
        <v>186</v>
      </c>
      <c r="C816">
        <f>MINUTE(Table1468[[#This Row],[Corrected time]])</f>
        <v>45</v>
      </c>
      <c r="D816" s="1">
        <v>0.65676021990740741</v>
      </c>
      <c r="E816" s="1">
        <f>Table1468[[#This Row],[Time]]-TIME(0,0,11)</f>
        <v>0.65663290509259264</v>
      </c>
      <c r="F816" t="s">
        <v>13</v>
      </c>
      <c r="G816" t="str">
        <f t="shared" si="150"/>
        <v>-115.0,</v>
      </c>
      <c r="H816" s="21">
        <f t="shared" si="148"/>
        <v>-115</v>
      </c>
      <c r="I816">
        <f t="shared" si="151"/>
        <v>-9.3000000000000007</v>
      </c>
      <c r="L816">
        <f>160+2*(Table2579[[#This Row],[min value (corrected)]]-23)</f>
        <v>182</v>
      </c>
      <c r="M816">
        <f>MINUTE(Table2579[[#This Row],[Corrected time]])</f>
        <v>34</v>
      </c>
      <c r="N816" s="1">
        <v>0.64921902777777774</v>
      </c>
      <c r="O816" s="1">
        <f>Table2579[[#This Row],[Time]]-TIME(0,0,10)</f>
        <v>0.64910328703703701</v>
      </c>
      <c r="P816" t="s">
        <v>13</v>
      </c>
      <c r="Q816">
        <f t="shared" si="152"/>
        <v>-113</v>
      </c>
      <c r="R816" s="21">
        <f>Table2579[[#This Row],[RSSI]]</f>
        <v>-113</v>
      </c>
      <c r="S816">
        <f t="shared" si="153"/>
        <v>-8.8000000000000007</v>
      </c>
    </row>
    <row r="817" spans="2:19" x14ac:dyDescent="0.25">
      <c r="B817">
        <f>160+2*(Table1468[[#This Row],[min value (corrected)]]-32)</f>
        <v>186</v>
      </c>
      <c r="C817">
        <f>MINUTE(Table1468[[#This Row],[Corrected time]])</f>
        <v>45</v>
      </c>
      <c r="D817" s="1">
        <v>0.65677240740740739</v>
      </c>
      <c r="E817" s="1">
        <f>Table1468[[#This Row],[Time]]-TIME(0,0,11)</f>
        <v>0.65664509259259263</v>
      </c>
      <c r="F817" t="s">
        <v>13</v>
      </c>
      <c r="G817" t="str">
        <f t="shared" si="150"/>
        <v>-115.0,</v>
      </c>
      <c r="H817" s="21">
        <f t="shared" si="148"/>
        <v>-115</v>
      </c>
      <c r="I817">
        <f t="shared" si="151"/>
        <v>-9.3000000000000007</v>
      </c>
      <c r="L817">
        <f>160+2*(Table2579[[#This Row],[min value (corrected)]]-23)</f>
        <v>182</v>
      </c>
      <c r="M817">
        <f>MINUTE(Table2579[[#This Row],[Corrected time]])</f>
        <v>34</v>
      </c>
      <c r="N817" s="1">
        <v>0.64923121527777772</v>
      </c>
      <c r="O817" s="1">
        <f>Table2579[[#This Row],[Time]]-TIME(0,0,10)</f>
        <v>0.649115474537037</v>
      </c>
      <c r="P817" t="s">
        <v>9</v>
      </c>
      <c r="Q817">
        <v>-114</v>
      </c>
      <c r="R817" s="21">
        <f>Table2579[[#This Row],[RSSI]]</f>
        <v>-114</v>
      </c>
      <c r="S817">
        <v>-9.8000000000000007</v>
      </c>
    </row>
    <row r="818" spans="2:19" x14ac:dyDescent="0.25">
      <c r="B818">
        <f>160+2*(Table1468[[#This Row],[min value (corrected)]]-32)</f>
        <v>186</v>
      </c>
      <c r="C818">
        <f>MINUTE(Table1468[[#This Row],[Corrected time]])</f>
        <v>45</v>
      </c>
      <c r="D818" s="1">
        <v>0.65678459490740737</v>
      </c>
      <c r="E818" s="1">
        <f>Table1468[[#This Row],[Time]]-TIME(0,0,11)</f>
        <v>0.65665728009259261</v>
      </c>
      <c r="F818" t="s">
        <v>13</v>
      </c>
      <c r="G818" t="str">
        <f t="shared" si="150"/>
        <v>-115.0,</v>
      </c>
      <c r="H818" s="21">
        <f t="shared" si="148"/>
        <v>-115</v>
      </c>
      <c r="I818">
        <f t="shared" si="151"/>
        <v>-9.3000000000000007</v>
      </c>
      <c r="L818">
        <f>160+2*(Table2579[[#This Row],[min value (corrected)]]-23)</f>
        <v>182</v>
      </c>
      <c r="M818">
        <f>MINUTE(Table2579[[#This Row],[Corrected time]])</f>
        <v>34</v>
      </c>
      <c r="N818" s="1">
        <v>0.6492434027777777</v>
      </c>
      <c r="O818" s="1">
        <f>Table2579[[#This Row],[Time]]-TIME(0,0,10)</f>
        <v>0.64912766203703698</v>
      </c>
      <c r="P818" t="s">
        <v>9</v>
      </c>
      <c r="Q818">
        <v>-114</v>
      </c>
      <c r="R818" s="21">
        <f>Table2579[[#This Row],[RSSI]]</f>
        <v>-114</v>
      </c>
      <c r="S818">
        <v>-8.5</v>
      </c>
    </row>
    <row r="819" spans="2:19" x14ac:dyDescent="0.25">
      <c r="B819">
        <f>160+2*(Table1468[[#This Row],[min value (corrected)]]-32)</f>
        <v>186</v>
      </c>
      <c r="C819">
        <f>MINUTE(Table1468[[#This Row],[Corrected time]])</f>
        <v>45</v>
      </c>
      <c r="D819" s="1">
        <v>0.65679678240740735</v>
      </c>
      <c r="E819" s="1">
        <f>Table1468[[#This Row],[Time]]-TIME(0,0,11)</f>
        <v>0.65666946759259259</v>
      </c>
      <c r="F819" t="s">
        <v>9</v>
      </c>
      <c r="G819" t="s">
        <v>43</v>
      </c>
      <c r="H819" s="21">
        <f t="shared" si="148"/>
        <v>-115</v>
      </c>
      <c r="I819">
        <v>-9.8000000000000007</v>
      </c>
      <c r="L819">
        <f>160+2*(Table2579[[#This Row],[min value (corrected)]]-23)</f>
        <v>182</v>
      </c>
      <c r="M819">
        <f>MINUTE(Table2579[[#This Row],[Corrected time]])</f>
        <v>34</v>
      </c>
      <c r="N819" s="1">
        <v>0.64925559027777779</v>
      </c>
      <c r="O819" s="1">
        <f>Table2579[[#This Row],[Time]]-TIME(0,0,10)</f>
        <v>0.64913984953703707</v>
      </c>
      <c r="P819" t="s">
        <v>9</v>
      </c>
      <c r="Q819">
        <v>-114</v>
      </c>
      <c r="R819" s="21">
        <f>Table2579[[#This Row],[RSSI]]</f>
        <v>-114</v>
      </c>
      <c r="S819">
        <v>-8.8000000000000007</v>
      </c>
    </row>
    <row r="820" spans="2:19" x14ac:dyDescent="0.25">
      <c r="B820">
        <f>160+2*(Table1468[[#This Row],[min value (corrected)]]-32)</f>
        <v>186</v>
      </c>
      <c r="C820">
        <f>MINUTE(Table1468[[#This Row],[Corrected time]])</f>
        <v>45</v>
      </c>
      <c r="D820" s="1">
        <v>0.6568089583333333</v>
      </c>
      <c r="E820" s="1">
        <f>Table1468[[#This Row],[Time]]-TIME(0,0,11)</f>
        <v>0.65668164351851854</v>
      </c>
      <c r="F820" t="s">
        <v>13</v>
      </c>
      <c r="G820" t="str">
        <f t="shared" ref="G820:G826" si="154">G819</f>
        <v>-115.0,</v>
      </c>
      <c r="H820" s="21">
        <f t="shared" si="148"/>
        <v>-115</v>
      </c>
      <c r="I820">
        <f t="shared" ref="I820:I826" si="155">I819</f>
        <v>-9.8000000000000007</v>
      </c>
      <c r="L820">
        <f>160+2*(Table2579[[#This Row],[min value (corrected)]]-23)</f>
        <v>182</v>
      </c>
      <c r="M820">
        <f>MINUTE(Table2579[[#This Row],[Corrected time]])</f>
        <v>34</v>
      </c>
      <c r="N820" s="1">
        <v>0.64926777777777778</v>
      </c>
      <c r="O820" s="1">
        <f>Table2579[[#This Row],[Time]]-TIME(0,0,10)</f>
        <v>0.64915203703703706</v>
      </c>
      <c r="P820" t="s">
        <v>9</v>
      </c>
      <c r="Q820">
        <v>-114</v>
      </c>
      <c r="R820" s="21">
        <f>Table2579[[#This Row],[RSSI]]</f>
        <v>-114</v>
      </c>
      <c r="S820">
        <v>-8.3000000000000007</v>
      </c>
    </row>
    <row r="821" spans="2:19" x14ac:dyDescent="0.25">
      <c r="B821">
        <f>160+2*(Table1468[[#This Row],[min value (corrected)]]-32)</f>
        <v>186</v>
      </c>
      <c r="C821">
        <f>MINUTE(Table1468[[#This Row],[Corrected time]])</f>
        <v>45</v>
      </c>
      <c r="D821" s="1">
        <v>0.65682115740740743</v>
      </c>
      <c r="E821" s="1">
        <f>Table1468[[#This Row],[Time]]-TIME(0,0,11)</f>
        <v>0.65669384259259267</v>
      </c>
      <c r="F821" t="s">
        <v>13</v>
      </c>
      <c r="G821" t="str">
        <f t="shared" si="154"/>
        <v>-115.0,</v>
      </c>
      <c r="H821" s="21">
        <f t="shared" si="148"/>
        <v>-115</v>
      </c>
      <c r="I821">
        <f t="shared" si="155"/>
        <v>-9.8000000000000007</v>
      </c>
      <c r="L821">
        <f>160+2*(Table2579[[#This Row],[min value (corrected)]]-23)</f>
        <v>182</v>
      </c>
      <c r="M821">
        <f>MINUTE(Table2579[[#This Row],[Corrected time]])</f>
        <v>34</v>
      </c>
      <c r="N821" s="1">
        <v>0.64927996527777776</v>
      </c>
      <c r="O821" s="1">
        <f>Table2579[[#This Row],[Time]]-TIME(0,0,10)</f>
        <v>0.64916422453703704</v>
      </c>
      <c r="P821" t="s">
        <v>9</v>
      </c>
      <c r="Q821">
        <v>-114</v>
      </c>
      <c r="R821" s="21">
        <f>Table2579[[#This Row],[RSSI]]</f>
        <v>-114</v>
      </c>
      <c r="S821">
        <v>-8</v>
      </c>
    </row>
    <row r="822" spans="2:19" x14ac:dyDescent="0.25">
      <c r="B822">
        <f>160+2*(Table1468[[#This Row],[min value (corrected)]]-32)</f>
        <v>186</v>
      </c>
      <c r="C822">
        <f>MINUTE(Table1468[[#This Row],[Corrected time]])</f>
        <v>45</v>
      </c>
      <c r="D822" s="1">
        <v>0.65683334490740741</v>
      </c>
      <c r="E822" s="1">
        <f>Table1468[[#This Row],[Time]]-TIME(0,0,11)</f>
        <v>0.65670603009259265</v>
      </c>
      <c r="F822" t="s">
        <v>13</v>
      </c>
      <c r="G822" t="str">
        <f t="shared" si="154"/>
        <v>-115.0,</v>
      </c>
      <c r="H822" s="21">
        <f t="shared" si="148"/>
        <v>-115</v>
      </c>
      <c r="I822">
        <f t="shared" si="155"/>
        <v>-9.8000000000000007</v>
      </c>
      <c r="L822">
        <f>160+2*(Table2579[[#This Row],[min value (corrected)]]-23)</f>
        <v>182</v>
      </c>
      <c r="M822">
        <f>MINUTE(Table2579[[#This Row],[Corrected time]])</f>
        <v>34</v>
      </c>
      <c r="N822" s="1">
        <v>0.64929215277777774</v>
      </c>
      <c r="O822" s="1">
        <f>Table2579[[#This Row],[Time]]-TIME(0,0,10)</f>
        <v>0.64917641203703702</v>
      </c>
      <c r="P822" t="s">
        <v>9</v>
      </c>
      <c r="Q822">
        <v>-114</v>
      </c>
      <c r="R822" s="21">
        <f>Table2579[[#This Row],[RSSI]]</f>
        <v>-114</v>
      </c>
      <c r="S822">
        <v>-8.5</v>
      </c>
    </row>
    <row r="823" spans="2:19" x14ac:dyDescent="0.25">
      <c r="B823">
        <f>160+2*(Table1468[[#This Row],[min value (corrected)]]-32)</f>
        <v>186</v>
      </c>
      <c r="C823">
        <f>MINUTE(Table1468[[#This Row],[Corrected time]])</f>
        <v>45</v>
      </c>
      <c r="D823" s="1">
        <v>0.65684552083333336</v>
      </c>
      <c r="E823" s="1">
        <f>Table1468[[#This Row],[Time]]-TIME(0,0,11)</f>
        <v>0.6567182060185186</v>
      </c>
      <c r="F823" t="s">
        <v>13</v>
      </c>
      <c r="G823" t="str">
        <f t="shared" si="154"/>
        <v>-115.0,</v>
      </c>
      <c r="H823" s="21">
        <f t="shared" si="148"/>
        <v>-115</v>
      </c>
      <c r="I823">
        <f t="shared" si="155"/>
        <v>-9.8000000000000007</v>
      </c>
      <c r="L823">
        <f>160+2*(Table2579[[#This Row],[min value (corrected)]]-23)</f>
        <v>182</v>
      </c>
      <c r="M823">
        <f>MINUTE(Table2579[[#This Row],[Corrected time]])</f>
        <v>34</v>
      </c>
      <c r="N823" s="1">
        <v>0.64930434027777773</v>
      </c>
      <c r="O823" s="1">
        <f>Table2579[[#This Row],[Time]]-TIME(0,0,10)</f>
        <v>0.649188599537037</v>
      </c>
      <c r="P823" t="s">
        <v>13</v>
      </c>
      <c r="Q823">
        <f>Q822</f>
        <v>-114</v>
      </c>
      <c r="R823" s="21">
        <f>Table2579[[#This Row],[RSSI]]</f>
        <v>-114</v>
      </c>
      <c r="S823">
        <f>S822</f>
        <v>-8.5</v>
      </c>
    </row>
    <row r="824" spans="2:19" x14ac:dyDescent="0.25">
      <c r="B824">
        <f>160+2*(Table1468[[#This Row],[min value (corrected)]]-32)</f>
        <v>186</v>
      </c>
      <c r="C824">
        <f>MINUTE(Table1468[[#This Row],[Corrected time]])</f>
        <v>45</v>
      </c>
      <c r="D824" s="1">
        <v>0.65685771990740738</v>
      </c>
      <c r="E824" s="1">
        <f>Table1468[[#This Row],[Time]]-TIME(0,0,11)</f>
        <v>0.65673040509259262</v>
      </c>
      <c r="F824" t="s">
        <v>13</v>
      </c>
      <c r="G824" t="str">
        <f t="shared" si="154"/>
        <v>-115.0,</v>
      </c>
      <c r="H824" s="21">
        <f t="shared" si="148"/>
        <v>-115</v>
      </c>
      <c r="I824">
        <f t="shared" si="155"/>
        <v>-9.8000000000000007</v>
      </c>
      <c r="L824">
        <f>160+2*(Table2579[[#This Row],[min value (corrected)]]-23)</f>
        <v>182</v>
      </c>
      <c r="M824">
        <f>MINUTE(Table2579[[#This Row],[Corrected time]])</f>
        <v>34</v>
      </c>
      <c r="N824" s="1">
        <v>0.64931652777777771</v>
      </c>
      <c r="O824" s="1">
        <f>Table2579[[#This Row],[Time]]-TIME(0,0,10)</f>
        <v>0.64920078703703699</v>
      </c>
      <c r="P824" t="s">
        <v>9</v>
      </c>
      <c r="Q824">
        <v>-114</v>
      </c>
      <c r="R824" s="21">
        <f>Table2579[[#This Row],[RSSI]]</f>
        <v>-114</v>
      </c>
      <c r="S824">
        <v>-8.8000000000000007</v>
      </c>
    </row>
    <row r="825" spans="2:19" x14ac:dyDescent="0.25">
      <c r="B825">
        <f>160+2*(Table1468[[#This Row],[min value (corrected)]]-32)</f>
        <v>186</v>
      </c>
      <c r="C825">
        <f>MINUTE(Table1468[[#This Row],[Corrected time]])</f>
        <v>45</v>
      </c>
      <c r="D825" s="1">
        <v>0.65686990740740736</v>
      </c>
      <c r="E825" s="1">
        <f>Table1468[[#This Row],[Time]]-TIME(0,0,11)</f>
        <v>0.6567425925925926</v>
      </c>
      <c r="F825" t="s">
        <v>13</v>
      </c>
      <c r="G825" t="str">
        <f t="shared" si="154"/>
        <v>-115.0,</v>
      </c>
      <c r="H825" s="21">
        <f t="shared" si="148"/>
        <v>-115</v>
      </c>
      <c r="I825">
        <f t="shared" si="155"/>
        <v>-9.8000000000000007</v>
      </c>
      <c r="L825">
        <f>160+2*(Table2579[[#This Row],[min value (corrected)]]-23)</f>
        <v>182</v>
      </c>
      <c r="M825">
        <f>MINUTE(Table2579[[#This Row],[Corrected time]])</f>
        <v>34</v>
      </c>
      <c r="N825" s="1">
        <v>0.64932871527777769</v>
      </c>
      <c r="O825" s="1">
        <f>Table2579[[#This Row],[Time]]-TIME(0,0,10)</f>
        <v>0.64921297453703697</v>
      </c>
      <c r="P825" t="s">
        <v>9</v>
      </c>
      <c r="Q825">
        <v>-114</v>
      </c>
      <c r="R825" s="21">
        <f>Table2579[[#This Row],[RSSI]]</f>
        <v>-114</v>
      </c>
      <c r="S825">
        <v>-9</v>
      </c>
    </row>
    <row r="826" spans="2:19" x14ac:dyDescent="0.25">
      <c r="B826">
        <f>160+2*(Table1468[[#This Row],[min value (corrected)]]-32)</f>
        <v>186</v>
      </c>
      <c r="C826">
        <f>MINUTE(Table1468[[#This Row],[Corrected time]])</f>
        <v>45</v>
      </c>
      <c r="D826" s="1">
        <v>0.65688209490740734</v>
      </c>
      <c r="E826" s="1">
        <f>Table1468[[#This Row],[Time]]-TIME(0,0,11)</f>
        <v>0.65675478009259258</v>
      </c>
      <c r="F826" t="s">
        <v>13</v>
      </c>
      <c r="G826" t="str">
        <f t="shared" si="154"/>
        <v>-115.0,</v>
      </c>
      <c r="H826" s="21">
        <f t="shared" si="148"/>
        <v>-115</v>
      </c>
      <c r="I826">
        <f t="shared" si="155"/>
        <v>-9.8000000000000007</v>
      </c>
      <c r="L826">
        <f>160+2*(Table2579[[#This Row],[min value (corrected)]]-23)</f>
        <v>182</v>
      </c>
      <c r="M826">
        <f>MINUTE(Table2579[[#This Row],[Corrected time]])</f>
        <v>34</v>
      </c>
      <c r="N826" s="1">
        <v>0.64934090277777778</v>
      </c>
      <c r="O826" s="1">
        <f>Table2579[[#This Row],[Time]]-TIME(0,0,10)</f>
        <v>0.64922516203703706</v>
      </c>
      <c r="P826" t="s">
        <v>13</v>
      </c>
      <c r="Q826">
        <f t="shared" ref="Q826:Q828" si="156">Q825</f>
        <v>-114</v>
      </c>
      <c r="R826" s="21">
        <f>Table2579[[#This Row],[RSSI]]</f>
        <v>-114</v>
      </c>
      <c r="S826">
        <f t="shared" ref="S826:S828" si="157">S825</f>
        <v>-9</v>
      </c>
    </row>
    <row r="827" spans="2:19" x14ac:dyDescent="0.25">
      <c r="B827">
        <f>160+2*(Table1468[[#This Row],[min value (corrected)]]-32)</f>
        <v>186</v>
      </c>
      <c r="C827">
        <f>MINUTE(Table1468[[#This Row],[Corrected time]])</f>
        <v>45</v>
      </c>
      <c r="D827" s="1">
        <v>0.65689427083333329</v>
      </c>
      <c r="E827" s="1">
        <f>Table1468[[#This Row],[Time]]-TIME(0,0,11)</f>
        <v>0.65676695601851853</v>
      </c>
      <c r="F827" t="s">
        <v>9</v>
      </c>
      <c r="G827" t="s">
        <v>39</v>
      </c>
      <c r="H827" s="21">
        <f t="shared" si="148"/>
        <v>-114</v>
      </c>
      <c r="I827">
        <v>-9</v>
      </c>
      <c r="L827">
        <f>160+2*(Table2579[[#This Row],[min value (corrected)]]-23)</f>
        <v>182</v>
      </c>
      <c r="M827">
        <f>MINUTE(Table2579[[#This Row],[Corrected time]])</f>
        <v>34</v>
      </c>
      <c r="N827" s="1">
        <v>0.64935309027777777</v>
      </c>
      <c r="O827" s="1">
        <f>Table2579[[#This Row],[Time]]-TIME(0,0,10)</f>
        <v>0.64923734953703705</v>
      </c>
      <c r="P827" t="s">
        <v>13</v>
      </c>
      <c r="Q827">
        <f t="shared" si="156"/>
        <v>-114</v>
      </c>
      <c r="R827" s="21">
        <f>Table2579[[#This Row],[RSSI]]</f>
        <v>-114</v>
      </c>
      <c r="S827">
        <f t="shared" si="157"/>
        <v>-9</v>
      </c>
    </row>
    <row r="828" spans="2:19" x14ac:dyDescent="0.25">
      <c r="B828">
        <f>160+2*(Table1468[[#This Row],[min value (corrected)]]-32)</f>
        <v>186</v>
      </c>
      <c r="C828">
        <f>MINUTE(Table1468[[#This Row],[Corrected time]])</f>
        <v>45</v>
      </c>
      <c r="D828" s="1">
        <v>0.65690646990740742</v>
      </c>
      <c r="E828" s="1">
        <f>Table1468[[#This Row],[Time]]-TIME(0,0,11)</f>
        <v>0.65677915509259266</v>
      </c>
      <c r="F828" t="s">
        <v>13</v>
      </c>
      <c r="G828" t="str">
        <f>G827</f>
        <v>-114.0,</v>
      </c>
      <c r="H828" s="21">
        <f t="shared" si="148"/>
        <v>-114</v>
      </c>
      <c r="I828">
        <f>I827</f>
        <v>-9</v>
      </c>
      <c r="L828">
        <f>160+2*(Table2579[[#This Row],[min value (corrected)]]-23)</f>
        <v>182</v>
      </c>
      <c r="M828">
        <f>MINUTE(Table2579[[#This Row],[Corrected time]])</f>
        <v>34</v>
      </c>
      <c r="N828" s="1">
        <v>0.64936527777777786</v>
      </c>
      <c r="O828" s="1">
        <f>Table2579[[#This Row],[Time]]-TIME(0,0,10)</f>
        <v>0.64924953703703714</v>
      </c>
      <c r="P828" t="s">
        <v>13</v>
      </c>
      <c r="Q828">
        <f t="shared" si="156"/>
        <v>-114</v>
      </c>
      <c r="R828" s="21">
        <f>Table2579[[#This Row],[RSSI]]</f>
        <v>-114</v>
      </c>
      <c r="S828">
        <f t="shared" si="157"/>
        <v>-9</v>
      </c>
    </row>
    <row r="829" spans="2:19" x14ac:dyDescent="0.25">
      <c r="B829">
        <f>160+2*(Table1468[[#This Row],[min value (corrected)]]-32)</f>
        <v>186</v>
      </c>
      <c r="C829">
        <f>MINUTE(Table1468[[#This Row],[Corrected time]])</f>
        <v>45</v>
      </c>
      <c r="D829" s="1">
        <v>0.6569186574074074</v>
      </c>
      <c r="E829" s="1">
        <f>Table1468[[#This Row],[Time]]-TIME(0,0,11)</f>
        <v>0.65679134259259264</v>
      </c>
      <c r="F829" t="s">
        <v>9</v>
      </c>
      <c r="G829" t="s">
        <v>39</v>
      </c>
      <c r="H829" s="21">
        <f t="shared" si="148"/>
        <v>-114</v>
      </c>
      <c r="I829">
        <v>-8.5</v>
      </c>
      <c r="L829">
        <f>160+2*(Table2579[[#This Row],[min value (corrected)]]-23)</f>
        <v>182</v>
      </c>
      <c r="M829">
        <f>MINUTE(Table2579[[#This Row],[Corrected time]])</f>
        <v>34</v>
      </c>
      <c r="N829" s="1">
        <v>0.64937746527777784</v>
      </c>
      <c r="O829" s="1">
        <f>Table2579[[#This Row],[Time]]-TIME(0,0,10)</f>
        <v>0.64926172453703712</v>
      </c>
      <c r="P829" t="s">
        <v>9</v>
      </c>
      <c r="Q829">
        <v>-111</v>
      </c>
      <c r="R829" s="21">
        <f>Table2579[[#This Row],[RSSI]]</f>
        <v>-111</v>
      </c>
      <c r="S829">
        <v>-9</v>
      </c>
    </row>
    <row r="830" spans="2:19" x14ac:dyDescent="0.25">
      <c r="B830">
        <f>160+2*(Table1468[[#This Row],[min value (corrected)]]-32)</f>
        <v>186</v>
      </c>
      <c r="C830">
        <f>MINUTE(Table1468[[#This Row],[Corrected time]])</f>
        <v>45</v>
      </c>
      <c r="D830" s="1">
        <v>0.65693084490740739</v>
      </c>
      <c r="E830" s="1">
        <f>Table1468[[#This Row],[Time]]-TIME(0,0,11)</f>
        <v>0.65680353009259262</v>
      </c>
      <c r="F830" t="s">
        <v>13</v>
      </c>
      <c r="G830" t="str">
        <f t="shared" ref="G830:G831" si="158">G829</f>
        <v>-114.0,</v>
      </c>
      <c r="H830" s="21">
        <f t="shared" si="148"/>
        <v>-114</v>
      </c>
      <c r="I830">
        <f t="shared" ref="I830:I831" si="159">I829</f>
        <v>-8.5</v>
      </c>
      <c r="L830">
        <f>160+2*(Table2579[[#This Row],[min value (corrected)]]-23)</f>
        <v>182</v>
      </c>
      <c r="M830">
        <f>MINUTE(Table2579[[#This Row],[Corrected time]])</f>
        <v>34</v>
      </c>
      <c r="N830" s="1">
        <v>0.64938964120370368</v>
      </c>
      <c r="O830" s="1">
        <f>Table2579[[#This Row],[Time]]-TIME(0,0,10)</f>
        <v>0.64927390046296296</v>
      </c>
      <c r="P830" t="s">
        <v>13</v>
      </c>
      <c r="Q830">
        <f t="shared" ref="Q830:Q831" si="160">Q829</f>
        <v>-111</v>
      </c>
      <c r="R830" s="21">
        <f>Table2579[[#This Row],[RSSI]]</f>
        <v>-111</v>
      </c>
      <c r="S830">
        <f t="shared" ref="S830:S831" si="161">S829</f>
        <v>-9</v>
      </c>
    </row>
    <row r="831" spans="2:19" x14ac:dyDescent="0.25">
      <c r="B831">
        <f>160+2*(Table1468[[#This Row],[min value (corrected)]]-32)</f>
        <v>186</v>
      </c>
      <c r="C831">
        <f>MINUTE(Table1468[[#This Row],[Corrected time]])</f>
        <v>45</v>
      </c>
      <c r="D831" s="1">
        <v>0.65694303240740737</v>
      </c>
      <c r="E831" s="1">
        <f>Table1468[[#This Row],[Time]]-TIME(0,0,11)</f>
        <v>0.65681571759259261</v>
      </c>
      <c r="F831" t="s">
        <v>13</v>
      </c>
      <c r="G831" t="str">
        <f t="shared" si="158"/>
        <v>-114.0,</v>
      </c>
      <c r="H831" s="21">
        <f t="shared" si="148"/>
        <v>-114</v>
      </c>
      <c r="I831">
        <f t="shared" si="159"/>
        <v>-8.5</v>
      </c>
      <c r="L831">
        <f>160+2*(Table2579[[#This Row],[min value (corrected)]]-23)</f>
        <v>182</v>
      </c>
      <c r="M831">
        <f>MINUTE(Table2579[[#This Row],[Corrected time]])</f>
        <v>34</v>
      </c>
      <c r="N831" s="1">
        <v>0.64940182870370367</v>
      </c>
      <c r="O831" s="1">
        <f>Table2579[[#This Row],[Time]]-TIME(0,0,10)</f>
        <v>0.64928608796296294</v>
      </c>
      <c r="P831" t="s">
        <v>13</v>
      </c>
      <c r="Q831">
        <f t="shared" si="160"/>
        <v>-111</v>
      </c>
      <c r="R831" s="21">
        <f>Table2579[[#This Row],[RSSI]]</f>
        <v>-111</v>
      </c>
      <c r="S831">
        <f t="shared" si="161"/>
        <v>-9</v>
      </c>
    </row>
    <row r="832" spans="2:19" x14ac:dyDescent="0.25">
      <c r="B832">
        <f>160+2*(Table1468[[#This Row],[min value (corrected)]]-32)</f>
        <v>186</v>
      </c>
      <c r="C832">
        <f>MINUTE(Table1468[[#This Row],[Corrected time]])</f>
        <v>45</v>
      </c>
      <c r="D832" s="1">
        <v>0.65695521990740735</v>
      </c>
      <c r="E832" s="1">
        <f>Table1468[[#This Row],[Time]]-TIME(0,0,11)</f>
        <v>0.65682790509259259</v>
      </c>
      <c r="F832" t="s">
        <v>9</v>
      </c>
      <c r="G832" t="s">
        <v>37</v>
      </c>
      <c r="H832" s="21">
        <f t="shared" si="148"/>
        <v>-113</v>
      </c>
      <c r="I832">
        <v>-9.8000000000000007</v>
      </c>
      <c r="L832">
        <f>160+2*(Table2579[[#This Row],[min value (corrected)]]-23)</f>
        <v>182</v>
      </c>
      <c r="M832">
        <f>MINUTE(Table2579[[#This Row],[Corrected time]])</f>
        <v>34</v>
      </c>
      <c r="N832" s="1">
        <v>0.64941402777777779</v>
      </c>
      <c r="O832" s="1">
        <f>Table2579[[#This Row],[Time]]-TIME(0,0,10)</f>
        <v>0.64929828703703707</v>
      </c>
      <c r="P832" t="s">
        <v>9</v>
      </c>
      <c r="Q832">
        <v>-114</v>
      </c>
      <c r="R832" s="21">
        <f>Table2579[[#This Row],[RSSI]]</f>
        <v>-114</v>
      </c>
      <c r="S832">
        <v>-9.5</v>
      </c>
    </row>
    <row r="833" spans="2:19" x14ac:dyDescent="0.25">
      <c r="B833">
        <f>160+2*(Table1468[[#This Row],[min value (corrected)]]-32)</f>
        <v>186</v>
      </c>
      <c r="C833">
        <f>MINUTE(Table1468[[#This Row],[Corrected time]])</f>
        <v>45</v>
      </c>
      <c r="D833" s="1">
        <v>0.6569673958333333</v>
      </c>
      <c r="E833" s="1">
        <f>Table1468[[#This Row],[Time]]-TIME(0,0,11)</f>
        <v>0.65684008101851854</v>
      </c>
      <c r="F833" t="s">
        <v>9</v>
      </c>
      <c r="G833" t="s">
        <v>43</v>
      </c>
      <c r="H833" s="21">
        <f t="shared" si="148"/>
        <v>-115</v>
      </c>
      <c r="I833">
        <v>-9.3000000000000007</v>
      </c>
      <c r="L833">
        <f>160+2*(Table2579[[#This Row],[min value (corrected)]]-23)</f>
        <v>184</v>
      </c>
      <c r="M833">
        <f>MINUTE(Table2579[[#This Row],[Corrected time]])</f>
        <v>35</v>
      </c>
      <c r="N833" s="1">
        <v>0.64942621527777777</v>
      </c>
      <c r="O833" s="1">
        <f>Table2579[[#This Row],[Time]]-TIME(0,0,10)</f>
        <v>0.64931047453703705</v>
      </c>
      <c r="P833" t="s">
        <v>27</v>
      </c>
      <c r="Q833">
        <f t="shared" ref="Q833:Q841" si="162">Q832</f>
        <v>-114</v>
      </c>
      <c r="R833" s="21">
        <f>Table2579[[#This Row],[RSSI]]</f>
        <v>-114</v>
      </c>
      <c r="S833">
        <f t="shared" ref="S833:S841" si="163">S832</f>
        <v>-9.5</v>
      </c>
    </row>
    <row r="834" spans="2:19" x14ac:dyDescent="0.25">
      <c r="B834">
        <f>160+2*(Table1468[[#This Row],[min value (corrected)]]-32)</f>
        <v>186</v>
      </c>
      <c r="C834">
        <f>MINUTE(Table1468[[#This Row],[Corrected time]])</f>
        <v>45</v>
      </c>
      <c r="D834" s="1">
        <v>0.65697959490740732</v>
      </c>
      <c r="E834" s="1">
        <f>Table1468[[#This Row],[Time]]-TIME(0,0,11)</f>
        <v>0.65685228009259256</v>
      </c>
      <c r="F834" t="s">
        <v>9</v>
      </c>
      <c r="G834" t="s">
        <v>39</v>
      </c>
      <c r="H834" s="21">
        <f t="shared" si="148"/>
        <v>-114</v>
      </c>
      <c r="I834">
        <v>-9.3000000000000007</v>
      </c>
      <c r="L834">
        <f>160+2*(Table2579[[#This Row],[min value (corrected)]]-23)</f>
        <v>184</v>
      </c>
      <c r="M834">
        <f>MINUTE(Table2579[[#This Row],[Corrected time]])</f>
        <v>35</v>
      </c>
      <c r="N834" s="1">
        <v>0.64943840277777776</v>
      </c>
      <c r="O834" s="1">
        <f>Table2579[[#This Row],[Time]]-TIME(0,0,10)</f>
        <v>0.64932266203703703</v>
      </c>
      <c r="P834" t="s">
        <v>27</v>
      </c>
      <c r="Q834">
        <f t="shared" si="162"/>
        <v>-114</v>
      </c>
      <c r="R834" s="21">
        <f>Table2579[[#This Row],[RSSI]]</f>
        <v>-114</v>
      </c>
      <c r="S834">
        <f t="shared" si="163"/>
        <v>-9.5</v>
      </c>
    </row>
    <row r="835" spans="2:19" x14ac:dyDescent="0.25">
      <c r="B835">
        <f>160+2*(Table1468[[#This Row],[min value (corrected)]]-32)</f>
        <v>186</v>
      </c>
      <c r="C835">
        <f>MINUTE(Table1468[[#This Row],[Corrected time]])</f>
        <v>45</v>
      </c>
      <c r="D835" s="1">
        <v>0.65699178240740741</v>
      </c>
      <c r="E835" s="1">
        <f>Table1468[[#This Row],[Time]]-TIME(0,0,11)</f>
        <v>0.65686446759259265</v>
      </c>
      <c r="F835" t="s">
        <v>9</v>
      </c>
      <c r="G835" t="s">
        <v>39</v>
      </c>
      <c r="H835" s="21">
        <f t="shared" si="148"/>
        <v>-114</v>
      </c>
      <c r="I835">
        <v>-9.5</v>
      </c>
      <c r="L835">
        <f>160+2*(Table2579[[#This Row],[min value (corrected)]]-23)</f>
        <v>184</v>
      </c>
      <c r="M835">
        <f>MINUTE(Table2579[[#This Row],[Corrected time]])</f>
        <v>35</v>
      </c>
      <c r="N835" s="1">
        <v>0.64945057870370371</v>
      </c>
      <c r="O835" s="1">
        <f>Table2579[[#This Row],[Time]]-TIME(0,0,10)</f>
        <v>0.64933483796296299</v>
      </c>
      <c r="P835" t="s">
        <v>13</v>
      </c>
      <c r="Q835">
        <f t="shared" si="162"/>
        <v>-114</v>
      </c>
      <c r="R835" s="21">
        <f>Table2579[[#This Row],[RSSI]]</f>
        <v>-114</v>
      </c>
      <c r="S835">
        <f t="shared" si="163"/>
        <v>-9.5</v>
      </c>
    </row>
    <row r="836" spans="2:19" x14ac:dyDescent="0.25">
      <c r="B836">
        <f>160+2*(Table1468[[#This Row],[min value (corrected)]]-32)</f>
        <v>186</v>
      </c>
      <c r="C836">
        <f>MINUTE(Table1468[[#This Row],[Corrected time]])</f>
        <v>45</v>
      </c>
      <c r="D836" s="1">
        <v>0.65700396990740739</v>
      </c>
      <c r="E836" s="1">
        <f>Table1468[[#This Row],[Time]]-TIME(0,0,11)</f>
        <v>0.65687665509259263</v>
      </c>
      <c r="F836" t="s">
        <v>13</v>
      </c>
      <c r="G836" t="str">
        <f t="shared" ref="G836:G842" si="164">G835</f>
        <v>-114.0,</v>
      </c>
      <c r="H836" s="21">
        <f t="shared" si="148"/>
        <v>-114</v>
      </c>
      <c r="I836">
        <f t="shared" ref="I836:I842" si="165">I835</f>
        <v>-9.5</v>
      </c>
      <c r="L836">
        <f>160+2*(Table2579[[#This Row],[min value (corrected)]]-23)</f>
        <v>184</v>
      </c>
      <c r="M836">
        <f>MINUTE(Table2579[[#This Row],[Corrected time]])</f>
        <v>35</v>
      </c>
      <c r="N836" s="1">
        <v>0.64946277777777783</v>
      </c>
      <c r="O836" s="1">
        <f>Table2579[[#This Row],[Time]]-TIME(0,0,10)</f>
        <v>0.64934703703703711</v>
      </c>
      <c r="P836" t="s">
        <v>13</v>
      </c>
      <c r="Q836">
        <f t="shared" si="162"/>
        <v>-114</v>
      </c>
      <c r="R836" s="21">
        <f>Table2579[[#This Row],[RSSI]]</f>
        <v>-114</v>
      </c>
      <c r="S836">
        <f t="shared" si="163"/>
        <v>-9.5</v>
      </c>
    </row>
    <row r="837" spans="2:19" x14ac:dyDescent="0.25">
      <c r="B837">
        <f>160+2*(Table1468[[#This Row],[min value (corrected)]]-32)</f>
        <v>186</v>
      </c>
      <c r="C837">
        <f>MINUTE(Table1468[[#This Row],[Corrected time]])</f>
        <v>45</v>
      </c>
      <c r="D837" s="1">
        <v>0.65701615740740749</v>
      </c>
      <c r="E837" s="1">
        <f>Table1468[[#This Row],[Time]]-TIME(0,0,11)</f>
        <v>0.65688884259259273</v>
      </c>
      <c r="F837" t="s">
        <v>13</v>
      </c>
      <c r="G837" t="str">
        <f t="shared" si="164"/>
        <v>-114.0,</v>
      </c>
      <c r="H837" s="21">
        <f t="shared" si="148"/>
        <v>-114</v>
      </c>
      <c r="I837">
        <f t="shared" si="165"/>
        <v>-9.5</v>
      </c>
      <c r="L837">
        <f>160+2*(Table2579[[#This Row],[min value (corrected)]]-23)</f>
        <v>184</v>
      </c>
      <c r="M837">
        <f>MINUTE(Table2579[[#This Row],[Corrected time]])</f>
        <v>35</v>
      </c>
      <c r="N837" s="1">
        <v>0.64947496527777782</v>
      </c>
      <c r="O837" s="1">
        <f>Table2579[[#This Row],[Time]]-TIME(0,0,10)</f>
        <v>0.64935922453703709</v>
      </c>
      <c r="P837" t="s">
        <v>13</v>
      </c>
      <c r="Q837">
        <f t="shared" si="162"/>
        <v>-114</v>
      </c>
      <c r="R837" s="21">
        <f>Table2579[[#This Row],[RSSI]]</f>
        <v>-114</v>
      </c>
      <c r="S837">
        <f t="shared" si="163"/>
        <v>-9.5</v>
      </c>
    </row>
    <row r="838" spans="2:19" x14ac:dyDescent="0.25">
      <c r="B838">
        <f>160+2*(Table1468[[#This Row],[min value (corrected)]]-32)</f>
        <v>186</v>
      </c>
      <c r="C838">
        <f>MINUTE(Table1468[[#This Row],[Corrected time]])</f>
        <v>45</v>
      </c>
      <c r="D838" s="1">
        <v>0.65702834490740747</v>
      </c>
      <c r="E838" s="1">
        <f>Table1468[[#This Row],[Time]]-TIME(0,0,11)</f>
        <v>0.65690103009259271</v>
      </c>
      <c r="F838" t="s">
        <v>13</v>
      </c>
      <c r="G838" t="str">
        <f t="shared" si="164"/>
        <v>-114.0,</v>
      </c>
      <c r="H838" s="21">
        <f t="shared" si="148"/>
        <v>-114</v>
      </c>
      <c r="I838">
        <f t="shared" si="165"/>
        <v>-9.5</v>
      </c>
      <c r="L838">
        <f>160+2*(Table2579[[#This Row],[min value (corrected)]]-23)</f>
        <v>184</v>
      </c>
      <c r="M838">
        <f>MINUTE(Table2579[[#This Row],[Corrected time]])</f>
        <v>35</v>
      </c>
      <c r="N838" s="1">
        <v>0.64948712962962962</v>
      </c>
      <c r="O838" s="1">
        <f>Table2579[[#This Row],[Time]]-TIME(0,0,10)</f>
        <v>0.6493713888888889</v>
      </c>
      <c r="P838" t="s">
        <v>13</v>
      </c>
      <c r="Q838">
        <f t="shared" si="162"/>
        <v>-114</v>
      </c>
      <c r="R838" s="21">
        <f>Table2579[[#This Row],[RSSI]]</f>
        <v>-114</v>
      </c>
      <c r="S838">
        <f t="shared" si="163"/>
        <v>-9.5</v>
      </c>
    </row>
    <row r="839" spans="2:19" x14ac:dyDescent="0.25">
      <c r="B839">
        <f>160+2*(Table1468[[#This Row],[min value (corrected)]]-32)</f>
        <v>186</v>
      </c>
      <c r="C839">
        <f>MINUTE(Table1468[[#This Row],[Corrected time]])</f>
        <v>45</v>
      </c>
      <c r="D839" s="1">
        <v>0.65704053240740745</v>
      </c>
      <c r="E839" s="1">
        <f>Table1468[[#This Row],[Time]]-TIME(0,0,11)</f>
        <v>0.65691321759259269</v>
      </c>
      <c r="F839" t="s">
        <v>13</v>
      </c>
      <c r="G839" t="str">
        <f t="shared" si="164"/>
        <v>-114.0,</v>
      </c>
      <c r="H839" s="21">
        <f t="shared" si="148"/>
        <v>-114</v>
      </c>
      <c r="I839">
        <f t="shared" si="165"/>
        <v>-9.5</v>
      </c>
      <c r="L839">
        <f>160+2*(Table2579[[#This Row],[min value (corrected)]]-23)</f>
        <v>184</v>
      </c>
      <c r="M839">
        <f>MINUTE(Table2579[[#This Row],[Corrected time]])</f>
        <v>35</v>
      </c>
      <c r="N839" s="1">
        <v>0.64949934027777778</v>
      </c>
      <c r="O839" s="1">
        <f>Table2579[[#This Row],[Time]]-TIME(0,0,10)</f>
        <v>0.64938359953703706</v>
      </c>
      <c r="P839" t="s">
        <v>13</v>
      </c>
      <c r="Q839">
        <f t="shared" si="162"/>
        <v>-114</v>
      </c>
      <c r="R839" s="21">
        <f>Table2579[[#This Row],[RSSI]]</f>
        <v>-114</v>
      </c>
      <c r="S839">
        <f t="shared" si="163"/>
        <v>-9.5</v>
      </c>
    </row>
    <row r="840" spans="2:19" x14ac:dyDescent="0.25">
      <c r="B840">
        <f>160+2*(Table1468[[#This Row],[min value (corrected)]]-32)</f>
        <v>186</v>
      </c>
      <c r="C840">
        <f>MINUTE(Table1468[[#This Row],[Corrected time]])</f>
        <v>45</v>
      </c>
      <c r="D840" s="1">
        <v>0.65705270833333329</v>
      </c>
      <c r="E840" s="1">
        <f>Table1468[[#This Row],[Time]]-TIME(0,0,11)</f>
        <v>0.65692539351851853</v>
      </c>
      <c r="F840" t="s">
        <v>13</v>
      </c>
      <c r="G840" t="str">
        <f t="shared" si="164"/>
        <v>-114.0,</v>
      </c>
      <c r="H840" s="21">
        <f t="shared" si="148"/>
        <v>-114</v>
      </c>
      <c r="I840">
        <f t="shared" si="165"/>
        <v>-9.5</v>
      </c>
      <c r="L840">
        <f>160+2*(Table2579[[#This Row],[min value (corrected)]]-23)</f>
        <v>184</v>
      </c>
      <c r="M840">
        <f>MINUTE(Table2579[[#This Row],[Corrected time]])</f>
        <v>35</v>
      </c>
      <c r="N840" s="1">
        <v>0.64951151620370373</v>
      </c>
      <c r="O840" s="1">
        <f>Table2579[[#This Row],[Time]]-TIME(0,0,10)</f>
        <v>0.64939577546296301</v>
      </c>
      <c r="P840" t="s">
        <v>13</v>
      </c>
      <c r="Q840">
        <f t="shared" si="162"/>
        <v>-114</v>
      </c>
      <c r="R840" s="21">
        <f>Table2579[[#This Row],[RSSI]]</f>
        <v>-114</v>
      </c>
      <c r="S840">
        <f t="shared" si="163"/>
        <v>-9.5</v>
      </c>
    </row>
    <row r="841" spans="2:19" x14ac:dyDescent="0.25">
      <c r="B841">
        <f>160+2*(Table1468[[#This Row],[min value (corrected)]]-32)</f>
        <v>186</v>
      </c>
      <c r="C841">
        <f>MINUTE(Table1468[[#This Row],[Corrected time]])</f>
        <v>45</v>
      </c>
      <c r="D841" s="1">
        <v>0.65706490740740742</v>
      </c>
      <c r="E841" s="1">
        <f>Table1468[[#This Row],[Time]]-TIME(0,0,11)</f>
        <v>0.65693759259259266</v>
      </c>
      <c r="F841" t="s">
        <v>13</v>
      </c>
      <c r="G841" t="str">
        <f t="shared" si="164"/>
        <v>-114.0,</v>
      </c>
      <c r="H841" s="21">
        <f t="shared" si="148"/>
        <v>-114</v>
      </c>
      <c r="I841">
        <f t="shared" si="165"/>
        <v>-9.5</v>
      </c>
      <c r="L841">
        <f>160+2*(Table2579[[#This Row],[min value (corrected)]]-23)</f>
        <v>184</v>
      </c>
      <c r="M841">
        <f>MINUTE(Table2579[[#This Row],[Corrected time]])</f>
        <v>35</v>
      </c>
      <c r="N841" s="1">
        <v>0.64952371527777775</v>
      </c>
      <c r="O841" s="1">
        <f>Table2579[[#This Row],[Time]]-TIME(0,0,10)</f>
        <v>0.64940797453703702</v>
      </c>
      <c r="P841" t="s">
        <v>13</v>
      </c>
      <c r="Q841">
        <f t="shared" si="162"/>
        <v>-114</v>
      </c>
      <c r="R841" s="21">
        <f>Table2579[[#This Row],[RSSI]]</f>
        <v>-114</v>
      </c>
      <c r="S841">
        <f t="shared" si="163"/>
        <v>-9.5</v>
      </c>
    </row>
    <row r="842" spans="2:19" x14ac:dyDescent="0.25">
      <c r="B842">
        <f>160+2*(Table1468[[#This Row],[min value (corrected)]]-32)</f>
        <v>188</v>
      </c>
      <c r="C842">
        <f>MINUTE(Table1468[[#This Row],[Corrected time]])</f>
        <v>46</v>
      </c>
      <c r="D842" s="1">
        <v>0.6570770949074074</v>
      </c>
      <c r="E842" s="1">
        <f>Table1468[[#This Row],[Time]]-TIME(0,0,11)</f>
        <v>0.65694978009259264</v>
      </c>
      <c r="F842" t="s">
        <v>13</v>
      </c>
      <c r="G842" t="str">
        <f t="shared" si="164"/>
        <v>-114.0,</v>
      </c>
      <c r="H842" s="21">
        <f t="shared" si="148"/>
        <v>-114</v>
      </c>
      <c r="I842">
        <f t="shared" si="165"/>
        <v>-9.5</v>
      </c>
      <c r="L842">
        <f>160+2*(Table2579[[#This Row],[min value (corrected)]]-23)</f>
        <v>184</v>
      </c>
      <c r="M842">
        <f>MINUTE(Table2579[[#This Row],[Corrected time]])</f>
        <v>35</v>
      </c>
      <c r="N842" s="1">
        <v>0.64953590277777784</v>
      </c>
      <c r="O842" s="1">
        <f>Table2579[[#This Row],[Time]]-TIME(0,0,10)</f>
        <v>0.64942016203703712</v>
      </c>
      <c r="P842" t="s">
        <v>9</v>
      </c>
      <c r="Q842">
        <v>-110</v>
      </c>
      <c r="R842" s="21">
        <f>Table2579[[#This Row],[RSSI]]</f>
        <v>-110</v>
      </c>
      <c r="S842">
        <v>-9</v>
      </c>
    </row>
    <row r="843" spans="2:19" x14ac:dyDescent="0.25">
      <c r="B843">
        <f>160+2*(Table1468[[#This Row],[min value (corrected)]]-32)</f>
        <v>188</v>
      </c>
      <c r="C843">
        <f>MINUTE(Table1468[[#This Row],[Corrected time]])</f>
        <v>46</v>
      </c>
      <c r="D843" s="1">
        <v>0.65708928240740749</v>
      </c>
      <c r="E843" s="1">
        <f>Table1468[[#This Row],[Time]]-TIME(0,0,11)</f>
        <v>0.65696196759259273</v>
      </c>
      <c r="F843" t="s">
        <v>9</v>
      </c>
      <c r="G843" t="s">
        <v>39</v>
      </c>
      <c r="H843" s="21">
        <f t="shared" si="148"/>
        <v>-114</v>
      </c>
      <c r="I843">
        <v>-9.5</v>
      </c>
      <c r="L843">
        <f>160+2*(Table2579[[#This Row],[min value (corrected)]]-23)</f>
        <v>184</v>
      </c>
      <c r="M843">
        <f>MINUTE(Table2579[[#This Row],[Corrected time]])</f>
        <v>35</v>
      </c>
      <c r="N843" s="1">
        <v>0.64954809027777782</v>
      </c>
      <c r="O843" s="1">
        <f>Table2579[[#This Row],[Time]]-TIME(0,0,10)</f>
        <v>0.6494323495370371</v>
      </c>
      <c r="P843" t="s">
        <v>9</v>
      </c>
      <c r="Q843">
        <v>-114</v>
      </c>
      <c r="R843" s="21">
        <f>Table2579[[#This Row],[RSSI]]</f>
        <v>-114</v>
      </c>
      <c r="S843">
        <v>-8.8000000000000007</v>
      </c>
    </row>
    <row r="844" spans="2:19" x14ac:dyDescent="0.25">
      <c r="B844">
        <f>160+2*(Table1468[[#This Row],[min value (corrected)]]-32)</f>
        <v>188</v>
      </c>
      <c r="C844">
        <f>MINUTE(Table1468[[#This Row],[Corrected time]])</f>
        <v>46</v>
      </c>
      <c r="D844" s="1">
        <v>0.65710146990740748</v>
      </c>
      <c r="E844" s="1">
        <f>Table1468[[#This Row],[Time]]-TIME(0,0,11)</f>
        <v>0.65697415509259272</v>
      </c>
      <c r="F844" t="s">
        <v>13</v>
      </c>
      <c r="G844" t="str">
        <f t="shared" ref="G844:G850" si="166">G843</f>
        <v>-114.0,</v>
      </c>
      <c r="H844" s="21">
        <f t="shared" si="148"/>
        <v>-114</v>
      </c>
      <c r="I844">
        <f t="shared" ref="I844:I850" si="167">I843</f>
        <v>-9.5</v>
      </c>
      <c r="L844">
        <f>160+2*(Table2579[[#This Row],[min value (corrected)]]-23)</f>
        <v>184</v>
      </c>
      <c r="M844">
        <f>MINUTE(Table2579[[#This Row],[Corrected time]])</f>
        <v>35</v>
      </c>
      <c r="N844" s="1">
        <v>0.64956026620370366</v>
      </c>
      <c r="O844" s="1">
        <f>Table2579[[#This Row],[Time]]-TIME(0,0,10)</f>
        <v>0.64944452546296294</v>
      </c>
      <c r="P844" t="s">
        <v>9</v>
      </c>
      <c r="Q844">
        <v>-114</v>
      </c>
      <c r="R844" s="21">
        <f>Table2579[[#This Row],[RSSI]]</f>
        <v>-114</v>
      </c>
      <c r="S844">
        <v>-9.8000000000000007</v>
      </c>
    </row>
    <row r="845" spans="2:19" x14ac:dyDescent="0.25">
      <c r="B845">
        <f>160+2*(Table1468[[#This Row],[min value (corrected)]]-32)</f>
        <v>188</v>
      </c>
      <c r="C845">
        <f>MINUTE(Table1468[[#This Row],[Corrected time]])</f>
        <v>46</v>
      </c>
      <c r="D845" s="1">
        <v>0.65711364583333332</v>
      </c>
      <c r="E845" s="1">
        <f>Table1468[[#This Row],[Time]]-TIME(0,0,11)</f>
        <v>0.65698633101851855</v>
      </c>
      <c r="F845" t="s">
        <v>13</v>
      </c>
      <c r="G845" t="str">
        <f t="shared" si="166"/>
        <v>-114.0,</v>
      </c>
      <c r="H845" s="21">
        <f t="shared" si="148"/>
        <v>-114</v>
      </c>
      <c r="I845">
        <f t="shared" si="167"/>
        <v>-9.5</v>
      </c>
      <c r="L845">
        <f>160+2*(Table2579[[#This Row],[min value (corrected)]]-23)</f>
        <v>184</v>
      </c>
      <c r="M845">
        <f>MINUTE(Table2579[[#This Row],[Corrected time]])</f>
        <v>35</v>
      </c>
      <c r="N845" s="1">
        <v>0.64957246527777779</v>
      </c>
      <c r="O845" s="1">
        <f>Table2579[[#This Row],[Time]]-TIME(0,0,10)</f>
        <v>0.64945672453703707</v>
      </c>
      <c r="P845" t="s">
        <v>9</v>
      </c>
      <c r="Q845">
        <v>-114</v>
      </c>
      <c r="R845" s="21">
        <f>Table2579[[#This Row],[RSSI]]</f>
        <v>-114</v>
      </c>
      <c r="S845">
        <v>-9.8000000000000007</v>
      </c>
    </row>
    <row r="846" spans="2:19" x14ac:dyDescent="0.25">
      <c r="B846">
        <f>160+2*(Table1468[[#This Row],[min value (corrected)]]-32)</f>
        <v>188</v>
      </c>
      <c r="C846">
        <f>MINUTE(Table1468[[#This Row],[Corrected time]])</f>
        <v>46</v>
      </c>
      <c r="D846" s="1">
        <v>0.65712584490740744</v>
      </c>
      <c r="E846" s="1">
        <f>Table1468[[#This Row],[Time]]-TIME(0,0,11)</f>
        <v>0.65699853009259268</v>
      </c>
      <c r="F846" t="s">
        <v>13</v>
      </c>
      <c r="G846" t="str">
        <f t="shared" si="166"/>
        <v>-114.0,</v>
      </c>
      <c r="H846" s="21">
        <f t="shared" si="148"/>
        <v>-114</v>
      </c>
      <c r="I846">
        <f t="shared" si="167"/>
        <v>-9.5</v>
      </c>
      <c r="L846">
        <f>160+2*(Table2579[[#This Row],[min value (corrected)]]-23)</f>
        <v>184</v>
      </c>
      <c r="M846">
        <f>MINUTE(Table2579[[#This Row],[Corrected time]])</f>
        <v>35</v>
      </c>
      <c r="N846" s="1">
        <v>0.64958465277777777</v>
      </c>
      <c r="O846" s="1">
        <f>Table2579[[#This Row],[Time]]-TIME(0,0,10)</f>
        <v>0.64946891203703705</v>
      </c>
      <c r="P846" t="s">
        <v>13</v>
      </c>
      <c r="Q846">
        <f>Q845</f>
        <v>-114</v>
      </c>
      <c r="R846" s="21">
        <f>Table2579[[#This Row],[RSSI]]</f>
        <v>-114</v>
      </c>
      <c r="S846">
        <f>S845</f>
        <v>-9.8000000000000007</v>
      </c>
    </row>
    <row r="847" spans="2:19" x14ac:dyDescent="0.25">
      <c r="B847">
        <f>160+2*(Table1468[[#This Row],[min value (corrected)]]-32)</f>
        <v>188</v>
      </c>
      <c r="C847">
        <f>MINUTE(Table1468[[#This Row],[Corrected time]])</f>
        <v>46</v>
      </c>
      <c r="D847" s="1">
        <v>0.65713803240740742</v>
      </c>
      <c r="E847" s="1">
        <f>Table1468[[#This Row],[Time]]-TIME(0,0,11)</f>
        <v>0.65701071759259266</v>
      </c>
      <c r="F847" t="s">
        <v>13</v>
      </c>
      <c r="G847" t="str">
        <f t="shared" si="166"/>
        <v>-114.0,</v>
      </c>
      <c r="H847" s="21">
        <f t="shared" si="148"/>
        <v>-114</v>
      </c>
      <c r="I847">
        <f t="shared" si="167"/>
        <v>-9.5</v>
      </c>
      <c r="L847">
        <f>160+2*(Table2579[[#This Row],[min value (corrected)]]-23)</f>
        <v>184</v>
      </c>
      <c r="M847">
        <f>MINUTE(Table2579[[#This Row],[Corrected time]])</f>
        <v>35</v>
      </c>
      <c r="N847" s="1">
        <v>0.64959684027777775</v>
      </c>
      <c r="O847" s="1">
        <f>Table2579[[#This Row],[Time]]-TIME(0,0,10)</f>
        <v>0.64948109953703703</v>
      </c>
      <c r="P847" t="s">
        <v>9</v>
      </c>
      <c r="Q847">
        <v>-114</v>
      </c>
      <c r="R847" s="21">
        <f>Table2579[[#This Row],[RSSI]]</f>
        <v>-114</v>
      </c>
      <c r="S847">
        <v>-8.3000000000000007</v>
      </c>
    </row>
    <row r="848" spans="2:19" x14ac:dyDescent="0.25">
      <c r="B848">
        <f>160+2*(Table1468[[#This Row],[min value (corrected)]]-32)</f>
        <v>188</v>
      </c>
      <c r="C848">
        <f>MINUTE(Table1468[[#This Row],[Corrected time]])</f>
        <v>46</v>
      </c>
      <c r="D848" s="1">
        <v>0.65715021990740741</v>
      </c>
      <c r="E848" s="1">
        <f>Table1468[[#This Row],[Time]]-TIME(0,0,11)</f>
        <v>0.65702290509259265</v>
      </c>
      <c r="F848" t="s">
        <v>13</v>
      </c>
      <c r="G848" t="str">
        <f t="shared" si="166"/>
        <v>-114.0,</v>
      </c>
      <c r="H848" s="21">
        <f t="shared" si="148"/>
        <v>-114</v>
      </c>
      <c r="I848">
        <f t="shared" si="167"/>
        <v>-9.5</v>
      </c>
      <c r="L848">
        <f>160+2*(Table2579[[#This Row],[min value (corrected)]]-23)</f>
        <v>184</v>
      </c>
      <c r="M848">
        <f>MINUTE(Table2579[[#This Row],[Corrected time]])</f>
        <v>35</v>
      </c>
      <c r="N848" s="1">
        <v>0.6496090162037037</v>
      </c>
      <c r="O848" s="1">
        <f>Table2579[[#This Row],[Time]]-TIME(0,0,10)</f>
        <v>0.64949327546296298</v>
      </c>
      <c r="P848" t="s">
        <v>9</v>
      </c>
      <c r="Q848">
        <v>-114</v>
      </c>
      <c r="R848" s="21">
        <f>Table2579[[#This Row],[RSSI]]</f>
        <v>-114</v>
      </c>
      <c r="S848">
        <v>-9.8000000000000007</v>
      </c>
    </row>
    <row r="849" spans="2:19" x14ac:dyDescent="0.25">
      <c r="B849">
        <f>160+2*(Table1468[[#This Row],[min value (corrected)]]-32)</f>
        <v>188</v>
      </c>
      <c r="C849">
        <f>MINUTE(Table1468[[#This Row],[Corrected time]])</f>
        <v>46</v>
      </c>
      <c r="D849" s="1">
        <v>0.65716240740740739</v>
      </c>
      <c r="E849" s="1">
        <f>Table1468[[#This Row],[Time]]-TIME(0,0,11)</f>
        <v>0.65703509259259263</v>
      </c>
      <c r="F849" t="s">
        <v>13</v>
      </c>
      <c r="G849" t="str">
        <f t="shared" si="166"/>
        <v>-114.0,</v>
      </c>
      <c r="H849" s="21">
        <f t="shared" si="148"/>
        <v>-114</v>
      </c>
      <c r="I849">
        <f t="shared" si="167"/>
        <v>-9.5</v>
      </c>
      <c r="L849">
        <f>160+2*(Table2579[[#This Row],[min value (corrected)]]-23)</f>
        <v>184</v>
      </c>
      <c r="M849">
        <f>MINUTE(Table2579[[#This Row],[Corrected time]])</f>
        <v>35</v>
      </c>
      <c r="N849" s="1">
        <v>0.64962121527777783</v>
      </c>
      <c r="O849" s="1">
        <f>Table2579[[#This Row],[Time]]-TIME(0,0,10)</f>
        <v>0.64950547453703711</v>
      </c>
      <c r="P849" t="s">
        <v>13</v>
      </c>
      <c r="Q849">
        <f>Q848</f>
        <v>-114</v>
      </c>
      <c r="R849" s="21">
        <f>Table2579[[#This Row],[RSSI]]</f>
        <v>-114</v>
      </c>
      <c r="S849">
        <f>S848</f>
        <v>-9.8000000000000007</v>
      </c>
    </row>
    <row r="850" spans="2:19" x14ac:dyDescent="0.25">
      <c r="B850">
        <f>160+2*(Table1468[[#This Row],[min value (corrected)]]-32)</f>
        <v>188</v>
      </c>
      <c r="C850">
        <f>MINUTE(Table1468[[#This Row],[Corrected time]])</f>
        <v>46</v>
      </c>
      <c r="D850" s="1">
        <v>0.65717459490740748</v>
      </c>
      <c r="E850" s="1">
        <f>Table1468[[#This Row],[Time]]-TIME(0,0,11)</f>
        <v>0.65704728009259272</v>
      </c>
      <c r="F850" t="s">
        <v>13</v>
      </c>
      <c r="G850" t="str">
        <f t="shared" si="166"/>
        <v>-114.0,</v>
      </c>
      <c r="H850" s="21">
        <f t="shared" si="148"/>
        <v>-114</v>
      </c>
      <c r="I850">
        <f t="shared" si="167"/>
        <v>-9.5</v>
      </c>
      <c r="L850">
        <f>160+2*(Table2579[[#This Row],[min value (corrected)]]-23)</f>
        <v>184</v>
      </c>
      <c r="M850">
        <f>MINUTE(Table2579[[#This Row],[Corrected time]])</f>
        <v>35</v>
      </c>
      <c r="N850" s="1">
        <v>0.64963340277777781</v>
      </c>
      <c r="O850" s="1">
        <f>Table2579[[#This Row],[Time]]-TIME(0,0,10)</f>
        <v>0.64951766203703709</v>
      </c>
      <c r="P850" t="s">
        <v>9</v>
      </c>
      <c r="Q850">
        <v>-115</v>
      </c>
      <c r="R850" s="21">
        <f>Table2579[[#This Row],[RSSI]]</f>
        <v>-115</v>
      </c>
      <c r="S850">
        <v>-9.3000000000000007</v>
      </c>
    </row>
    <row r="851" spans="2:19" x14ac:dyDescent="0.25">
      <c r="B851">
        <f>160+2*(Table1468[[#This Row],[min value (corrected)]]-32)</f>
        <v>188</v>
      </c>
      <c r="C851">
        <f>MINUTE(Table1468[[#This Row],[Corrected time]])</f>
        <v>46</v>
      </c>
      <c r="D851" s="1">
        <v>0.65718678240740747</v>
      </c>
      <c r="E851" s="1">
        <f>Table1468[[#This Row],[Time]]-TIME(0,0,11)</f>
        <v>0.65705946759259271</v>
      </c>
      <c r="F851" t="s">
        <v>9</v>
      </c>
      <c r="G851" t="s">
        <v>39</v>
      </c>
      <c r="H851" s="21">
        <f t="shared" si="148"/>
        <v>-114</v>
      </c>
      <c r="I851">
        <v>-9.8000000000000007</v>
      </c>
      <c r="L851">
        <f>160+2*(Table2579[[#This Row],[min value (corrected)]]-23)</f>
        <v>184</v>
      </c>
      <c r="M851">
        <f>MINUTE(Table2579[[#This Row],[Corrected time]])</f>
        <v>35</v>
      </c>
      <c r="N851" s="1">
        <v>0.6496455902777778</v>
      </c>
      <c r="O851" s="1">
        <f>Table2579[[#This Row],[Time]]-TIME(0,0,10)</f>
        <v>0.64952984953703707</v>
      </c>
      <c r="P851" t="s">
        <v>13</v>
      </c>
      <c r="Q851">
        <f t="shared" ref="Q851:Q855" si="168">Q850</f>
        <v>-115</v>
      </c>
      <c r="R851" s="21">
        <f>Table2579[[#This Row],[RSSI]]</f>
        <v>-115</v>
      </c>
      <c r="S851">
        <f t="shared" ref="S851:S855" si="169">S850</f>
        <v>-9.3000000000000007</v>
      </c>
    </row>
    <row r="852" spans="2:19" x14ac:dyDescent="0.25">
      <c r="B852">
        <f>160+2*(Table1468[[#This Row],[min value (corrected)]]-32)</f>
        <v>188</v>
      </c>
      <c r="C852">
        <f>MINUTE(Table1468[[#This Row],[Corrected time]])</f>
        <v>46</v>
      </c>
      <c r="D852" s="1">
        <v>0.65719896990740745</v>
      </c>
      <c r="E852" s="1">
        <f>Table1468[[#This Row],[Time]]-TIME(0,0,11)</f>
        <v>0.65707165509259269</v>
      </c>
      <c r="F852" t="s">
        <v>13</v>
      </c>
      <c r="G852" t="str">
        <f t="shared" ref="G852:G854" si="170">G851</f>
        <v>-114.0,</v>
      </c>
      <c r="H852" s="21">
        <f t="shared" si="148"/>
        <v>-114</v>
      </c>
      <c r="I852">
        <f t="shared" ref="I852:I854" si="171">I851</f>
        <v>-9.8000000000000007</v>
      </c>
      <c r="L852">
        <f>160+2*(Table2579[[#This Row],[min value (corrected)]]-23)</f>
        <v>184</v>
      </c>
      <c r="M852">
        <f>MINUTE(Table2579[[#This Row],[Corrected time]])</f>
        <v>35</v>
      </c>
      <c r="N852" s="1">
        <v>0.64965776620370363</v>
      </c>
      <c r="O852" s="1">
        <f>Table2579[[#This Row],[Time]]-TIME(0,0,10)</f>
        <v>0.64954202546296291</v>
      </c>
      <c r="P852" t="s">
        <v>13</v>
      </c>
      <c r="Q852">
        <f t="shared" si="168"/>
        <v>-115</v>
      </c>
      <c r="R852" s="21">
        <f>Table2579[[#This Row],[RSSI]]</f>
        <v>-115</v>
      </c>
      <c r="S852">
        <f t="shared" si="169"/>
        <v>-9.3000000000000007</v>
      </c>
    </row>
    <row r="853" spans="2:19" x14ac:dyDescent="0.25">
      <c r="B853">
        <f>160+2*(Table1468[[#This Row],[min value (corrected)]]-32)</f>
        <v>188</v>
      </c>
      <c r="C853">
        <f>MINUTE(Table1468[[#This Row],[Corrected time]])</f>
        <v>46</v>
      </c>
      <c r="D853" s="1">
        <v>0.65721114583333329</v>
      </c>
      <c r="E853" s="1">
        <f>Table1468[[#This Row],[Time]]-TIME(0,0,11)</f>
        <v>0.65708383101851853</v>
      </c>
      <c r="F853" t="s">
        <v>13</v>
      </c>
      <c r="G853" t="str">
        <f t="shared" si="170"/>
        <v>-114.0,</v>
      </c>
      <c r="H853" s="21">
        <f t="shared" si="148"/>
        <v>-114</v>
      </c>
      <c r="I853">
        <f t="shared" si="171"/>
        <v>-9.8000000000000007</v>
      </c>
      <c r="L853">
        <f>160+2*(Table2579[[#This Row],[min value (corrected)]]-23)</f>
        <v>184</v>
      </c>
      <c r="M853">
        <f>MINUTE(Table2579[[#This Row],[Corrected time]])</f>
        <v>35</v>
      </c>
      <c r="N853" s="1">
        <v>0.64966996527777776</v>
      </c>
      <c r="O853" s="1">
        <f>Table2579[[#This Row],[Time]]-TIME(0,0,10)</f>
        <v>0.64955422453703704</v>
      </c>
      <c r="P853" t="s">
        <v>13</v>
      </c>
      <c r="Q853">
        <f t="shared" si="168"/>
        <v>-115</v>
      </c>
      <c r="R853" s="21">
        <f>Table2579[[#This Row],[RSSI]]</f>
        <v>-115</v>
      </c>
      <c r="S853">
        <f t="shared" si="169"/>
        <v>-9.3000000000000007</v>
      </c>
    </row>
    <row r="854" spans="2:19" x14ac:dyDescent="0.25">
      <c r="B854">
        <f>160+2*(Table1468[[#This Row],[min value (corrected)]]-32)</f>
        <v>188</v>
      </c>
      <c r="C854">
        <f>MINUTE(Table1468[[#This Row],[Corrected time]])</f>
        <v>46</v>
      </c>
      <c r="D854" s="1">
        <v>0.65722334490740741</v>
      </c>
      <c r="E854" s="1">
        <f>Table1468[[#This Row],[Time]]-TIME(0,0,11)</f>
        <v>0.65709603009259265</v>
      </c>
      <c r="F854" t="s">
        <v>27</v>
      </c>
      <c r="G854" t="str">
        <f t="shared" si="170"/>
        <v>-114.0,</v>
      </c>
      <c r="H854" s="21">
        <f t="shared" si="148"/>
        <v>-114</v>
      </c>
      <c r="I854">
        <f t="shared" si="171"/>
        <v>-9.8000000000000007</v>
      </c>
      <c r="L854">
        <f>160+2*(Table2579[[#This Row],[min value (corrected)]]-23)</f>
        <v>184</v>
      </c>
      <c r="M854">
        <f>MINUTE(Table2579[[#This Row],[Corrected time]])</f>
        <v>35</v>
      </c>
      <c r="N854" s="1">
        <v>0.64968215277777774</v>
      </c>
      <c r="O854" s="1">
        <f>Table2579[[#This Row],[Time]]-TIME(0,0,10)</f>
        <v>0.64956641203703702</v>
      </c>
      <c r="P854" t="s">
        <v>13</v>
      </c>
      <c r="Q854">
        <f t="shared" si="168"/>
        <v>-115</v>
      </c>
      <c r="R854" s="21">
        <f>Table2579[[#This Row],[RSSI]]</f>
        <v>-115</v>
      </c>
      <c r="S854">
        <f t="shared" si="169"/>
        <v>-9.3000000000000007</v>
      </c>
    </row>
    <row r="855" spans="2:19" x14ac:dyDescent="0.25">
      <c r="B855">
        <f>160+2*(Table1468[[#This Row],[min value (corrected)]]-32)</f>
        <v>188</v>
      </c>
      <c r="C855">
        <f>MINUTE(Table1468[[#This Row],[Corrected time]])</f>
        <v>46</v>
      </c>
      <c r="D855" s="1">
        <v>0.65722334490740741</v>
      </c>
      <c r="E855" s="1">
        <f>Table1468[[#This Row],[Time]]-TIME(0,0,11)</f>
        <v>0.65709603009259265</v>
      </c>
      <c r="F855" t="s">
        <v>9</v>
      </c>
      <c r="G855" t="s">
        <v>39</v>
      </c>
      <c r="H855" s="21">
        <f t="shared" si="148"/>
        <v>-114</v>
      </c>
      <c r="I855">
        <v>-9.3000000000000007</v>
      </c>
      <c r="L855">
        <f>160+2*(Table2579[[#This Row],[min value (corrected)]]-23)</f>
        <v>184</v>
      </c>
      <c r="M855">
        <f>MINUTE(Table2579[[#This Row],[Corrected time]])</f>
        <v>35</v>
      </c>
      <c r="N855" s="1">
        <v>0.64969434027777773</v>
      </c>
      <c r="O855" s="1">
        <f>Table2579[[#This Row],[Time]]-TIME(0,0,10)</f>
        <v>0.649578599537037</v>
      </c>
      <c r="P855" t="s">
        <v>27</v>
      </c>
      <c r="Q855">
        <f t="shared" si="168"/>
        <v>-115</v>
      </c>
      <c r="R855" s="21">
        <f>Table2579[[#This Row],[RSSI]]</f>
        <v>-115</v>
      </c>
      <c r="S855">
        <f t="shared" si="169"/>
        <v>-9.3000000000000007</v>
      </c>
    </row>
    <row r="856" spans="2:19" x14ac:dyDescent="0.25">
      <c r="B856">
        <f>160+2*(Table1468[[#This Row],[min value (corrected)]]-32)</f>
        <v>188</v>
      </c>
      <c r="C856">
        <f>MINUTE(Table1468[[#This Row],[Corrected time]])</f>
        <v>46</v>
      </c>
      <c r="D856" s="1">
        <v>0.65724771990740738</v>
      </c>
      <c r="E856" s="1">
        <f>Table1468[[#This Row],[Time]]-TIME(0,0,11)</f>
        <v>0.65712040509259262</v>
      </c>
      <c r="F856" t="s">
        <v>13</v>
      </c>
      <c r="G856" t="str">
        <f t="shared" ref="G856:G859" si="172">G855</f>
        <v>-114.0,</v>
      </c>
      <c r="H856" s="21">
        <f t="shared" si="148"/>
        <v>-114</v>
      </c>
      <c r="I856">
        <f t="shared" ref="I856:I859" si="173">I855</f>
        <v>-9.3000000000000007</v>
      </c>
      <c r="L856">
        <f>160+2*(Table2579[[#This Row],[min value (corrected)]]-23)</f>
        <v>184</v>
      </c>
      <c r="M856">
        <f>MINUTE(Table2579[[#This Row],[Corrected time]])</f>
        <v>35</v>
      </c>
      <c r="N856" s="1">
        <v>0.64970652777777782</v>
      </c>
      <c r="O856" s="1">
        <f>Table2579[[#This Row],[Time]]-TIME(0,0,10)</f>
        <v>0.6495907870370371</v>
      </c>
      <c r="P856" t="s">
        <v>9</v>
      </c>
      <c r="Q856">
        <v>-114</v>
      </c>
      <c r="R856" s="21">
        <f>Table2579[[#This Row],[RSSI]]</f>
        <v>-114</v>
      </c>
      <c r="S856">
        <v>-9</v>
      </c>
    </row>
    <row r="857" spans="2:19" x14ac:dyDescent="0.25">
      <c r="B857">
        <f>160+2*(Table1468[[#This Row],[min value (corrected)]]-32)</f>
        <v>188</v>
      </c>
      <c r="C857">
        <f>MINUTE(Table1468[[#This Row],[Corrected time]])</f>
        <v>46</v>
      </c>
      <c r="D857" s="1">
        <v>0.65725990740740747</v>
      </c>
      <c r="E857" s="1">
        <f>Table1468[[#This Row],[Time]]-TIME(0,0,11)</f>
        <v>0.65713259259259271</v>
      </c>
      <c r="F857" t="s">
        <v>13</v>
      </c>
      <c r="G857" t="str">
        <f t="shared" si="172"/>
        <v>-114.0,</v>
      </c>
      <c r="H857" s="21">
        <f t="shared" si="148"/>
        <v>-114</v>
      </c>
      <c r="I857">
        <f t="shared" si="173"/>
        <v>-9.3000000000000007</v>
      </c>
      <c r="L857">
        <f>160+2*(Table2579[[#This Row],[min value (corrected)]]-23)</f>
        <v>184</v>
      </c>
      <c r="M857">
        <f>MINUTE(Table2579[[#This Row],[Corrected time]])</f>
        <v>35</v>
      </c>
      <c r="N857" s="1">
        <v>0.6497187152777778</v>
      </c>
      <c r="O857" s="1">
        <f>Table2579[[#This Row],[Time]]-TIME(0,0,10)</f>
        <v>0.64960297453703708</v>
      </c>
      <c r="P857" t="s">
        <v>13</v>
      </c>
      <c r="Q857">
        <f t="shared" ref="Q857:Q858" si="174">Q856</f>
        <v>-114</v>
      </c>
      <c r="R857" s="21">
        <f>Table2579[[#This Row],[RSSI]]</f>
        <v>-114</v>
      </c>
      <c r="S857">
        <f t="shared" ref="S857:S858" si="175">S856</f>
        <v>-9</v>
      </c>
    </row>
    <row r="858" spans="2:19" x14ac:dyDescent="0.25">
      <c r="B858">
        <f>160+2*(Table1468[[#This Row],[min value (corrected)]]-32)</f>
        <v>188</v>
      </c>
      <c r="C858">
        <f>MINUTE(Table1468[[#This Row],[Corrected time]])</f>
        <v>46</v>
      </c>
      <c r="D858" s="1">
        <v>0.65727209490740746</v>
      </c>
      <c r="E858" s="1">
        <f>Table1468[[#This Row],[Time]]-TIME(0,0,11)</f>
        <v>0.6571447800925927</v>
      </c>
      <c r="F858" t="s">
        <v>13</v>
      </c>
      <c r="G858" t="str">
        <f t="shared" si="172"/>
        <v>-114.0,</v>
      </c>
      <c r="H858" s="21">
        <f t="shared" si="148"/>
        <v>-114</v>
      </c>
      <c r="I858">
        <f t="shared" si="173"/>
        <v>-9.3000000000000007</v>
      </c>
      <c r="L858">
        <f>160+2*(Table2579[[#This Row],[min value (corrected)]]-23)</f>
        <v>184</v>
      </c>
      <c r="M858">
        <f>MINUTE(Table2579[[#This Row],[Corrected time]])</f>
        <v>35</v>
      </c>
      <c r="N858" s="1">
        <v>0.64973090277777779</v>
      </c>
      <c r="O858" s="1">
        <f>Table2579[[#This Row],[Time]]-TIME(0,0,10)</f>
        <v>0.64961516203703706</v>
      </c>
      <c r="P858" t="s">
        <v>13</v>
      </c>
      <c r="Q858">
        <f t="shared" si="174"/>
        <v>-114</v>
      </c>
      <c r="R858" s="21">
        <f>Table2579[[#This Row],[RSSI]]</f>
        <v>-114</v>
      </c>
      <c r="S858">
        <f t="shared" si="175"/>
        <v>-9</v>
      </c>
    </row>
    <row r="859" spans="2:19" x14ac:dyDescent="0.25">
      <c r="B859">
        <f>160+2*(Table1468[[#This Row],[min value (corrected)]]-32)</f>
        <v>188</v>
      </c>
      <c r="C859">
        <f>MINUTE(Table1468[[#This Row],[Corrected time]])</f>
        <v>46</v>
      </c>
      <c r="D859" s="1">
        <v>0.6572842708333333</v>
      </c>
      <c r="E859" s="1">
        <f>Table1468[[#This Row],[Time]]-TIME(0,0,11)</f>
        <v>0.65715695601851853</v>
      </c>
      <c r="F859" t="s">
        <v>13</v>
      </c>
      <c r="G859" t="str">
        <f t="shared" si="172"/>
        <v>-114.0,</v>
      </c>
      <c r="H859" s="21">
        <f t="shared" si="148"/>
        <v>-114</v>
      </c>
      <c r="I859">
        <f t="shared" si="173"/>
        <v>-9.3000000000000007</v>
      </c>
      <c r="L859">
        <f>160+2*(Table2579[[#This Row],[min value (corrected)]]-23)</f>
        <v>184</v>
      </c>
      <c r="M859">
        <f>MINUTE(Table2579[[#This Row],[Corrected time]])</f>
        <v>35</v>
      </c>
      <c r="N859" s="1">
        <v>0.64974309027777777</v>
      </c>
      <c r="O859" s="1">
        <f>Table2579[[#This Row],[Time]]-TIME(0,0,10)</f>
        <v>0.64962734953703705</v>
      </c>
      <c r="P859" t="s">
        <v>9</v>
      </c>
      <c r="Q859">
        <v>-114</v>
      </c>
      <c r="R859" s="21">
        <f>Table2579[[#This Row],[RSSI]]</f>
        <v>-114</v>
      </c>
      <c r="S859">
        <v>-9</v>
      </c>
    </row>
    <row r="860" spans="2:19" x14ac:dyDescent="0.25">
      <c r="B860">
        <f>160+2*(Table1468[[#This Row],[min value (corrected)]]-32)</f>
        <v>188</v>
      </c>
      <c r="C860">
        <f>MINUTE(Table1468[[#This Row],[Corrected time]])</f>
        <v>46</v>
      </c>
      <c r="D860" s="1">
        <v>0.65729645833333328</v>
      </c>
      <c r="E860" s="1">
        <f>Table1468[[#This Row],[Time]]-TIME(0,0,11)</f>
        <v>0.65716914351851852</v>
      </c>
      <c r="F860" t="s">
        <v>9</v>
      </c>
      <c r="G860" t="s">
        <v>39</v>
      </c>
      <c r="H860" s="21">
        <f t="shared" ref="H860:H923" si="176">VALUE(LEFT(G860,LEN(G860)-1))</f>
        <v>-114</v>
      </c>
      <c r="I860">
        <v>-8.8000000000000007</v>
      </c>
      <c r="L860">
        <f>160+2*(Table2579[[#This Row],[min value (corrected)]]-23)</f>
        <v>184</v>
      </c>
      <c r="M860">
        <f>MINUTE(Table2579[[#This Row],[Corrected time]])</f>
        <v>35</v>
      </c>
      <c r="N860" s="1">
        <v>0.64975527777777775</v>
      </c>
      <c r="O860" s="1">
        <f>Table2579[[#This Row],[Time]]-TIME(0,0,10)</f>
        <v>0.64963953703703703</v>
      </c>
      <c r="P860" t="s">
        <v>13</v>
      </c>
      <c r="Q860">
        <f t="shared" ref="Q860:Q869" si="177">Q859</f>
        <v>-114</v>
      </c>
      <c r="R860" s="21">
        <f>Table2579[[#This Row],[RSSI]]</f>
        <v>-114</v>
      </c>
      <c r="S860">
        <f t="shared" ref="S860:S869" si="178">S859</f>
        <v>-9</v>
      </c>
    </row>
    <row r="861" spans="2:19" x14ac:dyDescent="0.25">
      <c r="B861">
        <f>160+2*(Table1468[[#This Row],[min value (corrected)]]-32)</f>
        <v>188</v>
      </c>
      <c r="C861">
        <f>MINUTE(Table1468[[#This Row],[Corrected time]])</f>
        <v>46</v>
      </c>
      <c r="D861" s="1">
        <v>0.6573086574074074</v>
      </c>
      <c r="E861" s="1">
        <f>Table1468[[#This Row],[Time]]-TIME(0,0,11)</f>
        <v>0.65718134259259264</v>
      </c>
      <c r="F861" t="s">
        <v>13</v>
      </c>
      <c r="G861" t="str">
        <f>G860</f>
        <v>-114.0,</v>
      </c>
      <c r="H861" s="21">
        <f t="shared" si="176"/>
        <v>-114</v>
      </c>
      <c r="I861">
        <f>I860</f>
        <v>-8.8000000000000007</v>
      </c>
      <c r="L861">
        <f>160+2*(Table2579[[#This Row],[min value (corrected)]]-23)</f>
        <v>184</v>
      </c>
      <c r="M861">
        <f>MINUTE(Table2579[[#This Row],[Corrected time]])</f>
        <v>35</v>
      </c>
      <c r="N861" s="1">
        <v>0.6497674537037037</v>
      </c>
      <c r="O861" s="1">
        <f>Table2579[[#This Row],[Time]]-TIME(0,0,10)</f>
        <v>0.64965171296296298</v>
      </c>
      <c r="P861" t="s">
        <v>13</v>
      </c>
      <c r="Q861">
        <f t="shared" si="177"/>
        <v>-114</v>
      </c>
      <c r="R861" s="21">
        <f>Table2579[[#This Row],[RSSI]]</f>
        <v>-114</v>
      </c>
      <c r="S861">
        <f t="shared" si="178"/>
        <v>-9</v>
      </c>
    </row>
    <row r="862" spans="2:19" x14ac:dyDescent="0.25">
      <c r="B862">
        <f>160+2*(Table1468[[#This Row],[min value (corrected)]]-32)</f>
        <v>188</v>
      </c>
      <c r="C862">
        <f>MINUTE(Table1468[[#This Row],[Corrected time]])</f>
        <v>46</v>
      </c>
      <c r="D862" s="1">
        <v>0.65732083333333324</v>
      </c>
      <c r="E862" s="1">
        <f>Table1468[[#This Row],[Time]]-TIME(0,0,11)</f>
        <v>0.65719351851851848</v>
      </c>
      <c r="F862" t="s">
        <v>9</v>
      </c>
      <c r="G862" t="s">
        <v>43</v>
      </c>
      <c r="H862" s="21">
        <f t="shared" si="176"/>
        <v>-115</v>
      </c>
      <c r="I862">
        <v>-9.8000000000000007</v>
      </c>
      <c r="L862">
        <f>160+2*(Table2579[[#This Row],[min value (corrected)]]-23)</f>
        <v>184</v>
      </c>
      <c r="M862">
        <f>MINUTE(Table2579[[#This Row],[Corrected time]])</f>
        <v>35</v>
      </c>
      <c r="N862" s="1">
        <v>0.64977965277777783</v>
      </c>
      <c r="O862" s="1">
        <f>Table2579[[#This Row],[Time]]-TIME(0,0,10)</f>
        <v>0.64966391203703711</v>
      </c>
      <c r="P862" t="s">
        <v>27</v>
      </c>
      <c r="Q862">
        <f t="shared" si="177"/>
        <v>-114</v>
      </c>
      <c r="R862" s="21">
        <f>Table2579[[#This Row],[RSSI]]</f>
        <v>-114</v>
      </c>
      <c r="S862">
        <f t="shared" si="178"/>
        <v>-9</v>
      </c>
    </row>
    <row r="863" spans="2:19" x14ac:dyDescent="0.25">
      <c r="B863">
        <f>160+2*(Table1468[[#This Row],[min value (corrected)]]-32)</f>
        <v>188</v>
      </c>
      <c r="C863">
        <f>MINUTE(Table1468[[#This Row],[Corrected time]])</f>
        <v>46</v>
      </c>
      <c r="D863" s="1">
        <v>0.65733303240740737</v>
      </c>
      <c r="E863" s="1">
        <f>Table1468[[#This Row],[Time]]-TIME(0,0,11)</f>
        <v>0.65720571759259261</v>
      </c>
      <c r="F863" t="s">
        <v>13</v>
      </c>
      <c r="G863" t="str">
        <f t="shared" ref="G863:G868" si="179">G862</f>
        <v>-115.0,</v>
      </c>
      <c r="H863" s="21">
        <f t="shared" si="176"/>
        <v>-115</v>
      </c>
      <c r="I863">
        <f t="shared" ref="I863:I868" si="180">I862</f>
        <v>-9.8000000000000007</v>
      </c>
      <c r="L863">
        <f>160+2*(Table2579[[#This Row],[min value (corrected)]]-23)</f>
        <v>184</v>
      </c>
      <c r="M863">
        <f>MINUTE(Table2579[[#This Row],[Corrected time]])</f>
        <v>35</v>
      </c>
      <c r="N863" s="1">
        <v>0.64979182870370378</v>
      </c>
      <c r="O863" s="1">
        <f>Table2579[[#This Row],[Time]]-TIME(0,0,10)</f>
        <v>0.64967608796296306</v>
      </c>
      <c r="P863" t="s">
        <v>13</v>
      </c>
      <c r="Q863">
        <f t="shared" si="177"/>
        <v>-114</v>
      </c>
      <c r="R863" s="21">
        <f>Table2579[[#This Row],[RSSI]]</f>
        <v>-114</v>
      </c>
      <c r="S863">
        <f t="shared" si="178"/>
        <v>-9</v>
      </c>
    </row>
    <row r="864" spans="2:19" x14ac:dyDescent="0.25">
      <c r="B864">
        <f>160+2*(Table1468[[#This Row],[min value (corrected)]]-32)</f>
        <v>188</v>
      </c>
      <c r="C864">
        <f>MINUTE(Table1468[[#This Row],[Corrected time]])</f>
        <v>46</v>
      </c>
      <c r="D864" s="1">
        <v>0.65734521990740746</v>
      </c>
      <c r="E864" s="1">
        <f>Table1468[[#This Row],[Time]]-TIME(0,0,11)</f>
        <v>0.6572179050925927</v>
      </c>
      <c r="F864" t="s">
        <v>13</v>
      </c>
      <c r="G864" t="str">
        <f t="shared" si="179"/>
        <v>-115.0,</v>
      </c>
      <c r="H864" s="21">
        <f t="shared" si="176"/>
        <v>-115</v>
      </c>
      <c r="I864">
        <f t="shared" si="180"/>
        <v>-9.8000000000000007</v>
      </c>
      <c r="L864">
        <f>160+2*(Table2579[[#This Row],[min value (corrected)]]-23)</f>
        <v>184</v>
      </c>
      <c r="M864">
        <f>MINUTE(Table2579[[#This Row],[Corrected time]])</f>
        <v>35</v>
      </c>
      <c r="N864" s="1">
        <v>0.64980402777777779</v>
      </c>
      <c r="O864" s="1">
        <f>Table2579[[#This Row],[Time]]-TIME(0,0,10)</f>
        <v>0.64968828703703707</v>
      </c>
      <c r="P864" t="s">
        <v>13</v>
      </c>
      <c r="Q864">
        <f t="shared" si="177"/>
        <v>-114</v>
      </c>
      <c r="R864" s="21">
        <f>Table2579[[#This Row],[RSSI]]</f>
        <v>-114</v>
      </c>
      <c r="S864">
        <f t="shared" si="178"/>
        <v>-9</v>
      </c>
    </row>
    <row r="865" spans="2:19" x14ac:dyDescent="0.25">
      <c r="B865">
        <f>160+2*(Table1468[[#This Row],[min value (corrected)]]-32)</f>
        <v>188</v>
      </c>
      <c r="C865">
        <f>MINUTE(Table1468[[#This Row],[Corrected time]])</f>
        <v>46</v>
      </c>
      <c r="D865" s="1">
        <v>0.65735740740740745</v>
      </c>
      <c r="E865" s="1">
        <f>Table1468[[#This Row],[Time]]-TIME(0,0,11)</f>
        <v>0.65723009259259269</v>
      </c>
      <c r="F865" t="s">
        <v>13</v>
      </c>
      <c r="G865" t="str">
        <f t="shared" si="179"/>
        <v>-115.0,</v>
      </c>
      <c r="H865" s="21">
        <f t="shared" si="176"/>
        <v>-115</v>
      </c>
      <c r="I865">
        <f t="shared" si="180"/>
        <v>-9.8000000000000007</v>
      </c>
      <c r="L865">
        <f>160+2*(Table2579[[#This Row],[min value (corrected)]]-23)</f>
        <v>184</v>
      </c>
      <c r="M865">
        <f>MINUTE(Table2579[[#This Row],[Corrected time]])</f>
        <v>35</v>
      </c>
      <c r="N865" s="1">
        <v>0.64981621527777778</v>
      </c>
      <c r="O865" s="1">
        <f>Table2579[[#This Row],[Time]]-TIME(0,0,10)</f>
        <v>0.64970047453703705</v>
      </c>
      <c r="P865" t="s">
        <v>13</v>
      </c>
      <c r="Q865">
        <f t="shared" si="177"/>
        <v>-114</v>
      </c>
      <c r="R865" s="21">
        <f>Table2579[[#This Row],[RSSI]]</f>
        <v>-114</v>
      </c>
      <c r="S865">
        <f t="shared" si="178"/>
        <v>-9</v>
      </c>
    </row>
    <row r="866" spans="2:19" x14ac:dyDescent="0.25">
      <c r="B866">
        <f>160+2*(Table1468[[#This Row],[min value (corrected)]]-32)</f>
        <v>188</v>
      </c>
      <c r="C866">
        <f>MINUTE(Table1468[[#This Row],[Corrected time]])</f>
        <v>46</v>
      </c>
      <c r="D866" s="1">
        <v>0.6573695833333334</v>
      </c>
      <c r="E866" s="1">
        <f>Table1468[[#This Row],[Time]]-TIME(0,0,11)</f>
        <v>0.65724226851851864</v>
      </c>
      <c r="F866" t="s">
        <v>13</v>
      </c>
      <c r="G866" t="str">
        <f t="shared" si="179"/>
        <v>-115.0,</v>
      </c>
      <c r="H866" s="21">
        <f t="shared" si="176"/>
        <v>-115</v>
      </c>
      <c r="I866">
        <f t="shared" si="180"/>
        <v>-9.8000000000000007</v>
      </c>
      <c r="L866">
        <f>160+2*(Table2579[[#This Row],[min value (corrected)]]-23)</f>
        <v>184</v>
      </c>
      <c r="M866">
        <f>MINUTE(Table2579[[#This Row],[Corrected time]])</f>
        <v>35</v>
      </c>
      <c r="N866" s="1">
        <v>0.64982840277777776</v>
      </c>
      <c r="O866" s="1">
        <f>Table2579[[#This Row],[Time]]-TIME(0,0,10)</f>
        <v>0.64971266203703704</v>
      </c>
      <c r="P866" t="s">
        <v>13</v>
      </c>
      <c r="Q866">
        <f t="shared" si="177"/>
        <v>-114</v>
      </c>
      <c r="R866" s="21">
        <f>Table2579[[#This Row],[RSSI]]</f>
        <v>-114</v>
      </c>
      <c r="S866">
        <f t="shared" si="178"/>
        <v>-9</v>
      </c>
    </row>
    <row r="867" spans="2:19" x14ac:dyDescent="0.25">
      <c r="B867">
        <f>160+2*(Table1468[[#This Row],[min value (corrected)]]-32)</f>
        <v>188</v>
      </c>
      <c r="C867">
        <f>MINUTE(Table1468[[#This Row],[Corrected time]])</f>
        <v>46</v>
      </c>
      <c r="D867" s="1">
        <v>0.65738178240740741</v>
      </c>
      <c r="E867" s="1">
        <f>Table1468[[#This Row],[Time]]-TIME(0,0,11)</f>
        <v>0.65725446759259265</v>
      </c>
      <c r="F867" t="s">
        <v>13</v>
      </c>
      <c r="G867" t="str">
        <f t="shared" si="179"/>
        <v>-115.0,</v>
      </c>
      <c r="H867" s="21">
        <f t="shared" si="176"/>
        <v>-115</v>
      </c>
      <c r="I867">
        <f t="shared" si="180"/>
        <v>-9.8000000000000007</v>
      </c>
      <c r="L867">
        <f>160+2*(Table2579[[#This Row],[min value (corrected)]]-23)</f>
        <v>184</v>
      </c>
      <c r="M867">
        <f>MINUTE(Table2579[[#This Row],[Corrected time]])</f>
        <v>35</v>
      </c>
      <c r="N867" s="1">
        <v>0.64984059027777774</v>
      </c>
      <c r="O867" s="1">
        <f>Table2579[[#This Row],[Time]]-TIME(0,0,10)</f>
        <v>0.64972484953703702</v>
      </c>
      <c r="P867" t="s">
        <v>27</v>
      </c>
      <c r="Q867">
        <f t="shared" si="177"/>
        <v>-114</v>
      </c>
      <c r="R867" s="21">
        <f>Table2579[[#This Row],[RSSI]]</f>
        <v>-114</v>
      </c>
      <c r="S867">
        <f t="shared" si="178"/>
        <v>-9</v>
      </c>
    </row>
    <row r="868" spans="2:19" x14ac:dyDescent="0.25">
      <c r="B868">
        <f>160+2*(Table1468[[#This Row],[min value (corrected)]]-32)</f>
        <v>188</v>
      </c>
      <c r="C868">
        <f>MINUTE(Table1468[[#This Row],[Corrected time]])</f>
        <v>46</v>
      </c>
      <c r="D868" s="1">
        <v>0.65739396990740739</v>
      </c>
      <c r="E868" s="1">
        <f>Table1468[[#This Row],[Time]]-TIME(0,0,11)</f>
        <v>0.65726665509259263</v>
      </c>
      <c r="F868" t="s">
        <v>13</v>
      </c>
      <c r="G868" t="str">
        <f t="shared" si="179"/>
        <v>-115.0,</v>
      </c>
      <c r="H868" s="21">
        <f t="shared" si="176"/>
        <v>-115</v>
      </c>
      <c r="I868">
        <f t="shared" si="180"/>
        <v>-9.8000000000000007</v>
      </c>
      <c r="L868">
        <f>160+2*(Table2579[[#This Row],[min value (corrected)]]-23)</f>
        <v>184</v>
      </c>
      <c r="M868">
        <f>MINUTE(Table2579[[#This Row],[Corrected time]])</f>
        <v>35</v>
      </c>
      <c r="N868" s="1">
        <v>0.64985277777777772</v>
      </c>
      <c r="O868" s="1">
        <f>Table2579[[#This Row],[Time]]-TIME(0,0,10)</f>
        <v>0.649737037037037</v>
      </c>
      <c r="P868" t="s">
        <v>13</v>
      </c>
      <c r="Q868">
        <f t="shared" si="177"/>
        <v>-114</v>
      </c>
      <c r="R868" s="21">
        <f>Table2579[[#This Row],[RSSI]]</f>
        <v>-114</v>
      </c>
      <c r="S868">
        <f t="shared" si="178"/>
        <v>-9</v>
      </c>
    </row>
    <row r="869" spans="2:19" x14ac:dyDescent="0.25">
      <c r="B869">
        <f>160+2*(Table1468[[#This Row],[min value (corrected)]]-32)</f>
        <v>188</v>
      </c>
      <c r="C869">
        <f>MINUTE(Table1468[[#This Row],[Corrected time]])</f>
        <v>46</v>
      </c>
      <c r="D869" s="1">
        <v>0.65740615740740738</v>
      </c>
      <c r="E869" s="1">
        <f>Table1468[[#This Row],[Time]]-TIME(0,0,11)</f>
        <v>0.65727884259259262</v>
      </c>
      <c r="F869" t="s">
        <v>9</v>
      </c>
      <c r="G869" t="s">
        <v>39</v>
      </c>
      <c r="H869" s="21">
        <f t="shared" si="176"/>
        <v>-114</v>
      </c>
      <c r="I869">
        <v>-9.8000000000000007</v>
      </c>
      <c r="L869">
        <f>160+2*(Table2579[[#This Row],[min value (corrected)]]-23)</f>
        <v>184</v>
      </c>
      <c r="M869">
        <f>MINUTE(Table2579[[#This Row],[Corrected time]])</f>
        <v>35</v>
      </c>
      <c r="N869" s="1">
        <v>0.64986496527777782</v>
      </c>
      <c r="O869" s="1">
        <f>Table2579[[#This Row],[Time]]-TIME(0,0,10)</f>
        <v>0.6497492245370371</v>
      </c>
      <c r="P869" t="s">
        <v>13</v>
      </c>
      <c r="Q869">
        <f t="shared" si="177"/>
        <v>-114</v>
      </c>
      <c r="R869" s="21">
        <f>Table2579[[#This Row],[RSSI]]</f>
        <v>-114</v>
      </c>
      <c r="S869">
        <f t="shared" si="178"/>
        <v>-9</v>
      </c>
    </row>
    <row r="870" spans="2:19" x14ac:dyDescent="0.25">
      <c r="B870">
        <f>160+2*(Table1468[[#This Row],[min value (corrected)]]-32)</f>
        <v>188</v>
      </c>
      <c r="C870">
        <f>MINUTE(Table1468[[#This Row],[Corrected time]])</f>
        <v>46</v>
      </c>
      <c r="D870" s="1">
        <v>0.65741833333333333</v>
      </c>
      <c r="E870" s="1">
        <f>Table1468[[#This Row],[Time]]-TIME(0,0,11)</f>
        <v>0.65729101851851857</v>
      </c>
      <c r="F870" t="s">
        <v>13</v>
      </c>
      <c r="G870" t="str">
        <f t="shared" ref="G870:G872" si="181">G869</f>
        <v>-114.0,</v>
      </c>
      <c r="H870" s="21">
        <f t="shared" si="176"/>
        <v>-114</v>
      </c>
      <c r="I870">
        <f t="shared" ref="I870:I872" si="182">I869</f>
        <v>-9.8000000000000007</v>
      </c>
      <c r="L870">
        <f>160+2*(Table2579[[#This Row],[min value (corrected)]]-23)</f>
        <v>184</v>
      </c>
      <c r="M870">
        <f>MINUTE(Table2579[[#This Row],[Corrected time]])</f>
        <v>35</v>
      </c>
      <c r="N870" s="1">
        <v>0.6498771527777778</v>
      </c>
      <c r="O870" s="1">
        <f>Table2579[[#This Row],[Time]]-TIME(0,0,10)</f>
        <v>0.64976141203703708</v>
      </c>
      <c r="P870" t="s">
        <v>9</v>
      </c>
      <c r="Q870">
        <v>-114</v>
      </c>
      <c r="R870" s="21">
        <f>Table2579[[#This Row],[RSSI]]</f>
        <v>-114</v>
      </c>
      <c r="S870">
        <v>-8.8000000000000007</v>
      </c>
    </row>
    <row r="871" spans="2:19" x14ac:dyDescent="0.25">
      <c r="B871">
        <f>160+2*(Table1468[[#This Row],[min value (corrected)]]-32)</f>
        <v>188</v>
      </c>
      <c r="C871">
        <f>MINUTE(Table1468[[#This Row],[Corrected time]])</f>
        <v>46</v>
      </c>
      <c r="D871" s="1">
        <v>0.65743053240740745</v>
      </c>
      <c r="E871" s="1">
        <f>Table1468[[#This Row],[Time]]-TIME(0,0,11)</f>
        <v>0.65730321759259269</v>
      </c>
      <c r="F871" t="s">
        <v>13</v>
      </c>
      <c r="G871" t="str">
        <f t="shared" si="181"/>
        <v>-114.0,</v>
      </c>
      <c r="H871" s="21">
        <f t="shared" si="176"/>
        <v>-114</v>
      </c>
      <c r="I871">
        <f t="shared" si="182"/>
        <v>-9.8000000000000007</v>
      </c>
      <c r="L871">
        <f>160+2*(Table2579[[#This Row],[min value (corrected)]]-23)</f>
        <v>184</v>
      </c>
      <c r="M871">
        <f>MINUTE(Table2579[[#This Row],[Corrected time]])</f>
        <v>35</v>
      </c>
      <c r="N871" s="1">
        <v>0.64988934027777778</v>
      </c>
      <c r="O871" s="1">
        <f>Table2579[[#This Row],[Time]]-TIME(0,0,10)</f>
        <v>0.64977359953703706</v>
      </c>
      <c r="P871" t="s">
        <v>13</v>
      </c>
      <c r="Q871">
        <f t="shared" ref="Q871:Q880" si="183">Q870</f>
        <v>-114</v>
      </c>
      <c r="R871" s="21">
        <f>Table2579[[#This Row],[RSSI]]</f>
        <v>-114</v>
      </c>
      <c r="S871">
        <f t="shared" ref="S871:S880" si="184">S870</f>
        <v>-8.8000000000000007</v>
      </c>
    </row>
    <row r="872" spans="2:19" x14ac:dyDescent="0.25">
      <c r="B872">
        <f>160+2*(Table1468[[#This Row],[min value (corrected)]]-32)</f>
        <v>188</v>
      </c>
      <c r="C872">
        <f>MINUTE(Table1468[[#This Row],[Corrected time]])</f>
        <v>46</v>
      </c>
      <c r="D872" s="1">
        <v>0.65744271990740744</v>
      </c>
      <c r="E872" s="1">
        <f>Table1468[[#This Row],[Time]]-TIME(0,0,11)</f>
        <v>0.65731540509259268</v>
      </c>
      <c r="F872" t="s">
        <v>13</v>
      </c>
      <c r="G872" t="str">
        <f t="shared" si="181"/>
        <v>-114.0,</v>
      </c>
      <c r="H872" s="21">
        <f t="shared" si="176"/>
        <v>-114</v>
      </c>
      <c r="I872">
        <f t="shared" si="182"/>
        <v>-9.8000000000000007</v>
      </c>
      <c r="L872">
        <f>160+2*(Table2579[[#This Row],[min value (corrected)]]-23)</f>
        <v>184</v>
      </c>
      <c r="M872">
        <f>MINUTE(Table2579[[#This Row],[Corrected time]])</f>
        <v>35</v>
      </c>
      <c r="N872" s="1">
        <v>0.64990152777777777</v>
      </c>
      <c r="O872" s="1">
        <f>Table2579[[#This Row],[Time]]-TIME(0,0,10)</f>
        <v>0.64978578703703704</v>
      </c>
      <c r="P872" t="s">
        <v>13</v>
      </c>
      <c r="Q872">
        <f t="shared" si="183"/>
        <v>-114</v>
      </c>
      <c r="R872" s="21">
        <f>Table2579[[#This Row],[RSSI]]</f>
        <v>-114</v>
      </c>
      <c r="S872">
        <f t="shared" si="184"/>
        <v>-8.8000000000000007</v>
      </c>
    </row>
    <row r="873" spans="2:19" x14ac:dyDescent="0.25">
      <c r="B873">
        <f>160+2*(Table1468[[#This Row],[min value (corrected)]]-32)</f>
        <v>188</v>
      </c>
      <c r="C873">
        <f>MINUTE(Table1468[[#This Row],[Corrected time]])</f>
        <v>46</v>
      </c>
      <c r="D873" s="1">
        <v>0.65745490740740742</v>
      </c>
      <c r="E873" s="1">
        <f>Table1468[[#This Row],[Time]]-TIME(0,0,11)</f>
        <v>0.65732759259259266</v>
      </c>
      <c r="F873" t="s">
        <v>9</v>
      </c>
      <c r="G873" t="s">
        <v>39</v>
      </c>
      <c r="H873" s="21">
        <f t="shared" si="176"/>
        <v>-114</v>
      </c>
      <c r="I873">
        <v>-8.8000000000000007</v>
      </c>
      <c r="L873">
        <f>160+2*(Table2579[[#This Row],[min value (corrected)]]-23)</f>
        <v>184</v>
      </c>
      <c r="M873">
        <f>MINUTE(Table2579[[#This Row],[Corrected time]])</f>
        <v>35</v>
      </c>
      <c r="N873" s="1">
        <v>0.64991371527777775</v>
      </c>
      <c r="O873" s="1">
        <f>Table2579[[#This Row],[Time]]-TIME(0,0,10)</f>
        <v>0.64979797453703703</v>
      </c>
      <c r="P873" t="s">
        <v>13</v>
      </c>
      <c r="Q873">
        <f t="shared" si="183"/>
        <v>-114</v>
      </c>
      <c r="R873" s="21">
        <f>Table2579[[#This Row],[RSSI]]</f>
        <v>-114</v>
      </c>
      <c r="S873">
        <f t="shared" si="184"/>
        <v>-8.8000000000000007</v>
      </c>
    </row>
    <row r="874" spans="2:19" x14ac:dyDescent="0.25">
      <c r="B874">
        <f>160+2*(Table1468[[#This Row],[min value (corrected)]]-32)</f>
        <v>188</v>
      </c>
      <c r="C874">
        <f>MINUTE(Table1468[[#This Row],[Corrected time]])</f>
        <v>46</v>
      </c>
      <c r="D874" s="1">
        <v>0.65746708333333337</v>
      </c>
      <c r="E874" s="1">
        <f>Table1468[[#This Row],[Time]]-TIME(0,0,11)</f>
        <v>0.65733976851851861</v>
      </c>
      <c r="F874" t="s">
        <v>13</v>
      </c>
      <c r="G874" t="str">
        <f t="shared" ref="G874:G877" si="185">G873</f>
        <v>-114.0,</v>
      </c>
      <c r="H874" s="21">
        <f t="shared" si="176"/>
        <v>-114</v>
      </c>
      <c r="I874">
        <f t="shared" ref="I874:I877" si="186">I873</f>
        <v>-8.8000000000000007</v>
      </c>
      <c r="L874">
        <f>160+2*(Table2579[[#This Row],[min value (corrected)]]-23)</f>
        <v>184</v>
      </c>
      <c r="M874">
        <f>MINUTE(Table2579[[#This Row],[Corrected time]])</f>
        <v>35</v>
      </c>
      <c r="N874" s="1">
        <v>0.6499258912037037</v>
      </c>
      <c r="O874" s="1">
        <f>Table2579[[#This Row],[Time]]-TIME(0,0,10)</f>
        <v>0.64981015046296298</v>
      </c>
      <c r="P874" t="s">
        <v>13</v>
      </c>
      <c r="Q874">
        <f t="shared" si="183"/>
        <v>-114</v>
      </c>
      <c r="R874" s="21">
        <f>Table2579[[#This Row],[RSSI]]</f>
        <v>-114</v>
      </c>
      <c r="S874">
        <f t="shared" si="184"/>
        <v>-8.8000000000000007</v>
      </c>
    </row>
    <row r="875" spans="2:19" x14ac:dyDescent="0.25">
      <c r="B875">
        <f>160+2*(Table1468[[#This Row],[min value (corrected)]]-32)</f>
        <v>188</v>
      </c>
      <c r="C875">
        <f>MINUTE(Table1468[[#This Row],[Corrected time]])</f>
        <v>46</v>
      </c>
      <c r="D875" s="1">
        <v>0.65747928240740738</v>
      </c>
      <c r="E875" s="1">
        <f>Table1468[[#This Row],[Time]]-TIME(0,0,11)</f>
        <v>0.65735196759259262</v>
      </c>
      <c r="F875" t="s">
        <v>13</v>
      </c>
      <c r="G875" t="str">
        <f t="shared" si="185"/>
        <v>-114.0,</v>
      </c>
      <c r="H875" s="21">
        <f t="shared" si="176"/>
        <v>-114</v>
      </c>
      <c r="I875">
        <f t="shared" si="186"/>
        <v>-8.8000000000000007</v>
      </c>
      <c r="L875">
        <f>160+2*(Table2579[[#This Row],[min value (corrected)]]-23)</f>
        <v>184</v>
      </c>
      <c r="M875">
        <f>MINUTE(Table2579[[#This Row],[Corrected time]])</f>
        <v>35</v>
      </c>
      <c r="N875" s="1">
        <v>0.64993809027777771</v>
      </c>
      <c r="O875" s="1">
        <f>Table2579[[#This Row],[Time]]-TIME(0,0,10)</f>
        <v>0.64982234953703699</v>
      </c>
      <c r="P875" t="s">
        <v>13</v>
      </c>
      <c r="Q875">
        <f t="shared" si="183"/>
        <v>-114</v>
      </c>
      <c r="R875" s="21">
        <f>Table2579[[#This Row],[RSSI]]</f>
        <v>-114</v>
      </c>
      <c r="S875">
        <f t="shared" si="184"/>
        <v>-8.8000000000000007</v>
      </c>
    </row>
    <row r="876" spans="2:19" x14ac:dyDescent="0.25">
      <c r="B876">
        <f>160+2*(Table1468[[#This Row],[min value (corrected)]]-32)</f>
        <v>188</v>
      </c>
      <c r="C876">
        <f>MINUTE(Table1468[[#This Row],[Corrected time]])</f>
        <v>46</v>
      </c>
      <c r="D876" s="1">
        <v>0.65749146990740737</v>
      </c>
      <c r="E876" s="1">
        <f>Table1468[[#This Row],[Time]]-TIME(0,0,11)</f>
        <v>0.65736415509259261</v>
      </c>
      <c r="F876" t="s">
        <v>13</v>
      </c>
      <c r="G876" t="str">
        <f t="shared" si="185"/>
        <v>-114.0,</v>
      </c>
      <c r="H876" s="21">
        <f t="shared" si="176"/>
        <v>-114</v>
      </c>
      <c r="I876">
        <f t="shared" si="186"/>
        <v>-8.8000000000000007</v>
      </c>
      <c r="L876">
        <f>160+2*(Table2579[[#This Row],[min value (corrected)]]-23)</f>
        <v>184</v>
      </c>
      <c r="M876">
        <f>MINUTE(Table2579[[#This Row],[Corrected time]])</f>
        <v>35</v>
      </c>
      <c r="N876" s="1">
        <v>0.64995027777777781</v>
      </c>
      <c r="O876" s="1">
        <f>Table2579[[#This Row],[Time]]-TIME(0,0,10)</f>
        <v>0.64983453703703709</v>
      </c>
      <c r="P876" t="s">
        <v>13</v>
      </c>
      <c r="Q876">
        <f t="shared" si="183"/>
        <v>-114</v>
      </c>
      <c r="R876" s="21">
        <f>Table2579[[#This Row],[RSSI]]</f>
        <v>-114</v>
      </c>
      <c r="S876">
        <f t="shared" si="184"/>
        <v>-8.8000000000000007</v>
      </c>
    </row>
    <row r="877" spans="2:19" x14ac:dyDescent="0.25">
      <c r="B877">
        <f>160+2*(Table1468[[#This Row],[min value (corrected)]]-32)</f>
        <v>188</v>
      </c>
      <c r="C877">
        <f>MINUTE(Table1468[[#This Row],[Corrected time]])</f>
        <v>46</v>
      </c>
      <c r="D877" s="1">
        <v>0.65750364583333332</v>
      </c>
      <c r="E877" s="1">
        <f>Table1468[[#This Row],[Time]]-TIME(0,0,11)</f>
        <v>0.65737633101851856</v>
      </c>
      <c r="F877" t="s">
        <v>13</v>
      </c>
      <c r="G877" t="str">
        <f t="shared" si="185"/>
        <v>-114.0,</v>
      </c>
      <c r="H877" s="21">
        <f t="shared" si="176"/>
        <v>-114</v>
      </c>
      <c r="I877">
        <f t="shared" si="186"/>
        <v>-8.8000000000000007</v>
      </c>
      <c r="L877">
        <f>160+2*(Table2579[[#This Row],[min value (corrected)]]-23)</f>
        <v>184</v>
      </c>
      <c r="M877">
        <f>MINUTE(Table2579[[#This Row],[Corrected time]])</f>
        <v>35</v>
      </c>
      <c r="N877" s="1">
        <v>0.64996246527777779</v>
      </c>
      <c r="O877" s="1">
        <f>Table2579[[#This Row],[Time]]-TIME(0,0,10)</f>
        <v>0.64984672453703707</v>
      </c>
      <c r="P877" t="s">
        <v>13</v>
      </c>
      <c r="Q877">
        <f t="shared" si="183"/>
        <v>-114</v>
      </c>
      <c r="R877" s="21">
        <f>Table2579[[#This Row],[RSSI]]</f>
        <v>-114</v>
      </c>
      <c r="S877">
        <f t="shared" si="184"/>
        <v>-8.8000000000000007</v>
      </c>
    </row>
    <row r="878" spans="2:19" x14ac:dyDescent="0.25">
      <c r="B878">
        <f>160+2*(Table1468[[#This Row],[min value (corrected)]]-32)</f>
        <v>188</v>
      </c>
      <c r="C878">
        <f>MINUTE(Table1468[[#This Row],[Corrected time]])</f>
        <v>46</v>
      </c>
      <c r="D878" s="1">
        <v>0.65751584490740744</v>
      </c>
      <c r="E878" s="1">
        <f>Table1468[[#This Row],[Time]]-TIME(0,0,11)</f>
        <v>0.65738853009259268</v>
      </c>
      <c r="F878" t="s">
        <v>9</v>
      </c>
      <c r="G878" t="s">
        <v>43</v>
      </c>
      <c r="H878" s="21">
        <f t="shared" si="176"/>
        <v>-115</v>
      </c>
      <c r="I878">
        <v>-10</v>
      </c>
      <c r="L878">
        <f>160+2*(Table2579[[#This Row],[min value (corrected)]]-23)</f>
        <v>184</v>
      </c>
      <c r="M878">
        <f>MINUTE(Table2579[[#This Row],[Corrected time]])</f>
        <v>35</v>
      </c>
      <c r="N878" s="1">
        <v>0.64997464120370374</v>
      </c>
      <c r="O878" s="1">
        <f>Table2579[[#This Row],[Time]]-TIME(0,0,10)</f>
        <v>0.64985890046296302</v>
      </c>
      <c r="P878" t="s">
        <v>13</v>
      </c>
      <c r="Q878">
        <f t="shared" si="183"/>
        <v>-114</v>
      </c>
      <c r="R878" s="21">
        <f>Table2579[[#This Row],[RSSI]]</f>
        <v>-114</v>
      </c>
      <c r="S878">
        <f t="shared" si="184"/>
        <v>-8.8000000000000007</v>
      </c>
    </row>
    <row r="879" spans="2:19" x14ac:dyDescent="0.25">
      <c r="B879">
        <f>160+2*(Table1468[[#This Row],[min value (corrected)]]-32)</f>
        <v>188</v>
      </c>
      <c r="C879">
        <f>MINUTE(Table1468[[#This Row],[Corrected time]])</f>
        <v>46</v>
      </c>
      <c r="D879" s="1">
        <v>0.65752802083333339</v>
      </c>
      <c r="E879" s="1">
        <f>Table1468[[#This Row],[Time]]-TIME(0,0,11)</f>
        <v>0.65740070601851863</v>
      </c>
      <c r="F879" t="s">
        <v>13</v>
      </c>
      <c r="G879" t="str">
        <f t="shared" ref="G879:G887" si="187">G878</f>
        <v>-115.0,</v>
      </c>
      <c r="H879" s="21">
        <f t="shared" si="176"/>
        <v>-115</v>
      </c>
      <c r="I879">
        <f t="shared" ref="I879:I887" si="188">I878</f>
        <v>-10</v>
      </c>
      <c r="L879">
        <f>160+2*(Table2579[[#This Row],[min value (corrected)]]-23)</f>
        <v>184</v>
      </c>
      <c r="M879">
        <f>MINUTE(Table2579[[#This Row],[Corrected time]])</f>
        <v>35</v>
      </c>
      <c r="N879" s="1">
        <v>0.64998682870370372</v>
      </c>
      <c r="O879" s="1">
        <f>Table2579[[#This Row],[Time]]-TIME(0,0,10)</f>
        <v>0.649871087962963</v>
      </c>
      <c r="P879" t="s">
        <v>13</v>
      </c>
      <c r="Q879">
        <f t="shared" si="183"/>
        <v>-114</v>
      </c>
      <c r="R879" s="21">
        <f>Table2579[[#This Row],[RSSI]]</f>
        <v>-114</v>
      </c>
      <c r="S879">
        <f t="shared" si="184"/>
        <v>-8.8000000000000007</v>
      </c>
    </row>
    <row r="880" spans="2:19" x14ac:dyDescent="0.25">
      <c r="B880">
        <f>160+2*(Table1468[[#This Row],[min value (corrected)]]-32)</f>
        <v>188</v>
      </c>
      <c r="C880">
        <f>MINUTE(Table1468[[#This Row],[Corrected time]])</f>
        <v>46</v>
      </c>
      <c r="D880" s="1">
        <v>0.65754020833333338</v>
      </c>
      <c r="E880" s="1">
        <f>Table1468[[#This Row],[Time]]-TIME(0,0,11)</f>
        <v>0.65741289351851862</v>
      </c>
      <c r="F880" t="s">
        <v>13</v>
      </c>
      <c r="G880" t="str">
        <f t="shared" si="187"/>
        <v>-115.0,</v>
      </c>
      <c r="H880" s="21">
        <f t="shared" si="176"/>
        <v>-115</v>
      </c>
      <c r="I880">
        <f t="shared" si="188"/>
        <v>-10</v>
      </c>
      <c r="L880">
        <f>160+2*(Table2579[[#This Row],[min value (corrected)]]-23)</f>
        <v>184</v>
      </c>
      <c r="M880">
        <f>MINUTE(Table2579[[#This Row],[Corrected time]])</f>
        <v>35</v>
      </c>
      <c r="N880" s="1">
        <v>0.64999901620370371</v>
      </c>
      <c r="O880" s="1">
        <f>Table2579[[#This Row],[Time]]-TIME(0,0,10)</f>
        <v>0.64988327546296298</v>
      </c>
      <c r="P880" t="s">
        <v>13</v>
      </c>
      <c r="Q880">
        <f t="shared" si="183"/>
        <v>-114</v>
      </c>
      <c r="R880" s="21">
        <f>Table2579[[#This Row],[RSSI]]</f>
        <v>-114</v>
      </c>
      <c r="S880">
        <f t="shared" si="184"/>
        <v>-8.8000000000000007</v>
      </c>
    </row>
    <row r="881" spans="2:19" x14ac:dyDescent="0.25">
      <c r="B881">
        <f>160+2*(Table1468[[#This Row],[min value (corrected)]]-32)</f>
        <v>188</v>
      </c>
      <c r="C881">
        <f>MINUTE(Table1468[[#This Row],[Corrected time]])</f>
        <v>46</v>
      </c>
      <c r="D881" s="1">
        <v>0.65755240740740739</v>
      </c>
      <c r="E881" s="1">
        <f>Table1468[[#This Row],[Time]]-TIME(0,0,11)</f>
        <v>0.65742509259259263</v>
      </c>
      <c r="F881" t="s">
        <v>13</v>
      </c>
      <c r="G881" t="str">
        <f t="shared" si="187"/>
        <v>-115.0,</v>
      </c>
      <c r="H881" s="21">
        <f t="shared" si="176"/>
        <v>-115</v>
      </c>
      <c r="I881">
        <f t="shared" si="188"/>
        <v>-10</v>
      </c>
      <c r="L881">
        <f>160+2*(Table2579[[#This Row],[min value (corrected)]]-23)</f>
        <v>184</v>
      </c>
      <c r="M881">
        <f>MINUTE(Table2579[[#This Row],[Corrected time]])</f>
        <v>35</v>
      </c>
      <c r="N881" s="1">
        <v>0.65001121527777772</v>
      </c>
      <c r="O881" s="1">
        <f>Table2579[[#This Row],[Time]]-TIME(0,0,10)</f>
        <v>0.649895474537037</v>
      </c>
      <c r="P881" t="s">
        <v>9</v>
      </c>
      <c r="Q881">
        <v>-115</v>
      </c>
      <c r="R881" s="21">
        <f>Table2579[[#This Row],[RSSI]]</f>
        <v>-115</v>
      </c>
      <c r="S881">
        <v>-9.3000000000000007</v>
      </c>
    </row>
    <row r="882" spans="2:19" x14ac:dyDescent="0.25">
      <c r="B882">
        <f>160+2*(Table1468[[#This Row],[min value (corrected)]]-32)</f>
        <v>188</v>
      </c>
      <c r="C882">
        <f>MINUTE(Table1468[[#This Row],[Corrected time]])</f>
        <v>46</v>
      </c>
      <c r="D882" s="1">
        <v>0.65756459490740737</v>
      </c>
      <c r="E882" s="1">
        <f>Table1468[[#This Row],[Time]]-TIME(0,0,11)</f>
        <v>0.65743728009259261</v>
      </c>
      <c r="F882" t="s">
        <v>13</v>
      </c>
      <c r="G882" t="str">
        <f t="shared" si="187"/>
        <v>-115.0,</v>
      </c>
      <c r="H882" s="21">
        <f t="shared" si="176"/>
        <v>-115</v>
      </c>
      <c r="I882">
        <f t="shared" si="188"/>
        <v>-10</v>
      </c>
      <c r="L882">
        <f>160+2*(Table2579[[#This Row],[min value (corrected)]]-23)</f>
        <v>184</v>
      </c>
      <c r="M882">
        <f>MINUTE(Table2579[[#This Row],[Corrected time]])</f>
        <v>35</v>
      </c>
      <c r="N882" s="1">
        <v>0.6500234027777777</v>
      </c>
      <c r="O882" s="1">
        <f>Table2579[[#This Row],[Time]]-TIME(0,0,10)</f>
        <v>0.64990766203703698</v>
      </c>
      <c r="P882" t="s">
        <v>13</v>
      </c>
      <c r="Q882">
        <f t="shared" ref="Q882:Q885" si="189">Q881</f>
        <v>-115</v>
      </c>
      <c r="R882" s="21">
        <f>Table2579[[#This Row],[RSSI]]</f>
        <v>-115</v>
      </c>
      <c r="S882">
        <f t="shared" ref="S882:S885" si="190">S881</f>
        <v>-9.3000000000000007</v>
      </c>
    </row>
    <row r="883" spans="2:19" x14ac:dyDescent="0.25">
      <c r="B883">
        <f>160+2*(Table1468[[#This Row],[min value (corrected)]]-32)</f>
        <v>188</v>
      </c>
      <c r="C883">
        <f>MINUTE(Table1468[[#This Row],[Corrected time]])</f>
        <v>46</v>
      </c>
      <c r="D883" s="1">
        <v>0.65757677083333332</v>
      </c>
      <c r="E883" s="1">
        <f>Table1468[[#This Row],[Time]]-TIME(0,0,11)</f>
        <v>0.65744945601851856</v>
      </c>
      <c r="F883" t="s">
        <v>13</v>
      </c>
      <c r="G883" t="str">
        <f t="shared" si="187"/>
        <v>-115.0,</v>
      </c>
      <c r="H883" s="21">
        <f t="shared" si="176"/>
        <v>-115</v>
      </c>
      <c r="I883">
        <f t="shared" si="188"/>
        <v>-10</v>
      </c>
      <c r="L883">
        <f>160+2*(Table2579[[#This Row],[min value (corrected)]]-23)</f>
        <v>184</v>
      </c>
      <c r="M883">
        <f>MINUTE(Table2579[[#This Row],[Corrected time]])</f>
        <v>35</v>
      </c>
      <c r="N883" s="1">
        <v>0.65003557870370376</v>
      </c>
      <c r="O883" s="1">
        <f>Table2579[[#This Row],[Time]]-TIME(0,0,10)</f>
        <v>0.64991983796296304</v>
      </c>
      <c r="P883" t="s">
        <v>13</v>
      </c>
      <c r="Q883">
        <f t="shared" si="189"/>
        <v>-115</v>
      </c>
      <c r="R883" s="21">
        <f>Table2579[[#This Row],[RSSI]]</f>
        <v>-115</v>
      </c>
      <c r="S883">
        <f t="shared" si="190"/>
        <v>-9.3000000000000007</v>
      </c>
    </row>
    <row r="884" spans="2:19" x14ac:dyDescent="0.25">
      <c r="B884">
        <f>160+2*(Table1468[[#This Row],[min value (corrected)]]-32)</f>
        <v>188</v>
      </c>
      <c r="C884">
        <f>MINUTE(Table1468[[#This Row],[Corrected time]])</f>
        <v>46</v>
      </c>
      <c r="D884" s="1">
        <v>0.65758896990740734</v>
      </c>
      <c r="E884" s="1">
        <f>Table1468[[#This Row],[Time]]-TIME(0,0,11)</f>
        <v>0.65746165509259258</v>
      </c>
      <c r="F884" t="s">
        <v>13</v>
      </c>
      <c r="G884" t="str">
        <f t="shared" si="187"/>
        <v>-115.0,</v>
      </c>
      <c r="H884" s="21">
        <f t="shared" si="176"/>
        <v>-115</v>
      </c>
      <c r="I884">
        <f t="shared" si="188"/>
        <v>-10</v>
      </c>
      <c r="L884">
        <f>160+2*(Table2579[[#This Row],[min value (corrected)]]-23)</f>
        <v>184</v>
      </c>
      <c r="M884">
        <f>MINUTE(Table2579[[#This Row],[Corrected time]])</f>
        <v>35</v>
      </c>
      <c r="N884" s="1">
        <v>0.65004777777777778</v>
      </c>
      <c r="O884" s="1">
        <f>Table2579[[#This Row],[Time]]-TIME(0,0,10)</f>
        <v>0.64993203703703706</v>
      </c>
      <c r="P884" t="s">
        <v>13</v>
      </c>
      <c r="Q884">
        <f t="shared" si="189"/>
        <v>-115</v>
      </c>
      <c r="R884" s="21">
        <f>Table2579[[#This Row],[RSSI]]</f>
        <v>-115</v>
      </c>
      <c r="S884">
        <f t="shared" si="190"/>
        <v>-9.3000000000000007</v>
      </c>
    </row>
    <row r="885" spans="2:19" x14ac:dyDescent="0.25">
      <c r="B885">
        <f>160+2*(Table1468[[#This Row],[min value (corrected)]]-32)</f>
        <v>188</v>
      </c>
      <c r="C885">
        <f>MINUTE(Table1468[[#This Row],[Corrected time]])</f>
        <v>46</v>
      </c>
      <c r="D885" s="1">
        <v>0.65760115740740743</v>
      </c>
      <c r="E885" s="1">
        <f>Table1468[[#This Row],[Time]]-TIME(0,0,11)</f>
        <v>0.65747384259259267</v>
      </c>
      <c r="F885" t="s">
        <v>13</v>
      </c>
      <c r="G885" t="str">
        <f t="shared" si="187"/>
        <v>-115.0,</v>
      </c>
      <c r="H885" s="21">
        <f t="shared" si="176"/>
        <v>-115</v>
      </c>
      <c r="I885">
        <f t="shared" si="188"/>
        <v>-10</v>
      </c>
      <c r="L885">
        <f>160+2*(Table2579[[#This Row],[min value (corrected)]]-23)</f>
        <v>184</v>
      </c>
      <c r="M885">
        <f>MINUTE(Table2579[[#This Row],[Corrected time]])</f>
        <v>35</v>
      </c>
      <c r="N885" s="1">
        <v>0.65005996527777776</v>
      </c>
      <c r="O885" s="1">
        <f>Table2579[[#This Row],[Time]]-TIME(0,0,10)</f>
        <v>0.64994422453703704</v>
      </c>
      <c r="P885" t="s">
        <v>13</v>
      </c>
      <c r="Q885">
        <f t="shared" si="189"/>
        <v>-115</v>
      </c>
      <c r="R885" s="21">
        <f>Table2579[[#This Row],[RSSI]]</f>
        <v>-115</v>
      </c>
      <c r="S885">
        <f t="shared" si="190"/>
        <v>-9.3000000000000007</v>
      </c>
    </row>
    <row r="886" spans="2:19" x14ac:dyDescent="0.25">
      <c r="B886">
        <f>160+2*(Table1468[[#This Row],[min value (corrected)]]-32)</f>
        <v>188</v>
      </c>
      <c r="C886">
        <f>MINUTE(Table1468[[#This Row],[Corrected time]])</f>
        <v>46</v>
      </c>
      <c r="D886" s="1">
        <v>0.65761334490740742</v>
      </c>
      <c r="E886" s="1">
        <f>Table1468[[#This Row],[Time]]-TIME(0,0,11)</f>
        <v>0.65748603009259265</v>
      </c>
      <c r="F886" t="s">
        <v>13</v>
      </c>
      <c r="G886" t="str">
        <f t="shared" si="187"/>
        <v>-115.0,</v>
      </c>
      <c r="H886" s="21">
        <f t="shared" si="176"/>
        <v>-115</v>
      </c>
      <c r="I886">
        <f t="shared" si="188"/>
        <v>-10</v>
      </c>
      <c r="L886">
        <f>160+2*(Table2579[[#This Row],[min value (corrected)]]-23)</f>
        <v>184</v>
      </c>
      <c r="M886">
        <f>MINUTE(Table2579[[#This Row],[Corrected time]])</f>
        <v>35</v>
      </c>
      <c r="N886" s="1">
        <v>0.65007215277777775</v>
      </c>
      <c r="O886" s="1">
        <f>Table2579[[#This Row],[Time]]-TIME(0,0,10)</f>
        <v>0.64995641203703702</v>
      </c>
      <c r="P886" t="s">
        <v>9</v>
      </c>
      <c r="Q886">
        <v>-114</v>
      </c>
      <c r="R886" s="21">
        <f>Table2579[[#This Row],[RSSI]]</f>
        <v>-114</v>
      </c>
      <c r="S886">
        <v>-9</v>
      </c>
    </row>
    <row r="887" spans="2:19" x14ac:dyDescent="0.25">
      <c r="B887">
        <f>160+2*(Table1468[[#This Row],[min value (corrected)]]-32)</f>
        <v>188</v>
      </c>
      <c r="C887">
        <f>MINUTE(Table1468[[#This Row],[Corrected time]])</f>
        <v>46</v>
      </c>
      <c r="D887" s="1">
        <v>0.6576255324074074</v>
      </c>
      <c r="E887" s="1">
        <f>Table1468[[#This Row],[Time]]-TIME(0,0,11)</f>
        <v>0.65749821759259264</v>
      </c>
      <c r="F887" t="s">
        <v>13</v>
      </c>
      <c r="G887" t="str">
        <f t="shared" si="187"/>
        <v>-115.0,</v>
      </c>
      <c r="H887" s="21">
        <f t="shared" si="176"/>
        <v>-115</v>
      </c>
      <c r="I887">
        <f t="shared" si="188"/>
        <v>-10</v>
      </c>
      <c r="L887">
        <f>160+2*(Table2579[[#This Row],[min value (corrected)]]-23)</f>
        <v>184</v>
      </c>
      <c r="M887">
        <f>MINUTE(Table2579[[#This Row],[Corrected time]])</f>
        <v>35</v>
      </c>
      <c r="N887" s="1">
        <v>0.6500843287037037</v>
      </c>
      <c r="O887" s="1">
        <f>Table2579[[#This Row],[Time]]-TIME(0,0,10)</f>
        <v>0.64996858796296297</v>
      </c>
      <c r="P887" t="s">
        <v>13</v>
      </c>
      <c r="Q887">
        <f t="shared" ref="Q887:Q888" si="191">Q886</f>
        <v>-114</v>
      </c>
      <c r="R887" s="21">
        <f>Table2579[[#This Row],[RSSI]]</f>
        <v>-114</v>
      </c>
      <c r="S887">
        <f t="shared" ref="S887:S888" si="192">S886</f>
        <v>-9</v>
      </c>
    </row>
    <row r="888" spans="2:19" x14ac:dyDescent="0.25">
      <c r="B888">
        <f>160+2*(Table1468[[#This Row],[min value (corrected)]]-32)</f>
        <v>188</v>
      </c>
      <c r="C888">
        <f>MINUTE(Table1468[[#This Row],[Corrected time]])</f>
        <v>46</v>
      </c>
      <c r="D888" s="1">
        <v>0.65763771990740738</v>
      </c>
      <c r="E888" s="1">
        <f>Table1468[[#This Row],[Time]]-TIME(0,0,11)</f>
        <v>0.65751040509259262</v>
      </c>
      <c r="F888" t="s">
        <v>9</v>
      </c>
      <c r="G888" t="s">
        <v>43</v>
      </c>
      <c r="H888" s="21">
        <f t="shared" si="176"/>
        <v>-115</v>
      </c>
      <c r="I888">
        <v>-9</v>
      </c>
      <c r="L888">
        <f>160+2*(Table2579[[#This Row],[min value (corrected)]]-23)</f>
        <v>184</v>
      </c>
      <c r="M888">
        <f>MINUTE(Table2579[[#This Row],[Corrected time]])</f>
        <v>35</v>
      </c>
      <c r="N888" s="1">
        <v>0.65009652777777771</v>
      </c>
      <c r="O888" s="1">
        <f>Table2579[[#This Row],[Time]]-TIME(0,0,10)</f>
        <v>0.64998078703703699</v>
      </c>
      <c r="P888" t="s">
        <v>13</v>
      </c>
      <c r="Q888">
        <f t="shared" si="191"/>
        <v>-114</v>
      </c>
      <c r="R888" s="21">
        <f>Table2579[[#This Row],[RSSI]]</f>
        <v>-114</v>
      </c>
      <c r="S888">
        <f t="shared" si="192"/>
        <v>-9</v>
      </c>
    </row>
    <row r="889" spans="2:19" x14ac:dyDescent="0.25">
      <c r="B889">
        <f>160+2*(Table1468[[#This Row],[min value (corrected)]]-32)</f>
        <v>188</v>
      </c>
      <c r="C889">
        <f>MINUTE(Table1468[[#This Row],[Corrected time]])</f>
        <v>46</v>
      </c>
      <c r="D889" s="1">
        <v>0.65764990740740736</v>
      </c>
      <c r="E889" s="1">
        <f>Table1468[[#This Row],[Time]]-TIME(0,0,11)</f>
        <v>0.6575225925925926</v>
      </c>
      <c r="F889" t="s">
        <v>13</v>
      </c>
      <c r="G889" t="str">
        <f>G888</f>
        <v>-115.0,</v>
      </c>
      <c r="H889" s="21">
        <f t="shared" si="176"/>
        <v>-115</v>
      </c>
      <c r="I889">
        <f>I888</f>
        <v>-9</v>
      </c>
      <c r="L889">
        <f>160+2*(Table2579[[#This Row],[min value (corrected)]]-23)</f>
        <v>184</v>
      </c>
      <c r="M889">
        <f>MINUTE(Table2579[[#This Row],[Corrected time]])</f>
        <v>35</v>
      </c>
      <c r="N889" s="1">
        <v>0.65010871527777769</v>
      </c>
      <c r="O889" s="1">
        <f>Table2579[[#This Row],[Time]]-TIME(0,0,10)</f>
        <v>0.64999297453703697</v>
      </c>
      <c r="P889" t="s">
        <v>9</v>
      </c>
      <c r="Q889">
        <v>-115</v>
      </c>
      <c r="R889" s="21">
        <f>Table2579[[#This Row],[RSSI]]</f>
        <v>-115</v>
      </c>
      <c r="S889">
        <v>-9.8000000000000007</v>
      </c>
    </row>
    <row r="890" spans="2:19" x14ac:dyDescent="0.25">
      <c r="B890">
        <f>160+2*(Table1468[[#This Row],[min value (corrected)]]-32)</f>
        <v>188</v>
      </c>
      <c r="C890">
        <f>MINUTE(Table1468[[#This Row],[Corrected time]])</f>
        <v>46</v>
      </c>
      <c r="D890" s="1">
        <v>0.65766209490740735</v>
      </c>
      <c r="E890" s="1">
        <f>Table1468[[#This Row],[Time]]-TIME(0,0,11)</f>
        <v>0.65753478009259259</v>
      </c>
      <c r="F890" t="s">
        <v>9</v>
      </c>
      <c r="G890" t="s">
        <v>43</v>
      </c>
      <c r="H890" s="21">
        <f t="shared" si="176"/>
        <v>-115</v>
      </c>
      <c r="I890">
        <v>-9.8000000000000007</v>
      </c>
      <c r="L890">
        <f>160+2*(Table2579[[#This Row],[min value (corrected)]]-23)</f>
        <v>186</v>
      </c>
      <c r="M890">
        <f>MINUTE(Table2579[[#This Row],[Corrected time]])</f>
        <v>36</v>
      </c>
      <c r="N890" s="1">
        <v>0.65012090277777779</v>
      </c>
      <c r="O890" s="1">
        <f>Table2579[[#This Row],[Time]]-TIME(0,0,10)</f>
        <v>0.65000516203703707</v>
      </c>
      <c r="P890" t="s">
        <v>13</v>
      </c>
      <c r="Q890">
        <f t="shared" ref="Q890:Q894" si="193">Q889</f>
        <v>-115</v>
      </c>
      <c r="R890" s="21">
        <f>Table2579[[#This Row],[RSSI]]</f>
        <v>-115</v>
      </c>
      <c r="S890">
        <f t="shared" ref="S890:S894" si="194">S889</f>
        <v>-9.8000000000000007</v>
      </c>
    </row>
    <row r="891" spans="2:19" x14ac:dyDescent="0.25">
      <c r="B891">
        <f>160+2*(Table1468[[#This Row],[min value (corrected)]]-32)</f>
        <v>188</v>
      </c>
      <c r="C891">
        <f>MINUTE(Table1468[[#This Row],[Corrected time]])</f>
        <v>46</v>
      </c>
      <c r="D891" s="1">
        <v>0.65767428240740733</v>
      </c>
      <c r="E891" s="1">
        <f>Table1468[[#This Row],[Time]]-TIME(0,0,11)</f>
        <v>0.65754696759259257</v>
      </c>
      <c r="F891" t="s">
        <v>13</v>
      </c>
      <c r="G891" t="str">
        <f>G890</f>
        <v>-115.0,</v>
      </c>
      <c r="H891" s="21">
        <f t="shared" si="176"/>
        <v>-115</v>
      </c>
      <c r="I891">
        <f>I890</f>
        <v>-9.8000000000000007</v>
      </c>
      <c r="L891">
        <f>160+2*(Table2579[[#This Row],[min value (corrected)]]-23)</f>
        <v>186</v>
      </c>
      <c r="M891">
        <f>MINUTE(Table2579[[#This Row],[Corrected time]])</f>
        <v>36</v>
      </c>
      <c r="N891" s="1">
        <v>0.65013307870370374</v>
      </c>
      <c r="O891" s="1">
        <f>Table2579[[#This Row],[Time]]-TIME(0,0,10)</f>
        <v>0.65001733796296302</v>
      </c>
      <c r="P891" t="s">
        <v>13</v>
      </c>
      <c r="Q891">
        <f t="shared" si="193"/>
        <v>-115</v>
      </c>
      <c r="R891" s="21">
        <f>Table2579[[#This Row],[RSSI]]</f>
        <v>-115</v>
      </c>
      <c r="S891">
        <f t="shared" si="194"/>
        <v>-9.8000000000000007</v>
      </c>
    </row>
    <row r="892" spans="2:19" x14ac:dyDescent="0.25">
      <c r="B892">
        <f>160+2*(Table1468[[#This Row],[min value (corrected)]]-32)</f>
        <v>188</v>
      </c>
      <c r="C892">
        <f>MINUTE(Table1468[[#This Row],[Corrected time]])</f>
        <v>46</v>
      </c>
      <c r="D892" s="1">
        <v>0.65768646990740742</v>
      </c>
      <c r="E892" s="1">
        <f>Table1468[[#This Row],[Time]]-TIME(0,0,11)</f>
        <v>0.65755915509259266</v>
      </c>
      <c r="F892" t="s">
        <v>9</v>
      </c>
      <c r="G892" t="s">
        <v>43</v>
      </c>
      <c r="H892" s="21">
        <f t="shared" si="176"/>
        <v>-115</v>
      </c>
      <c r="I892">
        <v>-9.5</v>
      </c>
      <c r="L892">
        <f>160+2*(Table2579[[#This Row],[min value (corrected)]]-23)</f>
        <v>186</v>
      </c>
      <c r="M892">
        <f>MINUTE(Table2579[[#This Row],[Corrected time]])</f>
        <v>36</v>
      </c>
      <c r="N892" s="1">
        <v>0.65014526620370372</v>
      </c>
      <c r="O892" s="1">
        <f>Table2579[[#This Row],[Time]]-TIME(0,0,10)</f>
        <v>0.650029525462963</v>
      </c>
      <c r="P892" t="s">
        <v>13</v>
      </c>
      <c r="Q892">
        <f t="shared" si="193"/>
        <v>-115</v>
      </c>
      <c r="R892" s="21">
        <f>Table2579[[#This Row],[RSSI]]</f>
        <v>-115</v>
      </c>
      <c r="S892">
        <f t="shared" si="194"/>
        <v>-9.8000000000000007</v>
      </c>
    </row>
    <row r="893" spans="2:19" x14ac:dyDescent="0.25">
      <c r="B893">
        <f>160+2*(Table1468[[#This Row],[min value (corrected)]]-32)</f>
        <v>188</v>
      </c>
      <c r="C893">
        <f>MINUTE(Table1468[[#This Row],[Corrected time]])</f>
        <v>46</v>
      </c>
      <c r="D893" s="1">
        <v>0.65769864583333337</v>
      </c>
      <c r="E893" s="1">
        <f>Table1468[[#This Row],[Time]]-TIME(0,0,11)</f>
        <v>0.65757133101851861</v>
      </c>
      <c r="F893" t="s">
        <v>13</v>
      </c>
      <c r="G893" t="str">
        <f t="shared" ref="G893:G903" si="195">G892</f>
        <v>-115.0,</v>
      </c>
      <c r="H893" s="21">
        <f t="shared" si="176"/>
        <v>-115</v>
      </c>
      <c r="I893">
        <f t="shared" ref="I893:I903" si="196">I892</f>
        <v>-9.5</v>
      </c>
      <c r="L893">
        <f>160+2*(Table2579[[#This Row],[min value (corrected)]]-23)</f>
        <v>186</v>
      </c>
      <c r="M893">
        <f>MINUTE(Table2579[[#This Row],[Corrected time]])</f>
        <v>36</v>
      </c>
      <c r="N893" s="1">
        <v>0.6501574537037037</v>
      </c>
      <c r="O893" s="1">
        <f>Table2579[[#This Row],[Time]]-TIME(0,0,10)</f>
        <v>0.65004171296296298</v>
      </c>
      <c r="P893" t="s">
        <v>13</v>
      </c>
      <c r="Q893">
        <f t="shared" si="193"/>
        <v>-115</v>
      </c>
      <c r="R893" s="21">
        <f>Table2579[[#This Row],[RSSI]]</f>
        <v>-115</v>
      </c>
      <c r="S893">
        <f t="shared" si="194"/>
        <v>-9.8000000000000007</v>
      </c>
    </row>
    <row r="894" spans="2:19" x14ac:dyDescent="0.25">
      <c r="B894">
        <f>160+2*(Table1468[[#This Row],[min value (corrected)]]-32)</f>
        <v>188</v>
      </c>
      <c r="C894">
        <f>MINUTE(Table1468[[#This Row],[Corrected time]])</f>
        <v>46</v>
      </c>
      <c r="D894" s="1">
        <v>0.65771084490740739</v>
      </c>
      <c r="E894" s="1">
        <f>Table1468[[#This Row],[Time]]-TIME(0,0,11)</f>
        <v>0.65758353009259263</v>
      </c>
      <c r="F894" t="s">
        <v>13</v>
      </c>
      <c r="G894" t="str">
        <f t="shared" si="195"/>
        <v>-115.0,</v>
      </c>
      <c r="H894" s="21">
        <f t="shared" si="176"/>
        <v>-115</v>
      </c>
      <c r="I894">
        <f t="shared" si="196"/>
        <v>-9.5</v>
      </c>
      <c r="L894">
        <f>160+2*(Table2579[[#This Row],[min value (corrected)]]-23)</f>
        <v>186</v>
      </c>
      <c r="M894">
        <f>MINUTE(Table2579[[#This Row],[Corrected time]])</f>
        <v>36</v>
      </c>
      <c r="N894" s="1">
        <v>0.65016965277777783</v>
      </c>
      <c r="O894" s="1">
        <f>Table2579[[#This Row],[Time]]-TIME(0,0,10)</f>
        <v>0.65005391203703711</v>
      </c>
      <c r="P894" t="s">
        <v>13</v>
      </c>
      <c r="Q894">
        <f t="shared" si="193"/>
        <v>-115</v>
      </c>
      <c r="R894" s="21">
        <f>Table2579[[#This Row],[RSSI]]</f>
        <v>-115</v>
      </c>
      <c r="S894">
        <f t="shared" si="194"/>
        <v>-9.8000000000000007</v>
      </c>
    </row>
    <row r="895" spans="2:19" x14ac:dyDescent="0.25">
      <c r="B895">
        <f>160+2*(Table1468[[#This Row],[min value (corrected)]]-32)</f>
        <v>188</v>
      </c>
      <c r="C895">
        <f>MINUTE(Table1468[[#This Row],[Corrected time]])</f>
        <v>46</v>
      </c>
      <c r="D895" s="1">
        <v>0.65772302083333334</v>
      </c>
      <c r="E895" s="1">
        <f>Table1468[[#This Row],[Time]]-TIME(0,0,11)</f>
        <v>0.65759570601851858</v>
      </c>
      <c r="F895" t="s">
        <v>27</v>
      </c>
      <c r="G895" t="str">
        <f t="shared" si="195"/>
        <v>-115.0,</v>
      </c>
      <c r="H895" s="21">
        <f t="shared" si="176"/>
        <v>-115</v>
      </c>
      <c r="I895">
        <f t="shared" si="196"/>
        <v>-9.5</v>
      </c>
      <c r="L895">
        <f>160+2*(Table2579[[#This Row],[min value (corrected)]]-23)</f>
        <v>186</v>
      </c>
      <c r="M895">
        <f>MINUTE(Table2579[[#This Row],[Corrected time]])</f>
        <v>36</v>
      </c>
      <c r="N895" s="1">
        <v>0.65018184027777781</v>
      </c>
      <c r="O895" s="1">
        <f>Table2579[[#This Row],[Time]]-TIME(0,0,10)</f>
        <v>0.65006609953703709</v>
      </c>
      <c r="P895" t="s">
        <v>9</v>
      </c>
      <c r="Q895">
        <v>-114</v>
      </c>
      <c r="R895" s="21">
        <f>Table2579[[#This Row],[RSSI]]</f>
        <v>-114</v>
      </c>
      <c r="S895">
        <v>-8.8000000000000007</v>
      </c>
    </row>
    <row r="896" spans="2:19" x14ac:dyDescent="0.25">
      <c r="B896">
        <f>160+2*(Table1468[[#This Row],[min value (corrected)]]-32)</f>
        <v>188</v>
      </c>
      <c r="C896">
        <f>MINUTE(Table1468[[#This Row],[Corrected time]])</f>
        <v>46</v>
      </c>
      <c r="D896" s="1">
        <v>0.65774740740740734</v>
      </c>
      <c r="E896" s="1">
        <f>Table1468[[#This Row],[Time]]-TIME(0,0,11)</f>
        <v>0.65762009259259258</v>
      </c>
      <c r="F896" t="s">
        <v>13</v>
      </c>
      <c r="G896" t="str">
        <f t="shared" si="195"/>
        <v>-115.0,</v>
      </c>
      <c r="H896" s="21">
        <f t="shared" si="176"/>
        <v>-115</v>
      </c>
      <c r="I896">
        <f t="shared" si="196"/>
        <v>-9.5</v>
      </c>
      <c r="L896">
        <f>160+2*(Table2579[[#This Row],[min value (corrected)]]-23)</f>
        <v>186</v>
      </c>
      <c r="M896">
        <f>MINUTE(Table2579[[#This Row],[Corrected time]])</f>
        <v>36</v>
      </c>
      <c r="N896" s="1">
        <v>0.65019401620370365</v>
      </c>
      <c r="O896" s="1">
        <f>Table2579[[#This Row],[Time]]-TIME(0,0,10)</f>
        <v>0.65007827546296293</v>
      </c>
      <c r="P896" t="s">
        <v>13</v>
      </c>
      <c r="Q896">
        <f t="shared" ref="Q896:Q901" si="197">Q895</f>
        <v>-114</v>
      </c>
      <c r="R896" s="21">
        <f>Table2579[[#This Row],[RSSI]]</f>
        <v>-114</v>
      </c>
      <c r="S896">
        <f t="shared" ref="S896:S901" si="198">S895</f>
        <v>-8.8000000000000007</v>
      </c>
    </row>
    <row r="897" spans="2:19" x14ac:dyDescent="0.25">
      <c r="B897">
        <f>160+2*(Table1468[[#This Row],[min value (corrected)]]-32)</f>
        <v>188</v>
      </c>
      <c r="C897">
        <f>MINUTE(Table1468[[#This Row],[Corrected time]])</f>
        <v>46</v>
      </c>
      <c r="D897" s="1">
        <v>0.65775959490740732</v>
      </c>
      <c r="E897" s="1">
        <f>Table1468[[#This Row],[Time]]-TIME(0,0,11)</f>
        <v>0.65763228009259256</v>
      </c>
      <c r="F897" t="s">
        <v>13</v>
      </c>
      <c r="G897" t="str">
        <f t="shared" si="195"/>
        <v>-115.0,</v>
      </c>
      <c r="H897" s="21">
        <f t="shared" si="176"/>
        <v>-115</v>
      </c>
      <c r="I897">
        <f t="shared" si="196"/>
        <v>-9.5</v>
      </c>
      <c r="L897">
        <f>160+2*(Table2579[[#This Row],[min value (corrected)]]-23)</f>
        <v>186</v>
      </c>
      <c r="M897">
        <f>MINUTE(Table2579[[#This Row],[Corrected time]])</f>
        <v>36</v>
      </c>
      <c r="N897" s="1">
        <v>0.65020621527777778</v>
      </c>
      <c r="O897" s="1">
        <f>Table2579[[#This Row],[Time]]-TIME(0,0,10)</f>
        <v>0.65009047453703706</v>
      </c>
      <c r="P897" t="s">
        <v>13</v>
      </c>
      <c r="Q897">
        <f t="shared" si="197"/>
        <v>-114</v>
      </c>
      <c r="R897" s="21">
        <f>Table2579[[#This Row],[RSSI]]</f>
        <v>-114</v>
      </c>
      <c r="S897">
        <f t="shared" si="198"/>
        <v>-8.8000000000000007</v>
      </c>
    </row>
    <row r="898" spans="2:19" x14ac:dyDescent="0.25">
      <c r="B898">
        <f>160+2*(Table1468[[#This Row],[min value (corrected)]]-32)</f>
        <v>190</v>
      </c>
      <c r="C898">
        <f>MINUTE(Table1468[[#This Row],[Corrected time]])</f>
        <v>47</v>
      </c>
      <c r="D898" s="1">
        <v>0.65777178240740741</v>
      </c>
      <c r="E898" s="1">
        <f>Table1468[[#This Row],[Time]]-TIME(0,0,11)</f>
        <v>0.65764446759259265</v>
      </c>
      <c r="F898" t="s">
        <v>13</v>
      </c>
      <c r="G898" t="str">
        <f t="shared" si="195"/>
        <v>-115.0,</v>
      </c>
      <c r="H898" s="21">
        <f t="shared" si="176"/>
        <v>-115</v>
      </c>
      <c r="I898">
        <f t="shared" si="196"/>
        <v>-9.5</v>
      </c>
      <c r="L898">
        <f>160+2*(Table2579[[#This Row],[min value (corrected)]]-23)</f>
        <v>186</v>
      </c>
      <c r="M898">
        <f>MINUTE(Table2579[[#This Row],[Corrected time]])</f>
        <v>36</v>
      </c>
      <c r="N898" s="1">
        <v>0.65021837962962969</v>
      </c>
      <c r="O898" s="1">
        <f>Table2579[[#This Row],[Time]]-TIME(0,0,10)</f>
        <v>0.65010263888888897</v>
      </c>
      <c r="P898" t="s">
        <v>13</v>
      </c>
      <c r="Q898">
        <f t="shared" si="197"/>
        <v>-114</v>
      </c>
      <c r="R898" s="21">
        <f>Table2579[[#This Row],[RSSI]]</f>
        <v>-114</v>
      </c>
      <c r="S898">
        <f t="shared" si="198"/>
        <v>-8.8000000000000007</v>
      </c>
    </row>
    <row r="899" spans="2:19" x14ac:dyDescent="0.25">
      <c r="B899">
        <f>160+2*(Table1468[[#This Row],[min value (corrected)]]-32)</f>
        <v>190</v>
      </c>
      <c r="C899">
        <f>MINUTE(Table1468[[#This Row],[Corrected time]])</f>
        <v>47</v>
      </c>
      <c r="D899" s="1">
        <v>0.65778395833333336</v>
      </c>
      <c r="E899" s="1">
        <f>Table1468[[#This Row],[Time]]-TIME(0,0,11)</f>
        <v>0.6576566435185186</v>
      </c>
      <c r="F899" t="s">
        <v>13</v>
      </c>
      <c r="G899" t="str">
        <f t="shared" si="195"/>
        <v>-115.0,</v>
      </c>
      <c r="H899" s="21">
        <f t="shared" si="176"/>
        <v>-115</v>
      </c>
      <c r="I899">
        <f t="shared" si="196"/>
        <v>-9.5</v>
      </c>
      <c r="L899">
        <f>160+2*(Table2579[[#This Row],[min value (corrected)]]-23)</f>
        <v>186</v>
      </c>
      <c r="M899">
        <f>MINUTE(Table2579[[#This Row],[Corrected time]])</f>
        <v>36</v>
      </c>
      <c r="N899" s="1">
        <v>0.65023059027777785</v>
      </c>
      <c r="O899" s="1">
        <f>Table2579[[#This Row],[Time]]-TIME(0,0,10)</f>
        <v>0.65011484953703713</v>
      </c>
      <c r="P899" t="s">
        <v>13</v>
      </c>
      <c r="Q899">
        <f t="shared" si="197"/>
        <v>-114</v>
      </c>
      <c r="R899" s="21">
        <f>Table2579[[#This Row],[RSSI]]</f>
        <v>-114</v>
      </c>
      <c r="S899">
        <f t="shared" si="198"/>
        <v>-8.8000000000000007</v>
      </c>
    </row>
    <row r="900" spans="2:19" x14ac:dyDescent="0.25">
      <c r="B900">
        <f>160+2*(Table1468[[#This Row],[min value (corrected)]]-32)</f>
        <v>190</v>
      </c>
      <c r="C900">
        <f>MINUTE(Table1468[[#This Row],[Corrected time]])</f>
        <v>47</v>
      </c>
      <c r="D900" s="1">
        <v>0.65779615740740749</v>
      </c>
      <c r="E900" s="1">
        <f>Table1468[[#This Row],[Time]]-TIME(0,0,11)</f>
        <v>0.65766884259259273</v>
      </c>
      <c r="F900" t="s">
        <v>27</v>
      </c>
      <c r="G900" t="str">
        <f t="shared" si="195"/>
        <v>-115.0,</v>
      </c>
      <c r="H900" s="21">
        <f t="shared" si="176"/>
        <v>-115</v>
      </c>
      <c r="I900">
        <f t="shared" si="196"/>
        <v>-9.5</v>
      </c>
      <c r="L900">
        <f>160+2*(Table2579[[#This Row],[min value (corrected)]]-23)</f>
        <v>186</v>
      </c>
      <c r="M900">
        <f>MINUTE(Table2579[[#This Row],[Corrected time]])</f>
        <v>36</v>
      </c>
      <c r="N900" s="1">
        <v>0.65024276620370369</v>
      </c>
      <c r="O900" s="1">
        <f>Table2579[[#This Row],[Time]]-TIME(0,0,10)</f>
        <v>0.65012702546296297</v>
      </c>
      <c r="P900" t="s">
        <v>13</v>
      </c>
      <c r="Q900">
        <f t="shared" si="197"/>
        <v>-114</v>
      </c>
      <c r="R900" s="21">
        <f>Table2579[[#This Row],[RSSI]]</f>
        <v>-114</v>
      </c>
      <c r="S900">
        <f t="shared" si="198"/>
        <v>-8.8000000000000007</v>
      </c>
    </row>
    <row r="901" spans="2:19" x14ac:dyDescent="0.25">
      <c r="B901">
        <f>160+2*(Table1468[[#This Row],[min value (corrected)]]-32)</f>
        <v>190</v>
      </c>
      <c r="C901">
        <f>MINUTE(Table1468[[#This Row],[Corrected time]])</f>
        <v>47</v>
      </c>
      <c r="D901" s="1">
        <v>0.65782053240740745</v>
      </c>
      <c r="E901" s="1">
        <f>Table1468[[#This Row],[Time]]-TIME(0,0,11)</f>
        <v>0.65769321759259269</v>
      </c>
      <c r="F901" t="s">
        <v>13</v>
      </c>
      <c r="G901" t="str">
        <f t="shared" si="195"/>
        <v>-115.0,</v>
      </c>
      <c r="H901" s="21">
        <f t="shared" si="176"/>
        <v>-115</v>
      </c>
      <c r="I901">
        <f t="shared" si="196"/>
        <v>-9.5</v>
      </c>
      <c r="L901">
        <f>160+2*(Table2579[[#This Row],[min value (corrected)]]-23)</f>
        <v>186</v>
      </c>
      <c r="M901">
        <f>MINUTE(Table2579[[#This Row],[Corrected time]])</f>
        <v>36</v>
      </c>
      <c r="N901" s="1">
        <v>0.65025496527777782</v>
      </c>
      <c r="O901" s="1">
        <f>Table2579[[#This Row],[Time]]-TIME(0,0,10)</f>
        <v>0.6501392245370371</v>
      </c>
      <c r="P901" t="s">
        <v>13</v>
      </c>
      <c r="Q901">
        <f t="shared" si="197"/>
        <v>-114</v>
      </c>
      <c r="R901" s="21">
        <f>Table2579[[#This Row],[RSSI]]</f>
        <v>-114</v>
      </c>
      <c r="S901">
        <f t="shared" si="198"/>
        <v>-8.8000000000000007</v>
      </c>
    </row>
    <row r="902" spans="2:19" x14ac:dyDescent="0.25">
      <c r="B902">
        <f>160+2*(Table1468[[#This Row],[min value (corrected)]]-32)</f>
        <v>190</v>
      </c>
      <c r="C902">
        <f>MINUTE(Table1468[[#This Row],[Corrected time]])</f>
        <v>47</v>
      </c>
      <c r="D902" s="1">
        <v>0.65783271990740744</v>
      </c>
      <c r="E902" s="1">
        <f>Table1468[[#This Row],[Time]]-TIME(0,0,11)</f>
        <v>0.65770540509259268</v>
      </c>
      <c r="F902" t="s">
        <v>13</v>
      </c>
      <c r="G902" t="str">
        <f t="shared" si="195"/>
        <v>-115.0,</v>
      </c>
      <c r="H902" s="21">
        <f t="shared" si="176"/>
        <v>-115</v>
      </c>
      <c r="I902">
        <f t="shared" si="196"/>
        <v>-9.5</v>
      </c>
      <c r="L902">
        <f>160+2*(Table2579[[#This Row],[min value (corrected)]]-23)</f>
        <v>186</v>
      </c>
      <c r="M902">
        <f>MINUTE(Table2579[[#This Row],[Corrected time]])</f>
        <v>36</v>
      </c>
      <c r="N902" s="1">
        <v>0.6502671527777778</v>
      </c>
      <c r="O902" s="1">
        <f>Table2579[[#This Row],[Time]]-TIME(0,0,10)</f>
        <v>0.65015141203703708</v>
      </c>
      <c r="P902" t="s">
        <v>9</v>
      </c>
      <c r="Q902">
        <v>-115</v>
      </c>
      <c r="R902" s="21">
        <f>Table2579[[#This Row],[RSSI]]</f>
        <v>-115</v>
      </c>
      <c r="S902">
        <v>-10</v>
      </c>
    </row>
    <row r="903" spans="2:19" x14ac:dyDescent="0.25">
      <c r="B903">
        <f>160+2*(Table1468[[#This Row],[min value (corrected)]]-32)</f>
        <v>190</v>
      </c>
      <c r="C903">
        <f>MINUTE(Table1468[[#This Row],[Corrected time]])</f>
        <v>47</v>
      </c>
      <c r="D903" s="1">
        <v>0.65784490740740742</v>
      </c>
      <c r="E903" s="1">
        <f>Table1468[[#This Row],[Time]]-TIME(0,0,11)</f>
        <v>0.65771759259259266</v>
      </c>
      <c r="F903" t="s">
        <v>13</v>
      </c>
      <c r="G903" t="str">
        <f t="shared" si="195"/>
        <v>-115.0,</v>
      </c>
      <c r="H903" s="21">
        <f t="shared" si="176"/>
        <v>-115</v>
      </c>
      <c r="I903">
        <f t="shared" si="196"/>
        <v>-9.5</v>
      </c>
      <c r="L903">
        <f>160+2*(Table2579[[#This Row],[min value (corrected)]]-23)</f>
        <v>186</v>
      </c>
      <c r="M903">
        <f>MINUTE(Table2579[[#This Row],[Corrected time]])</f>
        <v>36</v>
      </c>
      <c r="N903" s="1">
        <v>0.65027932870370364</v>
      </c>
      <c r="O903" s="1">
        <f>Table2579[[#This Row],[Time]]-TIME(0,0,10)</f>
        <v>0.65016358796296292</v>
      </c>
      <c r="P903" t="s">
        <v>13</v>
      </c>
      <c r="Q903">
        <f t="shared" ref="Q903:Q924" si="199">Q902</f>
        <v>-115</v>
      </c>
      <c r="R903" s="21">
        <f>Table2579[[#This Row],[RSSI]]</f>
        <v>-115</v>
      </c>
      <c r="S903">
        <f t="shared" ref="S903:S924" si="200">S902</f>
        <v>-10</v>
      </c>
    </row>
    <row r="904" spans="2:19" x14ac:dyDescent="0.25">
      <c r="B904">
        <f>160+2*(Table1468[[#This Row],[min value (corrected)]]-32)</f>
        <v>190</v>
      </c>
      <c r="C904">
        <f>MINUTE(Table1468[[#This Row],[Corrected time]])</f>
        <v>47</v>
      </c>
      <c r="D904" s="1">
        <v>0.6578570949074074</v>
      </c>
      <c r="E904" s="1">
        <f>Table1468[[#This Row],[Time]]-TIME(0,0,11)</f>
        <v>0.65772978009259264</v>
      </c>
      <c r="F904" t="s">
        <v>9</v>
      </c>
      <c r="G904" t="s">
        <v>43</v>
      </c>
      <c r="H904" s="21">
        <f t="shared" si="176"/>
        <v>-115</v>
      </c>
      <c r="I904">
        <v>-9.8000000000000007</v>
      </c>
      <c r="L904">
        <f>160+2*(Table2579[[#This Row],[min value (corrected)]]-23)</f>
        <v>186</v>
      </c>
      <c r="M904">
        <f>MINUTE(Table2579[[#This Row],[Corrected time]])</f>
        <v>36</v>
      </c>
      <c r="N904" s="1">
        <v>0.65029151620370373</v>
      </c>
      <c r="O904" s="1">
        <f>Table2579[[#This Row],[Time]]-TIME(0,0,10)</f>
        <v>0.65017577546296301</v>
      </c>
      <c r="P904" t="s">
        <v>13</v>
      </c>
      <c r="Q904">
        <f t="shared" si="199"/>
        <v>-115</v>
      </c>
      <c r="R904" s="21">
        <f>Table2579[[#This Row],[RSSI]]</f>
        <v>-115</v>
      </c>
      <c r="S904">
        <f t="shared" si="200"/>
        <v>-10</v>
      </c>
    </row>
    <row r="905" spans="2:19" x14ac:dyDescent="0.25">
      <c r="B905">
        <f>160+2*(Table1468[[#This Row],[min value (corrected)]]-32)</f>
        <v>190</v>
      </c>
      <c r="C905">
        <f>MINUTE(Table1468[[#This Row],[Corrected time]])</f>
        <v>47</v>
      </c>
      <c r="D905" s="1">
        <v>0.65786928240740739</v>
      </c>
      <c r="E905" s="1">
        <f>Table1468[[#This Row],[Time]]-TIME(0,0,11)</f>
        <v>0.65774196759259262</v>
      </c>
      <c r="F905" t="s">
        <v>9</v>
      </c>
      <c r="G905" t="s">
        <v>43</v>
      </c>
      <c r="H905" s="21">
        <f t="shared" si="176"/>
        <v>-115</v>
      </c>
      <c r="I905">
        <v>-9.3000000000000007</v>
      </c>
      <c r="L905">
        <f>160+2*(Table2579[[#This Row],[min value (corrected)]]-23)</f>
        <v>186</v>
      </c>
      <c r="M905">
        <f>MINUTE(Table2579[[#This Row],[Corrected time]])</f>
        <v>36</v>
      </c>
      <c r="N905" s="1">
        <v>0.65030371527777775</v>
      </c>
      <c r="O905" s="1">
        <f>Table2579[[#This Row],[Time]]-TIME(0,0,10)</f>
        <v>0.65018797453703703</v>
      </c>
      <c r="P905" t="s">
        <v>13</v>
      </c>
      <c r="Q905">
        <f t="shared" si="199"/>
        <v>-115</v>
      </c>
      <c r="R905" s="21">
        <f>Table2579[[#This Row],[RSSI]]</f>
        <v>-115</v>
      </c>
      <c r="S905">
        <f t="shared" si="200"/>
        <v>-10</v>
      </c>
    </row>
    <row r="906" spans="2:19" x14ac:dyDescent="0.25">
      <c r="B906">
        <f>160+2*(Table1468[[#This Row],[min value (corrected)]]-32)</f>
        <v>190</v>
      </c>
      <c r="C906">
        <f>MINUTE(Table1468[[#This Row],[Corrected time]])</f>
        <v>47</v>
      </c>
      <c r="D906" s="1">
        <v>0.6578814467592593</v>
      </c>
      <c r="E906" s="1">
        <f>Table1468[[#This Row],[Time]]-TIME(0,0,11)</f>
        <v>0.65775413194444454</v>
      </c>
      <c r="F906" t="s">
        <v>13</v>
      </c>
      <c r="G906" t="str">
        <f t="shared" ref="G906:G910" si="201">G905</f>
        <v>-115.0,</v>
      </c>
      <c r="H906" s="21">
        <f t="shared" si="176"/>
        <v>-115</v>
      </c>
      <c r="I906">
        <f t="shared" ref="I906:I910" si="202">I905</f>
        <v>-9.3000000000000007</v>
      </c>
      <c r="L906">
        <f>160+2*(Table2579[[#This Row],[min value (corrected)]]-23)</f>
        <v>186</v>
      </c>
      <c r="M906">
        <f>MINUTE(Table2579[[#This Row],[Corrected time]])</f>
        <v>36</v>
      </c>
      <c r="N906" s="1">
        <v>0.65031590277777784</v>
      </c>
      <c r="O906" s="1">
        <f>Table2579[[#This Row],[Time]]-TIME(0,0,10)</f>
        <v>0.65020016203703712</v>
      </c>
      <c r="P906" t="s">
        <v>13</v>
      </c>
      <c r="Q906">
        <f t="shared" si="199"/>
        <v>-115</v>
      </c>
      <c r="R906" s="21">
        <f>Table2579[[#This Row],[RSSI]]</f>
        <v>-115</v>
      </c>
      <c r="S906">
        <f t="shared" si="200"/>
        <v>-10</v>
      </c>
    </row>
    <row r="907" spans="2:19" x14ac:dyDescent="0.25">
      <c r="B907">
        <f>160+2*(Table1468[[#This Row],[min value (corrected)]]-32)</f>
        <v>190</v>
      </c>
      <c r="C907">
        <f>MINUTE(Table1468[[#This Row],[Corrected time]])</f>
        <v>47</v>
      </c>
      <c r="D907" s="1">
        <v>0.65789364583333332</v>
      </c>
      <c r="E907" s="1">
        <f>Table1468[[#This Row],[Time]]-TIME(0,0,11)</f>
        <v>0.65776633101851856</v>
      </c>
      <c r="F907" t="s">
        <v>13</v>
      </c>
      <c r="G907" t="str">
        <f t="shared" si="201"/>
        <v>-115.0,</v>
      </c>
      <c r="H907" s="21">
        <f t="shared" si="176"/>
        <v>-115</v>
      </c>
      <c r="I907">
        <f t="shared" si="202"/>
        <v>-9.3000000000000007</v>
      </c>
      <c r="L907">
        <f>160+2*(Table2579[[#This Row],[min value (corrected)]]-23)</f>
        <v>186</v>
      </c>
      <c r="M907">
        <f>MINUTE(Table2579[[#This Row],[Corrected time]])</f>
        <v>36</v>
      </c>
      <c r="N907" s="1">
        <v>0.65032807870370368</v>
      </c>
      <c r="O907" s="1">
        <f>Table2579[[#This Row],[Time]]-TIME(0,0,10)</f>
        <v>0.65021233796296296</v>
      </c>
      <c r="P907" t="s">
        <v>13</v>
      </c>
      <c r="Q907">
        <f t="shared" si="199"/>
        <v>-115</v>
      </c>
      <c r="R907" s="21">
        <f>Table2579[[#This Row],[RSSI]]</f>
        <v>-115</v>
      </c>
      <c r="S907">
        <f t="shared" si="200"/>
        <v>-10</v>
      </c>
    </row>
    <row r="908" spans="2:19" x14ac:dyDescent="0.25">
      <c r="B908">
        <f>160+2*(Table1468[[#This Row],[min value (corrected)]]-32)</f>
        <v>190</v>
      </c>
      <c r="C908">
        <f>MINUTE(Table1468[[#This Row],[Corrected time]])</f>
        <v>47</v>
      </c>
      <c r="D908" s="1">
        <v>0.65790584490740744</v>
      </c>
      <c r="E908" s="1">
        <f>Table1468[[#This Row],[Time]]-TIME(0,0,11)</f>
        <v>0.65777853009259268</v>
      </c>
      <c r="F908" t="s">
        <v>13</v>
      </c>
      <c r="G908" t="str">
        <f t="shared" si="201"/>
        <v>-115.0,</v>
      </c>
      <c r="H908" s="21">
        <f t="shared" si="176"/>
        <v>-115</v>
      </c>
      <c r="I908">
        <f t="shared" si="202"/>
        <v>-9.3000000000000007</v>
      </c>
      <c r="L908">
        <f>160+2*(Table2579[[#This Row],[min value (corrected)]]-23)</f>
        <v>186</v>
      </c>
      <c r="M908">
        <f>MINUTE(Table2579[[#This Row],[Corrected time]])</f>
        <v>36</v>
      </c>
      <c r="N908" s="1">
        <v>0.65034027777777781</v>
      </c>
      <c r="O908" s="1">
        <f>Table2579[[#This Row],[Time]]-TIME(0,0,10)</f>
        <v>0.65022453703703709</v>
      </c>
      <c r="P908" t="s">
        <v>13</v>
      </c>
      <c r="Q908">
        <f t="shared" si="199"/>
        <v>-115</v>
      </c>
      <c r="R908" s="21">
        <f>Table2579[[#This Row],[RSSI]]</f>
        <v>-115</v>
      </c>
      <c r="S908">
        <f t="shared" si="200"/>
        <v>-10</v>
      </c>
    </row>
    <row r="909" spans="2:19" x14ac:dyDescent="0.25">
      <c r="B909">
        <f>160+2*(Table1468[[#This Row],[min value (corrected)]]-32)</f>
        <v>190</v>
      </c>
      <c r="C909">
        <f>MINUTE(Table1468[[#This Row],[Corrected time]])</f>
        <v>47</v>
      </c>
      <c r="D909" s="1">
        <v>0.65791803240740743</v>
      </c>
      <c r="E909" s="1">
        <f>Table1468[[#This Row],[Time]]-TIME(0,0,11)</f>
        <v>0.65779071759259267</v>
      </c>
      <c r="F909" t="s">
        <v>27</v>
      </c>
      <c r="G909" t="str">
        <f t="shared" si="201"/>
        <v>-115.0,</v>
      </c>
      <c r="H909" s="21">
        <f t="shared" si="176"/>
        <v>-115</v>
      </c>
      <c r="I909">
        <f t="shared" si="202"/>
        <v>-9.3000000000000007</v>
      </c>
      <c r="L909">
        <f>160+2*(Table2579[[#This Row],[min value (corrected)]]-23)</f>
        <v>186</v>
      </c>
      <c r="M909">
        <f>MINUTE(Table2579[[#This Row],[Corrected time]])</f>
        <v>36</v>
      </c>
      <c r="N909" s="1">
        <v>0.65035246527777779</v>
      </c>
      <c r="O909" s="1">
        <f>Table2579[[#This Row],[Time]]-TIME(0,0,10)</f>
        <v>0.65023672453703707</v>
      </c>
      <c r="P909" t="s">
        <v>13</v>
      </c>
      <c r="Q909">
        <f t="shared" si="199"/>
        <v>-115</v>
      </c>
      <c r="R909" s="21">
        <f>Table2579[[#This Row],[RSSI]]</f>
        <v>-115</v>
      </c>
      <c r="S909">
        <f t="shared" si="200"/>
        <v>-10</v>
      </c>
    </row>
    <row r="910" spans="2:19" x14ac:dyDescent="0.25">
      <c r="B910">
        <f>160+2*(Table1468[[#This Row],[min value (corrected)]]-32)</f>
        <v>190</v>
      </c>
      <c r="C910">
        <f>MINUTE(Table1468[[#This Row],[Corrected time]])</f>
        <v>47</v>
      </c>
      <c r="D910" s="1">
        <v>0.65794240740740739</v>
      </c>
      <c r="E910" s="1">
        <f>Table1468[[#This Row],[Time]]-TIME(0,0,11)</f>
        <v>0.65781509259259263</v>
      </c>
      <c r="F910" t="s">
        <v>13</v>
      </c>
      <c r="G910" t="str">
        <f t="shared" si="201"/>
        <v>-115.0,</v>
      </c>
      <c r="H910" s="21">
        <f t="shared" si="176"/>
        <v>-115</v>
      </c>
      <c r="I910">
        <f t="shared" si="202"/>
        <v>-9.3000000000000007</v>
      </c>
      <c r="L910">
        <f>160+2*(Table2579[[#This Row],[min value (corrected)]]-23)</f>
        <v>186</v>
      </c>
      <c r="M910">
        <f>MINUTE(Table2579[[#This Row],[Corrected time]])</f>
        <v>36</v>
      </c>
      <c r="N910" s="1">
        <v>0.65036465277777777</v>
      </c>
      <c r="O910" s="1">
        <f>Table2579[[#This Row],[Time]]-TIME(0,0,10)</f>
        <v>0.65024891203703705</v>
      </c>
      <c r="P910" t="s">
        <v>13</v>
      </c>
      <c r="Q910">
        <f t="shared" si="199"/>
        <v>-115</v>
      </c>
      <c r="R910" s="21">
        <f>Table2579[[#This Row],[RSSI]]</f>
        <v>-115</v>
      </c>
      <c r="S910">
        <f t="shared" si="200"/>
        <v>-10</v>
      </c>
    </row>
    <row r="911" spans="2:19" x14ac:dyDescent="0.25">
      <c r="B911">
        <f>160+2*(Table1468[[#This Row],[min value (corrected)]]-32)</f>
        <v>190</v>
      </c>
      <c r="C911">
        <f>MINUTE(Table1468[[#This Row],[Corrected time]])</f>
        <v>47</v>
      </c>
      <c r="D911" s="1">
        <v>0.65795458333333334</v>
      </c>
      <c r="E911" s="1">
        <f>Table1468[[#This Row],[Time]]-TIME(0,0,11)</f>
        <v>0.65782726851851858</v>
      </c>
      <c r="F911" t="s">
        <v>9</v>
      </c>
      <c r="G911" t="s">
        <v>43</v>
      </c>
      <c r="H911" s="21">
        <f t="shared" si="176"/>
        <v>-115</v>
      </c>
      <c r="I911">
        <v>-9.3000000000000007</v>
      </c>
      <c r="L911">
        <f>160+2*(Table2579[[#This Row],[min value (corrected)]]-23)</f>
        <v>186</v>
      </c>
      <c r="M911">
        <f>MINUTE(Table2579[[#This Row],[Corrected time]])</f>
        <v>36</v>
      </c>
      <c r="N911" s="1">
        <v>0.65037684027777776</v>
      </c>
      <c r="O911" s="1">
        <f>Table2579[[#This Row],[Time]]-TIME(0,0,10)</f>
        <v>0.65026109953703704</v>
      </c>
      <c r="P911" t="s">
        <v>13</v>
      </c>
      <c r="Q911">
        <f t="shared" si="199"/>
        <v>-115</v>
      </c>
      <c r="R911" s="21">
        <f>Table2579[[#This Row],[RSSI]]</f>
        <v>-115</v>
      </c>
      <c r="S911">
        <f t="shared" si="200"/>
        <v>-10</v>
      </c>
    </row>
    <row r="912" spans="2:19" x14ac:dyDescent="0.25">
      <c r="B912">
        <f>160+2*(Table1468[[#This Row],[min value (corrected)]]-32)</f>
        <v>190</v>
      </c>
      <c r="C912">
        <f>MINUTE(Table1468[[#This Row],[Corrected time]])</f>
        <v>47</v>
      </c>
      <c r="D912" s="1">
        <v>0.65796678240740747</v>
      </c>
      <c r="E912" s="1">
        <f>Table1468[[#This Row],[Time]]-TIME(0,0,11)</f>
        <v>0.65783946759259271</v>
      </c>
      <c r="F912" t="s">
        <v>9</v>
      </c>
      <c r="G912" t="s">
        <v>43</v>
      </c>
      <c r="H912" s="21">
        <f t="shared" si="176"/>
        <v>-115</v>
      </c>
      <c r="I912">
        <v>-9.8000000000000007</v>
      </c>
      <c r="L912">
        <f>160+2*(Table2579[[#This Row],[min value (corrected)]]-23)</f>
        <v>186</v>
      </c>
      <c r="M912">
        <f>MINUTE(Table2579[[#This Row],[Corrected time]])</f>
        <v>36</v>
      </c>
      <c r="N912" s="1">
        <v>0.65038902777777774</v>
      </c>
      <c r="O912" s="1">
        <f>Table2579[[#This Row],[Time]]-TIME(0,0,10)</f>
        <v>0.65027328703703702</v>
      </c>
      <c r="P912" t="s">
        <v>13</v>
      </c>
      <c r="Q912">
        <f t="shared" si="199"/>
        <v>-115</v>
      </c>
      <c r="R912" s="21">
        <f>Table2579[[#This Row],[RSSI]]</f>
        <v>-115</v>
      </c>
      <c r="S912">
        <f t="shared" si="200"/>
        <v>-10</v>
      </c>
    </row>
    <row r="913" spans="2:19" x14ac:dyDescent="0.25">
      <c r="B913">
        <f>160+2*(Table1468[[#This Row],[min value (corrected)]]-32)</f>
        <v>190</v>
      </c>
      <c r="C913">
        <f>MINUTE(Table1468[[#This Row],[Corrected time]])</f>
        <v>47</v>
      </c>
      <c r="D913" s="1">
        <v>0.65797896990740745</v>
      </c>
      <c r="E913" s="1">
        <f>Table1468[[#This Row],[Time]]-TIME(0,0,11)</f>
        <v>0.65785165509259269</v>
      </c>
      <c r="F913" t="s">
        <v>13</v>
      </c>
      <c r="G913" t="str">
        <f t="shared" ref="G913:G916" si="203">G912</f>
        <v>-115.0,</v>
      </c>
      <c r="H913" s="21">
        <f t="shared" si="176"/>
        <v>-115</v>
      </c>
      <c r="I913">
        <f t="shared" ref="I913:I916" si="204">I912</f>
        <v>-9.8000000000000007</v>
      </c>
      <c r="L913">
        <f>160+2*(Table2579[[#This Row],[min value (corrected)]]-23)</f>
        <v>186</v>
      </c>
      <c r="M913">
        <f>MINUTE(Table2579[[#This Row],[Corrected time]])</f>
        <v>36</v>
      </c>
      <c r="N913" s="1">
        <v>0.65040120370370369</v>
      </c>
      <c r="O913" s="1">
        <f>Table2579[[#This Row],[Time]]-TIME(0,0,10)</f>
        <v>0.65028546296296297</v>
      </c>
      <c r="P913" t="s">
        <v>13</v>
      </c>
      <c r="Q913">
        <f t="shared" si="199"/>
        <v>-115</v>
      </c>
      <c r="R913" s="21">
        <f>Table2579[[#This Row],[RSSI]]</f>
        <v>-115</v>
      </c>
      <c r="S913">
        <f t="shared" si="200"/>
        <v>-10</v>
      </c>
    </row>
    <row r="914" spans="2:19" x14ac:dyDescent="0.25">
      <c r="B914">
        <f>160+2*(Table1468[[#This Row],[min value (corrected)]]-32)</f>
        <v>190</v>
      </c>
      <c r="C914">
        <f>MINUTE(Table1468[[#This Row],[Corrected time]])</f>
        <v>47</v>
      </c>
      <c r="D914" s="1">
        <v>0.65799115740740743</v>
      </c>
      <c r="E914" s="1">
        <f>Table1468[[#This Row],[Time]]-TIME(0,0,11)</f>
        <v>0.65786384259259267</v>
      </c>
      <c r="F914" t="s">
        <v>13</v>
      </c>
      <c r="G914" t="str">
        <f t="shared" si="203"/>
        <v>-115.0,</v>
      </c>
      <c r="H914" s="21">
        <f t="shared" si="176"/>
        <v>-115</v>
      </c>
      <c r="I914">
        <f t="shared" si="204"/>
        <v>-9.8000000000000007</v>
      </c>
      <c r="L914">
        <f>160+2*(Table2579[[#This Row],[min value (corrected)]]-23)</f>
        <v>186</v>
      </c>
      <c r="M914">
        <f>MINUTE(Table2579[[#This Row],[Corrected time]])</f>
        <v>36</v>
      </c>
      <c r="N914" s="1">
        <v>0.65041340277777782</v>
      </c>
      <c r="O914" s="1">
        <f>Table2579[[#This Row],[Time]]-TIME(0,0,10)</f>
        <v>0.65029766203703709</v>
      </c>
      <c r="P914" t="s">
        <v>13</v>
      </c>
      <c r="Q914">
        <f t="shared" si="199"/>
        <v>-115</v>
      </c>
      <c r="R914" s="21">
        <f>Table2579[[#This Row],[RSSI]]</f>
        <v>-115</v>
      </c>
      <c r="S914">
        <f t="shared" si="200"/>
        <v>-10</v>
      </c>
    </row>
    <row r="915" spans="2:19" x14ac:dyDescent="0.25">
      <c r="B915">
        <f>160+2*(Table1468[[#This Row],[min value (corrected)]]-32)</f>
        <v>190</v>
      </c>
      <c r="C915">
        <f>MINUTE(Table1468[[#This Row],[Corrected time]])</f>
        <v>47</v>
      </c>
      <c r="D915" s="1">
        <v>0.65800334490740742</v>
      </c>
      <c r="E915" s="1">
        <f>Table1468[[#This Row],[Time]]-TIME(0,0,11)</f>
        <v>0.65787603009259266</v>
      </c>
      <c r="F915" t="s">
        <v>13</v>
      </c>
      <c r="G915" t="str">
        <f t="shared" si="203"/>
        <v>-115.0,</v>
      </c>
      <c r="H915" s="21">
        <f t="shared" si="176"/>
        <v>-115</v>
      </c>
      <c r="I915">
        <f t="shared" si="204"/>
        <v>-9.8000000000000007</v>
      </c>
      <c r="L915">
        <f>160+2*(Table2579[[#This Row],[min value (corrected)]]-23)</f>
        <v>186</v>
      </c>
      <c r="M915">
        <f>MINUTE(Table2579[[#This Row],[Corrected time]])</f>
        <v>36</v>
      </c>
      <c r="N915" s="1">
        <v>0.6504255902777778</v>
      </c>
      <c r="O915" s="1">
        <f>Table2579[[#This Row],[Time]]-TIME(0,0,10)</f>
        <v>0.65030984953703708</v>
      </c>
      <c r="P915" t="s">
        <v>13</v>
      </c>
      <c r="Q915">
        <f t="shared" si="199"/>
        <v>-115</v>
      </c>
      <c r="R915" s="21">
        <f>Table2579[[#This Row],[RSSI]]</f>
        <v>-115</v>
      </c>
      <c r="S915">
        <f t="shared" si="200"/>
        <v>-10</v>
      </c>
    </row>
    <row r="916" spans="2:19" x14ac:dyDescent="0.25">
      <c r="B916">
        <f>160+2*(Table1468[[#This Row],[min value (corrected)]]-32)</f>
        <v>190</v>
      </c>
      <c r="C916">
        <f>MINUTE(Table1468[[#This Row],[Corrected time]])</f>
        <v>47</v>
      </c>
      <c r="D916" s="1">
        <v>0.6580155324074074</v>
      </c>
      <c r="E916" s="1">
        <f>Table1468[[#This Row],[Time]]-TIME(0,0,11)</f>
        <v>0.65788821759259264</v>
      </c>
      <c r="F916" t="s">
        <v>27</v>
      </c>
      <c r="G916" t="str">
        <f t="shared" si="203"/>
        <v>-115.0,</v>
      </c>
      <c r="H916" s="21">
        <f t="shared" si="176"/>
        <v>-115</v>
      </c>
      <c r="I916">
        <f t="shared" si="204"/>
        <v>-9.8000000000000007</v>
      </c>
      <c r="L916">
        <f>160+2*(Table2579[[#This Row],[min value (corrected)]]-23)</f>
        <v>186</v>
      </c>
      <c r="M916">
        <f>MINUTE(Table2579[[#This Row],[Corrected time]])</f>
        <v>36</v>
      </c>
      <c r="N916" s="1">
        <v>0.65043777777777778</v>
      </c>
      <c r="O916" s="1">
        <f>Table2579[[#This Row],[Time]]-TIME(0,0,10)</f>
        <v>0.65032203703703706</v>
      </c>
      <c r="P916" t="s">
        <v>13</v>
      </c>
      <c r="Q916">
        <f t="shared" si="199"/>
        <v>-115</v>
      </c>
      <c r="R916" s="21">
        <f>Table2579[[#This Row],[RSSI]]</f>
        <v>-115</v>
      </c>
      <c r="S916">
        <f t="shared" si="200"/>
        <v>-10</v>
      </c>
    </row>
    <row r="917" spans="2:19" x14ac:dyDescent="0.25">
      <c r="B917">
        <f>160+2*(Table1468[[#This Row],[min value (corrected)]]-32)</f>
        <v>190</v>
      </c>
      <c r="C917">
        <f>MINUTE(Table1468[[#This Row],[Corrected time]])</f>
        <v>47</v>
      </c>
      <c r="D917" s="1">
        <v>0.6580155324074074</v>
      </c>
      <c r="E917" s="1">
        <f>Table1468[[#This Row],[Time]]-TIME(0,0,11)</f>
        <v>0.65788821759259264</v>
      </c>
      <c r="F917" t="s">
        <v>9</v>
      </c>
      <c r="G917" t="s">
        <v>39</v>
      </c>
      <c r="H917" s="21">
        <f t="shared" si="176"/>
        <v>-114</v>
      </c>
      <c r="I917">
        <v>-8.5</v>
      </c>
      <c r="L917">
        <f>160+2*(Table2579[[#This Row],[min value (corrected)]]-23)</f>
        <v>186</v>
      </c>
      <c r="M917">
        <f>MINUTE(Table2579[[#This Row],[Corrected time]])</f>
        <v>36</v>
      </c>
      <c r="N917" s="1">
        <v>0.65044995370370362</v>
      </c>
      <c r="O917" s="1">
        <f>Table2579[[#This Row],[Time]]-TIME(0,0,10)</f>
        <v>0.6503342129629629</v>
      </c>
      <c r="P917" t="s">
        <v>13</v>
      </c>
      <c r="Q917">
        <f t="shared" si="199"/>
        <v>-115</v>
      </c>
      <c r="R917" s="21">
        <f>Table2579[[#This Row],[RSSI]]</f>
        <v>-115</v>
      </c>
      <c r="S917">
        <f t="shared" si="200"/>
        <v>-10</v>
      </c>
    </row>
    <row r="918" spans="2:19" x14ac:dyDescent="0.25">
      <c r="B918">
        <f>160+2*(Table1468[[#This Row],[min value (corrected)]]-32)</f>
        <v>190</v>
      </c>
      <c r="C918">
        <f>MINUTE(Table1468[[#This Row],[Corrected time]])</f>
        <v>47</v>
      </c>
      <c r="D918" s="1">
        <v>0.65803989583333333</v>
      </c>
      <c r="E918" s="1">
        <f>Table1468[[#This Row],[Time]]-TIME(0,0,11)</f>
        <v>0.65791258101851857</v>
      </c>
      <c r="F918" t="s">
        <v>13</v>
      </c>
      <c r="G918" t="str">
        <f t="shared" ref="G918:G919" si="205">G917</f>
        <v>-114.0,</v>
      </c>
      <c r="H918" s="21">
        <f t="shared" si="176"/>
        <v>-114</v>
      </c>
      <c r="I918">
        <f t="shared" ref="I918:I919" si="206">I917</f>
        <v>-8.5</v>
      </c>
      <c r="L918">
        <f>160+2*(Table2579[[#This Row],[min value (corrected)]]-23)</f>
        <v>186</v>
      </c>
      <c r="M918">
        <f>MINUTE(Table2579[[#This Row],[Corrected time]])</f>
        <v>36</v>
      </c>
      <c r="N918" s="1">
        <v>0.65046215277777775</v>
      </c>
      <c r="O918" s="1">
        <f>Table2579[[#This Row],[Time]]-TIME(0,0,10)</f>
        <v>0.65034641203703702</v>
      </c>
      <c r="P918" t="s">
        <v>13</v>
      </c>
      <c r="Q918">
        <f t="shared" si="199"/>
        <v>-115</v>
      </c>
      <c r="R918" s="21">
        <f>Table2579[[#This Row],[RSSI]]</f>
        <v>-115</v>
      </c>
      <c r="S918">
        <f t="shared" si="200"/>
        <v>-10</v>
      </c>
    </row>
    <row r="919" spans="2:19" x14ac:dyDescent="0.25">
      <c r="B919">
        <f>160+2*(Table1468[[#This Row],[min value (corrected)]]-32)</f>
        <v>190</v>
      </c>
      <c r="C919">
        <f>MINUTE(Table1468[[#This Row],[Corrected time]])</f>
        <v>47</v>
      </c>
      <c r="D919" s="1">
        <v>0.65805208333333332</v>
      </c>
      <c r="E919" s="1">
        <f>Table1468[[#This Row],[Time]]-TIME(0,0,11)</f>
        <v>0.65792476851851855</v>
      </c>
      <c r="F919" t="s">
        <v>27</v>
      </c>
      <c r="G919" t="str">
        <f t="shared" si="205"/>
        <v>-114.0,</v>
      </c>
      <c r="H919" s="21">
        <f t="shared" si="176"/>
        <v>-114</v>
      </c>
      <c r="I919">
        <f t="shared" si="206"/>
        <v>-8.5</v>
      </c>
      <c r="L919">
        <f>160+2*(Table2579[[#This Row],[min value (corrected)]]-23)</f>
        <v>186</v>
      </c>
      <c r="M919">
        <f>MINUTE(Table2579[[#This Row],[Corrected time]])</f>
        <v>36</v>
      </c>
      <c r="N919" s="1">
        <v>0.65047434027777773</v>
      </c>
      <c r="O919" s="1">
        <f>Table2579[[#This Row],[Time]]-TIME(0,0,10)</f>
        <v>0.65035859953703701</v>
      </c>
      <c r="P919" t="s">
        <v>13</v>
      </c>
      <c r="Q919">
        <f t="shared" si="199"/>
        <v>-115</v>
      </c>
      <c r="R919" s="21">
        <f>Table2579[[#This Row],[RSSI]]</f>
        <v>-115</v>
      </c>
      <c r="S919">
        <f t="shared" si="200"/>
        <v>-10</v>
      </c>
    </row>
    <row r="920" spans="2:19" x14ac:dyDescent="0.25">
      <c r="B920">
        <f>160+2*(Table1468[[#This Row],[min value (corrected)]]-32)</f>
        <v>190</v>
      </c>
      <c r="C920">
        <f>MINUTE(Table1468[[#This Row],[Corrected time]])</f>
        <v>47</v>
      </c>
      <c r="D920" s="1">
        <v>0.65805208333333332</v>
      </c>
      <c r="E920" s="1">
        <f>Table1468[[#This Row],[Time]]-TIME(0,0,11)</f>
        <v>0.65792476851851855</v>
      </c>
      <c r="F920" t="s">
        <v>9</v>
      </c>
      <c r="G920" t="s">
        <v>43</v>
      </c>
      <c r="H920" s="21">
        <f t="shared" si="176"/>
        <v>-115</v>
      </c>
      <c r="I920">
        <v>-9.8000000000000007</v>
      </c>
      <c r="L920">
        <f>160+2*(Table2579[[#This Row],[min value (corrected)]]-23)</f>
        <v>186</v>
      </c>
      <c r="M920">
        <f>MINUTE(Table2579[[#This Row],[Corrected time]])</f>
        <v>36</v>
      </c>
      <c r="N920" s="1">
        <v>0.65048652777777782</v>
      </c>
      <c r="O920" s="1">
        <f>Table2579[[#This Row],[Time]]-TIME(0,0,10)</f>
        <v>0.6503707870370371</v>
      </c>
      <c r="P920" t="s">
        <v>13</v>
      </c>
      <c r="Q920">
        <f t="shared" si="199"/>
        <v>-115</v>
      </c>
      <c r="R920" s="21">
        <f>Table2579[[#This Row],[RSSI]]</f>
        <v>-115</v>
      </c>
      <c r="S920">
        <f t="shared" si="200"/>
        <v>-10</v>
      </c>
    </row>
    <row r="921" spans="2:19" x14ac:dyDescent="0.25">
      <c r="B921">
        <f>160+2*(Table1468[[#This Row],[min value (corrected)]]-32)</f>
        <v>190</v>
      </c>
      <c r="C921">
        <f>MINUTE(Table1468[[#This Row],[Corrected time]])</f>
        <v>47</v>
      </c>
      <c r="D921" s="1">
        <v>0.65807646990740742</v>
      </c>
      <c r="E921" s="1">
        <f>Table1468[[#This Row],[Time]]-TIME(0,0,11)</f>
        <v>0.65794915509259266</v>
      </c>
      <c r="F921" t="s">
        <v>13</v>
      </c>
      <c r="G921" t="str">
        <f t="shared" ref="G921:G927" si="207">G920</f>
        <v>-115.0,</v>
      </c>
      <c r="H921" s="21">
        <f t="shared" si="176"/>
        <v>-115</v>
      </c>
      <c r="I921">
        <f t="shared" ref="I921:I927" si="208">I920</f>
        <v>-9.8000000000000007</v>
      </c>
      <c r="L921">
        <f>160+2*(Table2579[[#This Row],[min value (corrected)]]-23)</f>
        <v>186</v>
      </c>
      <c r="M921">
        <f>MINUTE(Table2579[[#This Row],[Corrected time]])</f>
        <v>36</v>
      </c>
      <c r="N921" s="1">
        <v>0.65049871527777781</v>
      </c>
      <c r="O921" s="1">
        <f>Table2579[[#This Row],[Time]]-TIME(0,0,10)</f>
        <v>0.65038297453703708</v>
      </c>
      <c r="P921" t="s">
        <v>13</v>
      </c>
      <c r="Q921">
        <f t="shared" si="199"/>
        <v>-115</v>
      </c>
      <c r="R921" s="21">
        <f>Table2579[[#This Row],[RSSI]]</f>
        <v>-115</v>
      </c>
      <c r="S921">
        <f t="shared" si="200"/>
        <v>-10</v>
      </c>
    </row>
    <row r="922" spans="2:19" x14ac:dyDescent="0.25">
      <c r="B922">
        <f>160+2*(Table1468[[#This Row],[min value (corrected)]]-32)</f>
        <v>190</v>
      </c>
      <c r="C922">
        <f>MINUTE(Table1468[[#This Row],[Corrected time]])</f>
        <v>47</v>
      </c>
      <c r="D922" s="1">
        <v>0.65808864583333326</v>
      </c>
      <c r="E922" s="1">
        <f>Table1468[[#This Row],[Time]]-TIME(0,0,11)</f>
        <v>0.6579613310185185</v>
      </c>
      <c r="F922" t="s">
        <v>13</v>
      </c>
      <c r="G922" t="str">
        <f t="shared" si="207"/>
        <v>-115.0,</v>
      </c>
      <c r="H922" s="21">
        <f t="shared" si="176"/>
        <v>-115</v>
      </c>
      <c r="I922">
        <f t="shared" si="208"/>
        <v>-9.8000000000000007</v>
      </c>
      <c r="L922">
        <f>160+2*(Table2579[[#This Row],[min value (corrected)]]-23)</f>
        <v>186</v>
      </c>
      <c r="M922">
        <f>MINUTE(Table2579[[#This Row],[Corrected time]])</f>
        <v>36</v>
      </c>
      <c r="N922" s="1">
        <v>0.65051089120370376</v>
      </c>
      <c r="O922" s="1">
        <f>Table2579[[#This Row],[Time]]-TIME(0,0,10)</f>
        <v>0.65039515046296303</v>
      </c>
      <c r="P922" t="s">
        <v>13</v>
      </c>
      <c r="Q922">
        <f t="shared" si="199"/>
        <v>-115</v>
      </c>
      <c r="R922" s="21">
        <f>Table2579[[#This Row],[RSSI]]</f>
        <v>-115</v>
      </c>
      <c r="S922">
        <f t="shared" si="200"/>
        <v>-10</v>
      </c>
    </row>
    <row r="923" spans="2:19" x14ac:dyDescent="0.25">
      <c r="B923">
        <f>160+2*(Table1468[[#This Row],[min value (corrected)]]-32)</f>
        <v>190</v>
      </c>
      <c r="C923">
        <f>MINUTE(Table1468[[#This Row],[Corrected time]])</f>
        <v>47</v>
      </c>
      <c r="D923" s="1">
        <v>0.65810083333333325</v>
      </c>
      <c r="E923" s="1">
        <f>Table1468[[#This Row],[Time]]-TIME(0,0,11)</f>
        <v>0.65797351851851849</v>
      </c>
      <c r="F923" t="s">
        <v>13</v>
      </c>
      <c r="G923" t="str">
        <f t="shared" si="207"/>
        <v>-115.0,</v>
      </c>
      <c r="H923" s="21">
        <f t="shared" si="176"/>
        <v>-115</v>
      </c>
      <c r="I923">
        <f t="shared" si="208"/>
        <v>-9.8000000000000007</v>
      </c>
      <c r="L923">
        <f>160+2*(Table2579[[#This Row],[min value (corrected)]]-23)</f>
        <v>186</v>
      </c>
      <c r="M923">
        <f>MINUTE(Table2579[[#This Row],[Corrected time]])</f>
        <v>36</v>
      </c>
      <c r="N923" s="1">
        <v>0.65052309027777777</v>
      </c>
      <c r="O923" s="1">
        <f>Table2579[[#This Row],[Time]]-TIME(0,0,10)</f>
        <v>0.65040734953703705</v>
      </c>
      <c r="P923" t="s">
        <v>13</v>
      </c>
      <c r="Q923">
        <f t="shared" si="199"/>
        <v>-115</v>
      </c>
      <c r="R923" s="21">
        <f>Table2579[[#This Row],[RSSI]]</f>
        <v>-115</v>
      </c>
      <c r="S923">
        <f t="shared" si="200"/>
        <v>-10</v>
      </c>
    </row>
    <row r="924" spans="2:19" x14ac:dyDescent="0.25">
      <c r="B924">
        <f>160+2*(Table1468[[#This Row],[min value (corrected)]]-32)</f>
        <v>190</v>
      </c>
      <c r="C924">
        <f>MINUTE(Table1468[[#This Row],[Corrected time]])</f>
        <v>47</v>
      </c>
      <c r="D924" s="1">
        <v>0.65811303240740737</v>
      </c>
      <c r="E924" s="1">
        <f>Table1468[[#This Row],[Time]]-TIME(0,0,11)</f>
        <v>0.65798571759259261</v>
      </c>
      <c r="F924" t="s">
        <v>13</v>
      </c>
      <c r="G924" t="str">
        <f t="shared" si="207"/>
        <v>-115.0,</v>
      </c>
      <c r="H924" s="21">
        <f t="shared" ref="H924:H963" si="209">VALUE(LEFT(G924,LEN(G924)-1))</f>
        <v>-115</v>
      </c>
      <c r="I924">
        <f t="shared" si="208"/>
        <v>-9.8000000000000007</v>
      </c>
      <c r="L924">
        <f>160+2*(Table2579[[#This Row],[min value (corrected)]]-23)</f>
        <v>186</v>
      </c>
      <c r="M924">
        <f>MINUTE(Table2579[[#This Row],[Corrected time]])</f>
        <v>36</v>
      </c>
      <c r="N924" s="1">
        <v>0.65053527777777775</v>
      </c>
      <c r="O924" s="1">
        <f>Table2579[[#This Row],[Time]]-TIME(0,0,10)</f>
        <v>0.65041953703703703</v>
      </c>
      <c r="P924" t="s">
        <v>13</v>
      </c>
      <c r="Q924">
        <f t="shared" si="199"/>
        <v>-115</v>
      </c>
      <c r="R924" s="21">
        <f>Table2579[[#This Row],[RSSI]]</f>
        <v>-115</v>
      </c>
      <c r="S924">
        <f t="shared" si="200"/>
        <v>-10</v>
      </c>
    </row>
    <row r="925" spans="2:19" x14ac:dyDescent="0.25">
      <c r="B925">
        <f>160+2*(Table1468[[#This Row],[min value (corrected)]]-32)</f>
        <v>190</v>
      </c>
      <c r="C925">
        <f>MINUTE(Table1468[[#This Row],[Corrected time]])</f>
        <v>47</v>
      </c>
      <c r="D925" s="1">
        <v>0.65812521990740736</v>
      </c>
      <c r="E925" s="1">
        <f>Table1468[[#This Row],[Time]]-TIME(0,0,11)</f>
        <v>0.65799790509259259</v>
      </c>
      <c r="F925" t="s">
        <v>13</v>
      </c>
      <c r="G925" t="str">
        <f t="shared" si="207"/>
        <v>-115.0,</v>
      </c>
      <c r="H925" s="21">
        <f t="shared" si="209"/>
        <v>-115</v>
      </c>
      <c r="I925">
        <f t="shared" si="208"/>
        <v>-9.8000000000000007</v>
      </c>
      <c r="L925">
        <f>160+2*(Table2579[[#This Row],[min value (corrected)]]-23)</f>
        <v>186</v>
      </c>
      <c r="M925">
        <f>MINUTE(Table2579[[#This Row],[Corrected time]])</f>
        <v>36</v>
      </c>
      <c r="N925" s="1">
        <v>0.6505474537037037</v>
      </c>
      <c r="O925" s="1">
        <f>Table2579[[#This Row],[Time]]-TIME(0,0,10)</f>
        <v>0.65043171296296298</v>
      </c>
      <c r="P925" t="s">
        <v>9</v>
      </c>
      <c r="Q925">
        <v>-115</v>
      </c>
      <c r="R925" s="21">
        <f>Table2579[[#This Row],[RSSI]]</f>
        <v>-115</v>
      </c>
      <c r="S925">
        <v>-9.8000000000000007</v>
      </c>
    </row>
    <row r="926" spans="2:19" x14ac:dyDescent="0.25">
      <c r="B926">
        <f>160+2*(Table1468[[#This Row],[min value (corrected)]]-32)</f>
        <v>190</v>
      </c>
      <c r="C926">
        <f>MINUTE(Table1468[[#This Row],[Corrected time]])</f>
        <v>47</v>
      </c>
      <c r="D926" s="1">
        <v>0.65813740740740745</v>
      </c>
      <c r="E926" s="1">
        <f>Table1468[[#This Row],[Time]]-TIME(0,0,11)</f>
        <v>0.65801009259259269</v>
      </c>
      <c r="F926" t="s">
        <v>13</v>
      </c>
      <c r="G926" t="str">
        <f t="shared" si="207"/>
        <v>-115.0,</v>
      </c>
      <c r="H926" s="21">
        <f t="shared" si="209"/>
        <v>-115</v>
      </c>
      <c r="I926">
        <f t="shared" si="208"/>
        <v>-9.8000000000000007</v>
      </c>
      <c r="L926">
        <f>160+2*(Table2579[[#This Row],[min value (corrected)]]-23)</f>
        <v>186</v>
      </c>
      <c r="M926">
        <f>MINUTE(Table2579[[#This Row],[Corrected time]])</f>
        <v>36</v>
      </c>
      <c r="N926" s="1">
        <v>0.65055964120370369</v>
      </c>
      <c r="O926" s="1">
        <f>Table2579[[#This Row],[Time]]-TIME(0,0,10)</f>
        <v>0.65044390046296297</v>
      </c>
      <c r="P926" t="s">
        <v>13</v>
      </c>
      <c r="Q926">
        <f t="shared" ref="Q926:Q935" si="210">Q925</f>
        <v>-115</v>
      </c>
      <c r="R926" s="21">
        <f>Table2579[[#This Row],[RSSI]]</f>
        <v>-115</v>
      </c>
      <c r="S926">
        <f t="shared" ref="S926:S935" si="211">S925</f>
        <v>-9.8000000000000007</v>
      </c>
    </row>
    <row r="927" spans="2:19" x14ac:dyDescent="0.25">
      <c r="B927">
        <f>160+2*(Table1468[[#This Row],[min value (corrected)]]-32)</f>
        <v>190</v>
      </c>
      <c r="C927">
        <f>MINUTE(Table1468[[#This Row],[Corrected time]])</f>
        <v>47</v>
      </c>
      <c r="D927" s="1">
        <v>0.65814959490740743</v>
      </c>
      <c r="E927" s="1">
        <f>Table1468[[#This Row],[Time]]-TIME(0,0,11)</f>
        <v>0.65802228009259267</v>
      </c>
      <c r="F927" t="s">
        <v>13</v>
      </c>
      <c r="G927" t="str">
        <f t="shared" si="207"/>
        <v>-115.0,</v>
      </c>
      <c r="H927" s="21">
        <f t="shared" si="209"/>
        <v>-115</v>
      </c>
      <c r="I927">
        <f t="shared" si="208"/>
        <v>-9.8000000000000007</v>
      </c>
      <c r="L927">
        <f>160+2*(Table2579[[#This Row],[min value (corrected)]]-23)</f>
        <v>186</v>
      </c>
      <c r="M927">
        <f>MINUTE(Table2579[[#This Row],[Corrected time]])</f>
        <v>36</v>
      </c>
      <c r="N927" s="1">
        <v>0.65057184027777781</v>
      </c>
      <c r="O927" s="1">
        <f>Table2579[[#This Row],[Time]]-TIME(0,0,10)</f>
        <v>0.65045609953703709</v>
      </c>
      <c r="P927" t="s">
        <v>13</v>
      </c>
      <c r="Q927">
        <f t="shared" si="210"/>
        <v>-115</v>
      </c>
      <c r="R927" s="21">
        <f>Table2579[[#This Row],[RSSI]]</f>
        <v>-115</v>
      </c>
      <c r="S927">
        <f t="shared" si="211"/>
        <v>-9.8000000000000007</v>
      </c>
    </row>
    <row r="928" spans="2:19" x14ac:dyDescent="0.25">
      <c r="B928">
        <f>160+2*(Table1468[[#This Row],[min value (corrected)]]-32)</f>
        <v>190</v>
      </c>
      <c r="C928">
        <f>MINUTE(Table1468[[#This Row],[Corrected time]])</f>
        <v>47</v>
      </c>
      <c r="D928" s="1">
        <v>0.65816177083333338</v>
      </c>
      <c r="E928" s="1">
        <f>Table1468[[#This Row],[Time]]-TIME(0,0,11)</f>
        <v>0.65803445601851862</v>
      </c>
      <c r="F928" t="s">
        <v>9</v>
      </c>
      <c r="G928" t="s">
        <v>39</v>
      </c>
      <c r="H928" s="21">
        <f t="shared" si="209"/>
        <v>-114</v>
      </c>
      <c r="I928">
        <v>-9.3000000000000007</v>
      </c>
      <c r="L928">
        <f>160+2*(Table2579[[#This Row],[min value (corrected)]]-23)</f>
        <v>186</v>
      </c>
      <c r="M928">
        <f>MINUTE(Table2579[[#This Row],[Corrected time]])</f>
        <v>36</v>
      </c>
      <c r="N928" s="1">
        <v>0.6505840277777778</v>
      </c>
      <c r="O928" s="1">
        <f>Table2579[[#This Row],[Time]]-TIME(0,0,10)</f>
        <v>0.65046828703703707</v>
      </c>
      <c r="P928" t="s">
        <v>13</v>
      </c>
      <c r="Q928">
        <f t="shared" si="210"/>
        <v>-115</v>
      </c>
      <c r="R928" s="21">
        <f>Table2579[[#This Row],[RSSI]]</f>
        <v>-115</v>
      </c>
      <c r="S928">
        <f t="shared" si="211"/>
        <v>-9.8000000000000007</v>
      </c>
    </row>
    <row r="929" spans="2:19" x14ac:dyDescent="0.25">
      <c r="B929">
        <f>160+2*(Table1468[[#This Row],[min value (corrected)]]-32)</f>
        <v>190</v>
      </c>
      <c r="C929">
        <f>MINUTE(Table1468[[#This Row],[Corrected time]])</f>
        <v>47</v>
      </c>
      <c r="D929" s="1">
        <v>0.6581739699074074</v>
      </c>
      <c r="E929" s="1">
        <f>Table1468[[#This Row],[Time]]-TIME(0,0,11)</f>
        <v>0.65804665509259264</v>
      </c>
      <c r="F929" t="s">
        <v>13</v>
      </c>
      <c r="G929" t="str">
        <f t="shared" ref="G929:G930" si="212">G928</f>
        <v>-114.0,</v>
      </c>
      <c r="H929" s="21">
        <f t="shared" si="209"/>
        <v>-114</v>
      </c>
      <c r="I929">
        <f t="shared" ref="I929:I930" si="213">I928</f>
        <v>-9.3000000000000007</v>
      </c>
      <c r="L929">
        <f>160+2*(Table2579[[#This Row],[min value (corrected)]]-23)</f>
        <v>186</v>
      </c>
      <c r="M929">
        <f>MINUTE(Table2579[[#This Row],[Corrected time]])</f>
        <v>36</v>
      </c>
      <c r="N929" s="1">
        <v>0.65059621527777778</v>
      </c>
      <c r="O929" s="1">
        <f>Table2579[[#This Row],[Time]]-TIME(0,0,10)</f>
        <v>0.65048047453703706</v>
      </c>
      <c r="P929" t="s">
        <v>13</v>
      </c>
      <c r="Q929">
        <f t="shared" si="210"/>
        <v>-115</v>
      </c>
      <c r="R929" s="21">
        <f>Table2579[[#This Row],[RSSI]]</f>
        <v>-115</v>
      </c>
      <c r="S929">
        <f t="shared" si="211"/>
        <v>-9.8000000000000007</v>
      </c>
    </row>
    <row r="930" spans="2:19" x14ac:dyDescent="0.25">
      <c r="B930">
        <f>160+2*(Table1468[[#This Row],[min value (corrected)]]-32)</f>
        <v>190</v>
      </c>
      <c r="C930">
        <f>MINUTE(Table1468[[#This Row],[Corrected time]])</f>
        <v>47</v>
      </c>
      <c r="D930" s="1">
        <v>0.65818615740740738</v>
      </c>
      <c r="E930" s="1">
        <f>Table1468[[#This Row],[Time]]-TIME(0,0,11)</f>
        <v>0.65805884259259262</v>
      </c>
      <c r="F930" t="s">
        <v>13</v>
      </c>
      <c r="G930" t="str">
        <f t="shared" si="212"/>
        <v>-114.0,</v>
      </c>
      <c r="H930" s="21">
        <f t="shared" si="209"/>
        <v>-114</v>
      </c>
      <c r="I930">
        <f t="shared" si="213"/>
        <v>-9.3000000000000007</v>
      </c>
      <c r="L930">
        <f>160+2*(Table2579[[#This Row],[min value (corrected)]]-23)</f>
        <v>186</v>
      </c>
      <c r="M930">
        <f>MINUTE(Table2579[[#This Row],[Corrected time]])</f>
        <v>36</v>
      </c>
      <c r="N930" s="1">
        <v>0.65060837962962959</v>
      </c>
      <c r="O930" s="1">
        <f>Table2579[[#This Row],[Time]]-TIME(0,0,10)</f>
        <v>0.65049263888888886</v>
      </c>
      <c r="P930" t="s">
        <v>13</v>
      </c>
      <c r="Q930">
        <f t="shared" si="210"/>
        <v>-115</v>
      </c>
      <c r="R930" s="21">
        <f>Table2579[[#This Row],[RSSI]]</f>
        <v>-115</v>
      </c>
      <c r="S930">
        <f t="shared" si="211"/>
        <v>-9.8000000000000007</v>
      </c>
    </row>
    <row r="931" spans="2:19" x14ac:dyDescent="0.25">
      <c r="B931">
        <f>160+2*(Table1468[[#This Row],[min value (corrected)]]-32)</f>
        <v>190</v>
      </c>
      <c r="C931">
        <f>MINUTE(Table1468[[#This Row],[Corrected time]])</f>
        <v>47</v>
      </c>
      <c r="D931" s="1">
        <v>0.65819833333333333</v>
      </c>
      <c r="E931" s="1">
        <f>Table1468[[#This Row],[Time]]-TIME(0,0,11)</f>
        <v>0.65807101851851857</v>
      </c>
      <c r="F931" t="s">
        <v>9</v>
      </c>
      <c r="G931" t="s">
        <v>39</v>
      </c>
      <c r="H931" s="21">
        <f t="shared" si="209"/>
        <v>-114</v>
      </c>
      <c r="I931">
        <v>-9.5</v>
      </c>
      <c r="L931">
        <f>160+2*(Table2579[[#This Row],[min value (corrected)]]-23)</f>
        <v>186</v>
      </c>
      <c r="M931">
        <f>MINUTE(Table2579[[#This Row],[Corrected time]])</f>
        <v>36</v>
      </c>
      <c r="N931" s="1">
        <v>0.65062059027777774</v>
      </c>
      <c r="O931" s="1">
        <f>Table2579[[#This Row],[Time]]-TIME(0,0,10)</f>
        <v>0.65050484953703702</v>
      </c>
      <c r="P931" t="s">
        <v>13</v>
      </c>
      <c r="Q931">
        <f t="shared" si="210"/>
        <v>-115</v>
      </c>
      <c r="R931" s="21">
        <f>Table2579[[#This Row],[RSSI]]</f>
        <v>-115</v>
      </c>
      <c r="S931">
        <f t="shared" si="211"/>
        <v>-9.8000000000000007</v>
      </c>
    </row>
    <row r="932" spans="2:19" x14ac:dyDescent="0.25">
      <c r="B932">
        <f>160+2*(Table1468[[#This Row],[min value (corrected)]]-32)</f>
        <v>190</v>
      </c>
      <c r="C932">
        <f>MINUTE(Table1468[[#This Row],[Corrected time]])</f>
        <v>47</v>
      </c>
      <c r="D932" s="1">
        <v>0.65821050925925928</v>
      </c>
      <c r="E932" s="1">
        <f>Table1468[[#This Row],[Time]]-TIME(0,0,11)</f>
        <v>0.65808319444444452</v>
      </c>
      <c r="F932" t="s">
        <v>13</v>
      </c>
      <c r="G932" t="str">
        <f t="shared" ref="G932:G937" si="214">G931</f>
        <v>-114.0,</v>
      </c>
      <c r="H932" s="21">
        <f t="shared" si="209"/>
        <v>-114</v>
      </c>
      <c r="I932">
        <f t="shared" ref="I932:I937" si="215">I931</f>
        <v>-9.5</v>
      </c>
      <c r="L932">
        <f>160+2*(Table2579[[#This Row],[min value (corrected)]]-23)</f>
        <v>186</v>
      </c>
      <c r="M932">
        <f>MINUTE(Table2579[[#This Row],[Corrected time]])</f>
        <v>36</v>
      </c>
      <c r="N932" s="1">
        <v>0.65063277777777773</v>
      </c>
      <c r="O932" s="1">
        <f>Table2579[[#This Row],[Time]]-TIME(0,0,10)</f>
        <v>0.650517037037037</v>
      </c>
      <c r="P932" t="s">
        <v>13</v>
      </c>
      <c r="Q932">
        <f t="shared" si="210"/>
        <v>-115</v>
      </c>
      <c r="R932" s="21">
        <f>Table2579[[#This Row],[RSSI]]</f>
        <v>-115</v>
      </c>
      <c r="S932">
        <f t="shared" si="211"/>
        <v>-9.8000000000000007</v>
      </c>
    </row>
    <row r="933" spans="2:19" x14ac:dyDescent="0.25">
      <c r="B933">
        <f>160+2*(Table1468[[#This Row],[min value (corrected)]]-32)</f>
        <v>190</v>
      </c>
      <c r="C933">
        <f>MINUTE(Table1468[[#This Row],[Corrected time]])</f>
        <v>47</v>
      </c>
      <c r="D933" s="1">
        <v>0.65822270833333341</v>
      </c>
      <c r="E933" s="1">
        <f>Table1468[[#This Row],[Time]]-TIME(0,0,11)</f>
        <v>0.65809539351851865</v>
      </c>
      <c r="F933" t="s">
        <v>13</v>
      </c>
      <c r="G933" t="str">
        <f t="shared" si="214"/>
        <v>-114.0,</v>
      </c>
      <c r="H933" s="21">
        <f t="shared" si="209"/>
        <v>-114</v>
      </c>
      <c r="I933">
        <f t="shared" si="215"/>
        <v>-9.5</v>
      </c>
      <c r="L933">
        <f>160+2*(Table2579[[#This Row],[min value (corrected)]]-23)</f>
        <v>186</v>
      </c>
      <c r="M933">
        <f>MINUTE(Table2579[[#This Row],[Corrected time]])</f>
        <v>36</v>
      </c>
      <c r="N933" s="1">
        <v>0.65064496527777771</v>
      </c>
      <c r="O933" s="1">
        <f>Table2579[[#This Row],[Time]]-TIME(0,0,10)</f>
        <v>0.65052922453703699</v>
      </c>
      <c r="P933" t="s">
        <v>13</v>
      </c>
      <c r="Q933">
        <f t="shared" si="210"/>
        <v>-115</v>
      </c>
      <c r="R933" s="21">
        <f>Table2579[[#This Row],[RSSI]]</f>
        <v>-115</v>
      </c>
      <c r="S933">
        <f t="shared" si="211"/>
        <v>-9.8000000000000007</v>
      </c>
    </row>
    <row r="934" spans="2:19" x14ac:dyDescent="0.25">
      <c r="B934">
        <f>160+2*(Table1468[[#This Row],[min value (corrected)]]-32)</f>
        <v>190</v>
      </c>
      <c r="C934">
        <f>MINUTE(Table1468[[#This Row],[Corrected time]])</f>
        <v>47</v>
      </c>
      <c r="D934" s="1">
        <v>0.65823489583333339</v>
      </c>
      <c r="E934" s="1">
        <f>Table1468[[#This Row],[Time]]-TIME(0,0,11)</f>
        <v>0.65810758101851863</v>
      </c>
      <c r="F934" t="s">
        <v>13</v>
      </c>
      <c r="G934" t="str">
        <f t="shared" si="214"/>
        <v>-114.0,</v>
      </c>
      <c r="H934" s="21">
        <f t="shared" si="209"/>
        <v>-114</v>
      </c>
      <c r="I934">
        <f t="shared" si="215"/>
        <v>-9.5</v>
      </c>
      <c r="L934">
        <f>160+2*(Table2579[[#This Row],[min value (corrected)]]-23)</f>
        <v>186</v>
      </c>
      <c r="M934">
        <f>MINUTE(Table2579[[#This Row],[Corrected time]])</f>
        <v>36</v>
      </c>
      <c r="N934" s="1">
        <v>0.65065714120370377</v>
      </c>
      <c r="O934" s="1">
        <f>Table2579[[#This Row],[Time]]-TIME(0,0,10)</f>
        <v>0.65054140046296305</v>
      </c>
      <c r="P934" t="s">
        <v>13</v>
      </c>
      <c r="Q934">
        <f t="shared" si="210"/>
        <v>-115</v>
      </c>
      <c r="R934" s="21">
        <f>Table2579[[#This Row],[RSSI]]</f>
        <v>-115</v>
      </c>
      <c r="S934">
        <f t="shared" si="211"/>
        <v>-9.8000000000000007</v>
      </c>
    </row>
    <row r="935" spans="2:19" x14ac:dyDescent="0.25">
      <c r="B935">
        <f>160+2*(Table1468[[#This Row],[min value (corrected)]]-32)</f>
        <v>190</v>
      </c>
      <c r="C935">
        <f>MINUTE(Table1468[[#This Row],[Corrected time]])</f>
        <v>47</v>
      </c>
      <c r="D935" s="1">
        <v>0.6582470949074074</v>
      </c>
      <c r="E935" s="1">
        <f>Table1468[[#This Row],[Time]]-TIME(0,0,11)</f>
        <v>0.65811978009259264</v>
      </c>
      <c r="F935" t="s">
        <v>13</v>
      </c>
      <c r="G935" t="str">
        <f t="shared" si="214"/>
        <v>-114.0,</v>
      </c>
      <c r="H935" s="21">
        <f t="shared" si="209"/>
        <v>-114</v>
      </c>
      <c r="I935">
        <f t="shared" si="215"/>
        <v>-9.5</v>
      </c>
      <c r="L935">
        <f>160+2*(Table2579[[#This Row],[min value (corrected)]]-23)</f>
        <v>186</v>
      </c>
      <c r="M935">
        <f>MINUTE(Table2579[[#This Row],[Corrected time]])</f>
        <v>36</v>
      </c>
      <c r="N935" s="1">
        <v>0.65066934027777779</v>
      </c>
      <c r="O935" s="1">
        <f>Table2579[[#This Row],[Time]]-TIME(0,0,10)</f>
        <v>0.65055359953703706</v>
      </c>
      <c r="P935" t="s">
        <v>13</v>
      </c>
      <c r="Q935">
        <f t="shared" si="210"/>
        <v>-115</v>
      </c>
      <c r="R935" s="21">
        <f>Table2579[[#This Row],[RSSI]]</f>
        <v>-115</v>
      </c>
      <c r="S935">
        <f t="shared" si="211"/>
        <v>-9.8000000000000007</v>
      </c>
    </row>
    <row r="936" spans="2:19" x14ac:dyDescent="0.25">
      <c r="B936">
        <f>160+2*(Table1468[[#This Row],[min value (corrected)]]-32)</f>
        <v>190</v>
      </c>
      <c r="C936">
        <f>MINUTE(Table1468[[#This Row],[Corrected time]])</f>
        <v>47</v>
      </c>
      <c r="D936" s="1">
        <v>0.65825927083333335</v>
      </c>
      <c r="E936" s="1">
        <f>Table1468[[#This Row],[Time]]-TIME(0,0,11)</f>
        <v>0.65813195601851859</v>
      </c>
      <c r="F936" t="s">
        <v>13</v>
      </c>
      <c r="G936" t="str">
        <f t="shared" si="214"/>
        <v>-114.0,</v>
      </c>
      <c r="H936" s="21">
        <f t="shared" si="209"/>
        <v>-114</v>
      </c>
      <c r="I936">
        <f t="shared" si="215"/>
        <v>-9.5</v>
      </c>
      <c r="L936">
        <f>160+2*(Table2579[[#This Row],[min value (corrected)]]-23)</f>
        <v>186</v>
      </c>
      <c r="M936">
        <f>MINUTE(Table2579[[#This Row],[Corrected time]])</f>
        <v>36</v>
      </c>
      <c r="N936" s="1">
        <v>0.65068152777777777</v>
      </c>
      <c r="O936" s="1">
        <f>Table2579[[#This Row],[Time]]-TIME(0,0,10)</f>
        <v>0.65056578703703705</v>
      </c>
      <c r="P936" t="s">
        <v>9</v>
      </c>
      <c r="Q936">
        <v>-114</v>
      </c>
      <c r="R936" s="21">
        <f>Table2579[[#This Row],[RSSI]]</f>
        <v>-114</v>
      </c>
      <c r="S936">
        <v>-8.8000000000000007</v>
      </c>
    </row>
    <row r="937" spans="2:19" x14ac:dyDescent="0.25">
      <c r="B937">
        <f>160+2*(Table1468[[#This Row],[min value (corrected)]]-32)</f>
        <v>190</v>
      </c>
      <c r="C937">
        <f>MINUTE(Table1468[[#This Row],[Corrected time]])</f>
        <v>47</v>
      </c>
      <c r="D937" s="1">
        <v>0.65827145833333334</v>
      </c>
      <c r="E937" s="1">
        <f>Table1468[[#This Row],[Time]]-TIME(0,0,11)</f>
        <v>0.65814414351851858</v>
      </c>
      <c r="F937" t="s">
        <v>13</v>
      </c>
      <c r="G937" t="str">
        <f t="shared" si="214"/>
        <v>-114.0,</v>
      </c>
      <c r="H937" s="21">
        <f t="shared" si="209"/>
        <v>-114</v>
      </c>
      <c r="I937">
        <f t="shared" si="215"/>
        <v>-9.5</v>
      </c>
      <c r="L937">
        <f>160+2*(Table2579[[#This Row],[min value (corrected)]]-23)</f>
        <v>186</v>
      </c>
      <c r="M937">
        <f>MINUTE(Table2579[[#This Row],[Corrected time]])</f>
        <v>36</v>
      </c>
      <c r="N937" s="1">
        <v>0.65069371527777775</v>
      </c>
      <c r="O937" s="1">
        <f>Table2579[[#This Row],[Time]]-TIME(0,0,10)</f>
        <v>0.65057797453703703</v>
      </c>
      <c r="P937" t="s">
        <v>13</v>
      </c>
      <c r="Q937">
        <f>Q936</f>
        <v>-114</v>
      </c>
      <c r="R937" s="21">
        <f>Table2579[[#This Row],[RSSI]]</f>
        <v>-114</v>
      </c>
      <c r="S937">
        <f>S936</f>
        <v>-8.8000000000000007</v>
      </c>
    </row>
    <row r="938" spans="2:19" x14ac:dyDescent="0.25">
      <c r="B938">
        <f>160+2*(Table1468[[#This Row],[min value (corrected)]]-32)</f>
        <v>190</v>
      </c>
      <c r="C938">
        <f>MINUTE(Table1468[[#This Row],[Corrected time]])</f>
        <v>47</v>
      </c>
      <c r="D938" s="1">
        <v>0.65828365740740735</v>
      </c>
      <c r="E938" s="1">
        <f>Table1468[[#This Row],[Time]]-TIME(0,0,11)</f>
        <v>0.65815634259259259</v>
      </c>
      <c r="F938" t="s">
        <v>9</v>
      </c>
      <c r="G938" t="s">
        <v>43</v>
      </c>
      <c r="H938" s="21">
        <f t="shared" si="209"/>
        <v>-115</v>
      </c>
      <c r="I938">
        <v>-9.3000000000000007</v>
      </c>
      <c r="L938">
        <f>160+2*(Table2579[[#This Row],[min value (corrected)]]-23)</f>
        <v>186</v>
      </c>
      <c r="M938">
        <f>MINUTE(Table2579[[#This Row],[Corrected time]])</f>
        <v>36</v>
      </c>
      <c r="N938" s="1">
        <v>0.65070587962962956</v>
      </c>
      <c r="O938" s="1">
        <f>Table2579[[#This Row],[Time]]-TIME(0,0,10)</f>
        <v>0.65059013888888884</v>
      </c>
      <c r="P938" t="s">
        <v>9</v>
      </c>
      <c r="Q938">
        <v>-115</v>
      </c>
      <c r="R938" s="21">
        <f>Table2579[[#This Row],[RSSI]]</f>
        <v>-115</v>
      </c>
      <c r="S938">
        <v>-9.5</v>
      </c>
    </row>
    <row r="939" spans="2:19" x14ac:dyDescent="0.25">
      <c r="B939">
        <f>160+2*(Table1468[[#This Row],[min value (corrected)]]-32)</f>
        <v>190</v>
      </c>
      <c r="C939">
        <f>MINUTE(Table1468[[#This Row],[Corrected time]])</f>
        <v>47</v>
      </c>
      <c r="D939" s="1">
        <v>0.6582958333333333</v>
      </c>
      <c r="E939" s="1">
        <f>Table1468[[#This Row],[Time]]-TIME(0,0,11)</f>
        <v>0.65816851851851854</v>
      </c>
      <c r="F939" t="s">
        <v>13</v>
      </c>
      <c r="G939" t="str">
        <f>G938</f>
        <v>-115.0,</v>
      </c>
      <c r="H939" s="21">
        <f t="shared" si="209"/>
        <v>-115</v>
      </c>
      <c r="I939">
        <f>I938</f>
        <v>-9.3000000000000007</v>
      </c>
      <c r="L939">
        <f>160+2*(Table2579[[#This Row],[min value (corrected)]]-23)</f>
        <v>186</v>
      </c>
      <c r="M939">
        <f>MINUTE(Table2579[[#This Row],[Corrected time]])</f>
        <v>36</v>
      </c>
      <c r="N939" s="1">
        <v>0.65071809027777772</v>
      </c>
      <c r="O939" s="1">
        <f>Table2579[[#This Row],[Time]]-TIME(0,0,10)</f>
        <v>0.65060234953703699</v>
      </c>
      <c r="P939" t="s">
        <v>13</v>
      </c>
      <c r="Q939">
        <f>Q938</f>
        <v>-115</v>
      </c>
      <c r="R939" s="21">
        <f>Table2579[[#This Row],[RSSI]]</f>
        <v>-115</v>
      </c>
      <c r="S939">
        <f>S938</f>
        <v>-9.5</v>
      </c>
    </row>
    <row r="940" spans="2:19" x14ac:dyDescent="0.25">
      <c r="B940">
        <f>160+2*(Table1468[[#This Row],[min value (corrected)]]-32)</f>
        <v>190</v>
      </c>
      <c r="C940">
        <f>MINUTE(Table1468[[#This Row],[Corrected time]])</f>
        <v>47</v>
      </c>
      <c r="D940" s="1">
        <v>0.65830800925925925</v>
      </c>
      <c r="E940" s="1">
        <f>Table1468[[#This Row],[Time]]-TIME(0,0,11)</f>
        <v>0.65818069444444449</v>
      </c>
      <c r="F940" t="s">
        <v>9</v>
      </c>
      <c r="G940" t="s">
        <v>43</v>
      </c>
      <c r="H940" s="21">
        <f t="shared" si="209"/>
        <v>-115</v>
      </c>
      <c r="I940">
        <v>-9.8000000000000007</v>
      </c>
    </row>
    <row r="941" spans="2:19" x14ac:dyDescent="0.25">
      <c r="B941">
        <f>160+2*(Table1468[[#This Row],[min value (corrected)]]-32)</f>
        <v>190</v>
      </c>
      <c r="C941">
        <f>MINUTE(Table1468[[#This Row],[Corrected time]])</f>
        <v>47</v>
      </c>
      <c r="D941" s="1">
        <v>0.65832020833333338</v>
      </c>
      <c r="E941" s="1">
        <f>Table1468[[#This Row],[Time]]-TIME(0,0,11)</f>
        <v>0.65819289351851862</v>
      </c>
      <c r="F941" t="s">
        <v>13</v>
      </c>
      <c r="G941" t="str">
        <f t="shared" ref="G941:G943" si="216">G940</f>
        <v>-115.0,</v>
      </c>
      <c r="H941" s="21">
        <f t="shared" si="209"/>
        <v>-115</v>
      </c>
      <c r="I941">
        <f t="shared" ref="I941:I943" si="217">I940</f>
        <v>-9.8000000000000007</v>
      </c>
    </row>
    <row r="942" spans="2:19" x14ac:dyDescent="0.25">
      <c r="B942">
        <f>160+2*(Table1468[[#This Row],[min value (corrected)]]-32)</f>
        <v>190</v>
      </c>
      <c r="C942">
        <f>MINUTE(Table1468[[#This Row],[Corrected time]])</f>
        <v>47</v>
      </c>
      <c r="D942" s="1">
        <v>0.65833240740740739</v>
      </c>
      <c r="E942" s="1">
        <f>Table1468[[#This Row],[Time]]-TIME(0,0,11)</f>
        <v>0.65820509259259263</v>
      </c>
      <c r="F942" t="s">
        <v>13</v>
      </c>
      <c r="G942" t="str">
        <f t="shared" si="216"/>
        <v>-115.0,</v>
      </c>
      <c r="H942" s="21">
        <f t="shared" si="209"/>
        <v>-115</v>
      </c>
      <c r="I942">
        <f t="shared" si="217"/>
        <v>-9.8000000000000007</v>
      </c>
    </row>
    <row r="943" spans="2:19" x14ac:dyDescent="0.25">
      <c r="B943">
        <f>160+2*(Table1468[[#This Row],[min value (corrected)]]-32)</f>
        <v>190</v>
      </c>
      <c r="C943">
        <f>MINUTE(Table1468[[#This Row],[Corrected time]])</f>
        <v>47</v>
      </c>
      <c r="D943" s="1">
        <v>0.65834459490740738</v>
      </c>
      <c r="E943" s="1">
        <f>Table1468[[#This Row],[Time]]-TIME(0,0,11)</f>
        <v>0.65821728009259262</v>
      </c>
      <c r="F943" t="s">
        <v>13</v>
      </c>
      <c r="G943" t="str">
        <f t="shared" si="216"/>
        <v>-115.0,</v>
      </c>
      <c r="H943" s="21">
        <f t="shared" si="209"/>
        <v>-115</v>
      </c>
      <c r="I943">
        <f t="shared" si="217"/>
        <v>-9.8000000000000007</v>
      </c>
    </row>
    <row r="944" spans="2:19" x14ac:dyDescent="0.25">
      <c r="B944">
        <f>160+2*(Table1468[[#This Row],[min value (corrected)]]-32)</f>
        <v>190</v>
      </c>
      <c r="C944">
        <f>MINUTE(Table1468[[#This Row],[Corrected time]])</f>
        <v>47</v>
      </c>
      <c r="D944" s="1">
        <v>0.65835675925925918</v>
      </c>
      <c r="E944" s="1">
        <f>Table1468[[#This Row],[Time]]-TIME(0,0,11)</f>
        <v>0.65822944444444442</v>
      </c>
      <c r="F944" t="s">
        <v>9</v>
      </c>
      <c r="G944" t="s">
        <v>39</v>
      </c>
      <c r="H944" s="21">
        <f t="shared" si="209"/>
        <v>-114</v>
      </c>
      <c r="I944">
        <v>-8.5</v>
      </c>
    </row>
    <row r="945" spans="2:9" x14ac:dyDescent="0.25">
      <c r="B945">
        <f>160+2*(Table1468[[#This Row],[min value (corrected)]]-32)</f>
        <v>190</v>
      </c>
      <c r="C945">
        <f>MINUTE(Table1468[[#This Row],[Corrected time]])</f>
        <v>47</v>
      </c>
      <c r="D945" s="1">
        <v>0.65836895833333331</v>
      </c>
      <c r="E945" s="1">
        <f>Table1468[[#This Row],[Time]]-TIME(0,0,11)</f>
        <v>0.65824164351851855</v>
      </c>
      <c r="F945" t="s">
        <v>9</v>
      </c>
      <c r="G945" t="s">
        <v>43</v>
      </c>
      <c r="H945" s="21">
        <f t="shared" si="209"/>
        <v>-115</v>
      </c>
      <c r="I945">
        <v>-9.5</v>
      </c>
    </row>
    <row r="946" spans="2:9" x14ac:dyDescent="0.25">
      <c r="B946">
        <f>160+2*(Table1468[[#This Row],[min value (corrected)]]-32)</f>
        <v>190</v>
      </c>
      <c r="C946">
        <f>MINUTE(Table1468[[#This Row],[Corrected time]])</f>
        <v>47</v>
      </c>
      <c r="D946" s="1">
        <v>0.65838115740740744</v>
      </c>
      <c r="E946" s="1">
        <f>Table1468[[#This Row],[Time]]-TIME(0,0,11)</f>
        <v>0.65825384259259268</v>
      </c>
      <c r="F946" t="s">
        <v>13</v>
      </c>
      <c r="G946" t="str">
        <f t="shared" ref="G946:G951" si="218">G945</f>
        <v>-115.0,</v>
      </c>
      <c r="H946" s="21">
        <f t="shared" si="209"/>
        <v>-115</v>
      </c>
      <c r="I946">
        <f t="shared" ref="I946:I951" si="219">I945</f>
        <v>-9.5</v>
      </c>
    </row>
    <row r="947" spans="2:9" x14ac:dyDescent="0.25">
      <c r="B947">
        <f>160+2*(Table1468[[#This Row],[min value (corrected)]]-32)</f>
        <v>190</v>
      </c>
      <c r="C947">
        <f>MINUTE(Table1468[[#This Row],[Corrected time]])</f>
        <v>47</v>
      </c>
      <c r="D947" s="1">
        <v>0.65839334490740742</v>
      </c>
      <c r="E947" s="1">
        <f>Table1468[[#This Row],[Time]]-TIME(0,0,11)</f>
        <v>0.65826603009259266</v>
      </c>
      <c r="F947" t="s">
        <v>27</v>
      </c>
      <c r="G947" t="str">
        <f t="shared" si="218"/>
        <v>-115.0,</v>
      </c>
      <c r="H947" s="21">
        <f t="shared" si="209"/>
        <v>-115</v>
      </c>
      <c r="I947">
        <f t="shared" si="219"/>
        <v>-9.5</v>
      </c>
    </row>
    <row r="948" spans="2:9" x14ac:dyDescent="0.25">
      <c r="B948">
        <f>160+2*(Table1468[[#This Row],[min value (corrected)]]-32)</f>
        <v>190</v>
      </c>
      <c r="C948">
        <f>MINUTE(Table1468[[#This Row],[Corrected time]])</f>
        <v>47</v>
      </c>
      <c r="D948" s="1">
        <v>0.65841770833333335</v>
      </c>
      <c r="E948" s="1">
        <f>Table1468[[#This Row],[Time]]-TIME(0,0,11)</f>
        <v>0.65829039351851859</v>
      </c>
      <c r="F948" t="s">
        <v>13</v>
      </c>
      <c r="G948" t="str">
        <f t="shared" si="218"/>
        <v>-115.0,</v>
      </c>
      <c r="H948" s="21">
        <f t="shared" si="209"/>
        <v>-115</v>
      </c>
      <c r="I948">
        <f t="shared" si="219"/>
        <v>-9.5</v>
      </c>
    </row>
    <row r="949" spans="2:9" x14ac:dyDescent="0.25">
      <c r="B949">
        <f>160+2*(Table1468[[#This Row],[min value (corrected)]]-32)</f>
        <v>190</v>
      </c>
      <c r="C949">
        <f>MINUTE(Table1468[[#This Row],[Corrected time]])</f>
        <v>47</v>
      </c>
      <c r="D949" s="1">
        <v>0.65842990740740737</v>
      </c>
      <c r="E949" s="1">
        <f>Table1468[[#This Row],[Time]]-TIME(0,0,11)</f>
        <v>0.65830259259259261</v>
      </c>
      <c r="F949" t="s">
        <v>13</v>
      </c>
      <c r="G949" t="str">
        <f t="shared" si="218"/>
        <v>-115.0,</v>
      </c>
      <c r="H949" s="21">
        <f t="shared" si="209"/>
        <v>-115</v>
      </c>
      <c r="I949">
        <f t="shared" si="219"/>
        <v>-9.5</v>
      </c>
    </row>
    <row r="950" spans="2:9" x14ac:dyDescent="0.25">
      <c r="B950">
        <f>160+2*(Table1468[[#This Row],[min value (corrected)]]-32)</f>
        <v>190</v>
      </c>
      <c r="C950">
        <f>MINUTE(Table1468[[#This Row],[Corrected time]])</f>
        <v>47</v>
      </c>
      <c r="D950" s="1">
        <v>0.65844209490740735</v>
      </c>
      <c r="E950" s="1">
        <f>Table1468[[#This Row],[Time]]-TIME(0,0,11)</f>
        <v>0.65831478009259259</v>
      </c>
      <c r="F950" t="s">
        <v>13</v>
      </c>
      <c r="G950" t="str">
        <f t="shared" si="218"/>
        <v>-115.0,</v>
      </c>
      <c r="H950" s="21">
        <f t="shared" si="209"/>
        <v>-115</v>
      </c>
      <c r="I950">
        <f t="shared" si="219"/>
        <v>-9.5</v>
      </c>
    </row>
    <row r="951" spans="2:9" x14ac:dyDescent="0.25">
      <c r="B951">
        <f>160+2*(Table1468[[#This Row],[min value (corrected)]]-32)</f>
        <v>190</v>
      </c>
      <c r="C951">
        <f>MINUTE(Table1468[[#This Row],[Corrected time]])</f>
        <v>47</v>
      </c>
      <c r="D951" s="1">
        <v>0.65845428240740733</v>
      </c>
      <c r="E951" s="1">
        <f>Table1468[[#This Row],[Time]]-TIME(0,0,11)</f>
        <v>0.65832696759259257</v>
      </c>
      <c r="F951" t="s">
        <v>13</v>
      </c>
      <c r="G951" t="str">
        <f t="shared" si="218"/>
        <v>-115.0,</v>
      </c>
      <c r="H951" s="21">
        <f t="shared" si="209"/>
        <v>-115</v>
      </c>
      <c r="I951">
        <f t="shared" si="219"/>
        <v>-9.5</v>
      </c>
    </row>
    <row r="952" spans="2:9" x14ac:dyDescent="0.25">
      <c r="B952">
        <f>160+2*(Table1468[[#This Row],[min value (corrected)]]-32)</f>
        <v>192</v>
      </c>
      <c r="C952">
        <f>MINUTE(Table1468[[#This Row],[Corrected time]])</f>
        <v>48</v>
      </c>
      <c r="D952" s="1">
        <v>0.65846645833333339</v>
      </c>
      <c r="E952" s="1">
        <f>Table1468[[#This Row],[Time]]-TIME(0,0,11)</f>
        <v>0.65833914351851863</v>
      </c>
      <c r="F952" t="s">
        <v>9</v>
      </c>
      <c r="G952" t="s">
        <v>39</v>
      </c>
      <c r="H952" s="21">
        <f t="shared" si="209"/>
        <v>-114</v>
      </c>
      <c r="I952">
        <v>-9</v>
      </c>
    </row>
    <row r="953" spans="2:9" x14ac:dyDescent="0.25">
      <c r="B953">
        <f>160+2*(Table1468[[#This Row],[min value (corrected)]]-32)</f>
        <v>192</v>
      </c>
      <c r="C953">
        <f>MINUTE(Table1468[[#This Row],[Corrected time]])</f>
        <v>48</v>
      </c>
      <c r="D953" s="1">
        <v>0.65847865740740741</v>
      </c>
      <c r="E953" s="1">
        <f>Table1468[[#This Row],[Time]]-TIME(0,0,11)</f>
        <v>0.65835134259259265</v>
      </c>
      <c r="F953" t="s">
        <v>13</v>
      </c>
      <c r="G953" t="str">
        <f t="shared" ref="G953:G959" si="220">G952</f>
        <v>-114.0,</v>
      </c>
      <c r="H953" s="21">
        <f t="shared" si="209"/>
        <v>-114</v>
      </c>
      <c r="I953">
        <f t="shared" ref="I953:I959" si="221">I952</f>
        <v>-9</v>
      </c>
    </row>
    <row r="954" spans="2:9" x14ac:dyDescent="0.25">
      <c r="B954">
        <f>160+2*(Table1468[[#This Row],[min value (corrected)]]-32)</f>
        <v>192</v>
      </c>
      <c r="C954">
        <f>MINUTE(Table1468[[#This Row],[Corrected time]])</f>
        <v>48</v>
      </c>
      <c r="D954" s="1">
        <v>0.65849083333333336</v>
      </c>
      <c r="E954" s="1">
        <f>Table1468[[#This Row],[Time]]-TIME(0,0,11)</f>
        <v>0.6583635185185186</v>
      </c>
      <c r="F954" t="s">
        <v>13</v>
      </c>
      <c r="G954" t="str">
        <f t="shared" si="220"/>
        <v>-114.0,</v>
      </c>
      <c r="H954" s="21">
        <f t="shared" si="209"/>
        <v>-114</v>
      </c>
      <c r="I954">
        <f t="shared" si="221"/>
        <v>-9</v>
      </c>
    </row>
    <row r="955" spans="2:9" x14ac:dyDescent="0.25">
      <c r="B955">
        <f>160+2*(Table1468[[#This Row],[min value (corrected)]]-32)</f>
        <v>192</v>
      </c>
      <c r="C955">
        <f>MINUTE(Table1468[[#This Row],[Corrected time]])</f>
        <v>48</v>
      </c>
      <c r="D955" s="1">
        <v>0.65850303240740737</v>
      </c>
      <c r="E955" s="1">
        <f>Table1468[[#This Row],[Time]]-TIME(0,0,11)</f>
        <v>0.65837571759259261</v>
      </c>
      <c r="F955" t="s">
        <v>13</v>
      </c>
      <c r="G955" t="str">
        <f t="shared" si="220"/>
        <v>-114.0,</v>
      </c>
      <c r="H955" s="21">
        <f t="shared" si="209"/>
        <v>-114</v>
      </c>
      <c r="I955">
        <f t="shared" si="221"/>
        <v>-9</v>
      </c>
    </row>
    <row r="956" spans="2:9" x14ac:dyDescent="0.25">
      <c r="B956">
        <f>160+2*(Table1468[[#This Row],[min value (corrected)]]-32)</f>
        <v>192</v>
      </c>
      <c r="C956">
        <f>MINUTE(Table1468[[#This Row],[Corrected time]])</f>
        <v>48</v>
      </c>
      <c r="D956" s="1">
        <v>0.65851521990740736</v>
      </c>
      <c r="E956" s="1">
        <f>Table1468[[#This Row],[Time]]-TIME(0,0,11)</f>
        <v>0.6583879050925926</v>
      </c>
      <c r="F956" t="s">
        <v>13</v>
      </c>
      <c r="G956" t="str">
        <f t="shared" si="220"/>
        <v>-114.0,</v>
      </c>
      <c r="H956" s="21">
        <f t="shared" si="209"/>
        <v>-114</v>
      </c>
      <c r="I956">
        <f t="shared" si="221"/>
        <v>-9</v>
      </c>
    </row>
    <row r="957" spans="2:9" x14ac:dyDescent="0.25">
      <c r="B957">
        <f>160+2*(Table1468[[#This Row],[min value (corrected)]]-32)</f>
        <v>192</v>
      </c>
      <c r="C957">
        <f>MINUTE(Table1468[[#This Row],[Corrected time]])</f>
        <v>48</v>
      </c>
      <c r="D957" s="1">
        <v>0.65852738425925927</v>
      </c>
      <c r="E957" s="1">
        <f>Table1468[[#This Row],[Time]]-TIME(0,0,11)</f>
        <v>0.65840006944444451</v>
      </c>
      <c r="F957" t="s">
        <v>13</v>
      </c>
      <c r="G957" t="str">
        <f t="shared" si="220"/>
        <v>-114.0,</v>
      </c>
      <c r="H957" s="21">
        <f t="shared" si="209"/>
        <v>-114</v>
      </c>
      <c r="I957">
        <f t="shared" si="221"/>
        <v>-9</v>
      </c>
    </row>
    <row r="958" spans="2:9" x14ac:dyDescent="0.25">
      <c r="B958">
        <f>160+2*(Table1468[[#This Row],[min value (corrected)]]-32)</f>
        <v>192</v>
      </c>
      <c r="C958">
        <f>MINUTE(Table1468[[#This Row],[Corrected time]])</f>
        <v>48</v>
      </c>
      <c r="D958" s="1">
        <v>0.65853959490740743</v>
      </c>
      <c r="E958" s="1">
        <f>Table1468[[#This Row],[Time]]-TIME(0,0,11)</f>
        <v>0.65841228009259267</v>
      </c>
      <c r="F958" t="s">
        <v>13</v>
      </c>
      <c r="G958" t="str">
        <f t="shared" si="220"/>
        <v>-114.0,</v>
      </c>
      <c r="H958" s="21">
        <f t="shared" si="209"/>
        <v>-114</v>
      </c>
      <c r="I958">
        <f t="shared" si="221"/>
        <v>-9</v>
      </c>
    </row>
    <row r="959" spans="2:9" x14ac:dyDescent="0.25">
      <c r="B959">
        <f>160+2*(Table1468[[#This Row],[min value (corrected)]]-32)</f>
        <v>192</v>
      </c>
      <c r="C959">
        <f>MINUTE(Table1468[[#This Row],[Corrected time]])</f>
        <v>48</v>
      </c>
      <c r="D959" s="1">
        <v>0.65855177083333338</v>
      </c>
      <c r="E959" s="1">
        <f>Table1468[[#This Row],[Time]]-TIME(0,0,11)</f>
        <v>0.65842445601851862</v>
      </c>
      <c r="F959" t="s">
        <v>13</v>
      </c>
      <c r="G959" t="str">
        <f t="shared" si="220"/>
        <v>-114.0,</v>
      </c>
      <c r="H959" s="21">
        <f t="shared" si="209"/>
        <v>-114</v>
      </c>
      <c r="I959">
        <f t="shared" si="221"/>
        <v>-9</v>
      </c>
    </row>
    <row r="960" spans="2:9" x14ac:dyDescent="0.25">
      <c r="B960">
        <f>160+2*(Table1468[[#This Row],[min value (corrected)]]-32)</f>
        <v>192</v>
      </c>
      <c r="C960">
        <f>MINUTE(Table1468[[#This Row],[Corrected time]])</f>
        <v>48</v>
      </c>
      <c r="D960" s="1">
        <v>0.6585639699074074</v>
      </c>
      <c r="E960" s="1">
        <f>Table1468[[#This Row],[Time]]-TIME(0,0,11)</f>
        <v>0.65843665509259264</v>
      </c>
      <c r="F960" t="s">
        <v>9</v>
      </c>
      <c r="G960" t="s">
        <v>39</v>
      </c>
      <c r="H960" s="21">
        <f t="shared" si="209"/>
        <v>-114</v>
      </c>
      <c r="I960">
        <v>-9.8000000000000007</v>
      </c>
    </row>
    <row r="961" spans="2:9" x14ac:dyDescent="0.25">
      <c r="B961">
        <f>160+2*(Table1468[[#This Row],[min value (corrected)]]-32)</f>
        <v>192</v>
      </c>
      <c r="C961">
        <f>MINUTE(Table1468[[#This Row],[Corrected time]])</f>
        <v>48</v>
      </c>
      <c r="D961" s="1">
        <v>0.65857614583333335</v>
      </c>
      <c r="E961" s="1">
        <f>Table1468[[#This Row],[Time]]-TIME(0,0,11)</f>
        <v>0.65844883101851859</v>
      </c>
      <c r="F961" t="s">
        <v>9</v>
      </c>
      <c r="G961" t="s">
        <v>43</v>
      </c>
      <c r="H961" s="21">
        <f t="shared" si="209"/>
        <v>-115</v>
      </c>
      <c r="I961">
        <v>-10</v>
      </c>
    </row>
    <row r="962" spans="2:9" x14ac:dyDescent="0.25">
      <c r="B962">
        <f>160+2*(Table1468[[#This Row],[min value (corrected)]]-32)</f>
        <v>192</v>
      </c>
      <c r="C962">
        <f>MINUTE(Table1468[[#This Row],[Corrected time]])</f>
        <v>48</v>
      </c>
      <c r="D962" s="1">
        <v>0.65858833333333333</v>
      </c>
      <c r="E962" s="1">
        <f>Table1468[[#This Row],[Time]]-TIME(0,0,11)</f>
        <v>0.65846101851851857</v>
      </c>
      <c r="F962" t="s">
        <v>13</v>
      </c>
      <c r="G962" t="str">
        <f t="shared" ref="G962:G963" si="222">G961</f>
        <v>-115.0,</v>
      </c>
      <c r="H962" s="21">
        <f t="shared" si="209"/>
        <v>-115</v>
      </c>
      <c r="I962">
        <f t="shared" ref="I962:I963" si="223">I961</f>
        <v>-10</v>
      </c>
    </row>
    <row r="963" spans="2:9" x14ac:dyDescent="0.25">
      <c r="B963">
        <f>160+2*(Table1468[[#This Row],[min value (corrected)]]-32)</f>
        <v>192</v>
      </c>
      <c r="C963">
        <f>MINUTE(Table1468[[#This Row],[Corrected time]])</f>
        <v>48</v>
      </c>
      <c r="D963" s="1">
        <v>0.65860053240740746</v>
      </c>
      <c r="E963" s="1">
        <f>Table1468[[#This Row],[Time]]-TIME(0,0,11)</f>
        <v>0.6584732175925927</v>
      </c>
      <c r="F963" t="s">
        <v>13</v>
      </c>
      <c r="G963" t="str">
        <f t="shared" si="222"/>
        <v>-115.0,</v>
      </c>
      <c r="H963" s="21">
        <f t="shared" si="209"/>
        <v>-115</v>
      </c>
      <c r="I963">
        <f t="shared" si="223"/>
        <v>-10</v>
      </c>
    </row>
  </sheetData>
  <mergeCells count="2">
    <mergeCell ref="W2:Z2"/>
    <mergeCell ref="AA2:AD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2C40-EE23-4892-9DCD-DD3723F0501F}">
  <dimension ref="B1:AD667"/>
  <sheetViews>
    <sheetView topLeftCell="R1" workbookViewId="0">
      <selection activeCell="AD42" sqref="AD42"/>
    </sheetView>
  </sheetViews>
  <sheetFormatPr defaultRowHeight="15" x14ac:dyDescent="0.25"/>
  <cols>
    <col min="2" max="2" width="13" customWidth="1"/>
    <col min="3" max="3" width="22.85546875" bestFit="1" customWidth="1"/>
    <col min="5" max="5" width="17.140625" bestFit="1" customWidth="1"/>
    <col min="8" max="8" width="17.140625" bestFit="1" customWidth="1"/>
    <col min="12" max="12" width="13" customWidth="1"/>
    <col min="13" max="13" width="22.85546875" bestFit="1" customWidth="1"/>
    <col min="15" max="15" width="17.140625" bestFit="1" customWidth="1"/>
    <col min="18" max="18" width="17.140625" bestFit="1" customWidth="1"/>
    <col min="23" max="23" width="10.85546875" bestFit="1" customWidth="1"/>
    <col min="27" max="27" width="10.85546875" bestFit="1" customWidth="1"/>
  </cols>
  <sheetData>
    <row r="1" spans="2:30" ht="15.75" thickBot="1" x14ac:dyDescent="0.3"/>
    <row r="2" spans="2:30" ht="15.75" thickBot="1" x14ac:dyDescent="0.3">
      <c r="B2" t="s">
        <v>0</v>
      </c>
      <c r="E2" s="16" t="s">
        <v>34</v>
      </c>
      <c r="L2" t="s">
        <v>8</v>
      </c>
      <c r="O2" s="16">
        <v>-3</v>
      </c>
      <c r="V2" s="12" t="s">
        <v>21</v>
      </c>
      <c r="W2" s="18" t="s">
        <v>23</v>
      </c>
      <c r="X2" s="19"/>
      <c r="Y2" s="19"/>
      <c r="Z2" s="20"/>
      <c r="AA2" s="18" t="s">
        <v>22</v>
      </c>
      <c r="AB2" s="19"/>
      <c r="AC2" s="19"/>
      <c r="AD2" s="20"/>
    </row>
    <row r="3" spans="2:30" ht="15.75" thickBot="1" x14ac:dyDescent="0.3">
      <c r="B3" t="s">
        <v>7</v>
      </c>
      <c r="C3" t="s">
        <v>35</v>
      </c>
      <c r="D3" t="s">
        <v>2</v>
      </c>
      <c r="E3" t="s">
        <v>32</v>
      </c>
      <c r="F3" t="s">
        <v>3</v>
      </c>
      <c r="G3" t="s">
        <v>4</v>
      </c>
      <c r="H3" t="s">
        <v>33</v>
      </c>
      <c r="I3" t="s">
        <v>5</v>
      </c>
      <c r="L3" t="s">
        <v>7</v>
      </c>
      <c r="M3" t="s">
        <v>35</v>
      </c>
      <c r="N3" t="s">
        <v>2</v>
      </c>
      <c r="O3" t="s">
        <v>32</v>
      </c>
      <c r="P3" t="s">
        <v>3</v>
      </c>
      <c r="Q3" t="s">
        <v>4</v>
      </c>
      <c r="R3" t="s">
        <v>33</v>
      </c>
      <c r="S3" t="s">
        <v>5</v>
      </c>
      <c r="V3" s="12" t="s">
        <v>1</v>
      </c>
      <c r="W3" s="13" t="s">
        <v>25</v>
      </c>
      <c r="X3" s="14" t="s">
        <v>26</v>
      </c>
      <c r="Y3" s="14" t="s">
        <v>4</v>
      </c>
      <c r="Z3" s="15" t="s">
        <v>5</v>
      </c>
      <c r="AA3" s="13" t="s">
        <v>25</v>
      </c>
      <c r="AB3" s="14" t="s">
        <v>26</v>
      </c>
      <c r="AC3" s="14" t="s">
        <v>4</v>
      </c>
      <c r="AD3" s="15" t="s">
        <v>5</v>
      </c>
    </row>
    <row r="4" spans="2:30" x14ac:dyDescent="0.25">
      <c r="C4">
        <f>MINUTE(Table146810[[#This Row],[Corrected time]])</f>
        <v>17</v>
      </c>
      <c r="D4" s="1">
        <v>0.72041184027777772</v>
      </c>
      <c r="E4" s="1">
        <f>Table146810[[#This Row],[Time]]-TIME(0,0,8)</f>
        <v>0.72031924768518507</v>
      </c>
      <c r="F4" t="s">
        <v>9</v>
      </c>
      <c r="G4" t="s">
        <v>29</v>
      </c>
      <c r="H4">
        <f t="shared" ref="H4:H21" si="0">VALUE(LEFT(G4,LEN(G4)-1))</f>
        <v>-126</v>
      </c>
      <c r="I4">
        <v>-10.5</v>
      </c>
      <c r="M4">
        <f>MINUTE(Table257911[[#This Row],[Corrected time]])</f>
        <v>8</v>
      </c>
      <c r="N4" s="1">
        <v>0.63092252314814812</v>
      </c>
      <c r="O4" s="1">
        <f>Table257911[[#This Row],[Time]]-TIME(0,0,3)</f>
        <v>0.63088780092592589</v>
      </c>
      <c r="P4" t="s">
        <v>9</v>
      </c>
      <c r="Q4">
        <v>-126</v>
      </c>
      <c r="R4">
        <f>Table257911[[#This Row],[RSSI]]</f>
        <v>-126</v>
      </c>
      <c r="S4">
        <v>-10.8</v>
      </c>
      <c r="V4" s="10">
        <v>500</v>
      </c>
      <c r="W4" s="4">
        <f>COUNTIFS(Table146810[Range(nm)], $V4, Table146810[Type], "ACK")/COUNTIFS(Table146810[Range(nm)], $V4)</f>
        <v>0.91666666666666663</v>
      </c>
      <c r="X4" s="5">
        <f>COUNTIFS(Table146810[Range(nm)], $V4, Table146810[Type], "SUT Rx Error")/COUNTIFS(Table146810[Range(nm)], $V4)</f>
        <v>0</v>
      </c>
      <c r="Y4">
        <f>AVERAGEIF(Table146810[Range(nm)], V4, Table146810[Corrected RSSI])</f>
        <v>-126</v>
      </c>
      <c r="Z4" s="3">
        <f>AVERAGEIF(Table146810[Range(nm)], V4, Table146810[SNR])</f>
        <v>-10.949999999999998</v>
      </c>
      <c r="AA4" s="4">
        <f>COUNTIFS(Table257911[Range(nm)], V4, Table257911[Type], "ACK")/COUNTIFS(Table257911[Range(nm)], V4)</f>
        <v>1</v>
      </c>
      <c r="AB4" s="5">
        <f>COUNTIFS(Table257911[Range(nm)], $V4, Table257911[Type], "SUT Rx Error")/COUNTIFS(Table257911[Range(nm)], $V4)</f>
        <v>0</v>
      </c>
      <c r="AC4">
        <f>AVERAGEIF(Table257911[Range(nm)], V4, Table257911[Corrected RSSI])</f>
        <v>-126</v>
      </c>
      <c r="AD4" s="3">
        <f>AVERAGEIF(Table257911[Range(nm)], V4, Table257911[SNR])</f>
        <v>-11.058333333333332</v>
      </c>
    </row>
    <row r="5" spans="2:30" x14ac:dyDescent="0.25">
      <c r="C5">
        <f>MINUTE(Table146810[[#This Row],[Corrected time]])</f>
        <v>17</v>
      </c>
      <c r="D5" s="1">
        <v>0.72046888888888894</v>
      </c>
      <c r="E5" s="1">
        <f>Table146810[[#This Row],[Time]]-TIME(0,0,8)</f>
        <v>0.72037629629629629</v>
      </c>
      <c r="F5" t="s">
        <v>9</v>
      </c>
      <c r="G5" t="s">
        <v>29</v>
      </c>
      <c r="H5">
        <f t="shared" si="0"/>
        <v>-126</v>
      </c>
      <c r="I5">
        <v>-11</v>
      </c>
      <c r="M5">
        <f>MINUTE(Table257911[[#This Row],[Corrected time]])</f>
        <v>8</v>
      </c>
      <c r="N5" s="1">
        <v>0.6309795949074074</v>
      </c>
      <c r="O5" s="1">
        <f>Table257911[[#This Row],[Time]]-TIME(0,0,3)</f>
        <v>0.63094487268518518</v>
      </c>
      <c r="P5" t="s">
        <v>9</v>
      </c>
      <c r="Q5">
        <v>-126</v>
      </c>
      <c r="R5">
        <f>Table257911[[#This Row],[RSSI]]</f>
        <v>-126</v>
      </c>
      <c r="S5">
        <v>-11</v>
      </c>
      <c r="V5" s="10">
        <f>V4+2</f>
        <v>502</v>
      </c>
      <c r="W5" s="4">
        <f>COUNTIFS(Table146810[Range(nm)], V5, Table146810[Type], "ACK")/COUNTIFS(Table146810[Range(nm)], V5)</f>
        <v>0.91666666666666663</v>
      </c>
      <c r="X5" s="5">
        <f>COUNTIFS(Table146810[Range(nm)], $V5, Table146810[Type], "SUT Rx Error")/COUNTIFS(Table146810[Range(nm)], $V5)</f>
        <v>0</v>
      </c>
      <c r="Y5">
        <f>AVERAGEIF(Table146810[Range(nm)], V5, Table146810[Corrected RSSI])</f>
        <v>-127.5</v>
      </c>
      <c r="Z5" s="3">
        <f>AVERAGEIF(Table146810[Range(nm)], V5, Table146810[SNR])</f>
        <v>-13.558333333333335</v>
      </c>
      <c r="AA5" s="4">
        <f>COUNTIFS(Table257911[Range(nm)], V5, Table257911[Type], "ACK")/COUNTIFS(Table257911[Range(nm)], V5)</f>
        <v>0.91666666666666663</v>
      </c>
      <c r="AB5" s="5">
        <f>COUNTIFS(Table257911[Range(nm)], $V5, Table257911[Type], "SUT Rx Error")/COUNTIFS(Table257911[Range(nm)], $V5)</f>
        <v>0</v>
      </c>
      <c r="AC5">
        <f>AVERAGEIF(Table257911[Range(nm)], V5, Table257911[Corrected RSSI])</f>
        <v>-127.54166666666667</v>
      </c>
      <c r="AD5" s="3">
        <f>AVERAGEIF(Table257911[Range(nm)], V5, Table257911[SNR])</f>
        <v>-13.941666666666668</v>
      </c>
    </row>
    <row r="6" spans="2:30" x14ac:dyDescent="0.25">
      <c r="C6">
        <f>MINUTE(Table146810[[#This Row],[Corrected time]])</f>
        <v>17</v>
      </c>
      <c r="D6" s="1">
        <v>0.72052596064814811</v>
      </c>
      <c r="E6" s="1">
        <f>Table146810[[#This Row],[Time]]-TIME(0,0,8)</f>
        <v>0.72043336805555547</v>
      </c>
      <c r="F6" t="s">
        <v>9</v>
      </c>
      <c r="G6" t="s">
        <v>29</v>
      </c>
      <c r="H6">
        <f t="shared" si="0"/>
        <v>-126</v>
      </c>
      <c r="I6">
        <v>-10.8</v>
      </c>
      <c r="M6">
        <f>MINUTE(Table257911[[#This Row],[Corrected time]])</f>
        <v>8</v>
      </c>
      <c r="N6" s="1">
        <v>0.63103665509259266</v>
      </c>
      <c r="O6" s="1">
        <f>Table257911[[#This Row],[Time]]-TIME(0,0,3)</f>
        <v>0.63100193287037043</v>
      </c>
      <c r="P6" t="s">
        <v>9</v>
      </c>
      <c r="Q6">
        <v>-126</v>
      </c>
      <c r="R6">
        <f>Table257911[[#This Row],[RSSI]]</f>
        <v>-126</v>
      </c>
      <c r="S6">
        <v>-11.3</v>
      </c>
      <c r="V6" s="10">
        <f t="shared" ref="V6:V34" si="1">V5+2</f>
        <v>504</v>
      </c>
      <c r="W6" s="4">
        <f>COUNTIFS(Table146810[Range(nm)], V6, Table146810[Type], "ACK")/COUNTIFS(Table146810[Range(nm)], V6)</f>
        <v>0.91666666666666663</v>
      </c>
      <c r="X6" s="5">
        <f>COUNTIFS(Table146810[Range(nm)], $V6, Table146810[Type], "SUT Rx Error")/COUNTIFS(Table146810[Range(nm)], $V6)</f>
        <v>0</v>
      </c>
      <c r="Y6">
        <f>AVERAGEIF(Table146810[Range(nm)], V6, Table146810[Corrected RSSI])</f>
        <v>-127.5</v>
      </c>
      <c r="Z6" s="3">
        <f>AVERAGEIF(Table146810[Range(nm)], V6, Table146810[SNR])</f>
        <v>-16.375</v>
      </c>
      <c r="AA6" s="4">
        <f>COUNTIFS(Table257911[Range(nm)], V6, Table257911[Type], "ACK")/COUNTIFS(Table257911[Range(nm)], V6)</f>
        <v>0.83333333333333337</v>
      </c>
      <c r="AB6" s="5">
        <f>COUNTIFS(Table257911[Range(nm)], $V6, Table257911[Type], "SUT Rx Error")/COUNTIFS(Table257911[Range(nm)], $V6)</f>
        <v>0</v>
      </c>
      <c r="AC6">
        <f>AVERAGEIF(Table257911[Range(nm)], V6, Table257911[Corrected RSSI])</f>
        <v>-127.58333333333333</v>
      </c>
      <c r="AD6" s="3">
        <f>AVERAGEIF(Table257911[Range(nm)], V6, Table257911[SNR])</f>
        <v>-16.466666666666669</v>
      </c>
    </row>
    <row r="7" spans="2:30" x14ac:dyDescent="0.25">
      <c r="C7">
        <f>MINUTE(Table146810[[#This Row],[Corrected time]])</f>
        <v>17</v>
      </c>
      <c r="D7" s="1">
        <v>0.72058302083333337</v>
      </c>
      <c r="E7" s="1">
        <f>Table146810[[#This Row],[Time]]-TIME(0,0,8)</f>
        <v>0.72049042824074072</v>
      </c>
      <c r="F7" t="s">
        <v>9</v>
      </c>
      <c r="G7" t="s">
        <v>29</v>
      </c>
      <c r="H7">
        <f t="shared" si="0"/>
        <v>-126</v>
      </c>
      <c r="I7">
        <v>-10.8</v>
      </c>
      <c r="M7">
        <f>MINUTE(Table257911[[#This Row],[Corrected time]])</f>
        <v>8</v>
      </c>
      <c r="N7" s="1">
        <v>0.6310937152777778</v>
      </c>
      <c r="O7" s="1">
        <f>Table257911[[#This Row],[Time]]-TIME(0,0,3)</f>
        <v>0.63105899305555557</v>
      </c>
      <c r="P7" t="s">
        <v>9</v>
      </c>
      <c r="Q7">
        <v>-126</v>
      </c>
      <c r="R7">
        <f>Table257911[[#This Row],[RSSI]]</f>
        <v>-126</v>
      </c>
      <c r="S7">
        <v>-11</v>
      </c>
      <c r="V7" s="10">
        <f t="shared" si="1"/>
        <v>506</v>
      </c>
      <c r="W7" s="4">
        <f>COUNTIFS(Table146810[Range(nm)], V7, Table146810[Type], "ACK")/COUNTIFS(Table146810[Range(nm)], V7)</f>
        <v>0.91666666666666663</v>
      </c>
      <c r="X7" s="5">
        <f>COUNTIFS(Table146810[Range(nm)], $V7, Table146810[Type], "SUT Rx Error")/COUNTIFS(Table146810[Range(nm)], $V7)</f>
        <v>8.3333333333333329E-2</v>
      </c>
      <c r="Y7">
        <f>AVERAGEIF(Table146810[Range(nm)], V7, Table146810[Corrected RSSI])</f>
        <v>-127.5</v>
      </c>
      <c r="Z7" s="3">
        <f>AVERAGEIF(Table146810[Range(nm)], V7, Table146810[SNR])</f>
        <v>-18.675000000000001</v>
      </c>
      <c r="AA7" s="4">
        <f>COUNTIFS(Table257911[Range(nm)], V7, Table257911[Type], "ACK")/COUNTIFS(Table257911[Range(nm)], V7)</f>
        <v>0.75</v>
      </c>
      <c r="AB7" s="5">
        <f>COUNTIFS(Table257911[Range(nm)], $V7, Table257911[Type], "SUT Rx Error")/COUNTIFS(Table257911[Range(nm)], $V7)</f>
        <v>0.25</v>
      </c>
      <c r="AC7">
        <f>AVERAGEIF(Table257911[Range(nm)], V7, Table257911[Corrected RSSI])</f>
        <v>-127.66666666666667</v>
      </c>
      <c r="AD7" s="3">
        <f>AVERAGEIF(Table257911[Range(nm)], V7, Table257911[SNR])</f>
        <v>-18.916666666666668</v>
      </c>
    </row>
    <row r="8" spans="2:30" x14ac:dyDescent="0.25">
      <c r="C8">
        <f>MINUTE(Table146810[[#This Row],[Corrected time]])</f>
        <v>17</v>
      </c>
      <c r="D8" s="1">
        <v>0.72064008101851851</v>
      </c>
      <c r="E8" s="1">
        <f>Table146810[[#This Row],[Time]]-TIME(0,0,8)</f>
        <v>0.72054748842592586</v>
      </c>
      <c r="F8" t="s">
        <v>9</v>
      </c>
      <c r="G8" t="s">
        <v>29</v>
      </c>
      <c r="H8">
        <f t="shared" si="0"/>
        <v>-126</v>
      </c>
      <c r="I8">
        <v>-11.3</v>
      </c>
      <c r="M8">
        <f>MINUTE(Table257911[[#This Row],[Corrected time]])</f>
        <v>8</v>
      </c>
      <c r="N8" s="1">
        <v>0.63115077546296305</v>
      </c>
      <c r="O8" s="1">
        <f>Table257911[[#This Row],[Time]]-TIME(0,0,3)</f>
        <v>0.63111605324074083</v>
      </c>
      <c r="P8" t="s">
        <v>9</v>
      </c>
      <c r="Q8">
        <v>-126</v>
      </c>
      <c r="R8">
        <f>Table257911[[#This Row],[RSSI]]</f>
        <v>-126</v>
      </c>
      <c r="S8">
        <v>-11.3</v>
      </c>
      <c r="V8" s="10">
        <f t="shared" si="1"/>
        <v>508</v>
      </c>
      <c r="W8" s="4">
        <f>COUNTIFS(Table146810[Range(nm)], V8, Table146810[Type], "ACK")/COUNTIFS(Table146810[Range(nm)], V8)</f>
        <v>0</v>
      </c>
      <c r="X8" s="5">
        <f>COUNTIFS(Table146810[Range(nm)], $V8, Table146810[Type], "SUT Rx Error")/COUNTIFS(Table146810[Range(nm)], $V8)</f>
        <v>8.3333333333333329E-2</v>
      </c>
      <c r="Y8">
        <f>AVERAGEIF(Table146810[Range(nm)], V8, Table146810[Corrected RSSI])</f>
        <v>-127.5</v>
      </c>
      <c r="Z8" s="3">
        <f>AVERAGEIF(Table146810[Range(nm)], V8, Table146810[SNR])</f>
        <v>-18.800000000000004</v>
      </c>
      <c r="AA8" s="4">
        <f>COUNTIFS(Table257911[Range(nm)], V8, Table257911[Type], "ACK")/COUNTIFS(Table257911[Range(nm)], V8)</f>
        <v>0.1</v>
      </c>
      <c r="AB8" s="5">
        <f>COUNTIFS(Table257911[Range(nm)], $V8, Table257911[Type], "SUT Rx Error")/COUNTIFS(Table257911[Range(nm)], $V8)</f>
        <v>0.1</v>
      </c>
      <c r="AC8">
        <f>AVERAGEIF(Table257911[Range(nm)], V8, Table257911[Corrected RSSI])</f>
        <v>-129.75</v>
      </c>
      <c r="AD8" s="3">
        <f>AVERAGEIF(Table257911[Range(nm)], V8, Table257911[SNR])</f>
        <v>-20.75</v>
      </c>
    </row>
    <row r="9" spans="2:30" x14ac:dyDescent="0.25">
      <c r="C9">
        <f>MINUTE(Table146810[[#This Row],[Corrected time]])</f>
        <v>17</v>
      </c>
      <c r="D9" s="1">
        <v>0.72069714120370365</v>
      </c>
      <c r="E9" s="1">
        <f>Table146810[[#This Row],[Time]]-TIME(0,0,8)</f>
        <v>0.72060454861111101</v>
      </c>
      <c r="F9" t="s">
        <v>9</v>
      </c>
      <c r="G9" t="s">
        <v>29</v>
      </c>
      <c r="H9">
        <f t="shared" si="0"/>
        <v>-126</v>
      </c>
      <c r="I9">
        <v>-11</v>
      </c>
      <c r="M9">
        <f>MINUTE(Table257911[[#This Row],[Corrected time]])</f>
        <v>8</v>
      </c>
      <c r="N9" s="1">
        <v>0.6312078356481482</v>
      </c>
      <c r="O9" s="1">
        <f>Table257911[[#This Row],[Time]]-TIME(0,0,3)</f>
        <v>0.63117311342592597</v>
      </c>
      <c r="P9" t="s">
        <v>9</v>
      </c>
      <c r="Q9">
        <v>-126</v>
      </c>
      <c r="R9">
        <f>Table257911[[#This Row],[RSSI]]</f>
        <v>-126</v>
      </c>
      <c r="S9">
        <v>-10.8</v>
      </c>
      <c r="V9" s="10">
        <f t="shared" si="1"/>
        <v>510</v>
      </c>
      <c r="W9" s="4">
        <f>COUNTIFS(Table146810[Range(nm)], V9, Table146810[Type], "ACK")/COUNTIFS(Table146810[Range(nm)], V9)</f>
        <v>0</v>
      </c>
      <c r="X9" s="5">
        <f>COUNTIFS(Table146810[Range(nm)], $V9, Table146810[Type], "SUT Rx Error")/COUNTIFS(Table146810[Range(nm)], $V9)</f>
        <v>0</v>
      </c>
      <c r="Y9">
        <f>AVERAGEIF(Table146810[Range(nm)], V9, Table146810[Corrected RSSI])</f>
        <v>-127.5</v>
      </c>
      <c r="Z9" s="3">
        <f>AVERAGEIF(Table146810[Range(nm)], V9, Table146810[SNR])</f>
        <v>-18.8</v>
      </c>
      <c r="AA9" s="4" t="e">
        <f>COUNTIFS(Table257911[Range(nm)], V9, Table257911[Type], "ACK")/COUNTIFS(Table257911[Range(nm)], V9)</f>
        <v>#DIV/0!</v>
      </c>
      <c r="AB9" s="5" t="e">
        <f>COUNTIFS(Table257911[Range(nm)], $V9, Table257911[Type], "SUT Rx Error")/COUNTIFS(Table257911[Range(nm)], $V9)</f>
        <v>#DIV/0!</v>
      </c>
      <c r="AC9" t="e">
        <f>AVERAGEIF(Table257911[Range(nm)], V9, Table257911[Corrected RSSI])</f>
        <v>#DIV/0!</v>
      </c>
      <c r="AD9" s="3" t="e">
        <f>AVERAGEIF(Table257911[Range(nm)], V9, Table257911[SNR])</f>
        <v>#DIV/0!</v>
      </c>
    </row>
    <row r="10" spans="2:30" x14ac:dyDescent="0.25">
      <c r="C10">
        <f>MINUTE(Table146810[[#This Row],[Corrected time]])</f>
        <v>17</v>
      </c>
      <c r="D10" s="1">
        <v>0.7207542013888889</v>
      </c>
      <c r="E10" s="1">
        <f>Table146810[[#This Row],[Time]]-TIME(0,0,8)</f>
        <v>0.72066160879629626</v>
      </c>
      <c r="F10" t="s">
        <v>9</v>
      </c>
      <c r="G10" t="s">
        <v>29</v>
      </c>
      <c r="H10">
        <f t="shared" si="0"/>
        <v>-126</v>
      </c>
      <c r="I10">
        <v>-11</v>
      </c>
      <c r="M10">
        <f>MINUTE(Table257911[[#This Row],[Corrected time]])</f>
        <v>8</v>
      </c>
      <c r="N10" s="17">
        <v>0.63126487268518527</v>
      </c>
      <c r="O10" s="1">
        <f>Table257911[[#This Row],[Time]]-TIME(0,0,3)</f>
        <v>0.63123015046296305</v>
      </c>
      <c r="P10" t="s">
        <v>9</v>
      </c>
      <c r="Q10">
        <v>-126</v>
      </c>
      <c r="R10">
        <f>Table257911[[#This Row],[RSSI]]</f>
        <v>-126</v>
      </c>
      <c r="S10">
        <v>-11</v>
      </c>
      <c r="V10" s="10">
        <f t="shared" si="1"/>
        <v>512</v>
      </c>
      <c r="W10" s="4" t="e">
        <f>COUNTIFS(Table146810[Range(nm)], V10, Table146810[Type], "ACK")/COUNTIFS(Table146810[Range(nm)], V10)</f>
        <v>#DIV/0!</v>
      </c>
      <c r="X10" s="5" t="e">
        <f>COUNTIFS(Table146810[Range(nm)], $V10, Table146810[Type], "SUT Rx Error")/COUNTIFS(Table146810[Range(nm)], $V10)</f>
        <v>#DIV/0!</v>
      </c>
      <c r="Y10" t="e">
        <f>AVERAGEIF(Table146810[Range(nm)], V10, Table146810[Corrected RSSI])</f>
        <v>#DIV/0!</v>
      </c>
      <c r="Z10" s="3" t="e">
        <f>AVERAGEIF(Table146810[Range(nm)], V10, Table146810[SNR])</f>
        <v>#DIV/0!</v>
      </c>
      <c r="AA10" s="4" t="e">
        <f>COUNTIFS(Table257911[Range(nm)], V10, Table257911[Type], "ACK")/COUNTIFS(Table257911[Range(nm)], V10)</f>
        <v>#DIV/0!</v>
      </c>
      <c r="AB10" s="5" t="e">
        <f>COUNTIFS(Table257911[Range(nm)], $V10, Table257911[Type], "SUT Rx Error")/COUNTIFS(Table257911[Range(nm)], $V10)</f>
        <v>#DIV/0!</v>
      </c>
      <c r="AC10" t="e">
        <f>AVERAGEIF(Table257911[Range(nm)], V10, Table257911[Corrected RSSI])</f>
        <v>#DIV/0!</v>
      </c>
      <c r="AD10" s="3" t="e">
        <f>AVERAGEIF(Table257911[Range(nm)], V10, Table257911[SNR])</f>
        <v>#DIV/0!</v>
      </c>
    </row>
    <row r="11" spans="2:30" x14ac:dyDescent="0.25">
      <c r="C11">
        <f>MINUTE(Table146810[[#This Row],[Corrected time]])</f>
        <v>17</v>
      </c>
      <c r="D11" s="1">
        <v>0.72081125000000001</v>
      </c>
      <c r="E11" s="1">
        <f>Table146810[[#This Row],[Time]]-TIME(0,0,8)</f>
        <v>0.72071865740740737</v>
      </c>
      <c r="F11" t="s">
        <v>9</v>
      </c>
      <c r="G11" t="s">
        <v>29</v>
      </c>
      <c r="H11">
        <f t="shared" si="0"/>
        <v>-126</v>
      </c>
      <c r="I11">
        <v>-10.8</v>
      </c>
      <c r="L11">
        <f>500+2*(Table257911[[#This Row],[min value (corrected)]]-9)</f>
        <v>500</v>
      </c>
      <c r="M11">
        <f>MINUTE(Table257911[[#This Row],[Corrected time]])</f>
        <v>9</v>
      </c>
      <c r="N11" s="1">
        <v>0.63132194444444445</v>
      </c>
      <c r="O11" s="2">
        <f>Table257911[[#This Row],[Time]]-TIME(0,0,3)</f>
        <v>0.63128722222222222</v>
      </c>
      <c r="P11" t="s">
        <v>9</v>
      </c>
      <c r="Q11">
        <v>-126</v>
      </c>
      <c r="R11">
        <f>Table257911[[#This Row],[RSSI]]</f>
        <v>-126</v>
      </c>
      <c r="S11">
        <v>-11</v>
      </c>
      <c r="V11" s="10">
        <f t="shared" si="1"/>
        <v>514</v>
      </c>
      <c r="W11" s="4" t="e">
        <f>COUNTIFS(Table146810[Range(nm)], V11, Table146810[Type], "ACK")/COUNTIFS(Table146810[Range(nm)], V11)</f>
        <v>#DIV/0!</v>
      </c>
      <c r="X11" s="5" t="e">
        <f>COUNTIFS(Table146810[Range(nm)], $V11, Table146810[Type], "SUT Rx Error")/COUNTIFS(Table146810[Range(nm)], $V11)</f>
        <v>#DIV/0!</v>
      </c>
      <c r="Y11" t="e">
        <f>AVERAGEIF(Table146810[Range(nm)], V11, Table146810[Corrected RSSI])</f>
        <v>#DIV/0!</v>
      </c>
      <c r="Z11" s="3" t="e">
        <f>AVERAGEIF(Table146810[Range(nm)], V11, Table146810[SNR])</f>
        <v>#DIV/0!</v>
      </c>
      <c r="AA11" s="4" t="e">
        <f>COUNTIFS(Table257911[Range(nm)], V11, Table257911[Type], "ACK")/COUNTIFS(Table257911[Range(nm)], V11)</f>
        <v>#DIV/0!</v>
      </c>
      <c r="AB11" s="5" t="e">
        <f>COUNTIFS(Table257911[Range(nm)], $V11, Table257911[Type], "SUT Rx Error")/COUNTIFS(Table257911[Range(nm)], $V11)</f>
        <v>#DIV/0!</v>
      </c>
      <c r="AC11" t="e">
        <f>AVERAGEIF(Table257911[Range(nm)], V11, Table257911[Corrected RSSI])</f>
        <v>#DIV/0!</v>
      </c>
      <c r="AD11" s="3" t="e">
        <f>AVERAGEIF(Table257911[Range(nm)], V11, Table257911[SNR])</f>
        <v>#DIV/0!</v>
      </c>
    </row>
    <row r="12" spans="2:30" x14ac:dyDescent="0.25">
      <c r="C12">
        <f>MINUTE(Table146810[[#This Row],[Corrected time]])</f>
        <v>17</v>
      </c>
      <c r="D12" s="1">
        <v>0.72086831018518516</v>
      </c>
      <c r="E12" s="1">
        <f>Table146810[[#This Row],[Time]]-TIME(0,0,8)</f>
        <v>0.72077571759259251</v>
      </c>
      <c r="F12" t="s">
        <v>9</v>
      </c>
      <c r="G12" t="s">
        <v>29</v>
      </c>
      <c r="H12">
        <f t="shared" si="0"/>
        <v>-126</v>
      </c>
      <c r="I12">
        <v>-11</v>
      </c>
      <c r="L12">
        <f>500+2*(Table257911[[#This Row],[min value (corrected)]]-9)</f>
        <v>500</v>
      </c>
      <c r="M12">
        <f>MINUTE(Table257911[[#This Row],[Corrected time]])</f>
        <v>9</v>
      </c>
      <c r="N12" s="1">
        <v>0.63137901620370362</v>
      </c>
      <c r="O12" s="1">
        <f>Table257911[[#This Row],[Time]]-TIME(0,0,3)</f>
        <v>0.6313442939814814</v>
      </c>
      <c r="P12" t="s">
        <v>9</v>
      </c>
      <c r="Q12">
        <v>-126</v>
      </c>
      <c r="R12">
        <f>Table257911[[#This Row],[RSSI]]</f>
        <v>-126</v>
      </c>
      <c r="S12">
        <v>-11</v>
      </c>
      <c r="V12" s="10">
        <f t="shared" si="1"/>
        <v>516</v>
      </c>
      <c r="W12" s="4" t="e">
        <f>COUNTIFS(Table146810[Range(nm)], V12, Table146810[Type], "ACK")/COUNTIFS(Table146810[Range(nm)], V12)</f>
        <v>#DIV/0!</v>
      </c>
      <c r="X12" s="5" t="e">
        <f>COUNTIFS(Table146810[Range(nm)], $V12, Table146810[Type], "SUT Rx Error")/COUNTIFS(Table146810[Range(nm)], $V12)</f>
        <v>#DIV/0!</v>
      </c>
      <c r="Y12" t="e">
        <f>AVERAGEIF(Table146810[Range(nm)], V12, Table146810[Corrected RSSI])</f>
        <v>#DIV/0!</v>
      </c>
      <c r="Z12" s="3" t="e">
        <f>AVERAGEIF(Table146810[Range(nm)], V12, Table146810[SNR])</f>
        <v>#DIV/0!</v>
      </c>
      <c r="AA12" s="4" t="e">
        <f>COUNTIFS(Table257911[Range(nm)], V12, Table257911[Type], "ACK")/COUNTIFS(Table257911[Range(nm)], V12)</f>
        <v>#DIV/0!</v>
      </c>
      <c r="AB12" s="5" t="e">
        <f>COUNTIFS(Table257911[Range(nm)], $V12, Table257911[Type], "SUT Rx Error")/COUNTIFS(Table257911[Range(nm)], $V12)</f>
        <v>#DIV/0!</v>
      </c>
      <c r="AC12" t="e">
        <f>AVERAGEIF(Table257911[Range(nm)], V12, Table257911[Corrected RSSI])</f>
        <v>#DIV/0!</v>
      </c>
      <c r="AD12" s="3" t="e">
        <f>AVERAGEIF(Table257911[Range(nm)], V12, Table257911[SNR])</f>
        <v>#DIV/0!</v>
      </c>
    </row>
    <row r="13" spans="2:30" x14ac:dyDescent="0.25">
      <c r="C13">
        <f>MINUTE(Table146810[[#This Row],[Corrected time]])</f>
        <v>18</v>
      </c>
      <c r="D13" s="1">
        <v>0.7209253703703703</v>
      </c>
      <c r="E13" s="1">
        <f>Table146810[[#This Row],[Time]]-TIME(0,0,8)</f>
        <v>0.72083277777777766</v>
      </c>
      <c r="F13" t="s">
        <v>9</v>
      </c>
      <c r="G13" t="s">
        <v>29</v>
      </c>
      <c r="H13">
        <f t="shared" si="0"/>
        <v>-126</v>
      </c>
      <c r="I13">
        <v>-10.5</v>
      </c>
      <c r="L13">
        <f>500+2*(Table257911[[#This Row],[min value (corrected)]]-9)</f>
        <v>500</v>
      </c>
      <c r="M13">
        <f>MINUTE(Table257911[[#This Row],[Corrected time]])</f>
        <v>9</v>
      </c>
      <c r="N13" s="1">
        <v>0.63143607638888888</v>
      </c>
      <c r="O13" s="1">
        <f>Table257911[[#This Row],[Time]]-TIME(0,0,3)</f>
        <v>0.63140135416666665</v>
      </c>
      <c r="P13" t="s">
        <v>9</v>
      </c>
      <c r="Q13">
        <v>-126</v>
      </c>
      <c r="R13">
        <f>Table257911[[#This Row],[RSSI]]</f>
        <v>-126</v>
      </c>
      <c r="S13">
        <v>-11</v>
      </c>
      <c r="V13" s="10">
        <f t="shared" si="1"/>
        <v>518</v>
      </c>
      <c r="W13" s="4" t="e">
        <f>COUNTIFS(Table146810[Range(nm)], V13, Table146810[Type], "ACK")/COUNTIFS(Table146810[Range(nm)], V13)</f>
        <v>#DIV/0!</v>
      </c>
      <c r="X13" s="5" t="e">
        <f>COUNTIFS(Table146810[Range(nm)], $V13, Table146810[Type], "SUT Rx Error")/COUNTIFS(Table146810[Range(nm)], $V13)</f>
        <v>#DIV/0!</v>
      </c>
      <c r="Y13" t="e">
        <f>AVERAGEIF(Table146810[Range(nm)], V13, Table146810[Corrected RSSI])</f>
        <v>#DIV/0!</v>
      </c>
      <c r="Z13" s="3" t="e">
        <f>AVERAGEIF(Table146810[Range(nm)], V13, Table146810[SNR])</f>
        <v>#DIV/0!</v>
      </c>
      <c r="AA13" s="4" t="e">
        <f>COUNTIFS(Table257911[Range(nm)], V13, Table257911[Type], "ACK")/COUNTIFS(Table257911[Range(nm)], V13)</f>
        <v>#DIV/0!</v>
      </c>
      <c r="AB13" s="5" t="e">
        <f>COUNTIFS(Table257911[Range(nm)], $V13, Table257911[Type], "SUT Rx Error")/COUNTIFS(Table257911[Range(nm)], $V13)</f>
        <v>#DIV/0!</v>
      </c>
      <c r="AC13" t="e">
        <f>AVERAGEIF(Table257911[Range(nm)], V13, Table257911[Corrected RSSI])</f>
        <v>#DIV/0!</v>
      </c>
      <c r="AD13" s="3" t="e">
        <f>AVERAGEIF(Table257911[Range(nm)], V13, Table257911[SNR])</f>
        <v>#DIV/0!</v>
      </c>
    </row>
    <row r="14" spans="2:30" x14ac:dyDescent="0.25">
      <c r="C14">
        <f>MINUTE(Table146810[[#This Row],[Corrected time]])</f>
        <v>18</v>
      </c>
      <c r="D14" s="1">
        <v>0.7209824421296297</v>
      </c>
      <c r="E14" s="1">
        <f>Table146810[[#This Row],[Time]]-TIME(0,0,8)</f>
        <v>0.72088984953703705</v>
      </c>
      <c r="F14" t="s">
        <v>9</v>
      </c>
      <c r="G14" t="s">
        <v>29</v>
      </c>
      <c r="H14">
        <f t="shared" si="0"/>
        <v>-126</v>
      </c>
      <c r="I14">
        <v>-10.8</v>
      </c>
      <c r="L14">
        <f>500+2*(Table257911[[#This Row],[min value (corrected)]]-9)</f>
        <v>500</v>
      </c>
      <c r="M14">
        <f>MINUTE(Table257911[[#This Row],[Corrected time]])</f>
        <v>9</v>
      </c>
      <c r="N14" s="1">
        <v>0.63149312499999999</v>
      </c>
      <c r="O14" s="1">
        <f>Table257911[[#This Row],[Time]]-TIME(0,0,3)</f>
        <v>0.63145840277777776</v>
      </c>
      <c r="P14" t="s">
        <v>9</v>
      </c>
      <c r="Q14">
        <v>-126</v>
      </c>
      <c r="R14">
        <f>Table257911[[#This Row],[RSSI]]</f>
        <v>-126</v>
      </c>
      <c r="S14">
        <v>-11</v>
      </c>
      <c r="V14" s="10">
        <f t="shared" si="1"/>
        <v>520</v>
      </c>
      <c r="W14" s="4" t="e">
        <f>COUNTIFS(Table146810[Range(nm)], V14, Table146810[Type], "ACK")/COUNTIFS(Table146810[Range(nm)], V14)</f>
        <v>#DIV/0!</v>
      </c>
      <c r="X14" s="5" t="e">
        <f>COUNTIFS(Table146810[Range(nm)], $V14, Table146810[Type], "SUT Rx Error")/COUNTIFS(Table146810[Range(nm)], $V14)</f>
        <v>#DIV/0!</v>
      </c>
      <c r="Y14" t="e">
        <f>AVERAGEIF(Table146810[Range(nm)], V14, Table146810[Corrected RSSI])</f>
        <v>#DIV/0!</v>
      </c>
      <c r="Z14" s="3" t="e">
        <f>AVERAGEIF(Table146810[Range(nm)], V14, Table146810[SNR])</f>
        <v>#DIV/0!</v>
      </c>
      <c r="AA14" s="4" t="e">
        <f>COUNTIFS(Table257911[Range(nm)], V14, Table257911[Type], "ACK")/COUNTIFS(Table257911[Range(nm)], V14)</f>
        <v>#DIV/0!</v>
      </c>
      <c r="AB14" s="5" t="e">
        <f>COUNTIFS(Table257911[Range(nm)], $V14, Table257911[Type], "SUT Rx Error")/COUNTIFS(Table257911[Range(nm)], $V14)</f>
        <v>#DIV/0!</v>
      </c>
      <c r="AC14" t="e">
        <f>AVERAGEIF(Table257911[Range(nm)], V14, Table257911[Corrected RSSI])</f>
        <v>#DIV/0!</v>
      </c>
      <c r="AD14" s="3" t="e">
        <f>AVERAGEIF(Table257911[Range(nm)], V14, Table257911[SNR])</f>
        <v>#DIV/0!</v>
      </c>
    </row>
    <row r="15" spans="2:30" x14ac:dyDescent="0.25">
      <c r="C15">
        <f>MINUTE(Table146810[[#This Row],[Corrected time]])</f>
        <v>18</v>
      </c>
      <c r="D15" s="1">
        <v>0.72103950231481484</v>
      </c>
      <c r="E15" s="1">
        <f>Table146810[[#This Row],[Time]]-TIME(0,0,8)</f>
        <v>0.7209469097222222</v>
      </c>
      <c r="F15" t="s">
        <v>9</v>
      </c>
      <c r="G15" t="s">
        <v>29</v>
      </c>
      <c r="H15">
        <f t="shared" si="0"/>
        <v>-126</v>
      </c>
      <c r="I15">
        <v>-11</v>
      </c>
      <c r="L15">
        <f>500+2*(Table257911[[#This Row],[min value (corrected)]]-9)</f>
        <v>500</v>
      </c>
      <c r="M15">
        <f>MINUTE(Table257911[[#This Row],[Corrected time]])</f>
        <v>9</v>
      </c>
      <c r="N15" s="1">
        <v>0.63155018518518524</v>
      </c>
      <c r="O15" s="1">
        <f>Table257911[[#This Row],[Time]]-TIME(0,0,3)</f>
        <v>0.63151546296296301</v>
      </c>
      <c r="P15" t="s">
        <v>9</v>
      </c>
      <c r="Q15">
        <v>-126</v>
      </c>
      <c r="R15">
        <f>Table257911[[#This Row],[RSSI]]</f>
        <v>-126</v>
      </c>
      <c r="S15">
        <v>-11</v>
      </c>
      <c r="V15" s="10">
        <f t="shared" si="1"/>
        <v>522</v>
      </c>
      <c r="W15" s="4" t="e">
        <f>COUNTIFS(Table146810[Range(nm)], V15, Table146810[Type], "ACK")/COUNTIFS(Table146810[Range(nm)], V15)</f>
        <v>#DIV/0!</v>
      </c>
      <c r="X15" s="5" t="e">
        <f>COUNTIFS(Table146810[Range(nm)], $V15, Table146810[Type], "SUT Rx Error")/COUNTIFS(Table146810[Range(nm)], $V15)</f>
        <v>#DIV/0!</v>
      </c>
      <c r="Y15" t="e">
        <f>AVERAGEIF(Table146810[Range(nm)], V15, Table146810[Corrected RSSI])</f>
        <v>#DIV/0!</v>
      </c>
      <c r="Z15" s="3" t="e">
        <f>AVERAGEIF(Table146810[Range(nm)], V15, Table146810[SNR])</f>
        <v>#DIV/0!</v>
      </c>
      <c r="AA15" s="4" t="e">
        <f>COUNTIFS(Table257911[Range(nm)], V15, Table257911[Type], "ACK")/COUNTIFS(Table257911[Range(nm)], V15)</f>
        <v>#DIV/0!</v>
      </c>
      <c r="AB15" s="5" t="e">
        <f>COUNTIFS(Table257911[Range(nm)], $V15, Table257911[Type], "SUT Rx Error")/COUNTIFS(Table257911[Range(nm)], $V15)</f>
        <v>#DIV/0!</v>
      </c>
      <c r="AC15" t="e">
        <f>AVERAGEIF(Table257911[Range(nm)], V15, Table257911[Corrected RSSI])</f>
        <v>#DIV/0!</v>
      </c>
      <c r="AD15" s="3" t="e">
        <f>AVERAGEIF(Table257911[Range(nm)], V15, Table257911[SNR])</f>
        <v>#DIV/0!</v>
      </c>
    </row>
    <row r="16" spans="2:30" x14ac:dyDescent="0.25">
      <c r="C16">
        <f>MINUTE(Table146810[[#This Row],[Corrected time]])</f>
        <v>18</v>
      </c>
      <c r="D16" s="1">
        <v>0.72109656249999998</v>
      </c>
      <c r="E16" s="1">
        <f>Table146810[[#This Row],[Time]]-TIME(0,0,8)</f>
        <v>0.72100396990740734</v>
      </c>
      <c r="F16" t="s">
        <v>9</v>
      </c>
      <c r="G16" t="s">
        <v>29</v>
      </c>
      <c r="H16">
        <f t="shared" si="0"/>
        <v>-126</v>
      </c>
      <c r="I16">
        <v>-10.8</v>
      </c>
      <c r="L16">
        <f>500+2*(Table257911[[#This Row],[min value (corrected)]]-9)</f>
        <v>500</v>
      </c>
      <c r="M16">
        <f>MINUTE(Table257911[[#This Row],[Corrected time]])</f>
        <v>9</v>
      </c>
      <c r="N16" s="1">
        <v>0.63160723379629624</v>
      </c>
      <c r="O16" s="1">
        <f>Table257911[[#This Row],[Time]]-TIME(0,0,3)</f>
        <v>0.63157251157407401</v>
      </c>
      <c r="P16" t="s">
        <v>9</v>
      </c>
      <c r="Q16">
        <v>-126</v>
      </c>
      <c r="R16">
        <f>Table257911[[#This Row],[RSSI]]</f>
        <v>-126</v>
      </c>
      <c r="S16">
        <v>-11.3</v>
      </c>
      <c r="V16" s="10">
        <f t="shared" si="1"/>
        <v>524</v>
      </c>
      <c r="W16" s="4" t="e">
        <f>COUNTIFS(Table146810[Range(nm)], V16, Table146810[Type], "ACK")/COUNTIFS(Table146810[Range(nm)], V16)</f>
        <v>#DIV/0!</v>
      </c>
      <c r="X16" s="5" t="e">
        <f>COUNTIFS(Table146810[Range(nm)], $V16, Table146810[Type], "SUT Rx Error")/COUNTIFS(Table146810[Range(nm)], $V16)</f>
        <v>#DIV/0!</v>
      </c>
      <c r="Y16" t="e">
        <f>AVERAGEIF(Table146810[Range(nm)], V16, Table146810[Corrected RSSI])</f>
        <v>#DIV/0!</v>
      </c>
      <c r="Z16" s="3" t="e">
        <f>AVERAGEIF(Table146810[Range(nm)], V16, Table146810[SNR])</f>
        <v>#DIV/0!</v>
      </c>
      <c r="AA16" s="4" t="e">
        <f>COUNTIFS(Table257911[Range(nm)], V16, Table257911[Type], "ACK")/COUNTIFS(Table257911[Range(nm)], V16)</f>
        <v>#DIV/0!</v>
      </c>
      <c r="AB16" s="5" t="e">
        <f>COUNTIFS(Table257911[Range(nm)], $V16, Table257911[Type], "SUT Rx Error")/COUNTIFS(Table257911[Range(nm)], $V16)</f>
        <v>#DIV/0!</v>
      </c>
      <c r="AC16" t="e">
        <f>AVERAGEIF(Table257911[Range(nm)], V16, Table257911[Corrected RSSI])</f>
        <v>#DIV/0!</v>
      </c>
      <c r="AD16" s="3" t="e">
        <f>AVERAGEIF(Table257911[Range(nm)], V16, Table257911[SNR])</f>
        <v>#DIV/0!</v>
      </c>
    </row>
    <row r="17" spans="2:30" x14ac:dyDescent="0.25">
      <c r="C17">
        <f>MINUTE(Table146810[[#This Row],[Corrected time]])</f>
        <v>18</v>
      </c>
      <c r="D17" s="1">
        <v>0.72115361111111109</v>
      </c>
      <c r="E17" s="1">
        <f>Table146810[[#This Row],[Time]]-TIME(0,0,8)</f>
        <v>0.72106101851851845</v>
      </c>
      <c r="F17" t="s">
        <v>9</v>
      </c>
      <c r="G17" t="s">
        <v>29</v>
      </c>
      <c r="H17">
        <f t="shared" si="0"/>
        <v>-126</v>
      </c>
      <c r="I17">
        <v>-11</v>
      </c>
      <c r="L17">
        <f>500+2*(Table257911[[#This Row],[min value (corrected)]]-9)</f>
        <v>500</v>
      </c>
      <c r="M17">
        <f>MINUTE(Table257911[[#This Row],[Corrected time]])</f>
        <v>9</v>
      </c>
      <c r="N17" s="1">
        <v>0.63166430555555553</v>
      </c>
      <c r="O17" s="1">
        <f>Table257911[[#This Row],[Time]]-TIME(0,0,3)</f>
        <v>0.6316295833333333</v>
      </c>
      <c r="P17" t="s">
        <v>9</v>
      </c>
      <c r="Q17">
        <v>-126</v>
      </c>
      <c r="R17">
        <f>Table257911[[#This Row],[RSSI]]</f>
        <v>-126</v>
      </c>
      <c r="S17">
        <v>-11.3</v>
      </c>
      <c r="V17" s="10">
        <f t="shared" si="1"/>
        <v>526</v>
      </c>
      <c r="W17" s="4" t="e">
        <f>COUNTIFS(Table146810[Range(nm)], V17, Table146810[Type], "ACK")/COUNTIFS(Table146810[Range(nm)], V17)</f>
        <v>#DIV/0!</v>
      </c>
      <c r="X17" s="5" t="e">
        <f>COUNTIFS(Table146810[Range(nm)], $V17, Table146810[Type], "SUT Rx Error")/COUNTIFS(Table146810[Range(nm)], $V17)</f>
        <v>#DIV/0!</v>
      </c>
      <c r="Y17" t="e">
        <f>AVERAGEIF(Table146810[Range(nm)], V17, Table146810[Corrected RSSI])</f>
        <v>#DIV/0!</v>
      </c>
      <c r="Z17" s="3" t="e">
        <f>AVERAGEIF(Table146810[Range(nm)], V17, Table146810[SNR])</f>
        <v>#DIV/0!</v>
      </c>
      <c r="AA17" s="4" t="e">
        <f>COUNTIFS(Table257911[Range(nm)], V17, Table257911[Type], "ACK")/COUNTIFS(Table257911[Range(nm)], V17)</f>
        <v>#DIV/0!</v>
      </c>
      <c r="AB17" s="5" t="e">
        <f>COUNTIFS(Table257911[Range(nm)], $V17, Table257911[Type], "SUT Rx Error")/COUNTIFS(Table257911[Range(nm)], $V17)</f>
        <v>#DIV/0!</v>
      </c>
      <c r="AC17" t="e">
        <f>AVERAGEIF(Table257911[Range(nm)], V17, Table257911[Corrected RSSI])</f>
        <v>#DIV/0!</v>
      </c>
      <c r="AD17" s="3" t="e">
        <f>AVERAGEIF(Table257911[Range(nm)], V17, Table257911[SNR])</f>
        <v>#DIV/0!</v>
      </c>
    </row>
    <row r="18" spans="2:30" x14ac:dyDescent="0.25">
      <c r="C18">
        <f>MINUTE(Table146810[[#This Row],[Corrected time]])</f>
        <v>18</v>
      </c>
      <c r="D18" s="1">
        <v>0.72121067129629624</v>
      </c>
      <c r="E18" s="1">
        <f>Table146810[[#This Row],[Time]]-TIME(0,0,8)</f>
        <v>0.72111807870370359</v>
      </c>
      <c r="F18" t="s">
        <v>9</v>
      </c>
      <c r="G18" t="s">
        <v>29</v>
      </c>
      <c r="H18">
        <f t="shared" si="0"/>
        <v>-126</v>
      </c>
      <c r="I18">
        <v>-11.3</v>
      </c>
      <c r="L18">
        <f>500+2*(Table257911[[#This Row],[min value (corrected)]]-9)</f>
        <v>500</v>
      </c>
      <c r="M18">
        <f>MINUTE(Table257911[[#This Row],[Corrected time]])</f>
        <v>9</v>
      </c>
      <c r="N18" s="1">
        <v>0.63172136574074078</v>
      </c>
      <c r="O18" s="1">
        <f>Table257911[[#This Row],[Time]]-TIME(0,0,3)</f>
        <v>0.63168664351851855</v>
      </c>
      <c r="P18" t="s">
        <v>9</v>
      </c>
      <c r="Q18">
        <v>-126</v>
      </c>
      <c r="R18">
        <f>Table257911[[#This Row],[RSSI]]</f>
        <v>-126</v>
      </c>
      <c r="S18">
        <v>-11</v>
      </c>
      <c r="V18" s="10">
        <f t="shared" si="1"/>
        <v>528</v>
      </c>
      <c r="W18" s="4" t="e">
        <f>COUNTIFS(Table146810[Range(nm)], V18, Table146810[Type], "ACK")/COUNTIFS(Table146810[Range(nm)], V18)</f>
        <v>#DIV/0!</v>
      </c>
      <c r="X18" s="5" t="e">
        <f>COUNTIFS(Table146810[Range(nm)], $V18, Table146810[Type], "SUT Rx Error")/COUNTIFS(Table146810[Range(nm)], $V18)</f>
        <v>#DIV/0!</v>
      </c>
      <c r="Y18" t="e">
        <f>AVERAGEIF(Table146810[Range(nm)], V18, Table146810[Corrected RSSI])</f>
        <v>#DIV/0!</v>
      </c>
      <c r="Z18" s="3" t="e">
        <f>AVERAGEIF(Table146810[Range(nm)], V18, Table146810[SNR])</f>
        <v>#DIV/0!</v>
      </c>
      <c r="AA18" s="4" t="e">
        <f>COUNTIFS(Table257911[Range(nm)], V18, Table257911[Type], "ACK")/COUNTIFS(Table257911[Range(nm)], V18)</f>
        <v>#DIV/0!</v>
      </c>
      <c r="AB18" s="5" t="e">
        <f>COUNTIFS(Table257911[Range(nm)], $V18, Table257911[Type], "SUT Rx Error")/COUNTIFS(Table257911[Range(nm)], $V18)</f>
        <v>#DIV/0!</v>
      </c>
      <c r="AC18" t="e">
        <f>AVERAGEIF(Table257911[Range(nm)], V18, Table257911[Corrected RSSI])</f>
        <v>#DIV/0!</v>
      </c>
      <c r="AD18" s="3" t="e">
        <f>AVERAGEIF(Table257911[Range(nm)], V18, Table257911[SNR])</f>
        <v>#DIV/0!</v>
      </c>
    </row>
    <row r="19" spans="2:30" x14ac:dyDescent="0.25">
      <c r="C19">
        <f>MINUTE(Table146810[[#This Row],[Corrected time]])</f>
        <v>18</v>
      </c>
      <c r="D19" s="1">
        <v>0.72126773148148149</v>
      </c>
      <c r="E19" s="1">
        <f>Table146810[[#This Row],[Time]]-TIME(0,0,8)</f>
        <v>0.72117513888888884</v>
      </c>
      <c r="F19" t="s">
        <v>9</v>
      </c>
      <c r="G19" t="s">
        <v>29</v>
      </c>
      <c r="H19">
        <f t="shared" si="0"/>
        <v>-126</v>
      </c>
      <c r="I19">
        <v>-11</v>
      </c>
      <c r="L19">
        <f>500+2*(Table257911[[#This Row],[min value (corrected)]]-9)</f>
        <v>500</v>
      </c>
      <c r="M19">
        <f>MINUTE(Table257911[[#This Row],[Corrected time]])</f>
        <v>9</v>
      </c>
      <c r="N19" s="1">
        <v>0.63177842592592592</v>
      </c>
      <c r="O19" s="1">
        <f>Table257911[[#This Row],[Time]]-TIME(0,0,3)</f>
        <v>0.6317437037037037</v>
      </c>
      <c r="P19" t="s">
        <v>9</v>
      </c>
      <c r="Q19">
        <v>-126</v>
      </c>
      <c r="R19">
        <f>Table257911[[#This Row],[RSSI]]</f>
        <v>-126</v>
      </c>
      <c r="S19">
        <v>-11</v>
      </c>
      <c r="V19" s="10">
        <f t="shared" si="1"/>
        <v>530</v>
      </c>
      <c r="W19" s="4" t="e">
        <f>COUNTIFS(Table146810[Range(nm)], V19, Table146810[Type], "ACK")/COUNTIFS(Table146810[Range(nm)], V19)</f>
        <v>#DIV/0!</v>
      </c>
      <c r="X19" s="5" t="e">
        <f>COUNTIFS(Table146810[Range(nm)], $V19, Table146810[Type], "SUT Rx Error")/COUNTIFS(Table146810[Range(nm)], $V19)</f>
        <v>#DIV/0!</v>
      </c>
      <c r="Y19" t="e">
        <f>AVERAGEIF(Table146810[Range(nm)], V19, Table146810[Corrected RSSI])</f>
        <v>#DIV/0!</v>
      </c>
      <c r="Z19" s="3" t="e">
        <f>AVERAGEIF(Table146810[Range(nm)], V19, Table146810[SNR])</f>
        <v>#DIV/0!</v>
      </c>
      <c r="AA19" s="4" t="e">
        <f>COUNTIFS(Table257911[Range(nm)], V19, Table257911[Type], "ACK")/COUNTIFS(Table257911[Range(nm)], V19)</f>
        <v>#DIV/0!</v>
      </c>
      <c r="AB19" s="5" t="e">
        <f>COUNTIFS(Table257911[Range(nm)], $V19, Table257911[Type], "SUT Rx Error")/COUNTIFS(Table257911[Range(nm)], $V19)</f>
        <v>#DIV/0!</v>
      </c>
      <c r="AC19" t="e">
        <f>AVERAGEIF(Table257911[Range(nm)], V19, Table257911[Corrected RSSI])</f>
        <v>#DIV/0!</v>
      </c>
      <c r="AD19" s="3" t="e">
        <f>AVERAGEIF(Table257911[Range(nm)], V19, Table257911[SNR])</f>
        <v>#DIV/0!</v>
      </c>
    </row>
    <row r="20" spans="2:30" x14ac:dyDescent="0.25">
      <c r="C20">
        <f>MINUTE(Table146810[[#This Row],[Corrected time]])</f>
        <v>18</v>
      </c>
      <c r="D20" s="1">
        <v>0.72132479166666663</v>
      </c>
      <c r="E20" s="1">
        <f>Table146810[[#This Row],[Time]]-TIME(0,0,8)</f>
        <v>0.72123219907407399</v>
      </c>
      <c r="F20" t="s">
        <v>9</v>
      </c>
      <c r="G20" t="s">
        <v>29</v>
      </c>
      <c r="H20">
        <f t="shared" si="0"/>
        <v>-126</v>
      </c>
      <c r="I20">
        <v>-11</v>
      </c>
      <c r="L20">
        <f>500+2*(Table257911[[#This Row],[min value (corrected)]]-9)</f>
        <v>500</v>
      </c>
      <c r="M20">
        <f>MINUTE(Table257911[[#This Row],[Corrected time]])</f>
        <v>9</v>
      </c>
      <c r="N20" s="1">
        <v>0.63183548611111118</v>
      </c>
      <c r="O20" s="1">
        <f>Table257911[[#This Row],[Time]]-TIME(0,0,3)</f>
        <v>0.63180076388888895</v>
      </c>
      <c r="P20" t="s">
        <v>9</v>
      </c>
      <c r="Q20">
        <v>-126</v>
      </c>
      <c r="R20">
        <f>Table257911[[#This Row],[RSSI]]</f>
        <v>-126</v>
      </c>
      <c r="S20">
        <v>-11.3</v>
      </c>
      <c r="V20" s="10">
        <f t="shared" si="1"/>
        <v>532</v>
      </c>
      <c r="W20" s="4" t="e">
        <f>COUNTIFS(Table146810[Range(nm)], V20, Table146810[Type], "ACK")/COUNTIFS(Table146810[Range(nm)], V20)</f>
        <v>#DIV/0!</v>
      </c>
      <c r="X20" s="5" t="e">
        <f>COUNTIFS(Table146810[Range(nm)], $V20, Table146810[Type], "SUT Rx Error")/COUNTIFS(Table146810[Range(nm)], $V20)</f>
        <v>#DIV/0!</v>
      </c>
      <c r="Y20" t="e">
        <f>AVERAGEIF(Table146810[Range(nm)], V20, Table146810[Corrected RSSI])</f>
        <v>#DIV/0!</v>
      </c>
      <c r="Z20" s="3" t="e">
        <f>AVERAGEIF(Table146810[Range(nm)], V20, Table146810[SNR])</f>
        <v>#DIV/0!</v>
      </c>
      <c r="AA20" s="4" t="e">
        <f>COUNTIFS(Table257911[Range(nm)], V20, Table257911[Type], "ACK")/COUNTIFS(Table257911[Range(nm)], V20)</f>
        <v>#DIV/0!</v>
      </c>
      <c r="AB20" s="5" t="e">
        <f>COUNTIFS(Table257911[Range(nm)], $V20, Table257911[Type], "SUT Rx Error")/COUNTIFS(Table257911[Range(nm)], $V20)</f>
        <v>#DIV/0!</v>
      </c>
      <c r="AC20" t="e">
        <f>AVERAGEIF(Table257911[Range(nm)], V20, Table257911[Corrected RSSI])</f>
        <v>#DIV/0!</v>
      </c>
      <c r="AD20" s="3" t="e">
        <f>AVERAGEIF(Table257911[Range(nm)], V20, Table257911[SNR])</f>
        <v>#DIV/0!</v>
      </c>
    </row>
    <row r="21" spans="2:30" x14ac:dyDescent="0.25">
      <c r="C21">
        <f>MINUTE(Table146810[[#This Row],[Corrected time]])</f>
        <v>18</v>
      </c>
      <c r="D21" s="1">
        <v>0.72138185185185189</v>
      </c>
      <c r="E21" s="1">
        <f>Table146810[[#This Row],[Time]]-TIME(0,0,8)</f>
        <v>0.72128925925925924</v>
      </c>
      <c r="F21" t="s">
        <v>9</v>
      </c>
      <c r="G21" t="s">
        <v>29</v>
      </c>
      <c r="H21">
        <f t="shared" si="0"/>
        <v>-126</v>
      </c>
      <c r="I21">
        <v>-11.3</v>
      </c>
      <c r="L21">
        <f>500+2*(Table257911[[#This Row],[min value (corrected)]]-9)</f>
        <v>500</v>
      </c>
      <c r="M21">
        <f>MINUTE(Table257911[[#This Row],[Corrected time]])</f>
        <v>9</v>
      </c>
      <c r="N21" s="1">
        <v>0.63189254629629632</v>
      </c>
      <c r="O21" s="1">
        <f>Table257911[[#This Row],[Time]]-TIME(0,0,3)</f>
        <v>0.63185782407407409</v>
      </c>
      <c r="P21" t="s">
        <v>9</v>
      </c>
      <c r="Q21">
        <v>-126</v>
      </c>
      <c r="R21">
        <f>Table257911[[#This Row],[RSSI]]</f>
        <v>-126</v>
      </c>
      <c r="S21">
        <v>-10.8</v>
      </c>
      <c r="V21" s="10">
        <f t="shared" si="1"/>
        <v>534</v>
      </c>
      <c r="W21" s="4" t="e">
        <f>COUNTIFS(Table146810[Range(nm)], V21, Table146810[Type], "ACK")/COUNTIFS(Table146810[Range(nm)], V21)</f>
        <v>#DIV/0!</v>
      </c>
      <c r="X21" s="5" t="e">
        <f>COUNTIFS(Table146810[Range(nm)], $V21, Table146810[Type], "SUT Rx Error")/COUNTIFS(Table146810[Range(nm)], $V21)</f>
        <v>#DIV/0!</v>
      </c>
      <c r="Y21" t="e">
        <f>AVERAGEIF(Table146810[Range(nm)], V21, Table146810[Corrected RSSI])</f>
        <v>#DIV/0!</v>
      </c>
      <c r="Z21" s="3" t="e">
        <f>AVERAGEIF(Table146810[Range(nm)], V21, Table146810[SNR])</f>
        <v>#DIV/0!</v>
      </c>
      <c r="AA21" s="4" t="e">
        <f>COUNTIFS(Table257911[Range(nm)], V21, Table257911[Type], "ACK")/COUNTIFS(Table257911[Range(nm)], V21)</f>
        <v>#DIV/0!</v>
      </c>
      <c r="AB21" s="5" t="e">
        <f>COUNTIFS(Table257911[Range(nm)], $V21, Table257911[Type], "SUT Rx Error")/COUNTIFS(Table257911[Range(nm)], $V21)</f>
        <v>#DIV/0!</v>
      </c>
      <c r="AC21" t="e">
        <f>AVERAGEIF(Table257911[Range(nm)], V21, Table257911[Corrected RSSI])</f>
        <v>#DIV/0!</v>
      </c>
      <c r="AD21" s="3" t="e">
        <f>AVERAGEIF(Table257911[Range(nm)], V21, Table257911[SNR])</f>
        <v>#DIV/0!</v>
      </c>
    </row>
    <row r="22" spans="2:30" x14ac:dyDescent="0.25">
      <c r="C22">
        <f>MINUTE(Table146810[[#This Row],[Corrected time]])</f>
        <v>18</v>
      </c>
      <c r="D22" s="1">
        <v>0.72143891203703703</v>
      </c>
      <c r="E22" s="1">
        <f>Table146810[[#This Row],[Time]]-TIME(0,0,8)</f>
        <v>0.72134631944444438</v>
      </c>
      <c r="F22" t="s">
        <v>9</v>
      </c>
      <c r="G22" t="s">
        <v>29</v>
      </c>
      <c r="H22">
        <f t="shared" ref="H22:H85" si="2">VALUE(LEFT(G22,LEN(G22)-1))</f>
        <v>-126</v>
      </c>
      <c r="I22">
        <v>-11</v>
      </c>
      <c r="L22">
        <f>500+2*(Table257911[[#This Row],[min value (corrected)]]-9)</f>
        <v>500</v>
      </c>
      <c r="M22">
        <f>MINUTE(Table257911[[#This Row],[Corrected time]])</f>
        <v>9</v>
      </c>
      <c r="N22" s="1">
        <v>0.63194959490740743</v>
      </c>
      <c r="O22" s="1">
        <f>Table257911[[#This Row],[Time]]-TIME(0,0,3)</f>
        <v>0.6319148726851852</v>
      </c>
      <c r="P22" t="s">
        <v>9</v>
      </c>
      <c r="Q22">
        <v>-126</v>
      </c>
      <c r="R22">
        <f>Table257911[[#This Row],[RSSI]]</f>
        <v>-126</v>
      </c>
      <c r="S22">
        <v>-11</v>
      </c>
      <c r="V22" s="10">
        <f t="shared" si="1"/>
        <v>536</v>
      </c>
      <c r="W22" s="4" t="e">
        <f>COUNTIFS(Table146810[Range(nm)], V22, Table146810[Type], "ACK")/COUNTIFS(Table146810[Range(nm)], V22)</f>
        <v>#DIV/0!</v>
      </c>
      <c r="X22" s="5" t="e">
        <f>COUNTIFS(Table146810[Range(nm)], $V22, Table146810[Type], "SUT Rx Error")/COUNTIFS(Table146810[Range(nm)], $V22)</f>
        <v>#DIV/0!</v>
      </c>
      <c r="Y22" t="e">
        <f>AVERAGEIF(Table146810[Range(nm)], V22, Table146810[Corrected RSSI])</f>
        <v>#DIV/0!</v>
      </c>
      <c r="Z22" s="3" t="e">
        <f>AVERAGEIF(Table146810[Range(nm)], V22, Table146810[SNR])</f>
        <v>#DIV/0!</v>
      </c>
      <c r="AA22" s="4" t="e">
        <f>COUNTIFS(Table257911[Range(nm)], V22, Table257911[Type], "ACK")/COUNTIFS(Table257911[Range(nm)], V22)</f>
        <v>#DIV/0!</v>
      </c>
      <c r="AB22" s="5" t="e">
        <f>COUNTIFS(Table257911[Range(nm)], $V22, Table257911[Type], "SUT Rx Error")/COUNTIFS(Table257911[Range(nm)], $V22)</f>
        <v>#DIV/0!</v>
      </c>
      <c r="AC22" t="e">
        <f>AVERAGEIF(Table257911[Range(nm)], V22, Table257911[Corrected RSSI])</f>
        <v>#DIV/0!</v>
      </c>
      <c r="AD22" s="3" t="e">
        <f>AVERAGEIF(Table257911[Range(nm)], V22, Table257911[SNR])</f>
        <v>#DIV/0!</v>
      </c>
    </row>
    <row r="23" spans="2:30" x14ac:dyDescent="0.25">
      <c r="C23">
        <f>MINUTE(Table146810[[#This Row],[Corrected time]])</f>
        <v>18</v>
      </c>
      <c r="D23" s="1">
        <v>0.72149597222222228</v>
      </c>
      <c r="E23" s="1">
        <f>Table146810[[#This Row],[Time]]-TIME(0,0,8)</f>
        <v>0.72140337962962964</v>
      </c>
      <c r="F23" t="s">
        <v>9</v>
      </c>
      <c r="G23" t="s">
        <v>29</v>
      </c>
      <c r="H23">
        <f t="shared" si="2"/>
        <v>-126</v>
      </c>
      <c r="I23">
        <v>-11.3</v>
      </c>
      <c r="L23">
        <f>500+2*(Table257911[[#This Row],[min value (corrected)]]-9)</f>
        <v>502</v>
      </c>
      <c r="M23">
        <f>MINUTE(Table257911[[#This Row],[Corrected time]])</f>
        <v>10</v>
      </c>
      <c r="N23" s="1">
        <v>0.63200666666666661</v>
      </c>
      <c r="O23" s="1">
        <f>Table257911[[#This Row],[Time]]-TIME(0,0,3)</f>
        <v>0.63197194444444438</v>
      </c>
      <c r="P23" t="s">
        <v>9</v>
      </c>
      <c r="Q23">
        <v>-127.5</v>
      </c>
      <c r="R23">
        <f>Table257911[[#This Row],[RSSI]]</f>
        <v>-127.5</v>
      </c>
      <c r="S23">
        <v>-13</v>
      </c>
      <c r="V23" s="10">
        <f t="shared" si="1"/>
        <v>538</v>
      </c>
      <c r="W23" s="4" t="e">
        <f>COUNTIFS(Table146810[Range(nm)], V23, Table146810[Type], "ACK")/COUNTIFS(Table146810[Range(nm)], V23)</f>
        <v>#DIV/0!</v>
      </c>
      <c r="X23" s="5" t="e">
        <f>COUNTIFS(Table146810[Range(nm)], $V23, Table146810[Type], "SUT Rx Error")/COUNTIFS(Table146810[Range(nm)], $V23)</f>
        <v>#DIV/0!</v>
      </c>
      <c r="Y23" t="e">
        <f>AVERAGEIF(Table146810[Range(nm)], V23, Table146810[Corrected RSSI])</f>
        <v>#DIV/0!</v>
      </c>
      <c r="Z23" s="3" t="e">
        <f>AVERAGEIF(Table146810[Range(nm)], V23, Table146810[SNR])</f>
        <v>#DIV/0!</v>
      </c>
      <c r="AA23" s="4" t="e">
        <f>COUNTIFS(Table257911[Range(nm)], V23, Table257911[Type], "ACK")/COUNTIFS(Table257911[Range(nm)], V23)</f>
        <v>#DIV/0!</v>
      </c>
      <c r="AB23" s="5" t="e">
        <f>COUNTIFS(Table257911[Range(nm)], $V23, Table257911[Type], "SUT Rx Error")/COUNTIFS(Table257911[Range(nm)], $V23)</f>
        <v>#DIV/0!</v>
      </c>
      <c r="AC23" t="e">
        <f>AVERAGEIF(Table257911[Range(nm)], V23, Table257911[Corrected RSSI])</f>
        <v>#DIV/0!</v>
      </c>
      <c r="AD23" s="3" t="e">
        <f>AVERAGEIF(Table257911[Range(nm)], V23, Table257911[SNR])</f>
        <v>#DIV/0!</v>
      </c>
    </row>
    <row r="24" spans="2:30" x14ac:dyDescent="0.25">
      <c r="C24">
        <f>MINUTE(Table146810[[#This Row],[Corrected time]])</f>
        <v>18</v>
      </c>
      <c r="D24" s="17">
        <v>0.72155303240740742</v>
      </c>
      <c r="E24" s="1">
        <f>Table146810[[#This Row],[Time]]-TIME(0,0,8)</f>
        <v>0.72146043981481478</v>
      </c>
      <c r="F24" t="s">
        <v>9</v>
      </c>
      <c r="G24" t="s">
        <v>29</v>
      </c>
      <c r="H24">
        <f t="shared" si="2"/>
        <v>-126</v>
      </c>
      <c r="I24">
        <v>-11.3</v>
      </c>
      <c r="L24">
        <f>500+2*(Table257911[[#This Row],[min value (corrected)]]-9)</f>
        <v>502</v>
      </c>
      <c r="M24">
        <f>MINUTE(Table257911[[#This Row],[Corrected time]])</f>
        <v>10</v>
      </c>
      <c r="N24" s="1">
        <v>0.63206372685185186</v>
      </c>
      <c r="O24" s="1">
        <f>Table257911[[#This Row],[Time]]-TIME(0,0,3)</f>
        <v>0.63202900462962963</v>
      </c>
      <c r="P24" t="s">
        <v>9</v>
      </c>
      <c r="Q24">
        <v>-127.5</v>
      </c>
      <c r="R24">
        <f>Table257911[[#This Row],[RSSI]]</f>
        <v>-127.5</v>
      </c>
      <c r="S24">
        <v>-13.8</v>
      </c>
      <c r="V24" s="10">
        <f t="shared" si="1"/>
        <v>540</v>
      </c>
      <c r="W24" s="4" t="e">
        <f>COUNTIFS(Table146810[Range(nm)], V24, Table146810[Type], "ACK")/COUNTIFS(Table146810[Range(nm)], V24)</f>
        <v>#DIV/0!</v>
      </c>
      <c r="X24" s="5" t="e">
        <f>COUNTIFS(Table146810[Range(nm)], $V24, Table146810[Type], "SUT Rx Error")/COUNTIFS(Table146810[Range(nm)], $V24)</f>
        <v>#DIV/0!</v>
      </c>
      <c r="Y24" t="e">
        <f>AVERAGEIF(Table146810[Range(nm)], V24, Table146810[Corrected RSSI])</f>
        <v>#DIV/0!</v>
      </c>
      <c r="Z24" s="3" t="e">
        <f>AVERAGEIF(Table146810[Range(nm)], V24, Table146810[SNR])</f>
        <v>#DIV/0!</v>
      </c>
      <c r="AA24" s="4" t="e">
        <f>COUNTIFS(Table257911[Range(nm)], V24, Table257911[Type], "ACK")/COUNTIFS(Table257911[Range(nm)], V24)</f>
        <v>#DIV/0!</v>
      </c>
      <c r="AB24" s="5" t="e">
        <f>COUNTIFS(Table257911[Range(nm)], $V24, Table257911[Type], "SUT Rx Error")/COUNTIFS(Table257911[Range(nm)], $V24)</f>
        <v>#DIV/0!</v>
      </c>
      <c r="AC24" t="e">
        <f>AVERAGEIF(Table257911[Range(nm)], V24, Table257911[Corrected RSSI])</f>
        <v>#DIV/0!</v>
      </c>
      <c r="AD24" s="3" t="e">
        <f>AVERAGEIF(Table257911[Range(nm)], V24, Table257911[SNR])</f>
        <v>#DIV/0!</v>
      </c>
    </row>
    <row r="25" spans="2:30" x14ac:dyDescent="0.25">
      <c r="C25">
        <f>MINUTE(Table146810[[#This Row],[Corrected time]])</f>
        <v>18</v>
      </c>
      <c r="D25" s="1">
        <v>0.72161009259259257</v>
      </c>
      <c r="E25" s="1">
        <f>Table146810[[#This Row],[Time]]-TIME(0,0,8)</f>
        <v>0.72151749999999992</v>
      </c>
      <c r="F25" t="s">
        <v>9</v>
      </c>
      <c r="G25" t="s">
        <v>29</v>
      </c>
      <c r="H25">
        <f t="shared" si="2"/>
        <v>-126</v>
      </c>
      <c r="I25">
        <v>-10.8</v>
      </c>
      <c r="L25">
        <f>500+2*(Table257911[[#This Row],[min value (corrected)]]-9)</f>
        <v>502</v>
      </c>
      <c r="M25">
        <f>MINUTE(Table257911[[#This Row],[Corrected time]])</f>
        <v>10</v>
      </c>
      <c r="N25" s="1">
        <v>0.632120787037037</v>
      </c>
      <c r="O25" s="1">
        <f>Table257911[[#This Row],[Time]]-TIME(0,0,3)</f>
        <v>0.63208606481481477</v>
      </c>
      <c r="P25" t="s">
        <v>13</v>
      </c>
      <c r="Q25">
        <f>Q24-0.5</f>
        <v>-128</v>
      </c>
      <c r="R25">
        <f>Table257911[[#This Row],[RSSI]]</f>
        <v>-128</v>
      </c>
      <c r="S25">
        <f>S24-0.5</f>
        <v>-14.3</v>
      </c>
      <c r="V25" s="10">
        <f t="shared" si="1"/>
        <v>542</v>
      </c>
      <c r="W25" s="4" t="e">
        <f>COUNTIFS(Table146810[Range(nm)], V25, Table146810[Type], "ACK")/COUNTIFS(Table146810[Range(nm)], V25)</f>
        <v>#DIV/0!</v>
      </c>
      <c r="X25" s="5" t="e">
        <f>COUNTIFS(Table146810[Range(nm)], $V25, Table146810[Type], "SUT Rx Error")/COUNTIFS(Table146810[Range(nm)], $V25)</f>
        <v>#DIV/0!</v>
      </c>
      <c r="Y25" t="e">
        <f>AVERAGEIF(Table146810[Range(nm)], V25, Table146810[Corrected RSSI])</f>
        <v>#DIV/0!</v>
      </c>
      <c r="Z25" s="3" t="e">
        <f>AVERAGEIF(Table146810[Range(nm)], V25, Table146810[SNR])</f>
        <v>#DIV/0!</v>
      </c>
      <c r="AA25" s="4" t="e">
        <f>COUNTIFS(Table257911[Range(nm)], V25, Table257911[Type], "ACK")/COUNTIFS(Table257911[Range(nm)], V25)</f>
        <v>#DIV/0!</v>
      </c>
      <c r="AB25" s="5" t="e">
        <f>COUNTIFS(Table257911[Range(nm)], $V25, Table257911[Type], "SUT Rx Error")/COUNTIFS(Table257911[Range(nm)], $V25)</f>
        <v>#DIV/0!</v>
      </c>
      <c r="AC25" t="e">
        <f>AVERAGEIF(Table257911[Range(nm)], V25, Table257911[Corrected RSSI])</f>
        <v>#DIV/0!</v>
      </c>
      <c r="AD25" s="3" t="e">
        <f>AVERAGEIF(Table257911[Range(nm)], V25, Table257911[SNR])</f>
        <v>#DIV/0!</v>
      </c>
    </row>
    <row r="26" spans="2:30" x14ac:dyDescent="0.25">
      <c r="B26">
        <f>500+2*(Table146810[[#This Row],[min value (corrected)]]-19)</f>
        <v>500</v>
      </c>
      <c r="C26">
        <f>MINUTE(Table146810[[#This Row],[Corrected time]])</f>
        <v>19</v>
      </c>
      <c r="D26" s="1">
        <v>0.72166715277777782</v>
      </c>
      <c r="E26" s="2">
        <f>Table146810[[#This Row],[Time]]-TIME(0,0,8)</f>
        <v>0.72157456018518518</v>
      </c>
      <c r="F26" t="s">
        <v>9</v>
      </c>
      <c r="G26" t="s">
        <v>29</v>
      </c>
      <c r="H26">
        <f t="shared" si="2"/>
        <v>-126</v>
      </c>
      <c r="I26">
        <v>-11</v>
      </c>
      <c r="L26">
        <f>500+2*(Table257911[[#This Row],[min value (corrected)]]-9)</f>
        <v>502</v>
      </c>
      <c r="M26">
        <f>MINUTE(Table257911[[#This Row],[Corrected time]])</f>
        <v>10</v>
      </c>
      <c r="N26" s="1">
        <v>0.63217784722222214</v>
      </c>
      <c r="O26" s="1">
        <f>Table257911[[#This Row],[Time]]-TIME(0,0,3)</f>
        <v>0.63214312499999992</v>
      </c>
      <c r="P26" t="s">
        <v>9</v>
      </c>
      <c r="Q26">
        <v>-127.5</v>
      </c>
      <c r="R26">
        <f>Table257911[[#This Row],[RSSI]]</f>
        <v>-127.5</v>
      </c>
      <c r="S26">
        <v>-13.8</v>
      </c>
      <c r="V26" s="10">
        <f t="shared" si="1"/>
        <v>544</v>
      </c>
      <c r="W26" s="4" t="e">
        <f>COUNTIFS(Table146810[Range(nm)], V26, Table146810[Type], "ACK")/COUNTIFS(Table146810[Range(nm)], V26)</f>
        <v>#DIV/0!</v>
      </c>
      <c r="X26" s="5" t="e">
        <f>COUNTIFS(Table146810[Range(nm)], $V26, Table146810[Type], "SUT Rx Error")/COUNTIFS(Table146810[Range(nm)], $V26)</f>
        <v>#DIV/0!</v>
      </c>
      <c r="Y26" t="e">
        <f>AVERAGEIF(Table146810[Range(nm)], V26, Table146810[Corrected RSSI])</f>
        <v>#DIV/0!</v>
      </c>
      <c r="Z26" s="3" t="e">
        <f>AVERAGEIF(Table146810[Range(nm)], V26, Table146810[SNR])</f>
        <v>#DIV/0!</v>
      </c>
      <c r="AA26" s="4" t="e">
        <f>COUNTIFS(Table257911[Range(nm)], V26, Table257911[Type], "ACK")/COUNTIFS(Table257911[Range(nm)], V26)</f>
        <v>#DIV/0!</v>
      </c>
      <c r="AB26" s="5" t="e">
        <f>COUNTIFS(Table257911[Range(nm)], $V26, Table257911[Type], "SUT Rx Error")/COUNTIFS(Table257911[Range(nm)], $V26)</f>
        <v>#DIV/0!</v>
      </c>
      <c r="AC26" t="e">
        <f>AVERAGEIF(Table257911[Range(nm)], V26, Table257911[Corrected RSSI])</f>
        <v>#DIV/0!</v>
      </c>
      <c r="AD26" s="3" t="e">
        <f>AVERAGEIF(Table257911[Range(nm)], V26, Table257911[SNR])</f>
        <v>#DIV/0!</v>
      </c>
    </row>
    <row r="27" spans="2:30" x14ac:dyDescent="0.25">
      <c r="B27">
        <f>500+2*(Table146810[[#This Row],[min value (corrected)]]-19)</f>
        <v>500</v>
      </c>
      <c r="C27">
        <f>MINUTE(Table146810[[#This Row],[Corrected time]])</f>
        <v>19</v>
      </c>
      <c r="D27" s="1">
        <v>0.72172421296296296</v>
      </c>
      <c r="E27" s="1">
        <f>Table146810[[#This Row],[Time]]-TIME(0,0,8)</f>
        <v>0.72163162037037032</v>
      </c>
      <c r="F27" t="s">
        <v>9</v>
      </c>
      <c r="G27" t="s">
        <v>29</v>
      </c>
      <c r="H27">
        <f t="shared" si="2"/>
        <v>-126</v>
      </c>
      <c r="I27">
        <v>-11</v>
      </c>
      <c r="L27">
        <f>500+2*(Table257911[[#This Row],[min value (corrected)]]-9)</f>
        <v>502</v>
      </c>
      <c r="M27">
        <f>MINUTE(Table257911[[#This Row],[Corrected time]])</f>
        <v>10</v>
      </c>
      <c r="N27" s="1">
        <v>0.6322349074074074</v>
      </c>
      <c r="O27" s="1">
        <f>Table257911[[#This Row],[Time]]-TIME(0,0,3)</f>
        <v>0.63220018518518517</v>
      </c>
      <c r="P27" t="s">
        <v>9</v>
      </c>
      <c r="Q27">
        <v>-127.5</v>
      </c>
      <c r="R27">
        <f>Table257911[[#This Row],[RSSI]]</f>
        <v>-127.5</v>
      </c>
      <c r="S27">
        <v>-14</v>
      </c>
      <c r="V27" s="10">
        <f t="shared" si="1"/>
        <v>546</v>
      </c>
      <c r="W27" s="4" t="e">
        <f>COUNTIFS(Table146810[Range(nm)], V27, Table146810[Type], "ACK")/COUNTIFS(Table146810[Range(nm)], V27)</f>
        <v>#DIV/0!</v>
      </c>
      <c r="X27" s="5" t="e">
        <f>COUNTIFS(Table146810[Range(nm)], $V27, Table146810[Type], "SUT Rx Error")/COUNTIFS(Table146810[Range(nm)], $V27)</f>
        <v>#DIV/0!</v>
      </c>
      <c r="Y27" t="e">
        <f>AVERAGEIF(Table146810[Range(nm)], V27, Table146810[Corrected RSSI])</f>
        <v>#DIV/0!</v>
      </c>
      <c r="Z27" s="3" t="e">
        <f>AVERAGEIF(Table146810[Range(nm)], V27, Table146810[SNR])</f>
        <v>#DIV/0!</v>
      </c>
      <c r="AA27" s="4" t="e">
        <f>COUNTIFS(Table257911[Range(nm)], V27, Table257911[Type], "ACK")/COUNTIFS(Table257911[Range(nm)], V27)</f>
        <v>#DIV/0!</v>
      </c>
      <c r="AB27" s="5" t="e">
        <f>COUNTIFS(Table257911[Range(nm)], $V27, Table257911[Type], "SUT Rx Error")/COUNTIFS(Table257911[Range(nm)], $V27)</f>
        <v>#DIV/0!</v>
      </c>
      <c r="AC27" t="e">
        <f>AVERAGEIF(Table257911[Range(nm)], V27, Table257911[Corrected RSSI])</f>
        <v>#DIV/0!</v>
      </c>
      <c r="AD27" s="3" t="e">
        <f>AVERAGEIF(Table257911[Range(nm)], V27, Table257911[SNR])</f>
        <v>#DIV/0!</v>
      </c>
    </row>
    <row r="28" spans="2:30" x14ac:dyDescent="0.25">
      <c r="B28">
        <f>500+2*(Table146810[[#This Row],[min value (corrected)]]-19)</f>
        <v>500</v>
      </c>
      <c r="C28">
        <f>MINUTE(Table146810[[#This Row],[Corrected time]])</f>
        <v>19</v>
      </c>
      <c r="D28" s="1">
        <v>0.72178126157407407</v>
      </c>
      <c r="E28" s="1">
        <f>Table146810[[#This Row],[Time]]-TIME(0,0,8)</f>
        <v>0.72168866898148143</v>
      </c>
      <c r="F28" t="s">
        <v>9</v>
      </c>
      <c r="G28" t="s">
        <v>29</v>
      </c>
      <c r="H28">
        <f t="shared" si="2"/>
        <v>-126</v>
      </c>
      <c r="I28">
        <v>-11</v>
      </c>
      <c r="L28">
        <f>500+2*(Table257911[[#This Row],[min value (corrected)]]-9)</f>
        <v>502</v>
      </c>
      <c r="M28">
        <f>MINUTE(Table257911[[#This Row],[Corrected time]])</f>
        <v>10</v>
      </c>
      <c r="N28" s="1">
        <v>0.63229196759259254</v>
      </c>
      <c r="O28" s="1">
        <f>Table257911[[#This Row],[Time]]-TIME(0,0,3)</f>
        <v>0.63225724537037031</v>
      </c>
      <c r="P28" t="s">
        <v>9</v>
      </c>
      <c r="Q28">
        <v>-127.5</v>
      </c>
      <c r="R28">
        <f>Table257911[[#This Row],[RSSI]]</f>
        <v>-127.5</v>
      </c>
      <c r="S28">
        <v>-14</v>
      </c>
      <c r="V28" s="10">
        <f t="shared" si="1"/>
        <v>548</v>
      </c>
      <c r="W28" s="4" t="e">
        <f>COUNTIFS(Table146810[Range(nm)], V28, Table146810[Type], "ACK")/COUNTIFS(Table146810[Range(nm)], V28)</f>
        <v>#DIV/0!</v>
      </c>
      <c r="X28" s="5" t="e">
        <f>COUNTIFS(Table146810[Range(nm)], $V28, Table146810[Type], "SUT Rx Error")/COUNTIFS(Table146810[Range(nm)], $V28)</f>
        <v>#DIV/0!</v>
      </c>
      <c r="Y28" t="e">
        <f>AVERAGEIF(Table146810[Range(nm)], V28, Table146810[Corrected RSSI])</f>
        <v>#DIV/0!</v>
      </c>
      <c r="Z28" s="3" t="e">
        <f>AVERAGEIF(Table146810[Range(nm)], V28, Table146810[SNR])</f>
        <v>#DIV/0!</v>
      </c>
      <c r="AA28" s="4" t="e">
        <f>COUNTIFS(Table257911[Range(nm)], V28, Table257911[Type], "ACK")/COUNTIFS(Table257911[Range(nm)], V28)</f>
        <v>#DIV/0!</v>
      </c>
      <c r="AB28" s="5" t="e">
        <f>COUNTIFS(Table257911[Range(nm)], $V28, Table257911[Type], "SUT Rx Error")/COUNTIFS(Table257911[Range(nm)], $V28)</f>
        <v>#DIV/0!</v>
      </c>
      <c r="AC28" t="e">
        <f>AVERAGEIF(Table257911[Range(nm)], V28, Table257911[Corrected RSSI])</f>
        <v>#DIV/0!</v>
      </c>
      <c r="AD28" s="3" t="e">
        <f>AVERAGEIF(Table257911[Range(nm)], V28, Table257911[SNR])</f>
        <v>#DIV/0!</v>
      </c>
    </row>
    <row r="29" spans="2:30" x14ac:dyDescent="0.25">
      <c r="B29">
        <f>500+2*(Table146810[[#This Row],[min value (corrected)]]-19)</f>
        <v>500</v>
      </c>
      <c r="C29">
        <f>MINUTE(Table146810[[#This Row],[Corrected time]])</f>
        <v>19</v>
      </c>
      <c r="D29" s="1">
        <v>0.72183833333333336</v>
      </c>
      <c r="E29" s="1">
        <f>Table146810[[#This Row],[Time]]-TIME(0,0,8)</f>
        <v>0.72174574074074072</v>
      </c>
      <c r="F29" t="s">
        <v>9</v>
      </c>
      <c r="G29" t="s">
        <v>29</v>
      </c>
      <c r="H29">
        <f t="shared" si="2"/>
        <v>-126</v>
      </c>
      <c r="I29">
        <v>-10.8</v>
      </c>
      <c r="L29">
        <f>500+2*(Table257911[[#This Row],[min value (corrected)]]-9)</f>
        <v>502</v>
      </c>
      <c r="M29">
        <f>MINUTE(Table257911[[#This Row],[Corrected time]])</f>
        <v>10</v>
      </c>
      <c r="N29" s="1">
        <v>0.63234902777777779</v>
      </c>
      <c r="O29" s="1">
        <f>Table257911[[#This Row],[Time]]-TIME(0,0,3)</f>
        <v>0.63231430555555557</v>
      </c>
      <c r="P29" t="s">
        <v>9</v>
      </c>
      <c r="Q29">
        <v>-127.5</v>
      </c>
      <c r="R29">
        <f>Table257911[[#This Row],[RSSI]]</f>
        <v>-127.5</v>
      </c>
      <c r="S29">
        <v>-14.3</v>
      </c>
      <c r="V29" s="10">
        <f t="shared" si="1"/>
        <v>550</v>
      </c>
      <c r="W29" s="4" t="e">
        <f>COUNTIFS(Table146810[Range(nm)], V29, Table146810[Type], "ACK")/COUNTIFS(Table146810[Range(nm)], V29)</f>
        <v>#DIV/0!</v>
      </c>
      <c r="X29" s="5" t="e">
        <f>COUNTIFS(Table146810[Range(nm)], $V29, Table146810[Type], "SUT Rx Error")/COUNTIFS(Table146810[Range(nm)], $V29)</f>
        <v>#DIV/0!</v>
      </c>
      <c r="Y29" t="e">
        <f>AVERAGEIF(Table146810[Range(nm)], V29, Table146810[Corrected RSSI])</f>
        <v>#DIV/0!</v>
      </c>
      <c r="Z29" s="3" t="e">
        <f>AVERAGEIF(Table146810[Range(nm)], V29, Table146810[SNR])</f>
        <v>#DIV/0!</v>
      </c>
      <c r="AA29" s="4" t="e">
        <f>COUNTIFS(Table257911[Range(nm)], V29, Table257911[Type], "ACK")/COUNTIFS(Table257911[Range(nm)], V29)</f>
        <v>#DIV/0!</v>
      </c>
      <c r="AB29" s="5" t="e">
        <f>COUNTIFS(Table257911[Range(nm)], $V29, Table257911[Type], "SUT Rx Error")/COUNTIFS(Table257911[Range(nm)], $V29)</f>
        <v>#DIV/0!</v>
      </c>
      <c r="AC29" t="e">
        <f>AVERAGEIF(Table257911[Range(nm)], V29, Table257911[Corrected RSSI])</f>
        <v>#DIV/0!</v>
      </c>
      <c r="AD29" s="3" t="e">
        <f>AVERAGEIF(Table257911[Range(nm)], V29, Table257911[SNR])</f>
        <v>#DIV/0!</v>
      </c>
    </row>
    <row r="30" spans="2:30" x14ac:dyDescent="0.25">
      <c r="B30">
        <f>500+2*(Table146810[[#This Row],[min value (corrected)]]-19)</f>
        <v>500</v>
      </c>
      <c r="C30">
        <f>MINUTE(Table146810[[#This Row],[Corrected time]])</f>
        <v>19</v>
      </c>
      <c r="D30" s="1">
        <v>0.7218953935185185</v>
      </c>
      <c r="E30" s="1">
        <f>Table146810[[#This Row],[Time]]-TIME(0,0,8)</f>
        <v>0.72180280092592586</v>
      </c>
      <c r="F30" t="s">
        <v>9</v>
      </c>
      <c r="G30" t="s">
        <v>29</v>
      </c>
      <c r="H30">
        <f t="shared" si="2"/>
        <v>-126</v>
      </c>
      <c r="I30">
        <v>-11</v>
      </c>
      <c r="L30">
        <f>500+2*(Table257911[[#This Row],[min value (corrected)]]-9)</f>
        <v>502</v>
      </c>
      <c r="M30">
        <f>MINUTE(Table257911[[#This Row],[Corrected time]])</f>
        <v>10</v>
      </c>
      <c r="N30" s="1">
        <v>0.63240608796296294</v>
      </c>
      <c r="O30" s="1">
        <f>Table257911[[#This Row],[Time]]-TIME(0,0,3)</f>
        <v>0.63237136574074071</v>
      </c>
      <c r="P30" t="s">
        <v>9</v>
      </c>
      <c r="Q30">
        <v>-127.5</v>
      </c>
      <c r="R30">
        <f>Table257911[[#This Row],[RSSI]]</f>
        <v>-127.5</v>
      </c>
      <c r="S30">
        <v>-13.8</v>
      </c>
      <c r="V30" s="10">
        <f t="shared" si="1"/>
        <v>552</v>
      </c>
      <c r="W30" s="4" t="e">
        <f>COUNTIFS(Table146810[Range(nm)], V30, Table146810[Type], "ACK")/COUNTIFS(Table146810[Range(nm)], V30)</f>
        <v>#DIV/0!</v>
      </c>
      <c r="X30" s="5" t="e">
        <f>COUNTIFS(Table146810[Range(nm)], $V30, Table146810[Type], "SUT Rx Error")/COUNTIFS(Table146810[Range(nm)], $V30)</f>
        <v>#DIV/0!</v>
      </c>
      <c r="Y30" t="e">
        <f>AVERAGEIF(Table146810[Range(nm)], V30, Table146810[Corrected RSSI])</f>
        <v>#DIV/0!</v>
      </c>
      <c r="Z30" s="3" t="e">
        <f>AVERAGEIF(Table146810[Range(nm)], V30, Table146810[SNR])</f>
        <v>#DIV/0!</v>
      </c>
      <c r="AA30" s="4" t="e">
        <f>COUNTIFS(Table257911[Range(nm)], V30, Table257911[Type], "ACK")/COUNTIFS(Table257911[Range(nm)], V30)</f>
        <v>#DIV/0!</v>
      </c>
      <c r="AB30" s="5" t="e">
        <f>COUNTIFS(Table257911[Range(nm)], $V30, Table257911[Type], "SUT Rx Error")/COUNTIFS(Table257911[Range(nm)], $V30)</f>
        <v>#DIV/0!</v>
      </c>
      <c r="AC30" t="e">
        <f>AVERAGEIF(Table257911[Range(nm)], V30, Table257911[Corrected RSSI])</f>
        <v>#DIV/0!</v>
      </c>
      <c r="AD30" s="3" t="e">
        <f>AVERAGEIF(Table257911[Range(nm)], V30, Table257911[SNR])</f>
        <v>#DIV/0!</v>
      </c>
    </row>
    <row r="31" spans="2:30" x14ac:dyDescent="0.25">
      <c r="B31">
        <f>500+2*(Table146810[[#This Row],[min value (corrected)]]-19)</f>
        <v>500</v>
      </c>
      <c r="C31">
        <f>MINUTE(Table146810[[#This Row],[Corrected time]])</f>
        <v>19</v>
      </c>
      <c r="D31" s="1">
        <v>0.72195245370370376</v>
      </c>
      <c r="E31" s="1">
        <f>Table146810[[#This Row],[Time]]-TIME(0,0,8)</f>
        <v>0.72185986111111111</v>
      </c>
      <c r="F31" t="s">
        <v>9</v>
      </c>
      <c r="G31" t="s">
        <v>29</v>
      </c>
      <c r="H31">
        <f t="shared" si="2"/>
        <v>-126</v>
      </c>
      <c r="I31">
        <v>-10.8</v>
      </c>
      <c r="L31">
        <f>500+2*(Table257911[[#This Row],[min value (corrected)]]-9)</f>
        <v>502</v>
      </c>
      <c r="M31">
        <f>MINUTE(Table257911[[#This Row],[Corrected time]])</f>
        <v>10</v>
      </c>
      <c r="N31" s="1">
        <v>0.63246314814814808</v>
      </c>
      <c r="O31" s="1">
        <f>Table257911[[#This Row],[Time]]-TIME(0,0,3)</f>
        <v>0.63242842592592585</v>
      </c>
      <c r="P31" t="s">
        <v>9</v>
      </c>
      <c r="Q31">
        <v>-127.5</v>
      </c>
      <c r="R31">
        <f>Table257911[[#This Row],[RSSI]]</f>
        <v>-127.5</v>
      </c>
      <c r="S31">
        <v>-14.3</v>
      </c>
      <c r="V31" s="10">
        <f t="shared" si="1"/>
        <v>554</v>
      </c>
      <c r="W31" s="4" t="e">
        <f>COUNTIFS(Table146810[Range(nm)], V31, Table146810[Type], "ACK")/COUNTIFS(Table146810[Range(nm)], V31)</f>
        <v>#DIV/0!</v>
      </c>
      <c r="X31" s="5" t="e">
        <f>COUNTIFS(Table146810[Range(nm)], $V31, Table146810[Type], "SUT Rx Error")/COUNTIFS(Table146810[Range(nm)], $V31)</f>
        <v>#DIV/0!</v>
      </c>
      <c r="Y31" t="e">
        <f>AVERAGEIF(Table146810[Range(nm)], V31, Table146810[Corrected RSSI])</f>
        <v>#DIV/0!</v>
      </c>
      <c r="Z31" s="3" t="e">
        <f>AVERAGEIF(Table146810[Range(nm)], V31, Table146810[SNR])</f>
        <v>#DIV/0!</v>
      </c>
      <c r="AA31" s="4" t="e">
        <f>COUNTIFS(Table257911[Range(nm)], V31, Table257911[Type], "ACK")/COUNTIFS(Table257911[Range(nm)], V31)</f>
        <v>#DIV/0!</v>
      </c>
      <c r="AB31" s="5" t="e">
        <f>COUNTIFS(Table257911[Range(nm)], $V31, Table257911[Type], "SUT Rx Error")/COUNTIFS(Table257911[Range(nm)], $V31)</f>
        <v>#DIV/0!</v>
      </c>
      <c r="AC31" t="e">
        <f>AVERAGEIF(Table257911[Range(nm)], V31, Table257911[Corrected RSSI])</f>
        <v>#DIV/0!</v>
      </c>
      <c r="AD31" s="3" t="e">
        <f>AVERAGEIF(Table257911[Range(nm)], V31, Table257911[SNR])</f>
        <v>#DIV/0!</v>
      </c>
    </row>
    <row r="32" spans="2:30" x14ac:dyDescent="0.25">
      <c r="B32">
        <f>500+2*(Table146810[[#This Row],[min value (corrected)]]-19)</f>
        <v>500</v>
      </c>
      <c r="C32">
        <f>MINUTE(Table146810[[#This Row],[Corrected time]])</f>
        <v>19</v>
      </c>
      <c r="D32" s="1">
        <v>0.7220095138888889</v>
      </c>
      <c r="E32" s="1">
        <f>Table146810[[#This Row],[Time]]-TIME(0,0,8)</f>
        <v>0.72191692129629625</v>
      </c>
      <c r="F32" t="s">
        <v>9</v>
      </c>
      <c r="G32" t="s">
        <v>29</v>
      </c>
      <c r="H32">
        <f t="shared" si="2"/>
        <v>-126</v>
      </c>
      <c r="I32">
        <v>-11</v>
      </c>
      <c r="L32">
        <f>500+2*(Table257911[[#This Row],[min value (corrected)]]-9)</f>
        <v>502</v>
      </c>
      <c r="M32">
        <f>MINUTE(Table257911[[#This Row],[Corrected time]])</f>
        <v>10</v>
      </c>
      <c r="N32" s="1">
        <v>0.63252020833333333</v>
      </c>
      <c r="O32" s="1">
        <f>Table257911[[#This Row],[Time]]-TIME(0,0,3)</f>
        <v>0.63248548611111111</v>
      </c>
      <c r="P32" t="s">
        <v>9</v>
      </c>
      <c r="Q32">
        <v>-127.5</v>
      </c>
      <c r="R32">
        <f>Table257911[[#This Row],[RSSI]]</f>
        <v>-127.5</v>
      </c>
      <c r="S32">
        <v>-14</v>
      </c>
      <c r="V32" s="10">
        <f t="shared" si="1"/>
        <v>556</v>
      </c>
      <c r="W32" s="4" t="e">
        <f>COUNTIFS(Table146810[Range(nm)], V32, Table146810[Type], "ACK")/COUNTIFS(Table146810[Range(nm)], V32)</f>
        <v>#DIV/0!</v>
      </c>
      <c r="X32" s="5" t="e">
        <f>COUNTIFS(Table146810[Range(nm)], $V32, Table146810[Type], "SUT Rx Error")/COUNTIFS(Table146810[Range(nm)], $V32)</f>
        <v>#DIV/0!</v>
      </c>
      <c r="Y32" t="e">
        <f>AVERAGEIF(Table146810[Range(nm)], V32, Table146810[Corrected RSSI])</f>
        <v>#DIV/0!</v>
      </c>
      <c r="Z32" s="3" t="e">
        <f>AVERAGEIF(Table146810[Range(nm)], V32, Table146810[SNR])</f>
        <v>#DIV/0!</v>
      </c>
      <c r="AA32" s="4" t="e">
        <f>COUNTIFS(Table257911[Range(nm)], V32, Table257911[Type], "ACK")/COUNTIFS(Table257911[Range(nm)], V32)</f>
        <v>#DIV/0!</v>
      </c>
      <c r="AB32" s="5" t="e">
        <f>COUNTIFS(Table257911[Range(nm)], $V32, Table257911[Type], "SUT Rx Error")/COUNTIFS(Table257911[Range(nm)], $V32)</f>
        <v>#DIV/0!</v>
      </c>
      <c r="AC32" t="e">
        <f>AVERAGEIF(Table257911[Range(nm)], V32, Table257911[Corrected RSSI])</f>
        <v>#DIV/0!</v>
      </c>
      <c r="AD32" s="3" t="e">
        <f>AVERAGEIF(Table257911[Range(nm)], V32, Table257911[SNR])</f>
        <v>#DIV/0!</v>
      </c>
    </row>
    <row r="33" spans="2:30" x14ac:dyDescent="0.25">
      <c r="B33">
        <f>500+2*(Table146810[[#This Row],[min value (corrected)]]-19)</f>
        <v>500</v>
      </c>
      <c r="C33">
        <f>MINUTE(Table146810[[#This Row],[Corrected time]])</f>
        <v>19</v>
      </c>
      <c r="D33" s="1">
        <v>0.72206657407407415</v>
      </c>
      <c r="E33" s="1">
        <f>Table146810[[#This Row],[Time]]-TIME(0,0,8)</f>
        <v>0.72197398148148151</v>
      </c>
      <c r="F33" t="s">
        <v>9</v>
      </c>
      <c r="G33" t="s">
        <v>29</v>
      </c>
      <c r="H33">
        <f t="shared" si="2"/>
        <v>-126</v>
      </c>
      <c r="I33">
        <v>-11</v>
      </c>
      <c r="L33">
        <f>500+2*(Table257911[[#This Row],[min value (corrected)]]-9)</f>
        <v>502</v>
      </c>
      <c r="M33">
        <f>MINUTE(Table257911[[#This Row],[Corrected time]])</f>
        <v>10</v>
      </c>
      <c r="N33" s="1">
        <v>0.63257726851851848</v>
      </c>
      <c r="O33" s="1">
        <f>Table257911[[#This Row],[Time]]-TIME(0,0,3)</f>
        <v>0.63254254629629625</v>
      </c>
      <c r="P33" t="s">
        <v>9</v>
      </c>
      <c r="Q33">
        <v>-127.5</v>
      </c>
      <c r="R33">
        <f>Table257911[[#This Row],[RSSI]]</f>
        <v>-127.5</v>
      </c>
      <c r="S33">
        <v>-14</v>
      </c>
      <c r="V33" s="10">
        <f t="shared" si="1"/>
        <v>558</v>
      </c>
      <c r="W33" s="4" t="e">
        <f>COUNTIFS(Table146810[Range(nm)], V33, Table146810[Type], "ACK")/COUNTIFS(Table146810[Range(nm)], V33)</f>
        <v>#DIV/0!</v>
      </c>
      <c r="X33" s="5" t="e">
        <f>COUNTIFS(Table146810[Range(nm)], $V33, Table146810[Type], "SUT Rx Error")/COUNTIFS(Table146810[Range(nm)], $V33)</f>
        <v>#DIV/0!</v>
      </c>
      <c r="Y33" t="e">
        <f>AVERAGEIF(Table146810[Range(nm)], V33, Table146810[Corrected RSSI])</f>
        <v>#DIV/0!</v>
      </c>
      <c r="Z33" s="3" t="e">
        <f>AVERAGEIF(Table146810[Range(nm)], V33, Table146810[SNR])</f>
        <v>#DIV/0!</v>
      </c>
      <c r="AA33" s="4" t="e">
        <f>COUNTIFS(Table257911[Range(nm)], V33, Table257911[Type], "ACK")/COUNTIFS(Table257911[Range(nm)], V33)</f>
        <v>#DIV/0!</v>
      </c>
      <c r="AB33" s="5" t="e">
        <f>COUNTIFS(Table257911[Range(nm)], $V33, Table257911[Type], "SUT Rx Error")/COUNTIFS(Table257911[Range(nm)], $V33)</f>
        <v>#DIV/0!</v>
      </c>
      <c r="AC33" t="e">
        <f>AVERAGEIF(Table257911[Range(nm)], V33, Table257911[Corrected RSSI])</f>
        <v>#DIV/0!</v>
      </c>
      <c r="AD33" s="3" t="e">
        <f>AVERAGEIF(Table257911[Range(nm)], V33, Table257911[SNR])</f>
        <v>#DIV/0!</v>
      </c>
    </row>
    <row r="34" spans="2:30" ht="15.75" thickBot="1" x14ac:dyDescent="0.3">
      <c r="B34">
        <f>500+2*(Table146810[[#This Row],[min value (corrected)]]-19)</f>
        <v>500</v>
      </c>
      <c r="C34">
        <f>MINUTE(Table146810[[#This Row],[Corrected time]])</f>
        <v>19</v>
      </c>
      <c r="D34" s="1">
        <v>0.72212363425925929</v>
      </c>
      <c r="E34" s="1">
        <f>Table146810[[#This Row],[Time]]-TIME(0,0,8)</f>
        <v>0.72203104166666665</v>
      </c>
      <c r="F34" t="s">
        <v>9</v>
      </c>
      <c r="G34" t="s">
        <v>29</v>
      </c>
      <c r="H34">
        <f t="shared" si="2"/>
        <v>-126</v>
      </c>
      <c r="I34">
        <v>-11</v>
      </c>
      <c r="L34">
        <f>500+2*(Table257911[[#This Row],[min value (corrected)]]-9)</f>
        <v>502</v>
      </c>
      <c r="M34">
        <f>MINUTE(Table257911[[#This Row],[Corrected time]])</f>
        <v>10</v>
      </c>
      <c r="N34" s="1">
        <v>0.63263432870370373</v>
      </c>
      <c r="O34" s="1">
        <f>Table257911[[#This Row],[Time]]-TIME(0,0,3)</f>
        <v>0.6325996064814815</v>
      </c>
      <c r="P34" t="s">
        <v>9</v>
      </c>
      <c r="Q34">
        <v>-127.5</v>
      </c>
      <c r="R34">
        <f>Table257911[[#This Row],[RSSI]]</f>
        <v>-127.5</v>
      </c>
      <c r="S34">
        <v>-14</v>
      </c>
      <c r="V34" s="10">
        <f t="shared" si="1"/>
        <v>560</v>
      </c>
      <c r="W34" s="6" t="e">
        <f>COUNTIFS(Table146810[Range(nm)], V34, Table146810[Type], "ACK")/COUNTIFS(Table146810[Range(nm)], V34)</f>
        <v>#DIV/0!</v>
      </c>
      <c r="X34" s="7" t="e">
        <f>COUNTIFS(Table146810[Range(nm)], $V34, Table146810[Type], "SUT Rx Error")/COUNTIFS(Table146810[Range(nm)], $V34)</f>
        <v>#DIV/0!</v>
      </c>
      <c r="Y34" t="e">
        <f>AVERAGEIF(Table146810[Range(nm)], V34, Table146810[Corrected RSSI])</f>
        <v>#DIV/0!</v>
      </c>
      <c r="Z34" s="9" t="e">
        <f>AVERAGEIF(Table146810[Range(nm)], V34, Table146810[SNR])</f>
        <v>#DIV/0!</v>
      </c>
      <c r="AA34" s="6" t="e">
        <f>COUNTIFS(Table257911[Range(nm)], V34, Table257911[Type], "ACK")/COUNTIFS(Table257911[Range(nm)], V34)</f>
        <v>#DIV/0!</v>
      </c>
      <c r="AB34" s="7" t="e">
        <f>COUNTIFS(Table257911[Range(nm)], $V34, Table257911[Type], "SUT Rx Error")/COUNTIFS(Table257911[Range(nm)], $V34)</f>
        <v>#DIV/0!</v>
      </c>
      <c r="AC34" t="e">
        <f>AVERAGEIF(Table257911[Range(nm)], V34, Table257911[Corrected RSSI])</f>
        <v>#DIV/0!</v>
      </c>
      <c r="AD34" s="3" t="e">
        <f>AVERAGEIF(Table257911[Range(nm)], V34, Table257911[SNR])</f>
        <v>#DIV/0!</v>
      </c>
    </row>
    <row r="35" spans="2:30" x14ac:dyDescent="0.25">
      <c r="B35">
        <f>500+2*(Table146810[[#This Row],[min value (corrected)]]-19)</f>
        <v>500</v>
      </c>
      <c r="C35">
        <f>MINUTE(Table146810[[#This Row],[Corrected time]])</f>
        <v>19</v>
      </c>
      <c r="D35" s="1">
        <v>0.72218069444444444</v>
      </c>
      <c r="E35" s="1">
        <f>Table146810[[#This Row],[Time]]-TIME(0,0,8)</f>
        <v>0.72208810185185179</v>
      </c>
      <c r="F35" t="s">
        <v>9</v>
      </c>
      <c r="G35" t="s">
        <v>29</v>
      </c>
      <c r="H35">
        <f t="shared" si="2"/>
        <v>-126</v>
      </c>
      <c r="I35">
        <v>-10.8</v>
      </c>
      <c r="L35">
        <f>500+2*(Table257911[[#This Row],[min value (corrected)]]-9)</f>
        <v>504</v>
      </c>
      <c r="M35">
        <f>MINUTE(Table257911[[#This Row],[Corrected time]])</f>
        <v>11</v>
      </c>
      <c r="N35" s="1">
        <v>0.63269138888888887</v>
      </c>
      <c r="O35" s="1">
        <f>Table257911[[#This Row],[Time]]-TIME(0,0,3)</f>
        <v>0.63265666666666664</v>
      </c>
      <c r="P35" t="s">
        <v>13</v>
      </c>
      <c r="Q35">
        <f>Q34-0.5</f>
        <v>-128</v>
      </c>
      <c r="R35">
        <f>Table257911[[#This Row],[RSSI]]</f>
        <v>-128</v>
      </c>
      <c r="S35">
        <f>S34-0.5</f>
        <v>-14.5</v>
      </c>
    </row>
    <row r="36" spans="2:30" x14ac:dyDescent="0.25">
      <c r="B36">
        <f>500+2*(Table146810[[#This Row],[min value (corrected)]]-19)</f>
        <v>500</v>
      </c>
      <c r="C36">
        <f>MINUTE(Table146810[[#This Row],[Corrected time]])</f>
        <v>19</v>
      </c>
      <c r="D36" s="1">
        <v>0.72223775462962958</v>
      </c>
      <c r="E36" s="1">
        <f>Table146810[[#This Row],[Time]]-TIME(0,0,8)</f>
        <v>0.72214516203703694</v>
      </c>
      <c r="F36" t="s">
        <v>9</v>
      </c>
      <c r="G36" t="s">
        <v>29</v>
      </c>
      <c r="H36">
        <f t="shared" si="2"/>
        <v>-126</v>
      </c>
      <c r="I36">
        <v>-11</v>
      </c>
      <c r="L36">
        <f>500+2*(Table257911[[#This Row],[min value (corrected)]]-9)</f>
        <v>504</v>
      </c>
      <c r="M36">
        <f>MINUTE(Table257911[[#This Row],[Corrected time]])</f>
        <v>11</v>
      </c>
      <c r="N36" s="1">
        <v>0.63274844907407413</v>
      </c>
      <c r="O36" s="1">
        <f>Table257911[[#This Row],[Time]]-TIME(0,0,3)</f>
        <v>0.6327137268518519</v>
      </c>
      <c r="P36" t="s">
        <v>9</v>
      </c>
      <c r="Q36">
        <v>-127.5</v>
      </c>
      <c r="R36">
        <f>Table257911[[#This Row],[RSSI]]</f>
        <v>-127.5</v>
      </c>
      <c r="S36">
        <v>-17</v>
      </c>
    </row>
    <row r="37" spans="2:30" x14ac:dyDescent="0.25">
      <c r="B37">
        <f>500+2*(Table146810[[#This Row],[min value (corrected)]]-19)</f>
        <v>500</v>
      </c>
      <c r="C37">
        <f>MINUTE(Table146810[[#This Row],[Corrected time]])</f>
        <v>19</v>
      </c>
      <c r="D37" s="1">
        <v>0.72229481481481483</v>
      </c>
      <c r="E37" s="1">
        <f>Table146810[[#This Row],[Time]]-TIME(0,0,8)</f>
        <v>0.72220222222222219</v>
      </c>
      <c r="F37" t="s">
        <v>13</v>
      </c>
      <c r="G37" t="str">
        <f>G36</f>
        <v>-126.0,</v>
      </c>
      <c r="H37">
        <f t="shared" si="2"/>
        <v>-126</v>
      </c>
      <c r="I37">
        <f>I36</f>
        <v>-11</v>
      </c>
      <c r="L37">
        <f>500+2*(Table257911[[#This Row],[min value (corrected)]]-9)</f>
        <v>504</v>
      </c>
      <c r="M37">
        <f>MINUTE(Table257911[[#This Row],[Corrected time]])</f>
        <v>11</v>
      </c>
      <c r="N37" s="1">
        <v>0.63280550925925927</v>
      </c>
      <c r="O37" s="1">
        <f>Table257911[[#This Row],[Time]]-TIME(0,0,3)</f>
        <v>0.63277078703703704</v>
      </c>
      <c r="P37" t="s">
        <v>13</v>
      </c>
      <c r="Q37">
        <f>Q36-0.5</f>
        <v>-128</v>
      </c>
      <c r="R37">
        <f>Table257911[[#This Row],[RSSI]]</f>
        <v>-128</v>
      </c>
      <c r="S37">
        <f>S36-0.5</f>
        <v>-17.5</v>
      </c>
    </row>
    <row r="38" spans="2:30" x14ac:dyDescent="0.25">
      <c r="B38">
        <f>500+2*(Table146810[[#This Row],[min value (corrected)]]-19)</f>
        <v>502</v>
      </c>
      <c r="C38">
        <f>MINUTE(Table146810[[#This Row],[Corrected time]])</f>
        <v>20</v>
      </c>
      <c r="D38" s="1">
        <v>0.72235187499999998</v>
      </c>
      <c r="E38" s="1">
        <f>Table146810[[#This Row],[Time]]-TIME(0,0,8)</f>
        <v>0.72225928240740733</v>
      </c>
      <c r="F38" t="s">
        <v>9</v>
      </c>
      <c r="G38" t="s">
        <v>31</v>
      </c>
      <c r="H38">
        <f t="shared" si="2"/>
        <v>-127.5</v>
      </c>
      <c r="I38">
        <v>-13.5</v>
      </c>
      <c r="L38">
        <f>500+2*(Table257911[[#This Row],[min value (corrected)]]-9)</f>
        <v>504</v>
      </c>
      <c r="M38">
        <f>MINUTE(Table257911[[#This Row],[Corrected time]])</f>
        <v>11</v>
      </c>
      <c r="N38" s="1">
        <v>0.63286256944444441</v>
      </c>
      <c r="O38" s="1">
        <f>Table257911[[#This Row],[Time]]-TIME(0,0,3)</f>
        <v>0.63282784722222218</v>
      </c>
      <c r="P38" t="s">
        <v>9</v>
      </c>
      <c r="Q38">
        <v>-127.5</v>
      </c>
      <c r="R38">
        <f>Table257911[[#This Row],[RSSI]]</f>
        <v>-127.5</v>
      </c>
      <c r="S38">
        <v>-16.3</v>
      </c>
    </row>
    <row r="39" spans="2:30" x14ac:dyDescent="0.25">
      <c r="B39">
        <f>500+2*(Table146810[[#This Row],[min value (corrected)]]-19)</f>
        <v>502</v>
      </c>
      <c r="C39">
        <f>MINUTE(Table146810[[#This Row],[Corrected time]])</f>
        <v>20</v>
      </c>
      <c r="D39" s="1">
        <v>0.72240893518518512</v>
      </c>
      <c r="E39" s="1">
        <f>Table146810[[#This Row],[Time]]-TIME(0,0,8)</f>
        <v>0.72231634259259248</v>
      </c>
      <c r="F39" t="s">
        <v>13</v>
      </c>
      <c r="G39" t="str">
        <f>G38</f>
        <v>-127.5,</v>
      </c>
      <c r="H39">
        <f t="shared" si="2"/>
        <v>-127.5</v>
      </c>
      <c r="I39">
        <f>I38</f>
        <v>-13.5</v>
      </c>
      <c r="L39">
        <f>500+2*(Table257911[[#This Row],[min value (corrected)]]-9)</f>
        <v>504</v>
      </c>
      <c r="M39">
        <f>MINUTE(Table257911[[#This Row],[Corrected time]])</f>
        <v>11</v>
      </c>
      <c r="N39" s="1">
        <v>0.63291961805555552</v>
      </c>
      <c r="O39" s="1">
        <f>Table257911[[#This Row],[Time]]-TIME(0,0,3)</f>
        <v>0.63288489583333329</v>
      </c>
      <c r="P39" t="s">
        <v>9</v>
      </c>
      <c r="Q39">
        <v>-127.5</v>
      </c>
      <c r="R39">
        <f>Table257911[[#This Row],[RSSI]]</f>
        <v>-127.5</v>
      </c>
      <c r="S39">
        <v>-16.3</v>
      </c>
    </row>
    <row r="40" spans="2:30" x14ac:dyDescent="0.25">
      <c r="B40">
        <f>500+2*(Table146810[[#This Row],[min value (corrected)]]-19)</f>
        <v>502</v>
      </c>
      <c r="C40">
        <f>MINUTE(Table146810[[#This Row],[Corrected time]])</f>
        <v>20</v>
      </c>
      <c r="D40" s="1">
        <v>0.72246599537037037</v>
      </c>
      <c r="E40" s="1">
        <f>Table146810[[#This Row],[Time]]-TIME(0,0,8)</f>
        <v>0.72237340277777773</v>
      </c>
      <c r="F40" t="s">
        <v>9</v>
      </c>
      <c r="G40" t="s">
        <v>31</v>
      </c>
      <c r="H40">
        <f t="shared" si="2"/>
        <v>-127.5</v>
      </c>
      <c r="I40">
        <v>-13.5</v>
      </c>
      <c r="L40">
        <f>500+2*(Table257911[[#This Row],[min value (corrected)]]-9)</f>
        <v>504</v>
      </c>
      <c r="M40">
        <f>MINUTE(Table257911[[#This Row],[Corrected time]])</f>
        <v>11</v>
      </c>
      <c r="N40" s="1">
        <v>0.63297668981481481</v>
      </c>
      <c r="O40" s="1">
        <f>Table257911[[#This Row],[Time]]-TIME(0,0,3)</f>
        <v>0.63294196759259258</v>
      </c>
      <c r="P40" t="s">
        <v>9</v>
      </c>
      <c r="Q40">
        <v>-127.5</v>
      </c>
      <c r="R40">
        <f>Table257911[[#This Row],[RSSI]]</f>
        <v>-127.5</v>
      </c>
      <c r="S40">
        <v>-16.8</v>
      </c>
    </row>
    <row r="41" spans="2:30" x14ac:dyDescent="0.25">
      <c r="B41">
        <f>500+2*(Table146810[[#This Row],[min value (corrected)]]-19)</f>
        <v>502</v>
      </c>
      <c r="C41">
        <f>MINUTE(Table146810[[#This Row],[Corrected time]])</f>
        <v>20</v>
      </c>
      <c r="D41" s="1">
        <v>0.72252305555555552</v>
      </c>
      <c r="E41" s="1">
        <f>Table146810[[#This Row],[Time]]-TIME(0,0,8)</f>
        <v>0.72243046296296287</v>
      </c>
      <c r="F41" t="s">
        <v>9</v>
      </c>
      <c r="G41" t="s">
        <v>31</v>
      </c>
      <c r="H41">
        <f t="shared" si="2"/>
        <v>-127.5</v>
      </c>
      <c r="I41">
        <v>-13.8</v>
      </c>
      <c r="L41">
        <f>500+2*(Table257911[[#This Row],[min value (corrected)]]-9)</f>
        <v>504</v>
      </c>
      <c r="M41">
        <f>MINUTE(Table257911[[#This Row],[Corrected time]])</f>
        <v>11</v>
      </c>
      <c r="N41" s="1">
        <v>0.63303375000000006</v>
      </c>
      <c r="O41" s="1">
        <f>Table257911[[#This Row],[Time]]-TIME(0,0,3)</f>
        <v>0.63299902777777783</v>
      </c>
      <c r="P41" t="s">
        <v>9</v>
      </c>
      <c r="Q41">
        <v>-127.5</v>
      </c>
      <c r="R41">
        <f>Table257911[[#This Row],[RSSI]]</f>
        <v>-127.5</v>
      </c>
      <c r="S41">
        <v>-16.3</v>
      </c>
    </row>
    <row r="42" spans="2:30" x14ac:dyDescent="0.25">
      <c r="B42">
        <f>500+2*(Table146810[[#This Row],[min value (corrected)]]-19)</f>
        <v>502</v>
      </c>
      <c r="C42">
        <f>MINUTE(Table146810[[#This Row],[Corrected time]])</f>
        <v>20</v>
      </c>
      <c r="D42" s="1">
        <v>0.72258011574074077</v>
      </c>
      <c r="E42" s="1">
        <f>Table146810[[#This Row],[Time]]-TIME(0,0,8)</f>
        <v>0.72248752314814813</v>
      </c>
      <c r="F42" t="s">
        <v>9</v>
      </c>
      <c r="G42" t="s">
        <v>31</v>
      </c>
      <c r="H42">
        <f t="shared" si="2"/>
        <v>-127.5</v>
      </c>
      <c r="I42">
        <v>-13.5</v>
      </c>
      <c r="L42">
        <f>500+2*(Table257911[[#This Row],[min value (corrected)]]-9)</f>
        <v>504</v>
      </c>
      <c r="M42">
        <f>MINUTE(Table257911[[#This Row],[Corrected time]])</f>
        <v>11</v>
      </c>
      <c r="N42" s="1">
        <v>0.6330908101851852</v>
      </c>
      <c r="O42" s="1">
        <f>Table257911[[#This Row],[Time]]-TIME(0,0,3)</f>
        <v>0.63305608796296298</v>
      </c>
      <c r="P42" t="s">
        <v>9</v>
      </c>
      <c r="Q42">
        <v>-127.5</v>
      </c>
      <c r="R42">
        <f>Table257911[[#This Row],[RSSI]]</f>
        <v>-127.5</v>
      </c>
      <c r="S42">
        <v>-16.8</v>
      </c>
    </row>
    <row r="43" spans="2:30" x14ac:dyDescent="0.25">
      <c r="B43">
        <f>500+2*(Table146810[[#This Row],[min value (corrected)]]-19)</f>
        <v>502</v>
      </c>
      <c r="C43">
        <f>MINUTE(Table146810[[#This Row],[Corrected time]])</f>
        <v>20</v>
      </c>
      <c r="D43" s="1">
        <v>0.72263717592592591</v>
      </c>
      <c r="E43" s="1">
        <f>Table146810[[#This Row],[Time]]-TIME(0,0,8)</f>
        <v>0.72254458333333327</v>
      </c>
      <c r="F43" t="s">
        <v>9</v>
      </c>
      <c r="G43" t="s">
        <v>31</v>
      </c>
      <c r="H43">
        <f t="shared" si="2"/>
        <v>-127.5</v>
      </c>
      <c r="I43">
        <v>-13.5</v>
      </c>
      <c r="L43">
        <f>500+2*(Table257911[[#This Row],[min value (corrected)]]-9)</f>
        <v>504</v>
      </c>
      <c r="M43">
        <f>MINUTE(Table257911[[#This Row],[Corrected time]])</f>
        <v>11</v>
      </c>
      <c r="N43" s="1">
        <v>0.63314787037037035</v>
      </c>
      <c r="O43" s="1">
        <f>Table257911[[#This Row],[Time]]-TIME(0,0,3)</f>
        <v>0.63311314814814812</v>
      </c>
      <c r="P43" t="s">
        <v>9</v>
      </c>
      <c r="Q43">
        <v>-127.5</v>
      </c>
      <c r="R43">
        <f>Table257911[[#This Row],[RSSI]]</f>
        <v>-127.5</v>
      </c>
      <c r="S43">
        <v>-16.5</v>
      </c>
    </row>
    <row r="44" spans="2:30" x14ac:dyDescent="0.25">
      <c r="B44">
        <f>500+2*(Table146810[[#This Row],[min value (corrected)]]-19)</f>
        <v>502</v>
      </c>
      <c r="C44">
        <f>MINUTE(Table146810[[#This Row],[Corrected time]])</f>
        <v>20</v>
      </c>
      <c r="D44" s="1">
        <v>0.72269423611111105</v>
      </c>
      <c r="E44" s="1">
        <f>Table146810[[#This Row],[Time]]-TIME(0,0,8)</f>
        <v>0.72260164351851841</v>
      </c>
      <c r="F44" t="s">
        <v>9</v>
      </c>
      <c r="G44" t="s">
        <v>31</v>
      </c>
      <c r="H44">
        <f t="shared" si="2"/>
        <v>-127.5</v>
      </c>
      <c r="I44">
        <v>-13.5</v>
      </c>
      <c r="L44">
        <f>500+2*(Table257911[[#This Row],[min value (corrected)]]-9)</f>
        <v>504</v>
      </c>
      <c r="M44">
        <f>MINUTE(Table257911[[#This Row],[Corrected time]])</f>
        <v>11</v>
      </c>
      <c r="N44" s="1">
        <v>0.6332049305555556</v>
      </c>
      <c r="O44" s="1">
        <f>Table257911[[#This Row],[Time]]-TIME(0,0,3)</f>
        <v>0.63317020833333337</v>
      </c>
      <c r="P44" t="s">
        <v>9</v>
      </c>
      <c r="Q44">
        <v>-127.5</v>
      </c>
      <c r="R44">
        <f>Table257911[[#This Row],[RSSI]]</f>
        <v>-127.5</v>
      </c>
      <c r="S44">
        <v>-16.3</v>
      </c>
    </row>
    <row r="45" spans="2:30" x14ac:dyDescent="0.25">
      <c r="B45">
        <f>500+2*(Table146810[[#This Row],[min value (corrected)]]-19)</f>
        <v>502</v>
      </c>
      <c r="C45">
        <f>MINUTE(Table146810[[#This Row],[Corrected time]])</f>
        <v>20</v>
      </c>
      <c r="D45" s="1">
        <v>0.72275129629629631</v>
      </c>
      <c r="E45" s="1">
        <f>Table146810[[#This Row],[Time]]-TIME(0,0,8)</f>
        <v>0.72265870370370366</v>
      </c>
      <c r="F45" t="s">
        <v>9</v>
      </c>
      <c r="G45" t="s">
        <v>31</v>
      </c>
      <c r="H45">
        <f t="shared" si="2"/>
        <v>-127.5</v>
      </c>
      <c r="I45">
        <v>-13.5</v>
      </c>
      <c r="L45">
        <f>500+2*(Table257911[[#This Row],[min value (corrected)]]-9)</f>
        <v>504</v>
      </c>
      <c r="M45">
        <f>MINUTE(Table257911[[#This Row],[Corrected time]])</f>
        <v>11</v>
      </c>
      <c r="N45" s="1">
        <v>0.63326199074074074</v>
      </c>
      <c r="O45" s="1">
        <f>Table257911[[#This Row],[Time]]-TIME(0,0,3)</f>
        <v>0.63322726851851852</v>
      </c>
      <c r="P45" t="s">
        <v>9</v>
      </c>
      <c r="Q45">
        <v>-127.5</v>
      </c>
      <c r="R45">
        <f>Table257911[[#This Row],[RSSI]]</f>
        <v>-127.5</v>
      </c>
      <c r="S45">
        <v>-16.8</v>
      </c>
    </row>
    <row r="46" spans="2:30" x14ac:dyDescent="0.25">
      <c r="B46">
        <f>500+2*(Table146810[[#This Row],[min value (corrected)]]-19)</f>
        <v>502</v>
      </c>
      <c r="C46">
        <f>MINUTE(Table146810[[#This Row],[Corrected time]])</f>
        <v>20</v>
      </c>
      <c r="D46" s="1">
        <v>0.72280835648148145</v>
      </c>
      <c r="E46" s="1">
        <f>Table146810[[#This Row],[Time]]-TIME(0,0,8)</f>
        <v>0.72271576388888881</v>
      </c>
      <c r="F46" t="s">
        <v>9</v>
      </c>
      <c r="G46" t="s">
        <v>31</v>
      </c>
      <c r="H46">
        <f t="shared" si="2"/>
        <v>-127.5</v>
      </c>
      <c r="I46">
        <v>-13.8</v>
      </c>
      <c r="L46">
        <f>500+2*(Table257911[[#This Row],[min value (corrected)]]-9)</f>
        <v>504</v>
      </c>
      <c r="M46">
        <f>MINUTE(Table257911[[#This Row],[Corrected time]])</f>
        <v>11</v>
      </c>
      <c r="N46" s="1">
        <v>0.633319050925926</v>
      </c>
      <c r="O46" s="1">
        <f>Table257911[[#This Row],[Time]]-TIME(0,0,3)</f>
        <v>0.63328432870370377</v>
      </c>
      <c r="P46" t="s">
        <v>9</v>
      </c>
      <c r="Q46">
        <v>-127.5</v>
      </c>
      <c r="R46">
        <f>Table257911[[#This Row],[RSSI]]</f>
        <v>-127.5</v>
      </c>
      <c r="S46">
        <v>-16.5</v>
      </c>
    </row>
    <row r="47" spans="2:30" x14ac:dyDescent="0.25">
      <c r="B47">
        <f>500+2*(Table146810[[#This Row],[min value (corrected)]]-19)</f>
        <v>502</v>
      </c>
      <c r="C47">
        <f>MINUTE(Table146810[[#This Row],[Corrected time]])</f>
        <v>20</v>
      </c>
      <c r="D47" s="1">
        <v>0.72286540509259267</v>
      </c>
      <c r="E47" s="1">
        <f>Table146810[[#This Row],[Time]]-TIME(0,0,8)</f>
        <v>0.72277281250000003</v>
      </c>
      <c r="F47" t="s">
        <v>9</v>
      </c>
      <c r="G47" t="s">
        <v>31</v>
      </c>
      <c r="H47">
        <f t="shared" si="2"/>
        <v>-127.5</v>
      </c>
      <c r="I47">
        <v>-13.5</v>
      </c>
      <c r="L47">
        <f>500+2*(Table257911[[#This Row],[min value (corrected)]]-9)</f>
        <v>506</v>
      </c>
      <c r="M47">
        <f>MINUTE(Table257911[[#This Row],[Corrected time]])</f>
        <v>12</v>
      </c>
      <c r="N47" s="1">
        <v>0.63337611111111114</v>
      </c>
      <c r="O47" s="1">
        <f>Table257911[[#This Row],[Time]]-TIME(0,0,3)</f>
        <v>0.63334138888888891</v>
      </c>
      <c r="P47" t="s">
        <v>9</v>
      </c>
      <c r="Q47">
        <v>-127.5</v>
      </c>
      <c r="R47">
        <f>Table257911[[#This Row],[RSSI]]</f>
        <v>-127.5</v>
      </c>
      <c r="S47">
        <v>-16.8</v>
      </c>
    </row>
    <row r="48" spans="2:30" x14ac:dyDescent="0.25">
      <c r="B48">
        <f>500+2*(Table146810[[#This Row],[min value (corrected)]]-19)</f>
        <v>502</v>
      </c>
      <c r="C48">
        <f>MINUTE(Table146810[[#This Row],[Corrected time]])</f>
        <v>20</v>
      </c>
      <c r="D48" s="1">
        <v>0.72292245370370367</v>
      </c>
      <c r="E48" s="1">
        <f>Table146810[[#This Row],[Time]]-TIME(0,0,8)</f>
        <v>0.72282986111111103</v>
      </c>
      <c r="F48" t="s">
        <v>9</v>
      </c>
      <c r="G48" t="s">
        <v>31</v>
      </c>
      <c r="H48">
        <f t="shared" si="2"/>
        <v>-127.5</v>
      </c>
      <c r="I48">
        <v>-13.8</v>
      </c>
      <c r="L48">
        <f>500+2*(Table257911[[#This Row],[min value (corrected)]]-9)</f>
        <v>506</v>
      </c>
      <c r="M48">
        <f>MINUTE(Table257911[[#This Row],[Corrected time]])</f>
        <v>12</v>
      </c>
      <c r="N48" s="1">
        <v>0.63343317129629628</v>
      </c>
      <c r="O48" s="1">
        <f>Table257911[[#This Row],[Time]]-TIME(0,0,3)</f>
        <v>0.63339844907407405</v>
      </c>
      <c r="P48" t="s">
        <v>9</v>
      </c>
      <c r="Q48">
        <v>-127.5</v>
      </c>
      <c r="R48">
        <f>Table257911[[#This Row],[RSSI]]</f>
        <v>-127.5</v>
      </c>
      <c r="S48">
        <v>-19.5</v>
      </c>
    </row>
    <row r="49" spans="2:19" x14ac:dyDescent="0.25">
      <c r="B49">
        <f>500+2*(Table146810[[#This Row],[min value (corrected)]]-19)</f>
        <v>502</v>
      </c>
      <c r="C49">
        <f>MINUTE(Table146810[[#This Row],[Corrected time]])</f>
        <v>20</v>
      </c>
      <c r="D49" s="1">
        <v>0.72297953703703699</v>
      </c>
      <c r="E49" s="1">
        <f>Table146810[[#This Row],[Time]]-TIME(0,0,8)</f>
        <v>0.72288694444444435</v>
      </c>
      <c r="F49" t="s">
        <v>9</v>
      </c>
      <c r="G49" t="s">
        <v>31</v>
      </c>
      <c r="H49">
        <f t="shared" si="2"/>
        <v>-127.5</v>
      </c>
      <c r="I49">
        <v>-13.3</v>
      </c>
      <c r="L49">
        <f>500+2*(Table257911[[#This Row],[min value (corrected)]]-9)</f>
        <v>506</v>
      </c>
      <c r="M49">
        <f>MINUTE(Table257911[[#This Row],[Corrected time]])</f>
        <v>12</v>
      </c>
      <c r="N49" s="1">
        <v>0.63349023148148143</v>
      </c>
      <c r="O49" s="1">
        <f>Table257911[[#This Row],[Time]]-TIME(0,0,3)</f>
        <v>0.6334555092592592</v>
      </c>
      <c r="P49" t="s">
        <v>27</v>
      </c>
      <c r="Q49">
        <f t="shared" ref="Q49:Q50" si="3">Q48-0.5</f>
        <v>-128</v>
      </c>
      <c r="R49">
        <f>Table257911[[#This Row],[RSSI]]</f>
        <v>-128</v>
      </c>
      <c r="S49">
        <f t="shared" ref="S49:S50" si="4">S48-0.5</f>
        <v>-20</v>
      </c>
    </row>
    <row r="50" spans="2:19" x14ac:dyDescent="0.25">
      <c r="B50">
        <f>500+2*(Table146810[[#This Row],[min value (corrected)]]-19)</f>
        <v>504</v>
      </c>
      <c r="C50">
        <f>MINUTE(Table146810[[#This Row],[Corrected time]])</f>
        <v>21</v>
      </c>
      <c r="D50" s="1">
        <v>0.72303657407407407</v>
      </c>
      <c r="E50" s="1">
        <f>Table146810[[#This Row],[Time]]-TIME(0,0,8)</f>
        <v>0.72294398148148142</v>
      </c>
      <c r="F50" t="s">
        <v>9</v>
      </c>
      <c r="G50" t="s">
        <v>31</v>
      </c>
      <c r="H50">
        <f t="shared" si="2"/>
        <v>-127.5</v>
      </c>
      <c r="I50">
        <v>-16.5</v>
      </c>
      <c r="L50">
        <f>500+2*(Table257911[[#This Row],[min value (corrected)]]-9)</f>
        <v>506</v>
      </c>
      <c r="M50">
        <f>MINUTE(Table257911[[#This Row],[Corrected time]])</f>
        <v>12</v>
      </c>
      <c r="N50" s="1">
        <v>0.63354728009259265</v>
      </c>
      <c r="O50" s="1">
        <f>Table257911[[#This Row],[Time]]-TIME(0,0,3)</f>
        <v>0.63351255787037042</v>
      </c>
      <c r="P50" t="s">
        <v>27</v>
      </c>
      <c r="Q50">
        <f t="shared" si="3"/>
        <v>-128.5</v>
      </c>
      <c r="R50">
        <f>Table257911[[#This Row],[RSSI]]</f>
        <v>-128.5</v>
      </c>
      <c r="S50">
        <f t="shared" si="4"/>
        <v>-20.5</v>
      </c>
    </row>
    <row r="51" spans="2:19" x14ac:dyDescent="0.25">
      <c r="B51">
        <f>500+2*(Table146810[[#This Row],[min value (corrected)]]-19)</f>
        <v>504</v>
      </c>
      <c r="C51">
        <f>MINUTE(Table146810[[#This Row],[Corrected time]])</f>
        <v>21</v>
      </c>
      <c r="D51" s="1">
        <v>0.72309365740740739</v>
      </c>
      <c r="E51" s="1">
        <f>Table146810[[#This Row],[Time]]-TIME(0,0,8)</f>
        <v>0.72300106481481474</v>
      </c>
      <c r="F51" t="s">
        <v>13</v>
      </c>
      <c r="G51" t="str">
        <f>G50</f>
        <v>-127.5,</v>
      </c>
      <c r="H51">
        <f t="shared" si="2"/>
        <v>-127.5</v>
      </c>
      <c r="I51">
        <f>I50</f>
        <v>-16.5</v>
      </c>
      <c r="L51">
        <f>500+2*(Table257911[[#This Row],[min value (corrected)]]-9)</f>
        <v>506</v>
      </c>
      <c r="M51">
        <f>MINUTE(Table257911[[#This Row],[Corrected time]])</f>
        <v>12</v>
      </c>
      <c r="N51" s="1">
        <v>0.63360435185185182</v>
      </c>
      <c r="O51" s="1">
        <f>Table257911[[#This Row],[Time]]-TIME(0,0,3)</f>
        <v>0.63356962962962959</v>
      </c>
      <c r="P51" t="s">
        <v>9</v>
      </c>
      <c r="Q51">
        <v>-127.5</v>
      </c>
      <c r="R51">
        <f>Table257911[[#This Row],[RSSI]]</f>
        <v>-127.5</v>
      </c>
      <c r="S51">
        <v>-18.5</v>
      </c>
    </row>
    <row r="52" spans="2:19" x14ac:dyDescent="0.25">
      <c r="B52">
        <f>500+2*(Table146810[[#This Row],[min value (corrected)]]-19)</f>
        <v>504</v>
      </c>
      <c r="C52">
        <f>MINUTE(Table146810[[#This Row],[Corrected time]])</f>
        <v>21</v>
      </c>
      <c r="D52" s="1">
        <v>0.72315071759259264</v>
      </c>
      <c r="E52" s="1">
        <f>Table146810[[#This Row],[Time]]-TIME(0,0,8)</f>
        <v>0.723058125</v>
      </c>
      <c r="F52" t="s">
        <v>9</v>
      </c>
      <c r="G52" t="s">
        <v>31</v>
      </c>
      <c r="H52">
        <f t="shared" si="2"/>
        <v>-127.5</v>
      </c>
      <c r="I52">
        <v>-16.3</v>
      </c>
      <c r="L52">
        <f>500+2*(Table257911[[#This Row],[min value (corrected)]]-9)</f>
        <v>506</v>
      </c>
      <c r="M52">
        <f>MINUTE(Table257911[[#This Row],[Corrected time]])</f>
        <v>12</v>
      </c>
      <c r="N52" s="1">
        <v>0.63366141203703696</v>
      </c>
      <c r="O52" s="1">
        <f>Table257911[[#This Row],[Time]]-TIME(0,0,3)</f>
        <v>0.63362668981481474</v>
      </c>
      <c r="P52" t="s">
        <v>9</v>
      </c>
      <c r="Q52">
        <v>-127.5</v>
      </c>
      <c r="R52">
        <f>Table257911[[#This Row],[RSSI]]</f>
        <v>-127.5</v>
      </c>
      <c r="S52">
        <v>-19</v>
      </c>
    </row>
    <row r="53" spans="2:19" x14ac:dyDescent="0.25">
      <c r="B53">
        <f>500+2*(Table146810[[#This Row],[min value (corrected)]]-19)</f>
        <v>504</v>
      </c>
      <c r="C53">
        <f>MINUTE(Table146810[[#This Row],[Corrected time]])</f>
        <v>21</v>
      </c>
      <c r="D53" s="1">
        <v>0.72320776620370364</v>
      </c>
      <c r="E53" s="1">
        <f>Table146810[[#This Row],[Time]]-TIME(0,0,8)</f>
        <v>0.723115173611111</v>
      </c>
      <c r="F53" t="s">
        <v>9</v>
      </c>
      <c r="G53" t="s">
        <v>31</v>
      </c>
      <c r="H53">
        <f t="shared" si="2"/>
        <v>-127.5</v>
      </c>
      <c r="I53">
        <v>-16.3</v>
      </c>
      <c r="L53">
        <f>500+2*(Table257911[[#This Row],[min value (corrected)]]-9)</f>
        <v>506</v>
      </c>
      <c r="M53">
        <f>MINUTE(Table257911[[#This Row],[Corrected time]])</f>
        <v>12</v>
      </c>
      <c r="N53" s="1">
        <v>0.63371847222222222</v>
      </c>
      <c r="O53" s="1">
        <f>Table257911[[#This Row],[Time]]-TIME(0,0,3)</f>
        <v>0.63368374999999999</v>
      </c>
      <c r="P53" t="s">
        <v>9</v>
      </c>
      <c r="Q53">
        <v>-127.5</v>
      </c>
      <c r="R53">
        <f>Table257911[[#This Row],[RSSI]]</f>
        <v>-127.5</v>
      </c>
      <c r="S53">
        <v>-18.8</v>
      </c>
    </row>
    <row r="54" spans="2:19" x14ac:dyDescent="0.25">
      <c r="B54">
        <f>500+2*(Table146810[[#This Row],[min value (corrected)]]-19)</f>
        <v>504</v>
      </c>
      <c r="C54">
        <f>MINUTE(Table146810[[#This Row],[Corrected time]])</f>
        <v>21</v>
      </c>
      <c r="D54" s="1">
        <v>0.72326483796296304</v>
      </c>
      <c r="E54" s="1">
        <f>Table146810[[#This Row],[Time]]-TIME(0,0,8)</f>
        <v>0.72317224537037039</v>
      </c>
      <c r="F54" t="s">
        <v>9</v>
      </c>
      <c r="G54" t="s">
        <v>31</v>
      </c>
      <c r="H54">
        <f t="shared" si="2"/>
        <v>-127.5</v>
      </c>
      <c r="I54">
        <v>-16.5</v>
      </c>
      <c r="L54">
        <f>500+2*(Table257911[[#This Row],[min value (corrected)]]-9)</f>
        <v>506</v>
      </c>
      <c r="M54">
        <f>MINUTE(Table257911[[#This Row],[Corrected time]])</f>
        <v>12</v>
      </c>
      <c r="N54" s="1">
        <v>0.63377553240740736</v>
      </c>
      <c r="O54" s="1">
        <f>Table257911[[#This Row],[Time]]-TIME(0,0,3)</f>
        <v>0.63374081018518513</v>
      </c>
      <c r="P54" t="s">
        <v>9</v>
      </c>
      <c r="Q54">
        <v>-127.5</v>
      </c>
      <c r="R54">
        <f>Table257911[[#This Row],[RSSI]]</f>
        <v>-127.5</v>
      </c>
      <c r="S54">
        <v>-18.8</v>
      </c>
    </row>
    <row r="55" spans="2:19" x14ac:dyDescent="0.25">
      <c r="B55">
        <f>500+2*(Table146810[[#This Row],[min value (corrected)]]-19)</f>
        <v>504</v>
      </c>
      <c r="C55">
        <f>MINUTE(Table146810[[#This Row],[Corrected time]])</f>
        <v>21</v>
      </c>
      <c r="D55" s="1">
        <v>0.72332189814814818</v>
      </c>
      <c r="E55" s="1">
        <f>Table146810[[#This Row],[Time]]-TIME(0,0,8)</f>
        <v>0.72322930555555554</v>
      </c>
      <c r="F55" t="s">
        <v>9</v>
      </c>
      <c r="G55" t="s">
        <v>31</v>
      </c>
      <c r="H55">
        <f t="shared" si="2"/>
        <v>-127.5</v>
      </c>
      <c r="I55">
        <v>-16.3</v>
      </c>
      <c r="L55">
        <f>500+2*(Table257911[[#This Row],[min value (corrected)]]-9)</f>
        <v>506</v>
      </c>
      <c r="M55">
        <f>MINUTE(Table257911[[#This Row],[Corrected time]])</f>
        <v>12</v>
      </c>
      <c r="N55" s="1">
        <v>0.63383259259259261</v>
      </c>
      <c r="O55" s="1">
        <f>Table257911[[#This Row],[Time]]-TIME(0,0,3)</f>
        <v>0.63379787037037039</v>
      </c>
      <c r="P55" t="s">
        <v>9</v>
      </c>
      <c r="Q55">
        <v>-127.5</v>
      </c>
      <c r="R55">
        <f>Table257911[[#This Row],[RSSI]]</f>
        <v>-127.5</v>
      </c>
      <c r="S55">
        <v>-18.8</v>
      </c>
    </row>
    <row r="56" spans="2:19" x14ac:dyDescent="0.25">
      <c r="B56">
        <f>500+2*(Table146810[[#This Row],[min value (corrected)]]-19)</f>
        <v>504</v>
      </c>
      <c r="C56">
        <f>MINUTE(Table146810[[#This Row],[Corrected time]])</f>
        <v>21</v>
      </c>
      <c r="D56" s="1">
        <v>0.72337895833333332</v>
      </c>
      <c r="E56" s="1">
        <f>Table146810[[#This Row],[Time]]-TIME(0,0,8)</f>
        <v>0.72328636574074068</v>
      </c>
      <c r="F56" t="s">
        <v>9</v>
      </c>
      <c r="G56" t="s">
        <v>31</v>
      </c>
      <c r="H56">
        <f t="shared" si="2"/>
        <v>-127.5</v>
      </c>
      <c r="I56">
        <v>-16.8</v>
      </c>
      <c r="L56">
        <f>500+2*(Table257911[[#This Row],[min value (corrected)]]-9)</f>
        <v>506</v>
      </c>
      <c r="M56">
        <f>MINUTE(Table257911[[#This Row],[Corrected time]])</f>
        <v>12</v>
      </c>
      <c r="N56" s="1">
        <v>0.63388965277777776</v>
      </c>
      <c r="O56" s="1">
        <f>Table257911[[#This Row],[Time]]-TIME(0,0,3)</f>
        <v>0.63385493055555553</v>
      </c>
      <c r="P56" t="s">
        <v>27</v>
      </c>
      <c r="Q56">
        <f>Q55-0.5</f>
        <v>-128</v>
      </c>
      <c r="R56">
        <f>Table257911[[#This Row],[RSSI]]</f>
        <v>-128</v>
      </c>
      <c r="S56">
        <f>S55-0.5</f>
        <v>-19.3</v>
      </c>
    </row>
    <row r="57" spans="2:19" x14ac:dyDescent="0.25">
      <c r="B57">
        <f>500+2*(Table146810[[#This Row],[min value (corrected)]]-19)</f>
        <v>504</v>
      </c>
      <c r="C57">
        <f>MINUTE(Table146810[[#This Row],[Corrected time]])</f>
        <v>21</v>
      </c>
      <c r="D57" s="1">
        <v>0.72343601851851858</v>
      </c>
      <c r="E57" s="1">
        <f>Table146810[[#This Row],[Time]]-TIME(0,0,8)</f>
        <v>0.72334342592592593</v>
      </c>
      <c r="F57" t="s">
        <v>9</v>
      </c>
      <c r="G57" t="s">
        <v>31</v>
      </c>
      <c r="H57">
        <f t="shared" si="2"/>
        <v>-127.5</v>
      </c>
      <c r="I57">
        <v>-16.5</v>
      </c>
      <c r="L57">
        <f>500+2*(Table257911[[#This Row],[min value (corrected)]]-9)</f>
        <v>506</v>
      </c>
      <c r="M57">
        <f>MINUTE(Table257911[[#This Row],[Corrected time]])</f>
        <v>12</v>
      </c>
      <c r="N57" s="1">
        <v>0.6339467129629629</v>
      </c>
      <c r="O57" s="1">
        <f>Table257911[[#This Row],[Time]]-TIME(0,0,3)</f>
        <v>0.63391199074074067</v>
      </c>
      <c r="P57" t="s">
        <v>9</v>
      </c>
      <c r="Q57">
        <v>-127.5</v>
      </c>
      <c r="R57">
        <f>Table257911[[#This Row],[RSSI]]</f>
        <v>-127.5</v>
      </c>
      <c r="S57">
        <v>-18.5</v>
      </c>
    </row>
    <row r="58" spans="2:19" x14ac:dyDescent="0.25">
      <c r="B58">
        <f>500+2*(Table146810[[#This Row],[min value (corrected)]]-19)</f>
        <v>504</v>
      </c>
      <c r="C58">
        <f>MINUTE(Table146810[[#This Row],[Corrected time]])</f>
        <v>21</v>
      </c>
      <c r="D58" s="1">
        <v>0.72349307870370372</v>
      </c>
      <c r="E58" s="1">
        <f>Table146810[[#This Row],[Time]]-TIME(0,0,8)</f>
        <v>0.72340048611111107</v>
      </c>
      <c r="F58" t="s">
        <v>9</v>
      </c>
      <c r="G58" t="s">
        <v>31</v>
      </c>
      <c r="H58">
        <f t="shared" si="2"/>
        <v>-127.5</v>
      </c>
      <c r="I58">
        <v>-16</v>
      </c>
      <c r="L58">
        <f>500+2*(Table257911[[#This Row],[min value (corrected)]]-9)</f>
        <v>506</v>
      </c>
      <c r="M58">
        <f>MINUTE(Table257911[[#This Row],[Corrected time]])</f>
        <v>12</v>
      </c>
      <c r="N58" s="1">
        <v>0.63400377314814815</v>
      </c>
      <c r="O58" s="1">
        <f>Table257911[[#This Row],[Time]]-TIME(0,0,3)</f>
        <v>0.63396905092592593</v>
      </c>
      <c r="P58" t="s">
        <v>9</v>
      </c>
      <c r="Q58">
        <v>-127.5</v>
      </c>
      <c r="R58">
        <f>Table257911[[#This Row],[RSSI]]</f>
        <v>-127.5</v>
      </c>
      <c r="S58">
        <v>-18.5</v>
      </c>
    </row>
    <row r="59" spans="2:19" x14ac:dyDescent="0.25">
      <c r="B59">
        <f>500+2*(Table146810[[#This Row],[min value (corrected)]]-19)</f>
        <v>504</v>
      </c>
      <c r="C59">
        <f>MINUTE(Table146810[[#This Row],[Corrected time]])</f>
        <v>21</v>
      </c>
      <c r="D59" s="1">
        <v>0.72355013888888897</v>
      </c>
      <c r="E59" s="1">
        <f>Table146810[[#This Row],[Time]]-TIME(0,0,8)</f>
        <v>0.72345754629629633</v>
      </c>
      <c r="F59" t="s">
        <v>9</v>
      </c>
      <c r="G59" t="s">
        <v>31</v>
      </c>
      <c r="H59">
        <f t="shared" si="2"/>
        <v>-127.5</v>
      </c>
      <c r="I59">
        <v>-16</v>
      </c>
      <c r="L59">
        <f>500+2*(Table257911[[#This Row],[min value (corrected)]]-9)</f>
        <v>508</v>
      </c>
      <c r="M59">
        <f>MINUTE(Table257911[[#This Row],[Corrected time]])</f>
        <v>13</v>
      </c>
      <c r="N59" s="1">
        <v>0.6340608333333333</v>
      </c>
      <c r="O59" s="1">
        <f>Table257911[[#This Row],[Time]]-TIME(0,0,3)</f>
        <v>0.63402611111111107</v>
      </c>
      <c r="P59" t="s">
        <v>9</v>
      </c>
      <c r="Q59">
        <v>-127.5</v>
      </c>
      <c r="R59">
        <f>Table257911[[#This Row],[RSSI]]</f>
        <v>-127.5</v>
      </c>
      <c r="S59">
        <v>-18.5</v>
      </c>
    </row>
    <row r="60" spans="2:19" x14ac:dyDescent="0.25">
      <c r="B60">
        <f>500+2*(Table146810[[#This Row],[min value (corrected)]]-19)</f>
        <v>504</v>
      </c>
      <c r="C60">
        <f>MINUTE(Table146810[[#This Row],[Corrected time]])</f>
        <v>21</v>
      </c>
      <c r="D60" s="1">
        <v>0.72360718749999997</v>
      </c>
      <c r="E60" s="1">
        <f>Table146810[[#This Row],[Time]]-TIME(0,0,8)</f>
        <v>0.72351459490740733</v>
      </c>
      <c r="F60" t="s">
        <v>9</v>
      </c>
      <c r="G60" t="s">
        <v>31</v>
      </c>
      <c r="H60">
        <f t="shared" si="2"/>
        <v>-127.5</v>
      </c>
      <c r="I60">
        <v>-16.5</v>
      </c>
      <c r="L60">
        <f>500+2*(Table257911[[#This Row],[min value (corrected)]]-9)</f>
        <v>508</v>
      </c>
      <c r="M60">
        <f>MINUTE(Table257911[[#This Row],[Corrected time]])</f>
        <v>13</v>
      </c>
      <c r="N60" s="1">
        <v>0.63411789351851855</v>
      </c>
      <c r="O60" s="1">
        <f>Table257911[[#This Row],[Time]]-TIME(0,0,3)</f>
        <v>0.63408317129629632</v>
      </c>
      <c r="P60" t="s">
        <v>27</v>
      </c>
      <c r="Q60">
        <f t="shared" ref="Q60:Q68" si="5">Q59-0.5</f>
        <v>-128</v>
      </c>
      <c r="R60">
        <f>Table257911[[#This Row],[RSSI]]</f>
        <v>-128</v>
      </c>
      <c r="S60">
        <f t="shared" ref="S60:S68" si="6">S59-0.5</f>
        <v>-19</v>
      </c>
    </row>
    <row r="61" spans="2:19" x14ac:dyDescent="0.25">
      <c r="B61">
        <f>500+2*(Table146810[[#This Row],[min value (corrected)]]-19)</f>
        <v>504</v>
      </c>
      <c r="C61">
        <f>MINUTE(Table146810[[#This Row],[Corrected time]])</f>
        <v>21</v>
      </c>
      <c r="D61" s="1">
        <v>0.72366425925925926</v>
      </c>
      <c r="E61" s="1">
        <f>Table146810[[#This Row],[Time]]-TIME(0,0,8)</f>
        <v>0.72357166666666661</v>
      </c>
      <c r="F61" t="s">
        <v>9</v>
      </c>
      <c r="G61" t="s">
        <v>31</v>
      </c>
      <c r="H61">
        <f t="shared" si="2"/>
        <v>-127.5</v>
      </c>
      <c r="I61">
        <v>-16.3</v>
      </c>
      <c r="L61">
        <f>500+2*(Table257911[[#This Row],[min value (corrected)]]-9)</f>
        <v>508</v>
      </c>
      <c r="M61">
        <f>MINUTE(Table257911[[#This Row],[Corrected time]])</f>
        <v>13</v>
      </c>
      <c r="N61" s="1">
        <v>0.63417495370370369</v>
      </c>
      <c r="O61" s="1">
        <f>Table257911[[#This Row],[Time]]-TIME(0,0,3)</f>
        <v>0.63414023148148146</v>
      </c>
      <c r="P61" t="s">
        <v>13</v>
      </c>
      <c r="Q61">
        <f t="shared" si="5"/>
        <v>-128.5</v>
      </c>
      <c r="R61">
        <f>Table257911[[#This Row],[RSSI]]</f>
        <v>-128.5</v>
      </c>
      <c r="S61">
        <f t="shared" si="6"/>
        <v>-19.5</v>
      </c>
    </row>
    <row r="62" spans="2:19" x14ac:dyDescent="0.25">
      <c r="B62">
        <f>500+2*(Table146810[[#This Row],[min value (corrected)]]-19)</f>
        <v>506</v>
      </c>
      <c r="C62">
        <f>MINUTE(Table146810[[#This Row],[Corrected time]])</f>
        <v>22</v>
      </c>
      <c r="D62" s="1">
        <v>0.7237213194444444</v>
      </c>
      <c r="E62" s="1">
        <f>Table146810[[#This Row],[Time]]-TIME(0,0,8)</f>
        <v>0.72362872685185176</v>
      </c>
      <c r="F62" t="s">
        <v>9</v>
      </c>
      <c r="G62" t="s">
        <v>31</v>
      </c>
      <c r="H62">
        <f t="shared" si="2"/>
        <v>-127.5</v>
      </c>
      <c r="I62">
        <v>-18.5</v>
      </c>
      <c r="L62">
        <f>500+2*(Table257911[[#This Row],[min value (corrected)]]-9)</f>
        <v>508</v>
      </c>
      <c r="M62">
        <f>MINUTE(Table257911[[#This Row],[Corrected time]])</f>
        <v>13</v>
      </c>
      <c r="N62" s="1">
        <v>0.63423201388888895</v>
      </c>
      <c r="O62" s="1">
        <f>Table257911[[#This Row],[Time]]-TIME(0,0,3)</f>
        <v>0.63419729166666672</v>
      </c>
      <c r="P62" t="s">
        <v>13</v>
      </c>
      <c r="Q62">
        <f t="shared" si="5"/>
        <v>-129</v>
      </c>
      <c r="R62">
        <f>Table257911[[#This Row],[RSSI]]</f>
        <v>-129</v>
      </c>
      <c r="S62">
        <f t="shared" si="6"/>
        <v>-20</v>
      </c>
    </row>
    <row r="63" spans="2:19" x14ac:dyDescent="0.25">
      <c r="B63">
        <f>500+2*(Table146810[[#This Row],[min value (corrected)]]-19)</f>
        <v>506</v>
      </c>
      <c r="C63">
        <f>MINUTE(Table146810[[#This Row],[Corrected time]])</f>
        <v>22</v>
      </c>
      <c r="D63" s="1">
        <v>0.72377835648148148</v>
      </c>
      <c r="E63" s="1">
        <f>Table146810[[#This Row],[Time]]-TIME(0,0,8)</f>
        <v>0.72368576388888883</v>
      </c>
      <c r="F63" t="s">
        <v>27</v>
      </c>
      <c r="G63" t="str">
        <f>G62</f>
        <v>-127.5,</v>
      </c>
      <c r="H63">
        <f t="shared" si="2"/>
        <v>-127.5</v>
      </c>
      <c r="I63">
        <f>I62</f>
        <v>-18.5</v>
      </c>
      <c r="L63">
        <f>500+2*(Table257911[[#This Row],[min value (corrected)]]-9)</f>
        <v>508</v>
      </c>
      <c r="M63">
        <f>MINUTE(Table257911[[#This Row],[Corrected time]])</f>
        <v>13</v>
      </c>
      <c r="N63" s="1">
        <v>0.63428906249999994</v>
      </c>
      <c r="O63" s="1">
        <f>Table257911[[#This Row],[Time]]-TIME(0,0,3)</f>
        <v>0.63425434027777772</v>
      </c>
      <c r="P63" t="s">
        <v>13</v>
      </c>
      <c r="Q63">
        <f t="shared" si="5"/>
        <v>-129.5</v>
      </c>
      <c r="R63">
        <f>Table257911[[#This Row],[RSSI]]</f>
        <v>-129.5</v>
      </c>
      <c r="S63">
        <f t="shared" si="6"/>
        <v>-20.5</v>
      </c>
    </row>
    <row r="64" spans="2:19" x14ac:dyDescent="0.25">
      <c r="B64">
        <f>500+2*(Table146810[[#This Row],[min value (corrected)]]-19)</f>
        <v>506</v>
      </c>
      <c r="C64">
        <f>MINUTE(Table146810[[#This Row],[Corrected time]])</f>
        <v>22</v>
      </c>
      <c r="D64" s="1">
        <v>0.72377835648148148</v>
      </c>
      <c r="E64" s="1">
        <f>Table146810[[#This Row],[Time]]-TIME(0,0,8)</f>
        <v>0.72368576388888883</v>
      </c>
      <c r="F64" t="s">
        <v>9</v>
      </c>
      <c r="G64" t="s">
        <v>31</v>
      </c>
      <c r="H64">
        <f t="shared" si="2"/>
        <v>-127.5</v>
      </c>
      <c r="I64">
        <v>-18.5</v>
      </c>
      <c r="L64">
        <f>500+2*(Table257911[[#This Row],[min value (corrected)]]-9)</f>
        <v>508</v>
      </c>
      <c r="M64">
        <f>MINUTE(Table257911[[#This Row],[Corrected time]])</f>
        <v>13</v>
      </c>
      <c r="N64" s="1">
        <v>0.63434613425925923</v>
      </c>
      <c r="O64" s="1">
        <f>Table257911[[#This Row],[Time]]-TIME(0,0,3)</f>
        <v>0.634311412037037</v>
      </c>
      <c r="P64" t="s">
        <v>13</v>
      </c>
      <c r="Q64">
        <f t="shared" si="5"/>
        <v>-130</v>
      </c>
      <c r="R64">
        <f>Table257911[[#This Row],[RSSI]]</f>
        <v>-130</v>
      </c>
      <c r="S64">
        <f t="shared" si="6"/>
        <v>-21</v>
      </c>
    </row>
    <row r="65" spans="2:19" x14ac:dyDescent="0.25">
      <c r="B65">
        <f>500+2*(Table146810[[#This Row],[min value (corrected)]]-19)</f>
        <v>506</v>
      </c>
      <c r="C65">
        <f>MINUTE(Table146810[[#This Row],[Corrected time]])</f>
        <v>22</v>
      </c>
      <c r="D65" s="1">
        <v>0.72389249999999994</v>
      </c>
      <c r="E65" s="1">
        <f>Table146810[[#This Row],[Time]]-TIME(0,0,8)</f>
        <v>0.72379990740740729</v>
      </c>
      <c r="F65" t="s">
        <v>9</v>
      </c>
      <c r="G65" t="s">
        <v>31</v>
      </c>
      <c r="H65">
        <f t="shared" si="2"/>
        <v>-127.5</v>
      </c>
      <c r="I65">
        <v>-18.8</v>
      </c>
      <c r="L65">
        <f>500+2*(Table257911[[#This Row],[min value (corrected)]]-9)</f>
        <v>508</v>
      </c>
      <c r="M65">
        <f>MINUTE(Table257911[[#This Row],[Corrected time]])</f>
        <v>13</v>
      </c>
      <c r="N65" s="1">
        <v>0.63440319444444448</v>
      </c>
      <c r="O65" s="1">
        <f>Table257911[[#This Row],[Time]]-TIME(0,0,3)</f>
        <v>0.63436847222222226</v>
      </c>
      <c r="P65" t="s">
        <v>13</v>
      </c>
      <c r="Q65">
        <f t="shared" si="5"/>
        <v>-130.5</v>
      </c>
      <c r="R65">
        <f>Table257911[[#This Row],[RSSI]]</f>
        <v>-130.5</v>
      </c>
      <c r="S65">
        <f t="shared" si="6"/>
        <v>-21.5</v>
      </c>
    </row>
    <row r="66" spans="2:19" x14ac:dyDescent="0.25">
      <c r="B66">
        <f>500+2*(Table146810[[#This Row],[min value (corrected)]]-19)</f>
        <v>506</v>
      </c>
      <c r="C66">
        <f>MINUTE(Table146810[[#This Row],[Corrected time]])</f>
        <v>22</v>
      </c>
      <c r="D66" s="1">
        <v>0.72394956018518519</v>
      </c>
      <c r="E66" s="1">
        <f>Table146810[[#This Row],[Time]]-TIME(0,0,8)</f>
        <v>0.72385696759259255</v>
      </c>
      <c r="F66" t="s">
        <v>9</v>
      </c>
      <c r="G66" t="s">
        <v>31</v>
      </c>
      <c r="H66">
        <f t="shared" si="2"/>
        <v>-127.5</v>
      </c>
      <c r="I66">
        <v>-18.8</v>
      </c>
      <c r="L66">
        <f>500+2*(Table257911[[#This Row],[min value (corrected)]]-9)</f>
        <v>508</v>
      </c>
      <c r="M66">
        <f>MINUTE(Table257911[[#This Row],[Corrected time]])</f>
        <v>13</v>
      </c>
      <c r="N66" s="1">
        <v>0.63446024305555548</v>
      </c>
      <c r="O66" s="1">
        <f>Table257911[[#This Row],[Time]]-TIME(0,0,3)</f>
        <v>0.63442552083333326</v>
      </c>
      <c r="P66" t="s">
        <v>13</v>
      </c>
      <c r="Q66">
        <f t="shared" si="5"/>
        <v>-131</v>
      </c>
      <c r="R66">
        <f>Table257911[[#This Row],[RSSI]]</f>
        <v>-131</v>
      </c>
      <c r="S66">
        <f t="shared" si="6"/>
        <v>-22</v>
      </c>
    </row>
    <row r="67" spans="2:19" x14ac:dyDescent="0.25">
      <c r="B67">
        <f>500+2*(Table146810[[#This Row],[min value (corrected)]]-19)</f>
        <v>506</v>
      </c>
      <c r="C67">
        <f>MINUTE(Table146810[[#This Row],[Corrected time]])</f>
        <v>22</v>
      </c>
      <c r="D67" s="1">
        <v>0.72400662037037034</v>
      </c>
      <c r="E67" s="1">
        <f>Table146810[[#This Row],[Time]]-TIME(0,0,8)</f>
        <v>0.72391402777777769</v>
      </c>
      <c r="F67" t="s">
        <v>9</v>
      </c>
      <c r="G67" t="s">
        <v>31</v>
      </c>
      <c r="H67">
        <f t="shared" si="2"/>
        <v>-127.5</v>
      </c>
      <c r="I67">
        <v>-18.8</v>
      </c>
      <c r="L67">
        <f>500+2*(Table257911[[#This Row],[min value (corrected)]]-9)</f>
        <v>508</v>
      </c>
      <c r="M67">
        <f>MINUTE(Table257911[[#This Row],[Corrected time]])</f>
        <v>13</v>
      </c>
      <c r="N67" s="1">
        <v>0.63451731481481488</v>
      </c>
      <c r="O67" s="1">
        <f>Table257911[[#This Row],[Time]]-TIME(0,0,3)</f>
        <v>0.63448259259259265</v>
      </c>
      <c r="P67" t="s">
        <v>13</v>
      </c>
      <c r="Q67">
        <f t="shared" si="5"/>
        <v>-131.5</v>
      </c>
      <c r="R67">
        <f>Table257911[[#This Row],[RSSI]]</f>
        <v>-131.5</v>
      </c>
      <c r="S67">
        <f t="shared" si="6"/>
        <v>-22.5</v>
      </c>
    </row>
    <row r="68" spans="2:19" x14ac:dyDescent="0.25">
      <c r="B68">
        <f>500+2*(Table146810[[#This Row],[min value (corrected)]]-19)</f>
        <v>506</v>
      </c>
      <c r="C68">
        <f>MINUTE(Table146810[[#This Row],[Corrected time]])</f>
        <v>22</v>
      </c>
      <c r="D68" s="1">
        <v>0.72406366898148156</v>
      </c>
      <c r="E68" s="1">
        <f>Table146810[[#This Row],[Time]]-TIME(0,0,8)</f>
        <v>0.72397107638888891</v>
      </c>
      <c r="F68" t="s">
        <v>9</v>
      </c>
      <c r="G68" t="s">
        <v>31</v>
      </c>
      <c r="H68">
        <f t="shared" si="2"/>
        <v>-127.5</v>
      </c>
      <c r="I68">
        <v>-18.8</v>
      </c>
      <c r="L68">
        <f>500+2*(Table257911[[#This Row],[min value (corrected)]]-9)</f>
        <v>508</v>
      </c>
      <c r="M68">
        <f>MINUTE(Table257911[[#This Row],[Corrected time]])</f>
        <v>13</v>
      </c>
      <c r="N68" s="1">
        <v>0.63457437500000002</v>
      </c>
      <c r="O68" s="1">
        <f>Table257911[[#This Row],[Time]]-TIME(0,0,3)</f>
        <v>0.6345396527777778</v>
      </c>
      <c r="P68" t="s">
        <v>13</v>
      </c>
      <c r="Q68">
        <f t="shared" si="5"/>
        <v>-132</v>
      </c>
      <c r="R68">
        <f>Table257911[[#This Row],[RSSI]]</f>
        <v>-132</v>
      </c>
      <c r="S68">
        <f t="shared" si="6"/>
        <v>-23</v>
      </c>
    </row>
    <row r="69" spans="2:19" x14ac:dyDescent="0.25">
      <c r="B69">
        <f>500+2*(Table146810[[#This Row],[min value (corrected)]]-19)</f>
        <v>506</v>
      </c>
      <c r="C69">
        <f>MINUTE(Table146810[[#This Row],[Corrected time]])</f>
        <v>22</v>
      </c>
      <c r="D69" s="1">
        <v>0.72412074074074073</v>
      </c>
      <c r="E69" s="1">
        <f>Table146810[[#This Row],[Time]]-TIME(0,0,8)</f>
        <v>0.72402814814814809</v>
      </c>
      <c r="F69" t="s">
        <v>9</v>
      </c>
      <c r="G69" t="s">
        <v>31</v>
      </c>
      <c r="H69">
        <f t="shared" si="2"/>
        <v>-127.5</v>
      </c>
      <c r="I69">
        <v>-19</v>
      </c>
      <c r="L69" t="e">
        <f>480+2*(Table257911[[#This Row],[min value (corrected)]]-49)</f>
        <v>#NUM!</v>
      </c>
      <c r="M69" t="e">
        <f>MINUTE(Table257911[[#This Row],[Corrected time]])</f>
        <v>#NUM!</v>
      </c>
      <c r="N69" s="1"/>
      <c r="O69" s="1">
        <f>Table257911[[#This Row],[Time]]-TIME(0,0,4)</f>
        <v>-4.6296296296296294E-5</v>
      </c>
      <c r="R69">
        <f>Table257911[[#This Row],[RSSI]]</f>
        <v>0</v>
      </c>
    </row>
    <row r="70" spans="2:19" x14ac:dyDescent="0.25">
      <c r="B70">
        <f>500+2*(Table146810[[#This Row],[min value (corrected)]]-19)</f>
        <v>506</v>
      </c>
      <c r="C70">
        <f>MINUTE(Table146810[[#This Row],[Corrected time]])</f>
        <v>22</v>
      </c>
      <c r="D70" s="1">
        <v>0.72417778935185184</v>
      </c>
      <c r="E70" s="1">
        <f>Table146810[[#This Row],[Time]]-TIME(0,0,8)</f>
        <v>0.7240851967592592</v>
      </c>
      <c r="F70" t="s">
        <v>9</v>
      </c>
      <c r="G70" t="s">
        <v>31</v>
      </c>
      <c r="H70">
        <f t="shared" si="2"/>
        <v>-127.5</v>
      </c>
      <c r="I70">
        <v>-18.3</v>
      </c>
      <c r="L70" t="e">
        <f>480+2*(Table257911[[#This Row],[min value (corrected)]]-49)</f>
        <v>#NUM!</v>
      </c>
      <c r="M70" t="e">
        <f>MINUTE(Table257911[[#This Row],[Corrected time]])</f>
        <v>#NUM!</v>
      </c>
      <c r="N70" s="1"/>
      <c r="O70" s="1">
        <f>Table257911[[#This Row],[Time]]-TIME(0,0,4)</f>
        <v>-4.6296296296296294E-5</v>
      </c>
      <c r="R70">
        <f>Table257911[[#This Row],[RSSI]]</f>
        <v>0</v>
      </c>
    </row>
    <row r="71" spans="2:19" x14ac:dyDescent="0.25">
      <c r="B71">
        <f>500+2*(Table146810[[#This Row],[min value (corrected)]]-19)</f>
        <v>506</v>
      </c>
      <c r="C71">
        <f>MINUTE(Table146810[[#This Row],[Corrected time]])</f>
        <v>22</v>
      </c>
      <c r="D71" s="1">
        <v>0.72423483796296295</v>
      </c>
      <c r="E71" s="1">
        <f>Table146810[[#This Row],[Time]]-TIME(0,0,8)</f>
        <v>0.72414224537037031</v>
      </c>
      <c r="F71" t="s">
        <v>9</v>
      </c>
      <c r="G71" t="s">
        <v>31</v>
      </c>
      <c r="H71">
        <f t="shared" si="2"/>
        <v>-127.5</v>
      </c>
      <c r="I71">
        <v>-18.8</v>
      </c>
      <c r="L71" t="e">
        <f>480+2*(Table257911[[#This Row],[min value (corrected)]]-49)</f>
        <v>#NUM!</v>
      </c>
      <c r="M71" t="e">
        <f>MINUTE(Table257911[[#This Row],[Corrected time]])</f>
        <v>#NUM!</v>
      </c>
      <c r="N71" s="1"/>
      <c r="O71" s="1">
        <f>Table257911[[#This Row],[Time]]-TIME(0,0,4)</f>
        <v>-4.6296296296296294E-5</v>
      </c>
      <c r="R71">
        <f>Table257911[[#This Row],[RSSI]]</f>
        <v>0</v>
      </c>
    </row>
    <row r="72" spans="2:19" x14ac:dyDescent="0.25">
      <c r="B72">
        <f>500+2*(Table146810[[#This Row],[min value (corrected)]]-19)</f>
        <v>506</v>
      </c>
      <c r="C72">
        <f>MINUTE(Table146810[[#This Row],[Corrected time]])</f>
        <v>22</v>
      </c>
      <c r="D72" s="1">
        <v>0.72429190972222224</v>
      </c>
      <c r="E72" s="1">
        <f>Table146810[[#This Row],[Time]]-TIME(0,0,8)</f>
        <v>0.72419931712962959</v>
      </c>
      <c r="F72" t="s">
        <v>9</v>
      </c>
      <c r="G72" t="s">
        <v>31</v>
      </c>
      <c r="H72">
        <f t="shared" si="2"/>
        <v>-127.5</v>
      </c>
      <c r="I72">
        <v>-18.5</v>
      </c>
      <c r="L72" t="e">
        <f>480+2*(Table257911[[#This Row],[min value (corrected)]]-49)</f>
        <v>#NUM!</v>
      </c>
      <c r="M72" t="e">
        <f>MINUTE(Table257911[[#This Row],[Corrected time]])</f>
        <v>#NUM!</v>
      </c>
      <c r="N72" s="1"/>
      <c r="O72" s="1">
        <f>Table257911[[#This Row],[Time]]-TIME(0,0,4)</f>
        <v>-4.6296296296296294E-5</v>
      </c>
      <c r="R72">
        <f>Table257911[[#This Row],[RSSI]]</f>
        <v>0</v>
      </c>
    </row>
    <row r="73" spans="2:19" x14ac:dyDescent="0.25">
      <c r="B73">
        <f>500+2*(Table146810[[#This Row],[min value (corrected)]]-19)</f>
        <v>506</v>
      </c>
      <c r="C73">
        <f>MINUTE(Table146810[[#This Row],[Corrected time]])</f>
        <v>22</v>
      </c>
      <c r="D73" s="1">
        <v>0.72434896990740738</v>
      </c>
      <c r="E73" s="1">
        <f>Table146810[[#This Row],[Time]]-TIME(0,0,8)</f>
        <v>0.72425637731481474</v>
      </c>
      <c r="F73" t="s">
        <v>9</v>
      </c>
      <c r="G73" t="s">
        <v>31</v>
      </c>
      <c r="H73">
        <f t="shared" si="2"/>
        <v>-127.5</v>
      </c>
      <c r="I73">
        <v>-18.8</v>
      </c>
      <c r="L73" t="e">
        <f>480+2*(Table257911[[#This Row],[min value (corrected)]]-49)</f>
        <v>#NUM!</v>
      </c>
      <c r="M73" t="e">
        <f>MINUTE(Table257911[[#This Row],[Corrected time]])</f>
        <v>#NUM!</v>
      </c>
      <c r="N73" s="1"/>
      <c r="O73" s="1">
        <f>Table257911[[#This Row],[Time]]-TIME(0,0,4)</f>
        <v>-4.6296296296296294E-5</v>
      </c>
      <c r="R73">
        <f>Table257911[[#This Row],[RSSI]]</f>
        <v>0</v>
      </c>
    </row>
    <row r="74" spans="2:19" x14ac:dyDescent="0.25">
      <c r="B74">
        <f>500+2*(Table146810[[#This Row],[min value (corrected)]]-19)</f>
        <v>508</v>
      </c>
      <c r="C74">
        <f>MINUTE(Table146810[[#This Row],[Corrected time]])</f>
        <v>23</v>
      </c>
      <c r="D74" s="1">
        <v>0.72440604166666667</v>
      </c>
      <c r="E74" s="1">
        <f>Table146810[[#This Row],[Time]]-TIME(0,0,8)</f>
        <v>0.72431344907407402</v>
      </c>
      <c r="F74" t="s">
        <v>13</v>
      </c>
      <c r="G74" t="str">
        <f t="shared" ref="G74:G87" si="7">G73</f>
        <v>-127.5,</v>
      </c>
      <c r="H74">
        <f t="shared" si="2"/>
        <v>-127.5</v>
      </c>
      <c r="I74">
        <f t="shared" ref="I74:I87" si="8">I73</f>
        <v>-18.8</v>
      </c>
      <c r="L74" t="e">
        <f>480+2*(Table257911[[#This Row],[min value (corrected)]]-49)</f>
        <v>#NUM!</v>
      </c>
      <c r="M74" t="e">
        <f>MINUTE(Table257911[[#This Row],[Corrected time]])</f>
        <v>#NUM!</v>
      </c>
      <c r="N74" s="1"/>
      <c r="O74" s="1">
        <f>Table257911[[#This Row],[Time]]-TIME(0,0,4)</f>
        <v>-4.6296296296296294E-5</v>
      </c>
      <c r="R74">
        <f>Table257911[[#This Row],[RSSI]]</f>
        <v>0</v>
      </c>
    </row>
    <row r="75" spans="2:19" x14ac:dyDescent="0.25">
      <c r="B75">
        <f>500+2*(Table146810[[#This Row],[min value (corrected)]]-19)</f>
        <v>508</v>
      </c>
      <c r="C75">
        <f>MINUTE(Table146810[[#This Row],[Corrected time]])</f>
        <v>23</v>
      </c>
      <c r="D75" s="1">
        <v>0.72446309027777778</v>
      </c>
      <c r="E75" s="1">
        <f>Table146810[[#This Row],[Time]]-TIME(0,0,8)</f>
        <v>0.72437049768518513</v>
      </c>
      <c r="F75" t="s">
        <v>13</v>
      </c>
      <c r="G75" t="str">
        <f t="shared" si="7"/>
        <v>-127.5,</v>
      </c>
      <c r="H75">
        <f t="shared" si="2"/>
        <v>-127.5</v>
      </c>
      <c r="I75">
        <f t="shared" si="8"/>
        <v>-18.8</v>
      </c>
      <c r="L75" t="e">
        <f>480+2*(Table257911[[#This Row],[min value (corrected)]]-49)</f>
        <v>#NUM!</v>
      </c>
      <c r="M75" t="e">
        <f>MINUTE(Table257911[[#This Row],[Corrected time]])</f>
        <v>#NUM!</v>
      </c>
      <c r="N75" s="1"/>
      <c r="O75" s="1">
        <f>Table257911[[#This Row],[Time]]-TIME(0,0,4)</f>
        <v>-4.6296296296296294E-5</v>
      </c>
      <c r="R75">
        <f>Table257911[[#This Row],[RSSI]]</f>
        <v>0</v>
      </c>
    </row>
    <row r="76" spans="2:19" x14ac:dyDescent="0.25">
      <c r="B76">
        <f>500+2*(Table146810[[#This Row],[min value (corrected)]]-19)</f>
        <v>508</v>
      </c>
      <c r="C76">
        <f>MINUTE(Table146810[[#This Row],[Corrected time]])</f>
        <v>23</v>
      </c>
      <c r="D76" s="1">
        <v>0.72452016203703706</v>
      </c>
      <c r="E76" s="1">
        <f>Table146810[[#This Row],[Time]]-TIME(0,0,8)</f>
        <v>0.72442756944444442</v>
      </c>
      <c r="F76" t="s">
        <v>13</v>
      </c>
      <c r="G76" t="str">
        <f t="shared" si="7"/>
        <v>-127.5,</v>
      </c>
      <c r="H76">
        <f t="shared" si="2"/>
        <v>-127.5</v>
      </c>
      <c r="I76">
        <f t="shared" si="8"/>
        <v>-18.8</v>
      </c>
      <c r="L76" t="e">
        <f>480+2*(Table257911[[#This Row],[min value (corrected)]]-49)</f>
        <v>#NUM!</v>
      </c>
      <c r="M76" t="e">
        <f>MINUTE(Table257911[[#This Row],[Corrected time]])</f>
        <v>#NUM!</v>
      </c>
      <c r="N76" s="1"/>
      <c r="O76" s="1">
        <f>Table257911[[#This Row],[Time]]-TIME(0,0,4)</f>
        <v>-4.6296296296296294E-5</v>
      </c>
      <c r="R76">
        <f>Table257911[[#This Row],[RSSI]]</f>
        <v>0</v>
      </c>
    </row>
    <row r="77" spans="2:19" x14ac:dyDescent="0.25">
      <c r="B77">
        <f>500+2*(Table146810[[#This Row],[min value (corrected)]]-19)</f>
        <v>508</v>
      </c>
      <c r="C77">
        <f>MINUTE(Table146810[[#This Row],[Corrected time]])</f>
        <v>23</v>
      </c>
      <c r="D77" s="1">
        <v>0.72457721064814817</v>
      </c>
      <c r="E77" s="1">
        <f>Table146810[[#This Row],[Time]]-TIME(0,0,8)</f>
        <v>0.72448461805555553</v>
      </c>
      <c r="F77" t="s">
        <v>13</v>
      </c>
      <c r="G77" t="str">
        <f t="shared" si="7"/>
        <v>-127.5,</v>
      </c>
      <c r="H77">
        <f t="shared" si="2"/>
        <v>-127.5</v>
      </c>
      <c r="I77">
        <f t="shared" si="8"/>
        <v>-18.8</v>
      </c>
      <c r="L77" t="e">
        <f>480+2*(Table257911[[#This Row],[min value (corrected)]]-49)</f>
        <v>#NUM!</v>
      </c>
      <c r="M77" t="e">
        <f>MINUTE(Table257911[[#This Row],[Corrected time]])</f>
        <v>#NUM!</v>
      </c>
      <c r="N77" s="1"/>
      <c r="O77" s="1">
        <f>Table257911[[#This Row],[Time]]-TIME(0,0,4)</f>
        <v>-4.6296296296296294E-5</v>
      </c>
      <c r="R77">
        <f>Table257911[[#This Row],[RSSI]]</f>
        <v>0</v>
      </c>
    </row>
    <row r="78" spans="2:19" x14ac:dyDescent="0.25">
      <c r="B78">
        <f>500+2*(Table146810[[#This Row],[min value (corrected)]]-19)</f>
        <v>508</v>
      </c>
      <c r="C78">
        <f>MINUTE(Table146810[[#This Row],[Corrected time]])</f>
        <v>23</v>
      </c>
      <c r="D78" s="1">
        <v>0.72463428240740746</v>
      </c>
      <c r="E78" s="1">
        <f>Table146810[[#This Row],[Time]]-TIME(0,0,8)</f>
        <v>0.72454168981481482</v>
      </c>
      <c r="F78" t="s">
        <v>27</v>
      </c>
      <c r="G78" t="str">
        <f t="shared" si="7"/>
        <v>-127.5,</v>
      </c>
      <c r="H78">
        <f t="shared" si="2"/>
        <v>-127.5</v>
      </c>
      <c r="I78">
        <f t="shared" si="8"/>
        <v>-18.8</v>
      </c>
      <c r="L78" t="e">
        <f>480+2*(Table257911[[#This Row],[min value (corrected)]]-49)</f>
        <v>#NUM!</v>
      </c>
      <c r="M78" t="e">
        <f>MINUTE(Table257911[[#This Row],[Corrected time]])</f>
        <v>#NUM!</v>
      </c>
      <c r="N78" s="1"/>
      <c r="O78" s="1">
        <f>Table257911[[#This Row],[Time]]-TIME(0,0,4)</f>
        <v>-4.6296296296296294E-5</v>
      </c>
      <c r="R78">
        <f>Table257911[[#This Row],[RSSI]]</f>
        <v>0</v>
      </c>
    </row>
    <row r="79" spans="2:19" x14ac:dyDescent="0.25">
      <c r="B79">
        <f>500+2*(Table146810[[#This Row],[min value (corrected)]]-19)</f>
        <v>508</v>
      </c>
      <c r="C79">
        <f>MINUTE(Table146810[[#This Row],[Corrected time]])</f>
        <v>23</v>
      </c>
      <c r="D79" s="1">
        <v>0.72463428240740746</v>
      </c>
      <c r="E79" s="1">
        <f>Table146810[[#This Row],[Time]]-TIME(0,0,8)</f>
        <v>0.72454168981481482</v>
      </c>
      <c r="F79" t="s">
        <v>13</v>
      </c>
      <c r="G79" t="str">
        <f t="shared" si="7"/>
        <v>-127.5,</v>
      </c>
      <c r="H79">
        <f t="shared" si="2"/>
        <v>-127.5</v>
      </c>
      <c r="I79">
        <f t="shared" si="8"/>
        <v>-18.8</v>
      </c>
      <c r="L79" t="e">
        <f>480+2*(Table257911[[#This Row],[min value (corrected)]]-49)</f>
        <v>#NUM!</v>
      </c>
      <c r="M79" t="e">
        <f>MINUTE(Table257911[[#This Row],[Corrected time]])</f>
        <v>#NUM!</v>
      </c>
      <c r="N79" s="1"/>
      <c r="O79" s="1">
        <f>Table257911[[#This Row],[Time]]-TIME(0,0,4)</f>
        <v>-4.6296296296296294E-5</v>
      </c>
      <c r="R79">
        <f>Table257911[[#This Row],[RSSI]]</f>
        <v>0</v>
      </c>
    </row>
    <row r="80" spans="2:19" x14ac:dyDescent="0.25">
      <c r="B80">
        <f>500+2*(Table146810[[#This Row],[min value (corrected)]]-19)</f>
        <v>508</v>
      </c>
      <c r="C80">
        <f>MINUTE(Table146810[[#This Row],[Corrected time]])</f>
        <v>23</v>
      </c>
      <c r="D80" s="1">
        <v>0.72474839120370371</v>
      </c>
      <c r="E80" s="1">
        <f>Table146810[[#This Row],[Time]]-TIME(0,0,8)</f>
        <v>0.72465579861111107</v>
      </c>
      <c r="F80" t="s">
        <v>13</v>
      </c>
      <c r="G80" t="str">
        <f t="shared" si="7"/>
        <v>-127.5,</v>
      </c>
      <c r="H80">
        <f t="shared" si="2"/>
        <v>-127.5</v>
      </c>
      <c r="I80">
        <f t="shared" si="8"/>
        <v>-18.8</v>
      </c>
      <c r="L80" t="e">
        <f>480+2*(Table257911[[#This Row],[min value (corrected)]]-49)</f>
        <v>#NUM!</v>
      </c>
      <c r="M80" t="e">
        <f>MINUTE(Table257911[[#This Row],[Corrected time]])</f>
        <v>#NUM!</v>
      </c>
      <c r="N80" s="1"/>
      <c r="O80" s="1">
        <f>Table257911[[#This Row],[Time]]-TIME(0,0,4)</f>
        <v>-4.6296296296296294E-5</v>
      </c>
      <c r="R80">
        <f>Table257911[[#This Row],[RSSI]]</f>
        <v>0</v>
      </c>
    </row>
    <row r="81" spans="2:18" x14ac:dyDescent="0.25">
      <c r="B81">
        <f>500+2*(Table146810[[#This Row],[min value (corrected)]]-19)</f>
        <v>508</v>
      </c>
      <c r="C81">
        <f>MINUTE(Table146810[[#This Row],[Corrected time]])</f>
        <v>23</v>
      </c>
      <c r="D81" s="1">
        <v>0.724805462962963</v>
      </c>
      <c r="E81" s="1">
        <f>Table146810[[#This Row],[Time]]-TIME(0,0,8)</f>
        <v>0.72471287037037035</v>
      </c>
      <c r="F81" t="s">
        <v>13</v>
      </c>
      <c r="G81" t="str">
        <f t="shared" si="7"/>
        <v>-127.5,</v>
      </c>
      <c r="H81">
        <f t="shared" si="2"/>
        <v>-127.5</v>
      </c>
      <c r="I81">
        <f t="shared" si="8"/>
        <v>-18.8</v>
      </c>
      <c r="L81" t="e">
        <f>480+2*(Table257911[[#This Row],[min value (corrected)]]-49)</f>
        <v>#NUM!</v>
      </c>
      <c r="M81" t="e">
        <f>MINUTE(Table257911[[#This Row],[Corrected time]])</f>
        <v>#NUM!</v>
      </c>
      <c r="N81" s="1"/>
      <c r="O81" s="1">
        <f>Table257911[[#This Row],[Time]]-TIME(0,0,4)</f>
        <v>-4.6296296296296294E-5</v>
      </c>
      <c r="R81">
        <f>Table257911[[#This Row],[RSSI]]</f>
        <v>0</v>
      </c>
    </row>
    <row r="82" spans="2:18" x14ac:dyDescent="0.25">
      <c r="B82">
        <f>500+2*(Table146810[[#This Row],[min value (corrected)]]-19)</f>
        <v>508</v>
      </c>
      <c r="C82">
        <f>MINUTE(Table146810[[#This Row],[Corrected time]])</f>
        <v>23</v>
      </c>
      <c r="D82" s="1">
        <v>0.72486252314814814</v>
      </c>
      <c r="E82" s="1">
        <f>Table146810[[#This Row],[Time]]-TIME(0,0,8)</f>
        <v>0.7247699305555555</v>
      </c>
      <c r="F82" t="s">
        <v>13</v>
      </c>
      <c r="G82" t="str">
        <f t="shared" si="7"/>
        <v>-127.5,</v>
      </c>
      <c r="H82">
        <f t="shared" si="2"/>
        <v>-127.5</v>
      </c>
      <c r="I82">
        <f t="shared" si="8"/>
        <v>-18.8</v>
      </c>
      <c r="L82" t="e">
        <f>480+2*(Table257911[[#This Row],[min value (corrected)]]-49)</f>
        <v>#NUM!</v>
      </c>
      <c r="M82" t="e">
        <f>MINUTE(Table257911[[#This Row],[Corrected time]])</f>
        <v>#NUM!</v>
      </c>
      <c r="N82" s="1"/>
      <c r="O82" s="1">
        <f>Table257911[[#This Row],[Time]]-TIME(0,0,4)</f>
        <v>-4.6296296296296294E-5</v>
      </c>
      <c r="R82">
        <f>Table257911[[#This Row],[RSSI]]</f>
        <v>0</v>
      </c>
    </row>
    <row r="83" spans="2:18" x14ac:dyDescent="0.25">
      <c r="B83">
        <f>500+2*(Table146810[[#This Row],[min value (corrected)]]-19)</f>
        <v>508</v>
      </c>
      <c r="C83">
        <f>MINUTE(Table146810[[#This Row],[Corrected time]])</f>
        <v>23</v>
      </c>
      <c r="D83" s="1">
        <v>0.72491958333333339</v>
      </c>
      <c r="E83" s="1">
        <f>Table146810[[#This Row],[Time]]-TIME(0,0,8)</f>
        <v>0.72482699074074075</v>
      </c>
      <c r="F83" t="s">
        <v>13</v>
      </c>
      <c r="G83" t="str">
        <f t="shared" si="7"/>
        <v>-127.5,</v>
      </c>
      <c r="H83">
        <f t="shared" si="2"/>
        <v>-127.5</v>
      </c>
      <c r="I83">
        <f t="shared" si="8"/>
        <v>-18.8</v>
      </c>
      <c r="L83" t="e">
        <f>480+2*(Table257911[[#This Row],[min value (corrected)]]-49)</f>
        <v>#NUM!</v>
      </c>
      <c r="M83" t="e">
        <f>MINUTE(Table257911[[#This Row],[Corrected time]])</f>
        <v>#NUM!</v>
      </c>
      <c r="N83" s="1"/>
      <c r="O83" s="1">
        <f>Table257911[[#This Row],[Time]]-TIME(0,0,4)</f>
        <v>-4.6296296296296294E-5</v>
      </c>
      <c r="R83">
        <f>Table257911[[#This Row],[RSSI]]</f>
        <v>0</v>
      </c>
    </row>
    <row r="84" spans="2:18" x14ac:dyDescent="0.25">
      <c r="B84">
        <f>500+2*(Table146810[[#This Row],[min value (corrected)]]-19)</f>
        <v>508</v>
      </c>
      <c r="C84">
        <f>MINUTE(Table146810[[#This Row],[Corrected time]])</f>
        <v>23</v>
      </c>
      <c r="D84" s="1">
        <v>0.72497664351851854</v>
      </c>
      <c r="E84" s="1">
        <f>Table146810[[#This Row],[Time]]-TIME(0,0,8)</f>
        <v>0.72488405092592589</v>
      </c>
      <c r="F84" t="s">
        <v>13</v>
      </c>
      <c r="G84" t="str">
        <f t="shared" si="7"/>
        <v>-127.5,</v>
      </c>
      <c r="H84">
        <f t="shared" si="2"/>
        <v>-127.5</v>
      </c>
      <c r="I84">
        <f t="shared" si="8"/>
        <v>-18.8</v>
      </c>
      <c r="L84" t="e">
        <f>480+2*(Table257911[[#This Row],[min value (corrected)]]-49)</f>
        <v>#NUM!</v>
      </c>
      <c r="M84" t="e">
        <f>MINUTE(Table257911[[#This Row],[Corrected time]])</f>
        <v>#NUM!</v>
      </c>
      <c r="N84" s="1"/>
      <c r="O84" s="1">
        <f>Table257911[[#This Row],[Time]]-TIME(0,0,4)</f>
        <v>-4.6296296296296294E-5</v>
      </c>
      <c r="R84">
        <f>Table257911[[#This Row],[RSSI]]</f>
        <v>0</v>
      </c>
    </row>
    <row r="85" spans="2:18" x14ac:dyDescent="0.25">
      <c r="B85">
        <f>500+2*(Table146810[[#This Row],[min value (corrected)]]-19)</f>
        <v>508</v>
      </c>
      <c r="C85">
        <f>MINUTE(Table146810[[#This Row],[Corrected time]])</f>
        <v>23</v>
      </c>
      <c r="D85" s="1">
        <v>0.72503370370370368</v>
      </c>
      <c r="E85" s="1">
        <f>Table146810[[#This Row],[Time]]-TIME(0,0,8)</f>
        <v>0.72494111111111104</v>
      </c>
      <c r="F85" t="s">
        <v>13</v>
      </c>
      <c r="G85" t="str">
        <f t="shared" si="7"/>
        <v>-127.5,</v>
      </c>
      <c r="H85">
        <f t="shared" si="2"/>
        <v>-127.5</v>
      </c>
      <c r="I85">
        <f t="shared" si="8"/>
        <v>-18.8</v>
      </c>
      <c r="L85" t="e">
        <f>480+2*(Table257911[[#This Row],[min value (corrected)]]-49)</f>
        <v>#NUM!</v>
      </c>
      <c r="M85" t="e">
        <f>MINUTE(Table257911[[#This Row],[Corrected time]])</f>
        <v>#NUM!</v>
      </c>
      <c r="N85" s="1"/>
      <c r="O85" s="1">
        <f>Table257911[[#This Row],[Time]]-TIME(0,0,4)</f>
        <v>-4.6296296296296294E-5</v>
      </c>
      <c r="R85">
        <f>Table257911[[#This Row],[RSSI]]</f>
        <v>0</v>
      </c>
    </row>
    <row r="86" spans="2:18" x14ac:dyDescent="0.25">
      <c r="B86">
        <f>500+2*(Table146810[[#This Row],[min value (corrected)]]-19)</f>
        <v>510</v>
      </c>
      <c r="C86">
        <f>MINUTE(Table146810[[#This Row],[Corrected time]])</f>
        <v>24</v>
      </c>
      <c r="D86" s="1">
        <v>0.72509076388888882</v>
      </c>
      <c r="E86" s="1">
        <f>Table146810[[#This Row],[Time]]-TIME(0,0,8)</f>
        <v>0.72499817129629618</v>
      </c>
      <c r="F86" t="s">
        <v>13</v>
      </c>
      <c r="G86" t="str">
        <f t="shared" si="7"/>
        <v>-127.5,</v>
      </c>
      <c r="H86">
        <f t="shared" ref="H86:H149" si="9">VALUE(LEFT(G86,LEN(G86)-1))</f>
        <v>-127.5</v>
      </c>
      <c r="I86">
        <f t="shared" si="8"/>
        <v>-18.8</v>
      </c>
      <c r="L86" t="e">
        <f>480+2*(Table257911[[#This Row],[min value (corrected)]]-49)</f>
        <v>#NUM!</v>
      </c>
      <c r="M86" t="e">
        <f>MINUTE(Table257911[[#This Row],[Corrected time]])</f>
        <v>#NUM!</v>
      </c>
      <c r="N86" s="1"/>
      <c r="O86" s="1">
        <f>Table257911[[#This Row],[Time]]-TIME(0,0,4)</f>
        <v>-4.6296296296296294E-5</v>
      </c>
      <c r="R86">
        <f>Table257911[[#This Row],[RSSI]]</f>
        <v>0</v>
      </c>
    </row>
    <row r="87" spans="2:18" x14ac:dyDescent="0.25">
      <c r="B87">
        <f>500+2*(Table146810[[#This Row],[min value (corrected)]]-19)</f>
        <v>510</v>
      </c>
      <c r="C87">
        <f>MINUTE(Table146810[[#This Row],[Corrected time]])</f>
        <v>24</v>
      </c>
      <c r="D87" s="1">
        <v>0.7251478009259259</v>
      </c>
      <c r="E87" s="1">
        <f>Table146810[[#This Row],[Time]]-TIME(0,0,8)</f>
        <v>0.72505520833333326</v>
      </c>
      <c r="F87" t="s">
        <v>13</v>
      </c>
      <c r="G87" t="str">
        <f t="shared" si="7"/>
        <v>-127.5,</v>
      </c>
      <c r="H87">
        <f t="shared" si="9"/>
        <v>-127.5</v>
      </c>
      <c r="I87">
        <f t="shared" si="8"/>
        <v>-18.8</v>
      </c>
      <c r="L87" t="e">
        <f>480+2*(Table257911[[#This Row],[min value (corrected)]]-49)</f>
        <v>#NUM!</v>
      </c>
      <c r="M87" t="e">
        <f>MINUTE(Table257911[[#This Row],[Corrected time]])</f>
        <v>#NUM!</v>
      </c>
      <c r="N87" s="1"/>
      <c r="O87" s="1">
        <f>Table257911[[#This Row],[Time]]-TIME(0,0,4)</f>
        <v>-4.6296296296296294E-5</v>
      </c>
      <c r="R87">
        <f>Table257911[[#This Row],[RSSI]]</f>
        <v>0</v>
      </c>
    </row>
    <row r="88" spans="2:18" x14ac:dyDescent="0.25">
      <c r="B88" t="e">
        <f>480+2*(Table146810[[#This Row],[min value (corrected)]]-49)</f>
        <v>#NUM!</v>
      </c>
      <c r="C88" t="e">
        <f>MINUTE(Table146810[[#This Row],[Corrected time]])</f>
        <v>#NUM!</v>
      </c>
      <c r="D88" s="1"/>
      <c r="E88" s="1">
        <f>Table146810[[#This Row],[Time]]-TIME(0,0,8)</f>
        <v>-9.2592592592592588E-5</v>
      </c>
      <c r="H88" t="e">
        <f t="shared" si="9"/>
        <v>#VALUE!</v>
      </c>
      <c r="L88" t="e">
        <f>480+2*(Table257911[[#This Row],[min value (corrected)]]-49)</f>
        <v>#NUM!</v>
      </c>
      <c r="M88" t="e">
        <f>MINUTE(Table257911[[#This Row],[Corrected time]])</f>
        <v>#NUM!</v>
      </c>
      <c r="N88" s="1"/>
      <c r="O88" s="1">
        <f>Table257911[[#This Row],[Time]]-TIME(0,0,4)</f>
        <v>-4.6296296296296294E-5</v>
      </c>
      <c r="R88">
        <f>Table257911[[#This Row],[RSSI]]</f>
        <v>0</v>
      </c>
    </row>
    <row r="89" spans="2:18" x14ac:dyDescent="0.25">
      <c r="B89" t="e">
        <f>480+2*(Table146810[[#This Row],[min value (corrected)]]-49)</f>
        <v>#NUM!</v>
      </c>
      <c r="C89" t="e">
        <f>MINUTE(Table146810[[#This Row],[Corrected time]])</f>
        <v>#NUM!</v>
      </c>
      <c r="D89" s="1"/>
      <c r="E89" s="1">
        <f>Table146810[[#This Row],[Time]]-TIME(0,0,8)</f>
        <v>-9.2592592592592588E-5</v>
      </c>
      <c r="H89" t="e">
        <f t="shared" si="9"/>
        <v>#VALUE!</v>
      </c>
      <c r="L89" t="e">
        <f>480+2*(Table257911[[#This Row],[min value (corrected)]]-49)</f>
        <v>#NUM!</v>
      </c>
      <c r="M89" t="e">
        <f>MINUTE(Table257911[[#This Row],[Corrected time]])</f>
        <v>#NUM!</v>
      </c>
      <c r="N89" s="1"/>
      <c r="O89" s="1">
        <f>Table257911[[#This Row],[Time]]-TIME(0,0,4)</f>
        <v>-4.6296296296296294E-5</v>
      </c>
      <c r="R89">
        <f>Table257911[[#This Row],[RSSI]]</f>
        <v>0</v>
      </c>
    </row>
    <row r="90" spans="2:18" x14ac:dyDescent="0.25">
      <c r="B90" t="e">
        <f>480+2*(Table146810[[#This Row],[min value (corrected)]]-49)</f>
        <v>#NUM!</v>
      </c>
      <c r="C90" t="e">
        <f>MINUTE(Table146810[[#This Row],[Corrected time]])</f>
        <v>#NUM!</v>
      </c>
      <c r="D90" s="1"/>
      <c r="E90" s="1">
        <f>Table146810[[#This Row],[Time]]-TIME(0,0,8)</f>
        <v>-9.2592592592592588E-5</v>
      </c>
      <c r="H90" t="e">
        <f t="shared" si="9"/>
        <v>#VALUE!</v>
      </c>
      <c r="L90" t="e">
        <f>480+2*(Table257911[[#This Row],[min value (corrected)]]-49)</f>
        <v>#NUM!</v>
      </c>
      <c r="M90" t="e">
        <f>MINUTE(Table257911[[#This Row],[Corrected time]])</f>
        <v>#NUM!</v>
      </c>
      <c r="N90" s="1"/>
      <c r="O90" s="1">
        <f>Table257911[[#This Row],[Time]]-TIME(0,0,4)</f>
        <v>-4.6296296296296294E-5</v>
      </c>
      <c r="R90">
        <f>Table257911[[#This Row],[RSSI]]</f>
        <v>0</v>
      </c>
    </row>
    <row r="91" spans="2:18" x14ac:dyDescent="0.25">
      <c r="B91" t="e">
        <f>480+2*(Table146810[[#This Row],[min value (corrected)]]-49)</f>
        <v>#NUM!</v>
      </c>
      <c r="C91" t="e">
        <f>MINUTE(Table146810[[#This Row],[Corrected time]])</f>
        <v>#NUM!</v>
      </c>
      <c r="D91" s="1"/>
      <c r="E91" s="1">
        <f>Table146810[[#This Row],[Time]]-TIME(0,0,8)</f>
        <v>-9.2592592592592588E-5</v>
      </c>
      <c r="H91" t="e">
        <f t="shared" si="9"/>
        <v>#VALUE!</v>
      </c>
      <c r="L91" t="e">
        <f>480+2*(Table257911[[#This Row],[min value (corrected)]]-49)</f>
        <v>#NUM!</v>
      </c>
      <c r="M91" t="e">
        <f>MINUTE(Table257911[[#This Row],[Corrected time]])</f>
        <v>#NUM!</v>
      </c>
      <c r="N91" s="1"/>
      <c r="O91" s="1">
        <f>Table257911[[#This Row],[Time]]-TIME(0,0,4)</f>
        <v>-4.6296296296296294E-5</v>
      </c>
      <c r="R91">
        <f>Table257911[[#This Row],[RSSI]]</f>
        <v>0</v>
      </c>
    </row>
    <row r="92" spans="2:18" x14ac:dyDescent="0.25">
      <c r="B92" t="e">
        <f>480+2*(Table146810[[#This Row],[min value (corrected)]]-49)</f>
        <v>#NUM!</v>
      </c>
      <c r="C92" t="e">
        <f>MINUTE(Table146810[[#This Row],[Corrected time]])</f>
        <v>#NUM!</v>
      </c>
      <c r="D92" s="1"/>
      <c r="E92" s="1">
        <f>Table146810[[#This Row],[Time]]-TIME(0,0,8)</f>
        <v>-9.2592592592592588E-5</v>
      </c>
      <c r="H92" t="e">
        <f t="shared" si="9"/>
        <v>#VALUE!</v>
      </c>
      <c r="L92" t="e">
        <f>480+2*(Table257911[[#This Row],[min value (corrected)]]-49)</f>
        <v>#NUM!</v>
      </c>
      <c r="M92" t="e">
        <f>MINUTE(Table257911[[#This Row],[Corrected time]])</f>
        <v>#NUM!</v>
      </c>
      <c r="N92" s="1"/>
      <c r="O92" s="1">
        <f>Table257911[[#This Row],[Time]]-TIME(0,0,4)</f>
        <v>-4.6296296296296294E-5</v>
      </c>
      <c r="R92">
        <f>Table257911[[#This Row],[RSSI]]</f>
        <v>0</v>
      </c>
    </row>
    <row r="93" spans="2:18" x14ac:dyDescent="0.25">
      <c r="B93" t="e">
        <f>480+2*(Table146810[[#This Row],[min value (corrected)]]-49)</f>
        <v>#NUM!</v>
      </c>
      <c r="C93" t="e">
        <f>MINUTE(Table146810[[#This Row],[Corrected time]])</f>
        <v>#NUM!</v>
      </c>
      <c r="D93" s="1"/>
      <c r="E93" s="1">
        <f>Table146810[[#This Row],[Time]]-TIME(0,0,8)</f>
        <v>-9.2592592592592588E-5</v>
      </c>
      <c r="H93" t="e">
        <f t="shared" si="9"/>
        <v>#VALUE!</v>
      </c>
      <c r="L93" t="e">
        <f>480+2*(Table257911[[#This Row],[min value (corrected)]]-49)</f>
        <v>#NUM!</v>
      </c>
      <c r="M93" t="e">
        <f>MINUTE(Table257911[[#This Row],[Corrected time]])</f>
        <v>#NUM!</v>
      </c>
      <c r="N93" s="1"/>
      <c r="O93" s="1">
        <f>Table257911[[#This Row],[Time]]-TIME(0,0,4)</f>
        <v>-4.6296296296296294E-5</v>
      </c>
      <c r="R93">
        <f>Table257911[[#This Row],[RSSI]]</f>
        <v>0</v>
      </c>
    </row>
    <row r="94" spans="2:18" x14ac:dyDescent="0.25">
      <c r="B94" t="e">
        <f>480+2*(Table146810[[#This Row],[min value (corrected)]]-49)</f>
        <v>#NUM!</v>
      </c>
      <c r="C94" t="e">
        <f>MINUTE(Table146810[[#This Row],[Corrected time]])</f>
        <v>#NUM!</v>
      </c>
      <c r="D94" s="1"/>
      <c r="E94" s="1">
        <f>Table146810[[#This Row],[Time]]-TIME(0,0,8)</f>
        <v>-9.2592592592592588E-5</v>
      </c>
      <c r="H94" t="e">
        <f t="shared" si="9"/>
        <v>#VALUE!</v>
      </c>
      <c r="L94" t="e">
        <f>480+2*(Table257911[[#This Row],[min value (corrected)]]-49)</f>
        <v>#NUM!</v>
      </c>
      <c r="M94" t="e">
        <f>MINUTE(Table257911[[#This Row],[Corrected time]])</f>
        <v>#NUM!</v>
      </c>
      <c r="N94" s="1"/>
      <c r="O94" s="1">
        <f>Table257911[[#This Row],[Time]]-TIME(0,0,4)</f>
        <v>-4.6296296296296294E-5</v>
      </c>
      <c r="R94">
        <f>Table257911[[#This Row],[RSSI]]</f>
        <v>0</v>
      </c>
    </row>
    <row r="95" spans="2:18" x14ac:dyDescent="0.25">
      <c r="B95" t="e">
        <f>480+2*(Table146810[[#This Row],[min value (corrected)]]-49)</f>
        <v>#NUM!</v>
      </c>
      <c r="C95" t="e">
        <f>MINUTE(Table146810[[#This Row],[Corrected time]])</f>
        <v>#NUM!</v>
      </c>
      <c r="D95" s="1"/>
      <c r="E95" s="1">
        <f>Table146810[[#This Row],[Time]]-TIME(0,0,8)</f>
        <v>-9.2592592592592588E-5</v>
      </c>
      <c r="H95" t="e">
        <f t="shared" si="9"/>
        <v>#VALUE!</v>
      </c>
      <c r="L95" t="e">
        <f>480+2*(Table257911[[#This Row],[min value (corrected)]]-49)</f>
        <v>#NUM!</v>
      </c>
      <c r="M95" t="e">
        <f>MINUTE(Table257911[[#This Row],[Corrected time]])</f>
        <v>#NUM!</v>
      </c>
      <c r="N95" s="1"/>
      <c r="O95" s="1">
        <f>Table257911[[#This Row],[Time]]-TIME(0,0,4)</f>
        <v>-4.6296296296296294E-5</v>
      </c>
      <c r="R95">
        <f>Table257911[[#This Row],[RSSI]]</f>
        <v>0</v>
      </c>
    </row>
    <row r="96" spans="2:18" x14ac:dyDescent="0.25">
      <c r="B96" t="e">
        <f>480+2*(Table146810[[#This Row],[min value (corrected)]]-49)</f>
        <v>#NUM!</v>
      </c>
      <c r="C96" t="e">
        <f>MINUTE(Table146810[[#This Row],[Corrected time]])</f>
        <v>#NUM!</v>
      </c>
      <c r="D96" s="1"/>
      <c r="E96" s="1">
        <f>Table146810[[#This Row],[Time]]-TIME(0,0,8)</f>
        <v>-9.2592592592592588E-5</v>
      </c>
      <c r="H96" t="e">
        <f t="shared" si="9"/>
        <v>#VALUE!</v>
      </c>
      <c r="L96" t="e">
        <f>480+2*(Table257911[[#This Row],[min value (corrected)]]-49)</f>
        <v>#NUM!</v>
      </c>
      <c r="M96" t="e">
        <f>MINUTE(Table257911[[#This Row],[Corrected time]])</f>
        <v>#NUM!</v>
      </c>
      <c r="N96" s="1"/>
      <c r="O96" s="1">
        <f>Table257911[[#This Row],[Time]]-TIME(0,0,4)</f>
        <v>-4.6296296296296294E-5</v>
      </c>
      <c r="R96">
        <f>Table257911[[#This Row],[RSSI]]</f>
        <v>0</v>
      </c>
    </row>
    <row r="97" spans="2:18" x14ac:dyDescent="0.25">
      <c r="B97" t="e">
        <f>480+2*(Table146810[[#This Row],[min value (corrected)]]-49)</f>
        <v>#NUM!</v>
      </c>
      <c r="C97" t="e">
        <f>MINUTE(Table146810[[#This Row],[Corrected time]])</f>
        <v>#NUM!</v>
      </c>
      <c r="D97" s="1"/>
      <c r="E97" s="1">
        <f>Table146810[[#This Row],[Time]]-TIME(0,0,8)</f>
        <v>-9.2592592592592588E-5</v>
      </c>
      <c r="H97" t="e">
        <f t="shared" si="9"/>
        <v>#VALUE!</v>
      </c>
      <c r="L97" t="e">
        <f>480+2*(Table257911[[#This Row],[min value (corrected)]]-49)</f>
        <v>#NUM!</v>
      </c>
      <c r="M97" t="e">
        <f>MINUTE(Table257911[[#This Row],[Corrected time]])</f>
        <v>#NUM!</v>
      </c>
      <c r="N97" s="1"/>
      <c r="O97" s="1">
        <f>Table257911[[#This Row],[Time]]-TIME(0,0,4)</f>
        <v>-4.6296296296296294E-5</v>
      </c>
      <c r="R97">
        <f>Table257911[[#This Row],[RSSI]]</f>
        <v>0</v>
      </c>
    </row>
    <row r="98" spans="2:18" x14ac:dyDescent="0.25">
      <c r="B98" t="e">
        <f>480+2*(Table146810[[#This Row],[min value (corrected)]]-49)</f>
        <v>#NUM!</v>
      </c>
      <c r="C98" t="e">
        <f>MINUTE(Table146810[[#This Row],[Corrected time]])</f>
        <v>#NUM!</v>
      </c>
      <c r="D98" s="1"/>
      <c r="E98" s="1">
        <f>Table146810[[#This Row],[Time]]-TIME(0,0,8)</f>
        <v>-9.2592592592592588E-5</v>
      </c>
      <c r="H98" t="e">
        <f t="shared" si="9"/>
        <v>#VALUE!</v>
      </c>
      <c r="L98" t="e">
        <f>480+2*(Table257911[[#This Row],[min value (corrected)]]-49)</f>
        <v>#NUM!</v>
      </c>
      <c r="M98" t="e">
        <f>MINUTE(Table257911[[#This Row],[Corrected time]])</f>
        <v>#NUM!</v>
      </c>
      <c r="N98" s="1"/>
      <c r="O98" s="1">
        <f>Table257911[[#This Row],[Time]]-TIME(0,0,4)</f>
        <v>-4.6296296296296294E-5</v>
      </c>
      <c r="R98">
        <f>Table257911[[#This Row],[RSSI]]</f>
        <v>0</v>
      </c>
    </row>
    <row r="99" spans="2:18" x14ac:dyDescent="0.25">
      <c r="B99" t="e">
        <f>480+2*(Table146810[[#This Row],[min value (corrected)]]-49)</f>
        <v>#NUM!</v>
      </c>
      <c r="C99" t="e">
        <f>MINUTE(Table146810[[#This Row],[Corrected time]])</f>
        <v>#NUM!</v>
      </c>
      <c r="D99" s="1"/>
      <c r="E99" s="1">
        <f>Table146810[[#This Row],[Time]]-TIME(0,0,8)</f>
        <v>-9.2592592592592588E-5</v>
      </c>
      <c r="H99" t="e">
        <f t="shared" si="9"/>
        <v>#VALUE!</v>
      </c>
      <c r="L99" t="e">
        <f>480+2*(Table257911[[#This Row],[min value (corrected)]]-49)</f>
        <v>#NUM!</v>
      </c>
      <c r="M99" t="e">
        <f>MINUTE(Table257911[[#This Row],[Corrected time]])</f>
        <v>#NUM!</v>
      </c>
      <c r="N99" s="1"/>
      <c r="O99" s="1">
        <f>Table257911[[#This Row],[Time]]-TIME(0,0,4)</f>
        <v>-4.6296296296296294E-5</v>
      </c>
      <c r="R99">
        <f>Table257911[[#This Row],[RSSI]]</f>
        <v>0</v>
      </c>
    </row>
    <row r="100" spans="2:18" x14ac:dyDescent="0.25">
      <c r="B100" t="e">
        <f>480+2*(Table146810[[#This Row],[min value (corrected)]]-49)</f>
        <v>#NUM!</v>
      </c>
      <c r="C100" t="e">
        <f>MINUTE(Table146810[[#This Row],[Corrected time]])</f>
        <v>#NUM!</v>
      </c>
      <c r="D100" s="1"/>
      <c r="E100" s="1">
        <f>Table146810[[#This Row],[Time]]-TIME(0,0,8)</f>
        <v>-9.2592592592592588E-5</v>
      </c>
      <c r="H100" t="e">
        <f t="shared" si="9"/>
        <v>#VALUE!</v>
      </c>
      <c r="L100" t="e">
        <f>480+2*(Table257911[[#This Row],[min value (corrected)]]-49)</f>
        <v>#NUM!</v>
      </c>
      <c r="M100" t="e">
        <f>MINUTE(Table257911[[#This Row],[Corrected time]])</f>
        <v>#NUM!</v>
      </c>
      <c r="N100" s="1"/>
      <c r="O100" s="1">
        <f>Table257911[[#This Row],[Time]]-TIME(0,0,4)</f>
        <v>-4.6296296296296294E-5</v>
      </c>
      <c r="R100">
        <f>Table257911[[#This Row],[RSSI]]</f>
        <v>0</v>
      </c>
    </row>
    <row r="101" spans="2:18" x14ac:dyDescent="0.25">
      <c r="B101" t="e">
        <f>480+2*(Table146810[[#This Row],[min value (corrected)]]-49)</f>
        <v>#NUM!</v>
      </c>
      <c r="C101" t="e">
        <f>MINUTE(Table146810[[#This Row],[Corrected time]])</f>
        <v>#NUM!</v>
      </c>
      <c r="D101" s="1"/>
      <c r="E101" s="1">
        <f>Table146810[[#This Row],[Time]]-TIME(0,0,8)</f>
        <v>-9.2592592592592588E-5</v>
      </c>
      <c r="H101" t="e">
        <f t="shared" si="9"/>
        <v>#VALUE!</v>
      </c>
      <c r="L101" t="e">
        <f>480+2*(Table257911[[#This Row],[min value (corrected)]]-49)</f>
        <v>#NUM!</v>
      </c>
      <c r="M101" t="e">
        <f>MINUTE(Table257911[[#This Row],[Corrected time]])</f>
        <v>#NUM!</v>
      </c>
      <c r="N101" s="1"/>
      <c r="O101" s="1">
        <f>Table257911[[#This Row],[Time]]-TIME(0,0,4)</f>
        <v>-4.6296296296296294E-5</v>
      </c>
      <c r="R101">
        <f>Table257911[[#This Row],[RSSI]]</f>
        <v>0</v>
      </c>
    </row>
    <row r="102" spans="2:18" x14ac:dyDescent="0.25">
      <c r="B102" t="e">
        <f>480+2*(Table146810[[#This Row],[min value (corrected)]]-49)</f>
        <v>#NUM!</v>
      </c>
      <c r="C102" t="e">
        <f>MINUTE(Table146810[[#This Row],[Corrected time]])</f>
        <v>#NUM!</v>
      </c>
      <c r="D102" s="1"/>
      <c r="E102" s="1">
        <f>Table146810[[#This Row],[Time]]-TIME(0,0,8)</f>
        <v>-9.2592592592592588E-5</v>
      </c>
      <c r="H102" t="e">
        <f t="shared" si="9"/>
        <v>#VALUE!</v>
      </c>
      <c r="L102" t="e">
        <f>480+2*(Table257911[[#This Row],[min value (corrected)]]-49)</f>
        <v>#NUM!</v>
      </c>
      <c r="M102" t="e">
        <f>MINUTE(Table257911[[#This Row],[Corrected time]])</f>
        <v>#NUM!</v>
      </c>
      <c r="N102" s="1"/>
      <c r="O102" s="1">
        <f>Table257911[[#This Row],[Time]]-TIME(0,0,4)</f>
        <v>-4.6296296296296294E-5</v>
      </c>
      <c r="R102">
        <f>Table257911[[#This Row],[RSSI]]</f>
        <v>0</v>
      </c>
    </row>
    <row r="103" spans="2:18" x14ac:dyDescent="0.25">
      <c r="B103" t="e">
        <f>480+2*(Table146810[[#This Row],[min value (corrected)]]-49)</f>
        <v>#NUM!</v>
      </c>
      <c r="C103" t="e">
        <f>MINUTE(Table146810[[#This Row],[Corrected time]])</f>
        <v>#NUM!</v>
      </c>
      <c r="D103" s="1"/>
      <c r="E103" s="1">
        <f>Table146810[[#This Row],[Time]]-TIME(0,0,8)</f>
        <v>-9.2592592592592588E-5</v>
      </c>
      <c r="H103" t="e">
        <f t="shared" si="9"/>
        <v>#VALUE!</v>
      </c>
      <c r="L103" t="e">
        <f>480+2*(Table257911[[#This Row],[min value (corrected)]]-49)</f>
        <v>#NUM!</v>
      </c>
      <c r="M103" t="e">
        <f>MINUTE(Table257911[[#This Row],[Corrected time]])</f>
        <v>#NUM!</v>
      </c>
      <c r="N103" s="1"/>
      <c r="O103" s="1">
        <f>Table257911[[#This Row],[Time]]-TIME(0,0,4)</f>
        <v>-4.6296296296296294E-5</v>
      </c>
      <c r="R103">
        <f>Table257911[[#This Row],[RSSI]]</f>
        <v>0</v>
      </c>
    </row>
    <row r="104" spans="2:18" x14ac:dyDescent="0.25">
      <c r="B104" t="e">
        <f>480+2*(Table146810[[#This Row],[min value (corrected)]]-49)</f>
        <v>#NUM!</v>
      </c>
      <c r="C104" t="e">
        <f>MINUTE(Table146810[[#This Row],[Corrected time]])</f>
        <v>#NUM!</v>
      </c>
      <c r="D104" s="1"/>
      <c r="E104" s="1">
        <f>Table146810[[#This Row],[Time]]-TIME(0,0,8)</f>
        <v>-9.2592592592592588E-5</v>
      </c>
      <c r="H104" t="e">
        <f t="shared" si="9"/>
        <v>#VALUE!</v>
      </c>
      <c r="L104" t="e">
        <f>480+2*(Table257911[[#This Row],[min value (corrected)]]-49)</f>
        <v>#NUM!</v>
      </c>
      <c r="M104" t="e">
        <f>MINUTE(Table257911[[#This Row],[Corrected time]])</f>
        <v>#NUM!</v>
      </c>
      <c r="N104" s="1"/>
      <c r="O104" s="1">
        <f>Table257911[[#This Row],[Time]]-TIME(0,0,4)</f>
        <v>-4.6296296296296294E-5</v>
      </c>
      <c r="R104">
        <f>Table257911[[#This Row],[RSSI]]</f>
        <v>0</v>
      </c>
    </row>
    <row r="105" spans="2:18" x14ac:dyDescent="0.25">
      <c r="B105" t="e">
        <f>480+2*(Table146810[[#This Row],[min value (corrected)]]-49)</f>
        <v>#NUM!</v>
      </c>
      <c r="C105" t="e">
        <f>MINUTE(Table146810[[#This Row],[Corrected time]])</f>
        <v>#NUM!</v>
      </c>
      <c r="D105" s="1"/>
      <c r="E105" s="1">
        <f>Table146810[[#This Row],[Time]]-TIME(0,0,8)</f>
        <v>-9.2592592592592588E-5</v>
      </c>
      <c r="H105" t="e">
        <f t="shared" si="9"/>
        <v>#VALUE!</v>
      </c>
      <c r="L105" t="e">
        <f>480+2*(Table257911[[#This Row],[min value (corrected)]]-49)</f>
        <v>#NUM!</v>
      </c>
      <c r="M105" t="e">
        <f>MINUTE(Table257911[[#This Row],[Corrected time]])</f>
        <v>#NUM!</v>
      </c>
      <c r="N105" s="1"/>
      <c r="O105" s="1">
        <f>Table257911[[#This Row],[Time]]-TIME(0,0,4)</f>
        <v>-4.6296296296296294E-5</v>
      </c>
      <c r="R105">
        <f>Table257911[[#This Row],[RSSI]]</f>
        <v>0</v>
      </c>
    </row>
    <row r="106" spans="2:18" x14ac:dyDescent="0.25">
      <c r="B106" t="e">
        <f>480+2*(Table146810[[#This Row],[min value (corrected)]]-49)</f>
        <v>#NUM!</v>
      </c>
      <c r="C106" t="e">
        <f>MINUTE(Table146810[[#This Row],[Corrected time]])</f>
        <v>#NUM!</v>
      </c>
      <c r="D106" s="1"/>
      <c r="E106" s="1">
        <f>Table146810[[#This Row],[Time]]-TIME(0,0,8)</f>
        <v>-9.2592592592592588E-5</v>
      </c>
      <c r="H106" t="e">
        <f t="shared" si="9"/>
        <v>#VALUE!</v>
      </c>
      <c r="L106" t="e">
        <f>480+2*(Table257911[[#This Row],[min value (corrected)]]-49)</f>
        <v>#NUM!</v>
      </c>
      <c r="M106" t="e">
        <f>MINUTE(Table257911[[#This Row],[Corrected time]])</f>
        <v>#NUM!</v>
      </c>
      <c r="N106" s="1"/>
      <c r="O106" s="1">
        <f>Table257911[[#This Row],[Time]]-TIME(0,0,4)</f>
        <v>-4.6296296296296294E-5</v>
      </c>
      <c r="R106">
        <f>Table257911[[#This Row],[RSSI]]</f>
        <v>0</v>
      </c>
    </row>
    <row r="107" spans="2:18" x14ac:dyDescent="0.25">
      <c r="B107" t="e">
        <f>480+2*(Table146810[[#This Row],[min value (corrected)]]-49)</f>
        <v>#NUM!</v>
      </c>
      <c r="C107" t="e">
        <f>MINUTE(Table146810[[#This Row],[Corrected time]])</f>
        <v>#NUM!</v>
      </c>
      <c r="D107" s="1"/>
      <c r="E107" s="1">
        <f>Table146810[[#This Row],[Time]]-TIME(0,0,8)</f>
        <v>-9.2592592592592588E-5</v>
      </c>
      <c r="H107" t="e">
        <f t="shared" si="9"/>
        <v>#VALUE!</v>
      </c>
      <c r="L107" t="e">
        <f>480+2*(Table257911[[#This Row],[min value (corrected)]]-49)</f>
        <v>#NUM!</v>
      </c>
      <c r="M107" t="e">
        <f>MINUTE(Table257911[[#This Row],[Corrected time]])</f>
        <v>#NUM!</v>
      </c>
      <c r="N107" s="1"/>
      <c r="O107" s="1">
        <f>Table257911[[#This Row],[Time]]-TIME(0,0,4)</f>
        <v>-4.6296296296296294E-5</v>
      </c>
      <c r="R107">
        <f>Table257911[[#This Row],[RSSI]]</f>
        <v>0</v>
      </c>
    </row>
    <row r="108" spans="2:18" x14ac:dyDescent="0.25">
      <c r="B108" t="e">
        <f>480+2*(Table146810[[#This Row],[min value (corrected)]]-49)</f>
        <v>#NUM!</v>
      </c>
      <c r="C108" t="e">
        <f>MINUTE(Table146810[[#This Row],[Corrected time]])</f>
        <v>#NUM!</v>
      </c>
      <c r="D108" s="1"/>
      <c r="E108" s="1">
        <f>Table146810[[#This Row],[Time]]-TIME(0,0,8)</f>
        <v>-9.2592592592592588E-5</v>
      </c>
      <c r="H108" t="e">
        <f t="shared" si="9"/>
        <v>#VALUE!</v>
      </c>
      <c r="L108" t="e">
        <f>480+2*(Table257911[[#This Row],[min value (corrected)]]-49)</f>
        <v>#NUM!</v>
      </c>
      <c r="M108" t="e">
        <f>MINUTE(Table257911[[#This Row],[Corrected time]])</f>
        <v>#NUM!</v>
      </c>
      <c r="N108" s="1"/>
      <c r="O108" s="1">
        <f>Table257911[[#This Row],[Time]]-TIME(0,0,4)</f>
        <v>-4.6296296296296294E-5</v>
      </c>
      <c r="R108">
        <f>Table257911[[#This Row],[RSSI]]</f>
        <v>0</v>
      </c>
    </row>
    <row r="109" spans="2:18" x14ac:dyDescent="0.25">
      <c r="B109" t="e">
        <f>480+2*(Table146810[[#This Row],[min value (corrected)]]-49)</f>
        <v>#NUM!</v>
      </c>
      <c r="C109" t="e">
        <f>MINUTE(Table146810[[#This Row],[Corrected time]])</f>
        <v>#NUM!</v>
      </c>
      <c r="D109" s="1"/>
      <c r="E109" s="1">
        <f>Table146810[[#This Row],[Time]]-TIME(0,0,8)</f>
        <v>-9.2592592592592588E-5</v>
      </c>
      <c r="H109" t="e">
        <f t="shared" si="9"/>
        <v>#VALUE!</v>
      </c>
      <c r="L109" t="e">
        <f>480+2*(Table257911[[#This Row],[min value (corrected)]]-49)</f>
        <v>#NUM!</v>
      </c>
      <c r="M109" t="e">
        <f>MINUTE(Table257911[[#This Row],[Corrected time]])</f>
        <v>#NUM!</v>
      </c>
      <c r="N109" s="1"/>
      <c r="O109" s="1">
        <f>Table257911[[#This Row],[Time]]-TIME(0,0,4)</f>
        <v>-4.6296296296296294E-5</v>
      </c>
      <c r="R109">
        <f>Table257911[[#This Row],[RSSI]]</f>
        <v>0</v>
      </c>
    </row>
    <row r="110" spans="2:18" x14ac:dyDescent="0.25">
      <c r="B110" t="e">
        <f>480+2*(Table146810[[#This Row],[min value (corrected)]]-49)</f>
        <v>#NUM!</v>
      </c>
      <c r="C110" t="e">
        <f>MINUTE(Table146810[[#This Row],[Corrected time]])</f>
        <v>#NUM!</v>
      </c>
      <c r="D110" s="1"/>
      <c r="E110" s="1">
        <f>Table146810[[#This Row],[Time]]-TIME(0,0,8)</f>
        <v>-9.2592592592592588E-5</v>
      </c>
      <c r="H110" t="e">
        <f t="shared" si="9"/>
        <v>#VALUE!</v>
      </c>
      <c r="L110" t="e">
        <f>480+2*(Table257911[[#This Row],[min value (corrected)]]-49)</f>
        <v>#NUM!</v>
      </c>
      <c r="M110" t="e">
        <f>MINUTE(Table257911[[#This Row],[Corrected time]])</f>
        <v>#NUM!</v>
      </c>
      <c r="N110" s="1"/>
      <c r="O110" s="1">
        <f>Table257911[[#This Row],[Time]]-TIME(0,0,4)</f>
        <v>-4.6296296296296294E-5</v>
      </c>
      <c r="R110">
        <f>Table257911[[#This Row],[RSSI]]</f>
        <v>0</v>
      </c>
    </row>
    <row r="111" spans="2:18" x14ac:dyDescent="0.25">
      <c r="B111" t="e">
        <f>480+2*(Table146810[[#This Row],[min value (corrected)]]-49)</f>
        <v>#NUM!</v>
      </c>
      <c r="C111" t="e">
        <f>MINUTE(Table146810[[#This Row],[Corrected time]])</f>
        <v>#NUM!</v>
      </c>
      <c r="D111" s="1"/>
      <c r="E111" s="1">
        <f>Table146810[[#This Row],[Time]]-TIME(0,0,8)</f>
        <v>-9.2592592592592588E-5</v>
      </c>
      <c r="H111" t="e">
        <f t="shared" si="9"/>
        <v>#VALUE!</v>
      </c>
      <c r="L111" t="e">
        <f>480+2*(Table257911[[#This Row],[min value (corrected)]]-49)</f>
        <v>#NUM!</v>
      </c>
      <c r="M111" t="e">
        <f>MINUTE(Table257911[[#This Row],[Corrected time]])</f>
        <v>#NUM!</v>
      </c>
      <c r="N111" s="1"/>
      <c r="O111" s="1">
        <f>Table257911[[#This Row],[Time]]-TIME(0,0,4)</f>
        <v>-4.6296296296296294E-5</v>
      </c>
      <c r="R111">
        <f>Table257911[[#This Row],[RSSI]]</f>
        <v>0</v>
      </c>
    </row>
    <row r="112" spans="2:18" x14ac:dyDescent="0.25">
      <c r="B112" t="e">
        <f>480+2*(Table146810[[#This Row],[min value (corrected)]]-49)</f>
        <v>#NUM!</v>
      </c>
      <c r="C112" t="e">
        <f>MINUTE(Table146810[[#This Row],[Corrected time]])</f>
        <v>#NUM!</v>
      </c>
      <c r="D112" s="1"/>
      <c r="E112" s="1">
        <f>Table146810[[#This Row],[Time]]-TIME(0,0,8)</f>
        <v>-9.2592592592592588E-5</v>
      </c>
      <c r="H112" t="e">
        <f t="shared" si="9"/>
        <v>#VALUE!</v>
      </c>
      <c r="L112" t="e">
        <f>480+2*(Table257911[[#This Row],[min value (corrected)]]-49)</f>
        <v>#NUM!</v>
      </c>
      <c r="M112" t="e">
        <f>MINUTE(Table257911[[#This Row],[Corrected time]])</f>
        <v>#NUM!</v>
      </c>
      <c r="N112" s="1"/>
      <c r="O112" s="1">
        <f>Table257911[[#This Row],[Time]]-TIME(0,0,4)</f>
        <v>-4.6296296296296294E-5</v>
      </c>
      <c r="R112">
        <f>Table257911[[#This Row],[RSSI]]</f>
        <v>0</v>
      </c>
    </row>
    <row r="113" spans="2:18" x14ac:dyDescent="0.25">
      <c r="B113" t="e">
        <f>480+2*(Table146810[[#This Row],[min value (corrected)]]-49)</f>
        <v>#NUM!</v>
      </c>
      <c r="C113" t="e">
        <f>MINUTE(Table146810[[#This Row],[Corrected time]])</f>
        <v>#NUM!</v>
      </c>
      <c r="D113" s="1"/>
      <c r="E113" s="1">
        <f>Table146810[[#This Row],[Time]]-TIME(0,0,8)</f>
        <v>-9.2592592592592588E-5</v>
      </c>
      <c r="H113" t="e">
        <f t="shared" si="9"/>
        <v>#VALUE!</v>
      </c>
      <c r="L113" t="e">
        <f>480+2*(Table257911[[#This Row],[min value (corrected)]]-49)</f>
        <v>#NUM!</v>
      </c>
      <c r="M113" t="e">
        <f>MINUTE(Table257911[[#This Row],[Corrected time]])</f>
        <v>#NUM!</v>
      </c>
      <c r="N113" s="1"/>
      <c r="O113" s="1">
        <f>Table257911[[#This Row],[Time]]-TIME(0,0,4)</f>
        <v>-4.6296296296296294E-5</v>
      </c>
      <c r="R113">
        <f>Table257911[[#This Row],[RSSI]]</f>
        <v>0</v>
      </c>
    </row>
    <row r="114" spans="2:18" x14ac:dyDescent="0.25">
      <c r="B114" t="e">
        <f>480+2*(Table146810[[#This Row],[min value (corrected)]]-49)</f>
        <v>#NUM!</v>
      </c>
      <c r="C114" t="e">
        <f>MINUTE(Table146810[[#This Row],[Corrected time]])</f>
        <v>#NUM!</v>
      </c>
      <c r="D114" s="1"/>
      <c r="E114" s="1">
        <f>Table146810[[#This Row],[Time]]-TIME(0,0,8)</f>
        <v>-9.2592592592592588E-5</v>
      </c>
      <c r="H114" t="e">
        <f t="shared" si="9"/>
        <v>#VALUE!</v>
      </c>
      <c r="L114" t="e">
        <f>480+2*(Table257911[[#This Row],[min value (corrected)]]-49)</f>
        <v>#NUM!</v>
      </c>
      <c r="M114" t="e">
        <f>MINUTE(Table257911[[#This Row],[Corrected time]])</f>
        <v>#NUM!</v>
      </c>
      <c r="N114" s="1"/>
      <c r="O114" s="1">
        <f>Table257911[[#This Row],[Time]]-TIME(0,0,4)</f>
        <v>-4.6296296296296294E-5</v>
      </c>
      <c r="R114">
        <f>Table257911[[#This Row],[RSSI]]</f>
        <v>0</v>
      </c>
    </row>
    <row r="115" spans="2:18" x14ac:dyDescent="0.25">
      <c r="B115" t="e">
        <f>480+2*(Table146810[[#This Row],[min value (corrected)]]-49)</f>
        <v>#NUM!</v>
      </c>
      <c r="C115" t="e">
        <f>MINUTE(Table146810[[#This Row],[Corrected time]])</f>
        <v>#NUM!</v>
      </c>
      <c r="D115" s="1"/>
      <c r="E115" s="1">
        <f>Table146810[[#This Row],[Time]]-TIME(0,0,8)</f>
        <v>-9.2592592592592588E-5</v>
      </c>
      <c r="H115" t="e">
        <f t="shared" si="9"/>
        <v>#VALUE!</v>
      </c>
      <c r="L115" t="e">
        <f>480+2*(Table257911[[#This Row],[min value (corrected)]]-49)</f>
        <v>#NUM!</v>
      </c>
      <c r="M115" t="e">
        <f>MINUTE(Table257911[[#This Row],[Corrected time]])</f>
        <v>#NUM!</v>
      </c>
      <c r="N115" s="1"/>
      <c r="O115" s="1">
        <f>Table257911[[#This Row],[Time]]-TIME(0,0,4)</f>
        <v>-4.6296296296296294E-5</v>
      </c>
      <c r="R115">
        <f>Table257911[[#This Row],[RSSI]]</f>
        <v>0</v>
      </c>
    </row>
    <row r="116" spans="2:18" x14ac:dyDescent="0.25">
      <c r="B116" t="e">
        <f>480+2*(Table146810[[#This Row],[min value (corrected)]]-49)</f>
        <v>#NUM!</v>
      </c>
      <c r="C116" t="e">
        <f>MINUTE(Table146810[[#This Row],[Corrected time]])</f>
        <v>#NUM!</v>
      </c>
      <c r="D116" s="1"/>
      <c r="E116" s="1">
        <f>Table146810[[#This Row],[Time]]-TIME(0,0,8)</f>
        <v>-9.2592592592592588E-5</v>
      </c>
      <c r="H116" t="e">
        <f t="shared" si="9"/>
        <v>#VALUE!</v>
      </c>
      <c r="L116" t="e">
        <f>480+2*(Table257911[[#This Row],[min value (corrected)]]-49)</f>
        <v>#NUM!</v>
      </c>
      <c r="M116" t="e">
        <f>MINUTE(Table257911[[#This Row],[Corrected time]])</f>
        <v>#NUM!</v>
      </c>
      <c r="N116" s="1"/>
      <c r="O116" s="1">
        <f>Table257911[[#This Row],[Time]]-TIME(0,0,4)</f>
        <v>-4.6296296296296294E-5</v>
      </c>
      <c r="R116">
        <f>Table257911[[#This Row],[RSSI]]</f>
        <v>0</v>
      </c>
    </row>
    <row r="117" spans="2:18" x14ac:dyDescent="0.25">
      <c r="B117" t="e">
        <f>480+2*(Table146810[[#This Row],[min value (corrected)]]-49)</f>
        <v>#NUM!</v>
      </c>
      <c r="C117" t="e">
        <f>MINUTE(Table146810[[#This Row],[Corrected time]])</f>
        <v>#NUM!</v>
      </c>
      <c r="D117" s="1"/>
      <c r="E117" s="1">
        <f>Table146810[[#This Row],[Time]]-TIME(0,0,8)</f>
        <v>-9.2592592592592588E-5</v>
      </c>
      <c r="H117" t="e">
        <f t="shared" si="9"/>
        <v>#VALUE!</v>
      </c>
      <c r="L117" t="e">
        <f>480+2*(Table257911[[#This Row],[min value (corrected)]]-49)</f>
        <v>#NUM!</v>
      </c>
      <c r="M117" t="e">
        <f>MINUTE(Table257911[[#This Row],[Corrected time]])</f>
        <v>#NUM!</v>
      </c>
      <c r="N117" s="1"/>
      <c r="O117" s="1">
        <f>Table257911[[#This Row],[Time]]-TIME(0,0,4)</f>
        <v>-4.6296296296296294E-5</v>
      </c>
      <c r="R117">
        <f>Table257911[[#This Row],[RSSI]]</f>
        <v>0</v>
      </c>
    </row>
    <row r="118" spans="2:18" x14ac:dyDescent="0.25">
      <c r="B118" t="e">
        <f>480+2*(Table146810[[#This Row],[min value (corrected)]]-49)</f>
        <v>#NUM!</v>
      </c>
      <c r="C118" t="e">
        <f>MINUTE(Table146810[[#This Row],[Corrected time]])</f>
        <v>#NUM!</v>
      </c>
      <c r="D118" s="1"/>
      <c r="E118" s="1">
        <f>Table146810[[#This Row],[Time]]-TIME(0,0,8)</f>
        <v>-9.2592592592592588E-5</v>
      </c>
      <c r="H118" t="e">
        <f t="shared" si="9"/>
        <v>#VALUE!</v>
      </c>
      <c r="L118" t="e">
        <f>480+2*(Table257911[[#This Row],[min value (corrected)]]-49)</f>
        <v>#NUM!</v>
      </c>
      <c r="M118" t="e">
        <f>MINUTE(Table257911[[#This Row],[Corrected time]])</f>
        <v>#NUM!</v>
      </c>
      <c r="N118" s="1"/>
      <c r="O118" s="1">
        <f>Table257911[[#This Row],[Time]]-TIME(0,0,4)</f>
        <v>-4.6296296296296294E-5</v>
      </c>
      <c r="R118">
        <f>Table257911[[#This Row],[RSSI]]</f>
        <v>0</v>
      </c>
    </row>
    <row r="119" spans="2:18" x14ac:dyDescent="0.25">
      <c r="B119" t="e">
        <f>480+2*(Table146810[[#This Row],[min value (corrected)]]-49)</f>
        <v>#NUM!</v>
      </c>
      <c r="C119" t="e">
        <f>MINUTE(Table146810[[#This Row],[Corrected time]])</f>
        <v>#NUM!</v>
      </c>
      <c r="D119" s="1"/>
      <c r="E119" s="1">
        <f>Table146810[[#This Row],[Time]]-TIME(0,0,8)</f>
        <v>-9.2592592592592588E-5</v>
      </c>
      <c r="H119" t="e">
        <f t="shared" si="9"/>
        <v>#VALUE!</v>
      </c>
      <c r="L119" t="e">
        <f>480+2*(Table257911[[#This Row],[min value (corrected)]]-49)</f>
        <v>#NUM!</v>
      </c>
      <c r="M119" t="e">
        <f>MINUTE(Table257911[[#This Row],[Corrected time]])</f>
        <v>#NUM!</v>
      </c>
      <c r="N119" s="1"/>
      <c r="O119" s="1">
        <f>Table257911[[#This Row],[Time]]-TIME(0,0,4)</f>
        <v>-4.6296296296296294E-5</v>
      </c>
      <c r="R119">
        <f>Table257911[[#This Row],[RSSI]]</f>
        <v>0</v>
      </c>
    </row>
    <row r="120" spans="2:18" x14ac:dyDescent="0.25">
      <c r="B120" t="e">
        <f>480+2*(Table146810[[#This Row],[min value (corrected)]]-49)</f>
        <v>#NUM!</v>
      </c>
      <c r="C120" t="e">
        <f>MINUTE(Table146810[[#This Row],[Corrected time]])</f>
        <v>#NUM!</v>
      </c>
      <c r="D120" s="1"/>
      <c r="E120" s="1">
        <f>Table146810[[#This Row],[Time]]-TIME(0,0,8)</f>
        <v>-9.2592592592592588E-5</v>
      </c>
      <c r="H120" t="e">
        <f t="shared" si="9"/>
        <v>#VALUE!</v>
      </c>
      <c r="L120" t="e">
        <f>480+2*(Table257911[[#This Row],[min value (corrected)]]-49)</f>
        <v>#NUM!</v>
      </c>
      <c r="M120" t="e">
        <f>MINUTE(Table257911[[#This Row],[Corrected time]])</f>
        <v>#NUM!</v>
      </c>
      <c r="N120" s="1"/>
      <c r="O120" s="1">
        <f>Table257911[[#This Row],[Time]]-TIME(0,0,4)</f>
        <v>-4.6296296296296294E-5</v>
      </c>
      <c r="R120">
        <f>Table257911[[#This Row],[RSSI]]</f>
        <v>0</v>
      </c>
    </row>
    <row r="121" spans="2:18" x14ac:dyDescent="0.25">
      <c r="B121" t="e">
        <f>480+2*(Table146810[[#This Row],[min value (corrected)]]-49)</f>
        <v>#NUM!</v>
      </c>
      <c r="C121" t="e">
        <f>MINUTE(Table146810[[#This Row],[Corrected time]])</f>
        <v>#NUM!</v>
      </c>
      <c r="D121" s="1"/>
      <c r="E121" s="1">
        <f>Table146810[[#This Row],[Time]]-TIME(0,0,8)</f>
        <v>-9.2592592592592588E-5</v>
      </c>
      <c r="H121" t="e">
        <f t="shared" si="9"/>
        <v>#VALUE!</v>
      </c>
      <c r="L121" t="e">
        <f>480+2*(Table257911[[#This Row],[min value (corrected)]]-49)</f>
        <v>#NUM!</v>
      </c>
      <c r="M121" t="e">
        <f>MINUTE(Table257911[[#This Row],[Corrected time]])</f>
        <v>#NUM!</v>
      </c>
      <c r="N121" s="1"/>
      <c r="O121" s="1">
        <f>Table257911[[#This Row],[Time]]-TIME(0,0,4)</f>
        <v>-4.6296296296296294E-5</v>
      </c>
      <c r="R121">
        <f>Table257911[[#This Row],[RSSI]]</f>
        <v>0</v>
      </c>
    </row>
    <row r="122" spans="2:18" x14ac:dyDescent="0.25">
      <c r="B122" t="e">
        <f>480+2*(Table146810[[#This Row],[min value (corrected)]]-49)</f>
        <v>#NUM!</v>
      </c>
      <c r="C122" t="e">
        <f>MINUTE(Table146810[[#This Row],[Corrected time]])</f>
        <v>#NUM!</v>
      </c>
      <c r="D122" s="1"/>
      <c r="E122" s="1">
        <f>Table146810[[#This Row],[Time]]-TIME(0,0,8)</f>
        <v>-9.2592592592592588E-5</v>
      </c>
      <c r="H122" t="e">
        <f t="shared" si="9"/>
        <v>#VALUE!</v>
      </c>
      <c r="L122" t="e">
        <f>480+2*(Table257911[[#This Row],[min value (corrected)]]-49)</f>
        <v>#NUM!</v>
      </c>
      <c r="M122" t="e">
        <f>MINUTE(Table257911[[#This Row],[Corrected time]])</f>
        <v>#NUM!</v>
      </c>
      <c r="N122" s="1"/>
      <c r="O122" s="1">
        <f>Table257911[[#This Row],[Time]]-TIME(0,0,4)</f>
        <v>-4.6296296296296294E-5</v>
      </c>
      <c r="R122">
        <f>Table257911[[#This Row],[RSSI]]</f>
        <v>0</v>
      </c>
    </row>
    <row r="123" spans="2:18" x14ac:dyDescent="0.25">
      <c r="B123" t="e">
        <f>480+2*(Table146810[[#This Row],[min value (corrected)]]-49)</f>
        <v>#NUM!</v>
      </c>
      <c r="C123" t="e">
        <f>MINUTE(Table146810[[#This Row],[Corrected time]])</f>
        <v>#NUM!</v>
      </c>
      <c r="D123" s="1"/>
      <c r="E123" s="1">
        <f>Table146810[[#This Row],[Time]]-TIME(0,0,8)</f>
        <v>-9.2592592592592588E-5</v>
      </c>
      <c r="H123" t="e">
        <f t="shared" si="9"/>
        <v>#VALUE!</v>
      </c>
      <c r="L123" t="e">
        <f>480+2*(Table257911[[#This Row],[min value (corrected)]]-49)</f>
        <v>#NUM!</v>
      </c>
      <c r="M123" t="e">
        <f>MINUTE(Table257911[[#This Row],[Corrected time]])</f>
        <v>#NUM!</v>
      </c>
      <c r="N123" s="1"/>
      <c r="O123" s="1">
        <f>Table257911[[#This Row],[Time]]-TIME(0,0,4)</f>
        <v>-4.6296296296296294E-5</v>
      </c>
      <c r="R123">
        <f>Table257911[[#This Row],[RSSI]]</f>
        <v>0</v>
      </c>
    </row>
    <row r="124" spans="2:18" x14ac:dyDescent="0.25">
      <c r="B124" t="e">
        <f>480+2*(Table146810[[#This Row],[min value (corrected)]]-49)</f>
        <v>#NUM!</v>
      </c>
      <c r="C124" t="e">
        <f>MINUTE(Table146810[[#This Row],[Corrected time]])</f>
        <v>#NUM!</v>
      </c>
      <c r="D124" s="1"/>
      <c r="E124" s="1">
        <f>Table146810[[#This Row],[Time]]-TIME(0,0,8)</f>
        <v>-9.2592592592592588E-5</v>
      </c>
      <c r="H124" t="e">
        <f t="shared" si="9"/>
        <v>#VALUE!</v>
      </c>
      <c r="L124" t="e">
        <f>480+2*(Table257911[[#This Row],[min value (corrected)]]-49)</f>
        <v>#NUM!</v>
      </c>
      <c r="M124" t="e">
        <f>MINUTE(Table257911[[#This Row],[Corrected time]])</f>
        <v>#NUM!</v>
      </c>
      <c r="N124" s="1"/>
      <c r="O124" s="1">
        <f>Table257911[[#This Row],[Time]]-TIME(0,0,4)</f>
        <v>-4.6296296296296294E-5</v>
      </c>
      <c r="R124">
        <f>Table257911[[#This Row],[RSSI]]</f>
        <v>0</v>
      </c>
    </row>
    <row r="125" spans="2:18" x14ac:dyDescent="0.25">
      <c r="B125" t="e">
        <f>480+2*(Table146810[[#This Row],[min value (corrected)]]-49)</f>
        <v>#NUM!</v>
      </c>
      <c r="C125" t="e">
        <f>MINUTE(Table146810[[#This Row],[Corrected time]])</f>
        <v>#NUM!</v>
      </c>
      <c r="D125" s="1"/>
      <c r="E125" s="1">
        <f>Table146810[[#This Row],[Time]]-TIME(0,0,8)</f>
        <v>-9.2592592592592588E-5</v>
      </c>
      <c r="H125" t="e">
        <f t="shared" si="9"/>
        <v>#VALUE!</v>
      </c>
      <c r="L125" t="e">
        <f>480+2*(Table257911[[#This Row],[min value (corrected)]]-49)</f>
        <v>#NUM!</v>
      </c>
      <c r="M125" t="e">
        <f>MINUTE(Table257911[[#This Row],[Corrected time]])</f>
        <v>#NUM!</v>
      </c>
      <c r="N125" s="1"/>
      <c r="O125" s="1">
        <f>Table257911[[#This Row],[Time]]-TIME(0,0,4)</f>
        <v>-4.6296296296296294E-5</v>
      </c>
      <c r="R125">
        <f>Table257911[[#This Row],[RSSI]]</f>
        <v>0</v>
      </c>
    </row>
    <row r="126" spans="2:18" x14ac:dyDescent="0.25">
      <c r="B126" t="e">
        <f>480+2*(Table146810[[#This Row],[min value (corrected)]]-49)</f>
        <v>#NUM!</v>
      </c>
      <c r="C126" t="e">
        <f>MINUTE(Table146810[[#This Row],[Corrected time]])</f>
        <v>#NUM!</v>
      </c>
      <c r="D126" s="1"/>
      <c r="E126" s="1">
        <f>Table146810[[#This Row],[Time]]-TIME(0,0,8)</f>
        <v>-9.2592592592592588E-5</v>
      </c>
      <c r="H126" t="e">
        <f t="shared" si="9"/>
        <v>#VALUE!</v>
      </c>
      <c r="L126" t="e">
        <f>480+2*(Table257911[[#This Row],[min value (corrected)]]-49)</f>
        <v>#NUM!</v>
      </c>
      <c r="M126" t="e">
        <f>MINUTE(Table257911[[#This Row],[Corrected time]])</f>
        <v>#NUM!</v>
      </c>
      <c r="N126" s="1"/>
      <c r="O126" s="1">
        <f>Table257911[[#This Row],[Time]]-TIME(0,0,4)</f>
        <v>-4.6296296296296294E-5</v>
      </c>
      <c r="R126">
        <f>Table257911[[#This Row],[RSSI]]</f>
        <v>0</v>
      </c>
    </row>
    <row r="127" spans="2:18" x14ac:dyDescent="0.25">
      <c r="B127" t="e">
        <f>480+2*(Table146810[[#This Row],[min value (corrected)]]-49)</f>
        <v>#NUM!</v>
      </c>
      <c r="C127" t="e">
        <f>MINUTE(Table146810[[#This Row],[Corrected time]])</f>
        <v>#NUM!</v>
      </c>
      <c r="D127" s="1"/>
      <c r="E127" s="1">
        <f>Table146810[[#This Row],[Time]]-TIME(0,0,8)</f>
        <v>-9.2592592592592588E-5</v>
      </c>
      <c r="H127" t="e">
        <f t="shared" si="9"/>
        <v>#VALUE!</v>
      </c>
      <c r="L127" t="e">
        <f>480+2*(Table257911[[#This Row],[min value (corrected)]]-49)</f>
        <v>#NUM!</v>
      </c>
      <c r="M127" t="e">
        <f>MINUTE(Table257911[[#This Row],[Corrected time]])</f>
        <v>#NUM!</v>
      </c>
      <c r="N127" s="1"/>
      <c r="O127" s="1">
        <f>Table257911[[#This Row],[Time]]-TIME(0,0,4)</f>
        <v>-4.6296296296296294E-5</v>
      </c>
      <c r="R127">
        <f>Table257911[[#This Row],[RSSI]]</f>
        <v>0</v>
      </c>
    </row>
    <row r="128" spans="2:18" x14ac:dyDescent="0.25">
      <c r="B128" t="e">
        <f>480+2*(Table146810[[#This Row],[min value (corrected)]]-49)</f>
        <v>#NUM!</v>
      </c>
      <c r="C128" t="e">
        <f>MINUTE(Table146810[[#This Row],[Corrected time]])</f>
        <v>#NUM!</v>
      </c>
      <c r="D128" s="1"/>
      <c r="E128" s="1">
        <f>Table146810[[#This Row],[Time]]-TIME(0,0,8)</f>
        <v>-9.2592592592592588E-5</v>
      </c>
      <c r="H128" t="e">
        <f t="shared" si="9"/>
        <v>#VALUE!</v>
      </c>
      <c r="L128" t="e">
        <f>480+2*(Table257911[[#This Row],[min value (corrected)]]-49)</f>
        <v>#NUM!</v>
      </c>
      <c r="M128" t="e">
        <f>MINUTE(Table257911[[#This Row],[Corrected time]])</f>
        <v>#NUM!</v>
      </c>
      <c r="N128" s="1"/>
      <c r="O128" s="1">
        <f>Table257911[[#This Row],[Time]]-TIME(0,0,4)</f>
        <v>-4.6296296296296294E-5</v>
      </c>
      <c r="R128">
        <f>Table257911[[#This Row],[RSSI]]</f>
        <v>0</v>
      </c>
    </row>
    <row r="129" spans="2:18" x14ac:dyDescent="0.25">
      <c r="B129" t="e">
        <f>480+2*(Table146810[[#This Row],[min value (corrected)]]-49)</f>
        <v>#NUM!</v>
      </c>
      <c r="C129" t="e">
        <f>MINUTE(Table146810[[#This Row],[Corrected time]])</f>
        <v>#NUM!</v>
      </c>
      <c r="D129" s="1"/>
      <c r="E129" s="1">
        <f>Table146810[[#This Row],[Time]]-TIME(0,0,8)</f>
        <v>-9.2592592592592588E-5</v>
      </c>
      <c r="H129" t="e">
        <f t="shared" si="9"/>
        <v>#VALUE!</v>
      </c>
      <c r="L129" t="e">
        <f>480+2*(Table257911[[#This Row],[min value (corrected)]]-49)</f>
        <v>#NUM!</v>
      </c>
      <c r="M129" t="e">
        <f>MINUTE(Table257911[[#This Row],[Corrected time]])</f>
        <v>#NUM!</v>
      </c>
      <c r="N129" s="1"/>
      <c r="O129" s="1">
        <f>Table257911[[#This Row],[Time]]-TIME(0,0,4)</f>
        <v>-4.6296296296296294E-5</v>
      </c>
      <c r="R129">
        <f>Table257911[[#This Row],[RSSI]]</f>
        <v>0</v>
      </c>
    </row>
    <row r="130" spans="2:18" x14ac:dyDescent="0.25">
      <c r="B130" t="e">
        <f>480+2*(Table146810[[#This Row],[min value (corrected)]]-49)</f>
        <v>#NUM!</v>
      </c>
      <c r="C130" t="e">
        <f>MINUTE(Table146810[[#This Row],[Corrected time]])</f>
        <v>#NUM!</v>
      </c>
      <c r="D130" s="1"/>
      <c r="E130" s="1">
        <f>Table146810[[#This Row],[Time]]-TIME(0,0,8)</f>
        <v>-9.2592592592592588E-5</v>
      </c>
      <c r="H130" t="e">
        <f t="shared" si="9"/>
        <v>#VALUE!</v>
      </c>
      <c r="L130" t="e">
        <f>480+2*(Table257911[[#This Row],[min value (corrected)]]-49)</f>
        <v>#NUM!</v>
      </c>
      <c r="M130" t="e">
        <f>MINUTE(Table257911[[#This Row],[Corrected time]])</f>
        <v>#NUM!</v>
      </c>
      <c r="N130" s="1"/>
      <c r="O130" s="1">
        <f>Table257911[[#This Row],[Time]]-TIME(0,0,4)</f>
        <v>-4.6296296296296294E-5</v>
      </c>
      <c r="R130">
        <f>Table257911[[#This Row],[RSSI]]</f>
        <v>0</v>
      </c>
    </row>
    <row r="131" spans="2:18" x14ac:dyDescent="0.25">
      <c r="B131" t="e">
        <f>480+2*(Table146810[[#This Row],[min value (corrected)]]-49)</f>
        <v>#NUM!</v>
      </c>
      <c r="C131" t="e">
        <f>MINUTE(Table146810[[#This Row],[Corrected time]])</f>
        <v>#NUM!</v>
      </c>
      <c r="D131" s="1"/>
      <c r="E131" s="1">
        <f>Table146810[[#This Row],[Time]]-TIME(0,0,8)</f>
        <v>-9.2592592592592588E-5</v>
      </c>
      <c r="H131" t="e">
        <f t="shared" si="9"/>
        <v>#VALUE!</v>
      </c>
      <c r="L131" t="e">
        <f>480+2*(Table257911[[#This Row],[min value (corrected)]]-49)</f>
        <v>#NUM!</v>
      </c>
      <c r="M131" t="e">
        <f>MINUTE(Table257911[[#This Row],[Corrected time]])</f>
        <v>#NUM!</v>
      </c>
      <c r="N131" s="1"/>
      <c r="O131" s="1">
        <f>Table257911[[#This Row],[Time]]-TIME(0,0,4)</f>
        <v>-4.6296296296296294E-5</v>
      </c>
      <c r="R131">
        <f>Table257911[[#This Row],[RSSI]]</f>
        <v>0</v>
      </c>
    </row>
    <row r="132" spans="2:18" x14ac:dyDescent="0.25">
      <c r="B132" t="e">
        <f>480+2*(Table146810[[#This Row],[min value (corrected)]]-49)</f>
        <v>#NUM!</v>
      </c>
      <c r="C132" t="e">
        <f>MINUTE(Table146810[[#This Row],[Corrected time]])</f>
        <v>#NUM!</v>
      </c>
      <c r="D132" s="1"/>
      <c r="E132" s="1">
        <f>Table146810[[#This Row],[Time]]-TIME(0,0,8)</f>
        <v>-9.2592592592592588E-5</v>
      </c>
      <c r="H132" t="e">
        <f t="shared" si="9"/>
        <v>#VALUE!</v>
      </c>
      <c r="L132" t="e">
        <f>480+2*(Table257911[[#This Row],[min value (corrected)]]-49)</f>
        <v>#NUM!</v>
      </c>
      <c r="M132" t="e">
        <f>MINUTE(Table257911[[#This Row],[Corrected time]])</f>
        <v>#NUM!</v>
      </c>
      <c r="N132" s="1"/>
      <c r="O132" s="1">
        <f>Table257911[[#This Row],[Time]]-TIME(0,0,4)</f>
        <v>-4.6296296296296294E-5</v>
      </c>
      <c r="R132">
        <f>Table257911[[#This Row],[RSSI]]</f>
        <v>0</v>
      </c>
    </row>
    <row r="133" spans="2:18" x14ac:dyDescent="0.25">
      <c r="B133" t="e">
        <f>480+2*(Table146810[[#This Row],[min value (corrected)]]-49)</f>
        <v>#NUM!</v>
      </c>
      <c r="C133" t="e">
        <f>MINUTE(Table146810[[#This Row],[Corrected time]])</f>
        <v>#NUM!</v>
      </c>
      <c r="D133" s="1"/>
      <c r="E133" s="1">
        <f>Table146810[[#This Row],[Time]]-TIME(0,0,8)</f>
        <v>-9.2592592592592588E-5</v>
      </c>
      <c r="H133" t="e">
        <f t="shared" si="9"/>
        <v>#VALUE!</v>
      </c>
      <c r="L133" t="e">
        <f>480+2*(Table257911[[#This Row],[min value (corrected)]]-49)</f>
        <v>#NUM!</v>
      </c>
      <c r="M133" t="e">
        <f>MINUTE(Table257911[[#This Row],[Corrected time]])</f>
        <v>#NUM!</v>
      </c>
      <c r="N133" s="1"/>
      <c r="O133" s="1">
        <f>Table257911[[#This Row],[Time]]-TIME(0,0,4)</f>
        <v>-4.6296296296296294E-5</v>
      </c>
      <c r="R133">
        <f>Table257911[[#This Row],[RSSI]]</f>
        <v>0</v>
      </c>
    </row>
    <row r="134" spans="2:18" x14ac:dyDescent="0.25">
      <c r="B134" t="e">
        <f>480+2*(Table146810[[#This Row],[min value (corrected)]]-49)</f>
        <v>#NUM!</v>
      </c>
      <c r="C134" t="e">
        <f>MINUTE(Table146810[[#This Row],[Corrected time]])</f>
        <v>#NUM!</v>
      </c>
      <c r="D134" s="1"/>
      <c r="E134" s="1">
        <f>Table146810[[#This Row],[Time]]-TIME(0,0,8)</f>
        <v>-9.2592592592592588E-5</v>
      </c>
      <c r="H134" t="e">
        <f t="shared" si="9"/>
        <v>#VALUE!</v>
      </c>
      <c r="L134" t="e">
        <f>480+2*(Table257911[[#This Row],[min value (corrected)]]-49)</f>
        <v>#NUM!</v>
      </c>
      <c r="M134" t="e">
        <f>MINUTE(Table257911[[#This Row],[Corrected time]])</f>
        <v>#NUM!</v>
      </c>
      <c r="N134" s="1"/>
      <c r="O134" s="1">
        <f>Table257911[[#This Row],[Time]]-TIME(0,0,4)</f>
        <v>-4.6296296296296294E-5</v>
      </c>
      <c r="R134">
        <f>Table257911[[#This Row],[RSSI]]</f>
        <v>0</v>
      </c>
    </row>
    <row r="135" spans="2:18" x14ac:dyDescent="0.25">
      <c r="B135" t="e">
        <f>480+2*(Table146810[[#This Row],[min value (corrected)]]-49)</f>
        <v>#NUM!</v>
      </c>
      <c r="C135" t="e">
        <f>MINUTE(Table146810[[#This Row],[Corrected time]])</f>
        <v>#NUM!</v>
      </c>
      <c r="D135" s="1"/>
      <c r="E135" s="1">
        <f>Table146810[[#This Row],[Time]]-TIME(0,0,8)</f>
        <v>-9.2592592592592588E-5</v>
      </c>
      <c r="H135" t="e">
        <f t="shared" si="9"/>
        <v>#VALUE!</v>
      </c>
      <c r="L135" t="e">
        <f>480+2*(Table257911[[#This Row],[min value (corrected)]]-49)</f>
        <v>#NUM!</v>
      </c>
      <c r="M135" t="e">
        <f>MINUTE(Table257911[[#This Row],[Corrected time]])</f>
        <v>#NUM!</v>
      </c>
      <c r="N135" s="1"/>
      <c r="O135" s="1">
        <f>Table257911[[#This Row],[Time]]-TIME(0,0,4)</f>
        <v>-4.6296296296296294E-5</v>
      </c>
      <c r="R135">
        <f>Table257911[[#This Row],[RSSI]]</f>
        <v>0</v>
      </c>
    </row>
    <row r="136" spans="2:18" x14ac:dyDescent="0.25">
      <c r="B136" t="e">
        <f>480+2*(Table146810[[#This Row],[min value (corrected)]]-49)</f>
        <v>#NUM!</v>
      </c>
      <c r="C136" t="e">
        <f>MINUTE(Table146810[[#This Row],[Corrected time]])</f>
        <v>#NUM!</v>
      </c>
      <c r="D136" s="1"/>
      <c r="E136" s="1">
        <f>Table146810[[#This Row],[Time]]-TIME(0,0,8)</f>
        <v>-9.2592592592592588E-5</v>
      </c>
      <c r="H136" t="e">
        <f t="shared" si="9"/>
        <v>#VALUE!</v>
      </c>
      <c r="L136" t="e">
        <f>480+2*(Table257911[[#This Row],[min value (corrected)]]-49)</f>
        <v>#NUM!</v>
      </c>
      <c r="M136" t="e">
        <f>MINUTE(Table257911[[#This Row],[Corrected time]])</f>
        <v>#NUM!</v>
      </c>
      <c r="N136" s="1"/>
      <c r="O136" s="1">
        <f>Table257911[[#This Row],[Time]]-TIME(0,0,4)</f>
        <v>-4.6296296296296294E-5</v>
      </c>
      <c r="R136">
        <f>Table257911[[#This Row],[RSSI]]</f>
        <v>0</v>
      </c>
    </row>
    <row r="137" spans="2:18" x14ac:dyDescent="0.25">
      <c r="B137" t="e">
        <f>480+2*(Table146810[[#This Row],[min value (corrected)]]-49)</f>
        <v>#NUM!</v>
      </c>
      <c r="C137" t="e">
        <f>MINUTE(Table146810[[#This Row],[Corrected time]])</f>
        <v>#NUM!</v>
      </c>
      <c r="D137" s="1"/>
      <c r="E137" s="1">
        <f>Table146810[[#This Row],[Time]]-TIME(0,0,8)</f>
        <v>-9.2592592592592588E-5</v>
      </c>
      <c r="H137" t="e">
        <f t="shared" si="9"/>
        <v>#VALUE!</v>
      </c>
      <c r="L137" t="e">
        <f>480+2*(Table257911[[#This Row],[min value (corrected)]]-49)</f>
        <v>#NUM!</v>
      </c>
      <c r="M137" t="e">
        <f>MINUTE(Table257911[[#This Row],[Corrected time]])</f>
        <v>#NUM!</v>
      </c>
      <c r="N137" s="1"/>
      <c r="O137" s="1">
        <f>Table257911[[#This Row],[Time]]-TIME(0,0,4)</f>
        <v>-4.6296296296296294E-5</v>
      </c>
      <c r="R137">
        <f>Table257911[[#This Row],[RSSI]]</f>
        <v>0</v>
      </c>
    </row>
    <row r="138" spans="2:18" x14ac:dyDescent="0.25">
      <c r="B138" t="e">
        <f>480+2*(Table146810[[#This Row],[min value (corrected)]]-49)</f>
        <v>#NUM!</v>
      </c>
      <c r="C138" t="e">
        <f>MINUTE(Table146810[[#This Row],[Corrected time]])</f>
        <v>#NUM!</v>
      </c>
      <c r="D138" s="1"/>
      <c r="E138" s="1">
        <f>Table146810[[#This Row],[Time]]-TIME(0,0,8)</f>
        <v>-9.2592592592592588E-5</v>
      </c>
      <c r="H138" t="e">
        <f t="shared" si="9"/>
        <v>#VALUE!</v>
      </c>
      <c r="L138" t="e">
        <f>480+2*(Table257911[[#This Row],[min value (corrected)]]-49)</f>
        <v>#NUM!</v>
      </c>
      <c r="M138" t="e">
        <f>MINUTE(Table257911[[#This Row],[Corrected time]])</f>
        <v>#NUM!</v>
      </c>
      <c r="N138" s="1"/>
      <c r="O138" s="1">
        <f>Table257911[[#This Row],[Time]]-TIME(0,0,4)</f>
        <v>-4.6296296296296294E-5</v>
      </c>
      <c r="R138">
        <f>Table257911[[#This Row],[RSSI]]</f>
        <v>0</v>
      </c>
    </row>
    <row r="139" spans="2:18" x14ac:dyDescent="0.25">
      <c r="B139" t="e">
        <f>480+2*(Table146810[[#This Row],[min value (corrected)]]-49)</f>
        <v>#NUM!</v>
      </c>
      <c r="C139" t="e">
        <f>MINUTE(Table146810[[#This Row],[Corrected time]])</f>
        <v>#NUM!</v>
      </c>
      <c r="D139" s="1"/>
      <c r="E139" s="1">
        <f>Table146810[[#This Row],[Time]]-TIME(0,0,8)</f>
        <v>-9.2592592592592588E-5</v>
      </c>
      <c r="H139" t="e">
        <f t="shared" si="9"/>
        <v>#VALUE!</v>
      </c>
      <c r="L139" t="e">
        <f>480+2*(Table257911[[#This Row],[min value (corrected)]]-49)</f>
        <v>#NUM!</v>
      </c>
      <c r="M139" t="e">
        <f>MINUTE(Table257911[[#This Row],[Corrected time]])</f>
        <v>#NUM!</v>
      </c>
      <c r="N139" s="1"/>
      <c r="O139" s="1">
        <f>Table257911[[#This Row],[Time]]-TIME(0,0,4)</f>
        <v>-4.6296296296296294E-5</v>
      </c>
      <c r="R139">
        <f>Table257911[[#This Row],[RSSI]]</f>
        <v>0</v>
      </c>
    </row>
    <row r="140" spans="2:18" x14ac:dyDescent="0.25">
      <c r="B140" t="e">
        <f>480+2*(Table146810[[#This Row],[min value (corrected)]]-49)</f>
        <v>#NUM!</v>
      </c>
      <c r="C140" t="e">
        <f>MINUTE(Table146810[[#This Row],[Corrected time]])</f>
        <v>#NUM!</v>
      </c>
      <c r="D140" s="1"/>
      <c r="E140" s="1">
        <f>Table146810[[#This Row],[Time]]-TIME(0,0,8)</f>
        <v>-9.2592592592592588E-5</v>
      </c>
      <c r="H140" t="e">
        <f t="shared" si="9"/>
        <v>#VALUE!</v>
      </c>
      <c r="L140" t="e">
        <f>480+2*(Table257911[[#This Row],[min value (corrected)]]-49)</f>
        <v>#NUM!</v>
      </c>
      <c r="M140" t="e">
        <f>MINUTE(Table257911[[#This Row],[Corrected time]])</f>
        <v>#NUM!</v>
      </c>
      <c r="N140" s="1"/>
      <c r="O140" s="1">
        <f>Table257911[[#This Row],[Time]]-TIME(0,0,4)</f>
        <v>-4.6296296296296294E-5</v>
      </c>
      <c r="R140">
        <f>Table257911[[#This Row],[RSSI]]</f>
        <v>0</v>
      </c>
    </row>
    <row r="141" spans="2:18" x14ac:dyDescent="0.25">
      <c r="B141" t="e">
        <f>480+2*(Table146810[[#This Row],[min value (corrected)]]-49)</f>
        <v>#NUM!</v>
      </c>
      <c r="C141" t="e">
        <f>MINUTE(Table146810[[#This Row],[Corrected time]])</f>
        <v>#NUM!</v>
      </c>
      <c r="D141" s="1"/>
      <c r="E141" s="1">
        <f>Table146810[[#This Row],[Time]]-TIME(0,0,8)</f>
        <v>-9.2592592592592588E-5</v>
      </c>
      <c r="H141" t="e">
        <f t="shared" si="9"/>
        <v>#VALUE!</v>
      </c>
      <c r="L141" t="e">
        <f>480+2*(Table257911[[#This Row],[min value (corrected)]]-49)</f>
        <v>#NUM!</v>
      </c>
      <c r="M141" t="e">
        <f>MINUTE(Table257911[[#This Row],[Corrected time]])</f>
        <v>#NUM!</v>
      </c>
      <c r="N141" s="1"/>
      <c r="O141" s="1">
        <f>Table257911[[#This Row],[Time]]-TIME(0,0,4)</f>
        <v>-4.6296296296296294E-5</v>
      </c>
      <c r="R141">
        <f>Table257911[[#This Row],[RSSI]]</f>
        <v>0</v>
      </c>
    </row>
    <row r="142" spans="2:18" x14ac:dyDescent="0.25">
      <c r="B142" t="e">
        <f>480+2*(Table146810[[#This Row],[min value (corrected)]]-49)</f>
        <v>#NUM!</v>
      </c>
      <c r="C142" t="e">
        <f>MINUTE(Table146810[[#This Row],[Corrected time]])</f>
        <v>#NUM!</v>
      </c>
      <c r="D142" s="1"/>
      <c r="E142" s="1">
        <f>Table146810[[#This Row],[Time]]-TIME(0,0,8)</f>
        <v>-9.2592592592592588E-5</v>
      </c>
      <c r="H142" t="e">
        <f t="shared" si="9"/>
        <v>#VALUE!</v>
      </c>
      <c r="L142" t="e">
        <f>480+2*(Table257911[[#This Row],[min value (corrected)]]-49)</f>
        <v>#NUM!</v>
      </c>
      <c r="M142" t="e">
        <f>MINUTE(Table257911[[#This Row],[Corrected time]])</f>
        <v>#NUM!</v>
      </c>
      <c r="N142" s="1"/>
      <c r="O142" s="1">
        <f>Table257911[[#This Row],[Time]]-TIME(0,0,4)</f>
        <v>-4.6296296296296294E-5</v>
      </c>
      <c r="R142">
        <f>Table257911[[#This Row],[RSSI]]</f>
        <v>0</v>
      </c>
    </row>
    <row r="143" spans="2:18" x14ac:dyDescent="0.25">
      <c r="B143" t="e">
        <f>480+2*(Table146810[[#This Row],[min value (corrected)]]-49)</f>
        <v>#NUM!</v>
      </c>
      <c r="C143" t="e">
        <f>MINUTE(Table146810[[#This Row],[Corrected time]])</f>
        <v>#NUM!</v>
      </c>
      <c r="D143" s="1"/>
      <c r="E143" s="1">
        <f>Table146810[[#This Row],[Time]]-TIME(0,0,8)</f>
        <v>-9.2592592592592588E-5</v>
      </c>
      <c r="H143" t="e">
        <f t="shared" si="9"/>
        <v>#VALUE!</v>
      </c>
      <c r="L143" t="e">
        <f>480+2*(Table257911[[#This Row],[min value (corrected)]]-49)</f>
        <v>#NUM!</v>
      </c>
      <c r="M143" t="e">
        <f>MINUTE(Table257911[[#This Row],[Corrected time]])</f>
        <v>#NUM!</v>
      </c>
      <c r="N143" s="1"/>
      <c r="O143" s="1">
        <f>Table257911[[#This Row],[Time]]-TIME(0,0,4)</f>
        <v>-4.6296296296296294E-5</v>
      </c>
      <c r="R143">
        <f>Table257911[[#This Row],[RSSI]]</f>
        <v>0</v>
      </c>
    </row>
    <row r="144" spans="2:18" x14ac:dyDescent="0.25">
      <c r="B144" t="e">
        <f>480+2*(Table146810[[#This Row],[min value (corrected)]]-49)</f>
        <v>#NUM!</v>
      </c>
      <c r="C144" t="e">
        <f>MINUTE(Table146810[[#This Row],[Corrected time]])</f>
        <v>#NUM!</v>
      </c>
      <c r="D144" s="1"/>
      <c r="E144" s="1">
        <f>Table146810[[#This Row],[Time]]-TIME(0,0,8)</f>
        <v>-9.2592592592592588E-5</v>
      </c>
      <c r="H144" t="e">
        <f t="shared" si="9"/>
        <v>#VALUE!</v>
      </c>
      <c r="L144" t="e">
        <f>480+2*(Table257911[[#This Row],[min value (corrected)]]-49)</f>
        <v>#NUM!</v>
      </c>
      <c r="M144" t="e">
        <f>MINUTE(Table257911[[#This Row],[Corrected time]])</f>
        <v>#NUM!</v>
      </c>
      <c r="N144" s="1"/>
      <c r="O144" s="1">
        <f>Table257911[[#This Row],[Time]]-TIME(0,0,4)</f>
        <v>-4.6296296296296294E-5</v>
      </c>
      <c r="R144">
        <f>Table257911[[#This Row],[RSSI]]</f>
        <v>0</v>
      </c>
    </row>
    <row r="145" spans="2:18" x14ac:dyDescent="0.25">
      <c r="B145" t="e">
        <f>480+2*(Table146810[[#This Row],[min value (corrected)]]-49)</f>
        <v>#NUM!</v>
      </c>
      <c r="C145" t="e">
        <f>MINUTE(Table146810[[#This Row],[Corrected time]])</f>
        <v>#NUM!</v>
      </c>
      <c r="D145" s="1"/>
      <c r="E145" s="1">
        <f>Table146810[[#This Row],[Time]]-TIME(0,0,8)</f>
        <v>-9.2592592592592588E-5</v>
      </c>
      <c r="H145" t="e">
        <f t="shared" si="9"/>
        <v>#VALUE!</v>
      </c>
      <c r="L145" t="e">
        <f>480+2*(Table257911[[#This Row],[min value (corrected)]]-49)</f>
        <v>#NUM!</v>
      </c>
      <c r="M145" t="e">
        <f>MINUTE(Table257911[[#This Row],[Corrected time]])</f>
        <v>#NUM!</v>
      </c>
      <c r="N145" s="1"/>
      <c r="O145" s="1">
        <f>Table257911[[#This Row],[Time]]-TIME(0,0,4)</f>
        <v>-4.6296296296296294E-5</v>
      </c>
      <c r="R145">
        <f>Table257911[[#This Row],[RSSI]]</f>
        <v>0</v>
      </c>
    </row>
    <row r="146" spans="2:18" x14ac:dyDescent="0.25">
      <c r="B146" t="e">
        <f>480+2*(Table146810[[#This Row],[min value (corrected)]]-49)</f>
        <v>#NUM!</v>
      </c>
      <c r="C146" t="e">
        <f>MINUTE(Table146810[[#This Row],[Corrected time]])</f>
        <v>#NUM!</v>
      </c>
      <c r="D146" s="1"/>
      <c r="E146" s="1">
        <f>Table146810[[#This Row],[Time]]-TIME(0,0,8)</f>
        <v>-9.2592592592592588E-5</v>
      </c>
      <c r="H146" t="e">
        <f t="shared" si="9"/>
        <v>#VALUE!</v>
      </c>
      <c r="L146" t="e">
        <f>480+2*(Table257911[[#This Row],[min value (corrected)]]-49)</f>
        <v>#NUM!</v>
      </c>
      <c r="M146" t="e">
        <f>MINUTE(Table257911[[#This Row],[Corrected time]])</f>
        <v>#NUM!</v>
      </c>
      <c r="N146" s="1"/>
      <c r="O146" s="1">
        <f>Table257911[[#This Row],[Time]]-TIME(0,0,4)</f>
        <v>-4.6296296296296294E-5</v>
      </c>
      <c r="R146">
        <f>Table257911[[#This Row],[RSSI]]</f>
        <v>0</v>
      </c>
    </row>
    <row r="147" spans="2:18" x14ac:dyDescent="0.25">
      <c r="B147" t="e">
        <f>480+2*(Table146810[[#This Row],[min value (corrected)]]-49)</f>
        <v>#NUM!</v>
      </c>
      <c r="C147" t="e">
        <f>MINUTE(Table146810[[#This Row],[Corrected time]])</f>
        <v>#NUM!</v>
      </c>
      <c r="D147" s="1"/>
      <c r="E147" s="1">
        <f>Table146810[[#This Row],[Time]]-TIME(0,0,8)</f>
        <v>-9.2592592592592588E-5</v>
      </c>
      <c r="H147" t="e">
        <f t="shared" si="9"/>
        <v>#VALUE!</v>
      </c>
      <c r="L147" t="e">
        <f>480+2*(Table257911[[#This Row],[min value (corrected)]]-49)</f>
        <v>#NUM!</v>
      </c>
      <c r="M147" t="e">
        <f>MINUTE(Table257911[[#This Row],[Corrected time]])</f>
        <v>#NUM!</v>
      </c>
      <c r="N147" s="1"/>
      <c r="O147" s="1">
        <f>Table257911[[#This Row],[Time]]-TIME(0,0,4)</f>
        <v>-4.6296296296296294E-5</v>
      </c>
      <c r="R147">
        <f>Table257911[[#This Row],[RSSI]]</f>
        <v>0</v>
      </c>
    </row>
    <row r="148" spans="2:18" x14ac:dyDescent="0.25">
      <c r="B148" t="e">
        <f>480+2*(Table146810[[#This Row],[min value (corrected)]]-49)</f>
        <v>#NUM!</v>
      </c>
      <c r="C148" t="e">
        <f>MINUTE(Table146810[[#This Row],[Corrected time]])</f>
        <v>#NUM!</v>
      </c>
      <c r="D148" s="1"/>
      <c r="E148" s="1">
        <f>Table146810[[#This Row],[Time]]-TIME(0,0,8)</f>
        <v>-9.2592592592592588E-5</v>
      </c>
      <c r="H148" t="e">
        <f t="shared" si="9"/>
        <v>#VALUE!</v>
      </c>
      <c r="L148" t="e">
        <f>480+2*(Table257911[[#This Row],[min value (corrected)]]-49)</f>
        <v>#NUM!</v>
      </c>
      <c r="M148" t="e">
        <f>MINUTE(Table257911[[#This Row],[Corrected time]])</f>
        <v>#NUM!</v>
      </c>
      <c r="N148" s="1"/>
      <c r="O148" s="1">
        <f>Table257911[[#This Row],[Time]]-TIME(0,0,4)</f>
        <v>-4.6296296296296294E-5</v>
      </c>
      <c r="R148">
        <f>Table257911[[#This Row],[RSSI]]</f>
        <v>0</v>
      </c>
    </row>
    <row r="149" spans="2:18" x14ac:dyDescent="0.25">
      <c r="B149" t="e">
        <f>480+2*(Table146810[[#This Row],[min value (corrected)]]-49)</f>
        <v>#NUM!</v>
      </c>
      <c r="C149" t="e">
        <f>MINUTE(Table146810[[#This Row],[Corrected time]])</f>
        <v>#NUM!</v>
      </c>
      <c r="D149" s="1"/>
      <c r="E149" s="1">
        <f>Table146810[[#This Row],[Time]]-TIME(0,0,8)</f>
        <v>-9.2592592592592588E-5</v>
      </c>
      <c r="H149" t="e">
        <f t="shared" si="9"/>
        <v>#VALUE!</v>
      </c>
      <c r="L149" t="e">
        <f>480+2*(Table257911[[#This Row],[min value (corrected)]]-49)</f>
        <v>#NUM!</v>
      </c>
      <c r="M149" t="e">
        <f>MINUTE(Table257911[[#This Row],[Corrected time]])</f>
        <v>#NUM!</v>
      </c>
      <c r="N149" s="1"/>
      <c r="O149" s="1">
        <f>Table257911[[#This Row],[Time]]-TIME(0,0,4)</f>
        <v>-4.6296296296296294E-5</v>
      </c>
      <c r="R149">
        <f>Table257911[[#This Row],[RSSI]]</f>
        <v>0</v>
      </c>
    </row>
    <row r="150" spans="2:18" x14ac:dyDescent="0.25">
      <c r="B150" t="e">
        <f>480+2*(Table146810[[#This Row],[min value (corrected)]]-49)</f>
        <v>#NUM!</v>
      </c>
      <c r="C150" t="e">
        <f>MINUTE(Table146810[[#This Row],[Corrected time]])</f>
        <v>#NUM!</v>
      </c>
      <c r="D150" s="1"/>
      <c r="E150" s="1">
        <f>Table146810[[#This Row],[Time]]-TIME(0,0,8)</f>
        <v>-9.2592592592592588E-5</v>
      </c>
      <c r="H150" t="e">
        <f t="shared" ref="H150:H213" si="10">VALUE(LEFT(G150,LEN(G150)-1))</f>
        <v>#VALUE!</v>
      </c>
      <c r="L150" t="e">
        <f>480+2*(Table257911[[#This Row],[min value (corrected)]]-49)</f>
        <v>#NUM!</v>
      </c>
      <c r="M150" t="e">
        <f>MINUTE(Table257911[[#This Row],[Corrected time]])</f>
        <v>#NUM!</v>
      </c>
      <c r="N150" s="1"/>
      <c r="O150" s="1">
        <f>Table257911[[#This Row],[Time]]-TIME(0,0,4)</f>
        <v>-4.6296296296296294E-5</v>
      </c>
      <c r="R150">
        <f>Table257911[[#This Row],[RSSI]]</f>
        <v>0</v>
      </c>
    </row>
    <row r="151" spans="2:18" x14ac:dyDescent="0.25">
      <c r="B151" t="e">
        <f>480+2*(Table146810[[#This Row],[min value (corrected)]]-49)</f>
        <v>#NUM!</v>
      </c>
      <c r="C151" t="e">
        <f>MINUTE(Table146810[[#This Row],[Corrected time]])</f>
        <v>#NUM!</v>
      </c>
      <c r="D151" s="1"/>
      <c r="E151" s="1">
        <f>Table146810[[#This Row],[Time]]-TIME(0,0,8)</f>
        <v>-9.2592592592592588E-5</v>
      </c>
      <c r="H151" t="e">
        <f t="shared" si="10"/>
        <v>#VALUE!</v>
      </c>
      <c r="L151" t="e">
        <f>480+2*(Table257911[[#This Row],[min value (corrected)]]-49)</f>
        <v>#NUM!</v>
      </c>
      <c r="M151" t="e">
        <f>MINUTE(Table257911[[#This Row],[Corrected time]])</f>
        <v>#NUM!</v>
      </c>
      <c r="N151" s="1"/>
      <c r="O151" s="1">
        <f>Table257911[[#This Row],[Time]]-TIME(0,0,4)</f>
        <v>-4.6296296296296294E-5</v>
      </c>
      <c r="R151">
        <f>Table257911[[#This Row],[RSSI]]</f>
        <v>0</v>
      </c>
    </row>
    <row r="152" spans="2:18" x14ac:dyDescent="0.25">
      <c r="B152" t="e">
        <f>480+2*(Table146810[[#This Row],[min value (corrected)]]-49)</f>
        <v>#NUM!</v>
      </c>
      <c r="C152" t="e">
        <f>MINUTE(Table146810[[#This Row],[Corrected time]])</f>
        <v>#NUM!</v>
      </c>
      <c r="D152" s="1"/>
      <c r="E152" s="1">
        <f>Table146810[[#This Row],[Time]]-TIME(0,0,8)</f>
        <v>-9.2592592592592588E-5</v>
      </c>
      <c r="H152" t="e">
        <f t="shared" si="10"/>
        <v>#VALUE!</v>
      </c>
      <c r="L152" t="e">
        <f>480+2*(Table257911[[#This Row],[min value (corrected)]]-49)</f>
        <v>#NUM!</v>
      </c>
      <c r="M152" t="e">
        <f>MINUTE(Table257911[[#This Row],[Corrected time]])</f>
        <v>#NUM!</v>
      </c>
      <c r="N152" s="1"/>
      <c r="O152" s="1">
        <f>Table257911[[#This Row],[Time]]-TIME(0,0,4)</f>
        <v>-4.6296296296296294E-5</v>
      </c>
      <c r="R152">
        <f>Table257911[[#This Row],[RSSI]]</f>
        <v>0</v>
      </c>
    </row>
    <row r="153" spans="2:18" x14ac:dyDescent="0.25">
      <c r="B153" t="e">
        <f>480+2*(Table146810[[#This Row],[min value (corrected)]]-49)</f>
        <v>#NUM!</v>
      </c>
      <c r="C153" t="e">
        <f>MINUTE(Table146810[[#This Row],[Corrected time]])</f>
        <v>#NUM!</v>
      </c>
      <c r="D153" s="1"/>
      <c r="E153" s="1">
        <f>Table146810[[#This Row],[Time]]-TIME(0,0,8)</f>
        <v>-9.2592592592592588E-5</v>
      </c>
      <c r="H153" t="e">
        <f t="shared" si="10"/>
        <v>#VALUE!</v>
      </c>
      <c r="L153" t="e">
        <f>480+2*(Table257911[[#This Row],[min value (corrected)]]-49)</f>
        <v>#NUM!</v>
      </c>
      <c r="M153" t="e">
        <f>MINUTE(Table257911[[#This Row],[Corrected time]])</f>
        <v>#NUM!</v>
      </c>
      <c r="N153" s="1"/>
      <c r="O153" s="1">
        <f>Table257911[[#This Row],[Time]]-TIME(0,0,4)</f>
        <v>-4.6296296296296294E-5</v>
      </c>
      <c r="R153">
        <f>Table257911[[#This Row],[RSSI]]</f>
        <v>0</v>
      </c>
    </row>
    <row r="154" spans="2:18" x14ac:dyDescent="0.25">
      <c r="B154" t="e">
        <f>480+2*(Table146810[[#This Row],[min value (corrected)]]-49)</f>
        <v>#NUM!</v>
      </c>
      <c r="C154" t="e">
        <f>MINUTE(Table146810[[#This Row],[Corrected time]])</f>
        <v>#NUM!</v>
      </c>
      <c r="D154" s="1"/>
      <c r="E154" s="1">
        <f>Table146810[[#This Row],[Time]]-TIME(0,0,8)</f>
        <v>-9.2592592592592588E-5</v>
      </c>
      <c r="H154" t="e">
        <f t="shared" si="10"/>
        <v>#VALUE!</v>
      </c>
      <c r="L154" t="e">
        <f>480+2*(Table257911[[#This Row],[min value (corrected)]]-49)</f>
        <v>#NUM!</v>
      </c>
      <c r="M154" t="e">
        <f>MINUTE(Table257911[[#This Row],[Corrected time]])</f>
        <v>#NUM!</v>
      </c>
      <c r="N154" s="1"/>
      <c r="O154" s="1">
        <f>Table257911[[#This Row],[Time]]-TIME(0,0,4)</f>
        <v>-4.6296296296296294E-5</v>
      </c>
      <c r="R154">
        <f>Table257911[[#This Row],[RSSI]]</f>
        <v>0</v>
      </c>
    </row>
    <row r="155" spans="2:18" x14ac:dyDescent="0.25">
      <c r="B155" t="e">
        <f>480+2*(Table146810[[#This Row],[min value (corrected)]]-49)</f>
        <v>#NUM!</v>
      </c>
      <c r="C155" t="e">
        <f>MINUTE(Table146810[[#This Row],[Corrected time]])</f>
        <v>#NUM!</v>
      </c>
      <c r="D155" s="1"/>
      <c r="E155" s="1">
        <f>Table146810[[#This Row],[Time]]-TIME(0,0,8)</f>
        <v>-9.2592592592592588E-5</v>
      </c>
      <c r="H155" t="e">
        <f t="shared" si="10"/>
        <v>#VALUE!</v>
      </c>
      <c r="L155" t="e">
        <f>480+2*(Table257911[[#This Row],[min value (corrected)]]-49)</f>
        <v>#NUM!</v>
      </c>
      <c r="M155" t="e">
        <f>MINUTE(Table257911[[#This Row],[Corrected time]])</f>
        <v>#NUM!</v>
      </c>
      <c r="N155" s="1"/>
      <c r="O155" s="1">
        <f>Table257911[[#This Row],[Time]]-TIME(0,0,4)</f>
        <v>-4.6296296296296294E-5</v>
      </c>
      <c r="R155">
        <f>Table257911[[#This Row],[RSSI]]</f>
        <v>0</v>
      </c>
    </row>
    <row r="156" spans="2:18" x14ac:dyDescent="0.25">
      <c r="B156" t="e">
        <f>480+2*(Table146810[[#This Row],[min value (corrected)]]-49)</f>
        <v>#NUM!</v>
      </c>
      <c r="C156" t="e">
        <f>MINUTE(Table146810[[#This Row],[Corrected time]])</f>
        <v>#NUM!</v>
      </c>
      <c r="D156" s="1"/>
      <c r="E156" s="1">
        <f>Table146810[[#This Row],[Time]]-TIME(0,0,8)</f>
        <v>-9.2592592592592588E-5</v>
      </c>
      <c r="H156" t="e">
        <f t="shared" si="10"/>
        <v>#VALUE!</v>
      </c>
      <c r="L156" t="e">
        <f>480+2*(Table257911[[#This Row],[min value (corrected)]]-49)</f>
        <v>#NUM!</v>
      </c>
      <c r="M156" t="e">
        <f>MINUTE(Table257911[[#This Row],[Corrected time]])</f>
        <v>#NUM!</v>
      </c>
      <c r="N156" s="1"/>
      <c r="O156" s="1">
        <f>Table257911[[#This Row],[Time]]-TIME(0,0,4)</f>
        <v>-4.6296296296296294E-5</v>
      </c>
      <c r="R156">
        <f>Table257911[[#This Row],[RSSI]]</f>
        <v>0</v>
      </c>
    </row>
    <row r="157" spans="2:18" x14ac:dyDescent="0.25">
      <c r="B157" t="e">
        <f>480+2*(Table146810[[#This Row],[min value (corrected)]]-49)</f>
        <v>#NUM!</v>
      </c>
      <c r="C157" t="e">
        <f>MINUTE(Table146810[[#This Row],[Corrected time]])</f>
        <v>#NUM!</v>
      </c>
      <c r="D157" s="1"/>
      <c r="E157" s="1">
        <f>Table146810[[#This Row],[Time]]-TIME(0,0,8)</f>
        <v>-9.2592592592592588E-5</v>
      </c>
      <c r="H157" t="e">
        <f t="shared" si="10"/>
        <v>#VALUE!</v>
      </c>
      <c r="L157" t="e">
        <f>480+2*(Table257911[[#This Row],[min value (corrected)]]-49)</f>
        <v>#NUM!</v>
      </c>
      <c r="M157" t="e">
        <f>MINUTE(Table257911[[#This Row],[Corrected time]])</f>
        <v>#NUM!</v>
      </c>
      <c r="N157" s="1"/>
      <c r="O157" s="1">
        <f>Table257911[[#This Row],[Time]]-TIME(0,0,4)</f>
        <v>-4.6296296296296294E-5</v>
      </c>
      <c r="R157">
        <f>Table257911[[#This Row],[RSSI]]</f>
        <v>0</v>
      </c>
    </row>
    <row r="158" spans="2:18" x14ac:dyDescent="0.25">
      <c r="B158" t="e">
        <f>480+2*(Table146810[[#This Row],[min value (corrected)]]-49)</f>
        <v>#NUM!</v>
      </c>
      <c r="C158" t="e">
        <f>MINUTE(Table146810[[#This Row],[Corrected time]])</f>
        <v>#NUM!</v>
      </c>
      <c r="D158" s="1"/>
      <c r="E158" s="1">
        <f>Table146810[[#This Row],[Time]]-TIME(0,0,8)</f>
        <v>-9.2592592592592588E-5</v>
      </c>
      <c r="H158" t="e">
        <f t="shared" si="10"/>
        <v>#VALUE!</v>
      </c>
      <c r="L158" t="e">
        <f>480+2*(Table257911[[#This Row],[min value (corrected)]]-49)</f>
        <v>#NUM!</v>
      </c>
      <c r="M158" t="e">
        <f>MINUTE(Table257911[[#This Row],[Corrected time]])</f>
        <v>#NUM!</v>
      </c>
      <c r="N158" s="1"/>
      <c r="O158" s="1">
        <f>Table257911[[#This Row],[Time]]-TIME(0,0,4)</f>
        <v>-4.6296296296296294E-5</v>
      </c>
      <c r="R158">
        <f>Table257911[[#This Row],[RSSI]]</f>
        <v>0</v>
      </c>
    </row>
    <row r="159" spans="2:18" x14ac:dyDescent="0.25">
      <c r="B159" t="e">
        <f>480+2*(Table146810[[#This Row],[min value (corrected)]]-49)</f>
        <v>#NUM!</v>
      </c>
      <c r="C159" t="e">
        <f>MINUTE(Table146810[[#This Row],[Corrected time]])</f>
        <v>#NUM!</v>
      </c>
      <c r="D159" s="1"/>
      <c r="E159" s="1">
        <f>Table146810[[#This Row],[Time]]-TIME(0,0,8)</f>
        <v>-9.2592592592592588E-5</v>
      </c>
      <c r="H159" t="e">
        <f t="shared" si="10"/>
        <v>#VALUE!</v>
      </c>
      <c r="L159" t="e">
        <f>480+2*(Table257911[[#This Row],[min value (corrected)]]-49)</f>
        <v>#NUM!</v>
      </c>
      <c r="M159" t="e">
        <f>MINUTE(Table257911[[#This Row],[Corrected time]])</f>
        <v>#NUM!</v>
      </c>
      <c r="N159" s="1"/>
      <c r="O159" s="1">
        <f>Table257911[[#This Row],[Time]]-TIME(0,0,4)</f>
        <v>-4.6296296296296294E-5</v>
      </c>
      <c r="R159">
        <f>Table257911[[#This Row],[RSSI]]</f>
        <v>0</v>
      </c>
    </row>
    <row r="160" spans="2:18" x14ac:dyDescent="0.25">
      <c r="B160" t="e">
        <f>480+2*(Table146810[[#This Row],[min value (corrected)]]-49)</f>
        <v>#NUM!</v>
      </c>
      <c r="C160" t="e">
        <f>MINUTE(Table146810[[#This Row],[Corrected time]])</f>
        <v>#NUM!</v>
      </c>
      <c r="D160" s="1"/>
      <c r="E160" s="1">
        <f>Table146810[[#This Row],[Time]]-TIME(0,0,8)</f>
        <v>-9.2592592592592588E-5</v>
      </c>
      <c r="H160" t="e">
        <f t="shared" si="10"/>
        <v>#VALUE!</v>
      </c>
      <c r="L160" t="e">
        <f>480+2*(Table257911[[#This Row],[min value (corrected)]]-49)</f>
        <v>#NUM!</v>
      </c>
      <c r="M160" t="e">
        <f>MINUTE(Table257911[[#This Row],[Corrected time]])</f>
        <v>#NUM!</v>
      </c>
      <c r="N160" s="1"/>
      <c r="O160" s="1">
        <f>Table257911[[#This Row],[Time]]-TIME(0,0,4)</f>
        <v>-4.6296296296296294E-5</v>
      </c>
      <c r="R160">
        <f>Table257911[[#This Row],[RSSI]]</f>
        <v>0</v>
      </c>
    </row>
    <row r="161" spans="2:18" x14ac:dyDescent="0.25">
      <c r="B161" t="e">
        <f>480+2*(Table146810[[#This Row],[min value (corrected)]]-49)</f>
        <v>#NUM!</v>
      </c>
      <c r="C161" t="e">
        <f>MINUTE(Table146810[[#This Row],[Corrected time]])</f>
        <v>#NUM!</v>
      </c>
      <c r="D161" s="1"/>
      <c r="E161" s="1">
        <f>Table146810[[#This Row],[Time]]-TIME(0,0,8)</f>
        <v>-9.2592592592592588E-5</v>
      </c>
      <c r="H161" t="e">
        <f t="shared" si="10"/>
        <v>#VALUE!</v>
      </c>
      <c r="L161" t="e">
        <f>480+2*(Table257911[[#This Row],[min value (corrected)]]-49)</f>
        <v>#NUM!</v>
      </c>
      <c r="M161" t="e">
        <f>MINUTE(Table257911[[#This Row],[Corrected time]])</f>
        <v>#NUM!</v>
      </c>
      <c r="N161" s="1"/>
      <c r="O161" s="1">
        <f>Table257911[[#This Row],[Time]]-TIME(0,0,4)</f>
        <v>-4.6296296296296294E-5</v>
      </c>
      <c r="R161">
        <f>Table257911[[#This Row],[RSSI]]</f>
        <v>0</v>
      </c>
    </row>
    <row r="162" spans="2:18" x14ac:dyDescent="0.25">
      <c r="B162" t="e">
        <f>480+2*(Table146810[[#This Row],[min value (corrected)]]-49)</f>
        <v>#NUM!</v>
      </c>
      <c r="C162" t="e">
        <f>MINUTE(Table146810[[#This Row],[Corrected time]])</f>
        <v>#NUM!</v>
      </c>
      <c r="D162" s="1"/>
      <c r="E162" s="1">
        <f>Table146810[[#This Row],[Time]]-TIME(0,0,8)</f>
        <v>-9.2592592592592588E-5</v>
      </c>
      <c r="H162" t="e">
        <f t="shared" si="10"/>
        <v>#VALUE!</v>
      </c>
      <c r="L162" t="e">
        <f>480+2*(Table257911[[#This Row],[min value (corrected)]]-49)</f>
        <v>#NUM!</v>
      </c>
      <c r="M162" t="e">
        <f>MINUTE(Table257911[[#This Row],[Corrected time]])</f>
        <v>#NUM!</v>
      </c>
      <c r="N162" s="1"/>
      <c r="O162" s="1">
        <f>Table257911[[#This Row],[Time]]-TIME(0,0,4)</f>
        <v>-4.6296296296296294E-5</v>
      </c>
      <c r="R162">
        <f>Table257911[[#This Row],[RSSI]]</f>
        <v>0</v>
      </c>
    </row>
    <row r="163" spans="2:18" x14ac:dyDescent="0.25">
      <c r="B163" t="e">
        <f>480+2*(Table146810[[#This Row],[min value (corrected)]]-49)</f>
        <v>#NUM!</v>
      </c>
      <c r="C163" t="e">
        <f>MINUTE(Table146810[[#This Row],[Corrected time]])</f>
        <v>#NUM!</v>
      </c>
      <c r="D163" s="1"/>
      <c r="E163" s="1">
        <f>Table146810[[#This Row],[Time]]-TIME(0,0,8)</f>
        <v>-9.2592592592592588E-5</v>
      </c>
      <c r="H163" t="e">
        <f t="shared" si="10"/>
        <v>#VALUE!</v>
      </c>
      <c r="L163" t="e">
        <f>480+2*(Table257911[[#This Row],[min value (corrected)]]-49)</f>
        <v>#NUM!</v>
      </c>
      <c r="M163" t="e">
        <f>MINUTE(Table257911[[#This Row],[Corrected time]])</f>
        <v>#NUM!</v>
      </c>
      <c r="N163" s="1"/>
      <c r="O163" s="1">
        <f>Table257911[[#This Row],[Time]]-TIME(0,0,4)</f>
        <v>-4.6296296296296294E-5</v>
      </c>
      <c r="R163">
        <f>Table257911[[#This Row],[RSSI]]</f>
        <v>0</v>
      </c>
    </row>
    <row r="164" spans="2:18" x14ac:dyDescent="0.25">
      <c r="B164" t="e">
        <f>480+2*(Table146810[[#This Row],[min value (corrected)]]-49)</f>
        <v>#NUM!</v>
      </c>
      <c r="C164" t="e">
        <f>MINUTE(Table146810[[#This Row],[Corrected time]])</f>
        <v>#NUM!</v>
      </c>
      <c r="D164" s="1"/>
      <c r="E164" s="1">
        <f>Table146810[[#This Row],[Time]]-TIME(0,0,8)</f>
        <v>-9.2592592592592588E-5</v>
      </c>
      <c r="H164" t="e">
        <f t="shared" si="10"/>
        <v>#VALUE!</v>
      </c>
      <c r="L164" t="e">
        <f>480+2*(Table257911[[#This Row],[min value (corrected)]]-49)</f>
        <v>#NUM!</v>
      </c>
      <c r="M164" t="e">
        <f>MINUTE(Table257911[[#This Row],[Corrected time]])</f>
        <v>#NUM!</v>
      </c>
      <c r="N164" s="1"/>
      <c r="O164" s="1">
        <f>Table257911[[#This Row],[Time]]-TIME(0,0,4)</f>
        <v>-4.6296296296296294E-5</v>
      </c>
      <c r="R164">
        <f>Table257911[[#This Row],[RSSI]]</f>
        <v>0</v>
      </c>
    </row>
    <row r="165" spans="2:18" x14ac:dyDescent="0.25">
      <c r="B165" t="e">
        <f>480+2*(Table146810[[#This Row],[min value (corrected)]]-49)</f>
        <v>#NUM!</v>
      </c>
      <c r="C165" t="e">
        <f>MINUTE(Table146810[[#This Row],[Corrected time]])</f>
        <v>#NUM!</v>
      </c>
      <c r="D165" s="1"/>
      <c r="E165" s="1">
        <f>Table146810[[#This Row],[Time]]-TIME(0,0,8)</f>
        <v>-9.2592592592592588E-5</v>
      </c>
      <c r="H165" t="e">
        <f t="shared" si="10"/>
        <v>#VALUE!</v>
      </c>
      <c r="L165" t="e">
        <f>480+2*(Table257911[[#This Row],[min value (corrected)]]-49)</f>
        <v>#NUM!</v>
      </c>
      <c r="M165" t="e">
        <f>MINUTE(Table257911[[#This Row],[Corrected time]])</f>
        <v>#NUM!</v>
      </c>
      <c r="N165" s="1"/>
      <c r="O165" s="1">
        <f>Table257911[[#This Row],[Time]]-TIME(0,0,4)</f>
        <v>-4.6296296296296294E-5</v>
      </c>
      <c r="R165">
        <f>Table257911[[#This Row],[RSSI]]</f>
        <v>0</v>
      </c>
    </row>
    <row r="166" spans="2:18" x14ac:dyDescent="0.25">
      <c r="B166" t="e">
        <f>480+2*(Table146810[[#This Row],[min value (corrected)]]-49)</f>
        <v>#NUM!</v>
      </c>
      <c r="C166" t="e">
        <f>MINUTE(Table146810[[#This Row],[Corrected time]])</f>
        <v>#NUM!</v>
      </c>
      <c r="D166" s="1"/>
      <c r="E166" s="1">
        <f>Table146810[[#This Row],[Time]]-TIME(0,0,8)</f>
        <v>-9.2592592592592588E-5</v>
      </c>
      <c r="H166" t="e">
        <f t="shared" si="10"/>
        <v>#VALUE!</v>
      </c>
      <c r="L166" t="e">
        <f>480+2*(Table257911[[#This Row],[min value (corrected)]]-49)</f>
        <v>#NUM!</v>
      </c>
      <c r="M166" t="e">
        <f>MINUTE(Table257911[[#This Row],[Corrected time]])</f>
        <v>#NUM!</v>
      </c>
      <c r="N166" s="1"/>
      <c r="O166" s="1">
        <f>Table257911[[#This Row],[Time]]-TIME(0,0,4)</f>
        <v>-4.6296296296296294E-5</v>
      </c>
      <c r="R166">
        <f>Table257911[[#This Row],[RSSI]]</f>
        <v>0</v>
      </c>
    </row>
    <row r="167" spans="2:18" x14ac:dyDescent="0.25">
      <c r="B167" t="e">
        <f>480+2*(Table146810[[#This Row],[min value (corrected)]]-49)</f>
        <v>#NUM!</v>
      </c>
      <c r="C167" t="e">
        <f>MINUTE(Table146810[[#This Row],[Corrected time]])</f>
        <v>#NUM!</v>
      </c>
      <c r="D167" s="1"/>
      <c r="E167" s="1">
        <f>Table146810[[#This Row],[Time]]-TIME(0,0,8)</f>
        <v>-9.2592592592592588E-5</v>
      </c>
      <c r="H167" t="e">
        <f t="shared" si="10"/>
        <v>#VALUE!</v>
      </c>
      <c r="L167" t="e">
        <f>480+2*(Table257911[[#This Row],[min value (corrected)]]-49)</f>
        <v>#NUM!</v>
      </c>
      <c r="M167" t="e">
        <f>MINUTE(Table257911[[#This Row],[Corrected time]])</f>
        <v>#NUM!</v>
      </c>
      <c r="N167" s="1"/>
      <c r="O167" s="1">
        <f>Table257911[[#This Row],[Time]]-TIME(0,0,4)</f>
        <v>-4.6296296296296294E-5</v>
      </c>
      <c r="R167">
        <f>Table257911[[#This Row],[RSSI]]</f>
        <v>0</v>
      </c>
    </row>
    <row r="168" spans="2:18" x14ac:dyDescent="0.25">
      <c r="B168" t="e">
        <f>480+2*(Table146810[[#This Row],[min value (corrected)]]-49)</f>
        <v>#NUM!</v>
      </c>
      <c r="C168" t="e">
        <f>MINUTE(Table146810[[#This Row],[Corrected time]])</f>
        <v>#NUM!</v>
      </c>
      <c r="D168" s="1"/>
      <c r="E168" s="1">
        <f>Table146810[[#This Row],[Time]]-TIME(0,0,8)</f>
        <v>-9.2592592592592588E-5</v>
      </c>
      <c r="H168" t="e">
        <f t="shared" si="10"/>
        <v>#VALUE!</v>
      </c>
      <c r="L168" t="e">
        <f>480+2*(Table257911[[#This Row],[min value (corrected)]]-49)</f>
        <v>#NUM!</v>
      </c>
      <c r="M168" t="e">
        <f>MINUTE(Table257911[[#This Row],[Corrected time]])</f>
        <v>#NUM!</v>
      </c>
      <c r="N168" s="1"/>
      <c r="O168" s="1">
        <f>Table257911[[#This Row],[Time]]-TIME(0,0,4)</f>
        <v>-4.6296296296296294E-5</v>
      </c>
      <c r="R168">
        <f>Table257911[[#This Row],[RSSI]]</f>
        <v>0</v>
      </c>
    </row>
    <row r="169" spans="2:18" x14ac:dyDescent="0.25">
      <c r="B169" t="e">
        <f>480+2*(Table146810[[#This Row],[min value (corrected)]]-49)</f>
        <v>#NUM!</v>
      </c>
      <c r="C169" t="e">
        <f>MINUTE(Table146810[[#This Row],[Corrected time]])</f>
        <v>#NUM!</v>
      </c>
      <c r="D169" s="1"/>
      <c r="E169" s="1">
        <f>Table146810[[#This Row],[Time]]-TIME(0,0,8)</f>
        <v>-9.2592592592592588E-5</v>
      </c>
      <c r="H169" t="e">
        <f t="shared" si="10"/>
        <v>#VALUE!</v>
      </c>
      <c r="L169" t="e">
        <f>480+2*(Table257911[[#This Row],[min value (corrected)]]-49)</f>
        <v>#NUM!</v>
      </c>
      <c r="M169" t="e">
        <f>MINUTE(Table257911[[#This Row],[Corrected time]])</f>
        <v>#NUM!</v>
      </c>
      <c r="N169" s="1"/>
      <c r="O169" s="1">
        <f>Table257911[[#This Row],[Time]]-TIME(0,0,4)</f>
        <v>-4.6296296296296294E-5</v>
      </c>
      <c r="R169">
        <f>Table257911[[#This Row],[RSSI]]</f>
        <v>0</v>
      </c>
    </row>
    <row r="170" spans="2:18" x14ac:dyDescent="0.25">
      <c r="B170" t="e">
        <f>480+2*(Table146810[[#This Row],[min value (corrected)]]-49)</f>
        <v>#NUM!</v>
      </c>
      <c r="C170" t="e">
        <f>MINUTE(Table146810[[#This Row],[Corrected time]])</f>
        <v>#NUM!</v>
      </c>
      <c r="D170" s="1"/>
      <c r="E170" s="1">
        <f>Table146810[[#This Row],[Time]]-TIME(0,0,8)</f>
        <v>-9.2592592592592588E-5</v>
      </c>
      <c r="H170" t="e">
        <f t="shared" si="10"/>
        <v>#VALUE!</v>
      </c>
      <c r="L170" t="e">
        <f>480+2*(Table257911[[#This Row],[min value (corrected)]]-49)</f>
        <v>#NUM!</v>
      </c>
      <c r="M170" t="e">
        <f>MINUTE(Table257911[[#This Row],[Corrected time]])</f>
        <v>#NUM!</v>
      </c>
      <c r="N170" s="1"/>
      <c r="O170" s="1">
        <f>Table257911[[#This Row],[Time]]-TIME(0,0,4)</f>
        <v>-4.6296296296296294E-5</v>
      </c>
      <c r="R170">
        <f>Table257911[[#This Row],[RSSI]]</f>
        <v>0</v>
      </c>
    </row>
    <row r="171" spans="2:18" x14ac:dyDescent="0.25">
      <c r="B171" t="e">
        <f>480+2*(Table146810[[#This Row],[min value (corrected)]]-49)</f>
        <v>#NUM!</v>
      </c>
      <c r="C171" t="e">
        <f>MINUTE(Table146810[[#This Row],[Corrected time]])</f>
        <v>#NUM!</v>
      </c>
      <c r="D171" s="1"/>
      <c r="E171" s="1">
        <f>Table146810[[#This Row],[Time]]-TIME(0,0,8)</f>
        <v>-9.2592592592592588E-5</v>
      </c>
      <c r="H171" t="e">
        <f t="shared" si="10"/>
        <v>#VALUE!</v>
      </c>
      <c r="L171" t="e">
        <f>480+2*(Table257911[[#This Row],[min value (corrected)]]-49)</f>
        <v>#NUM!</v>
      </c>
      <c r="M171" t="e">
        <f>MINUTE(Table257911[[#This Row],[Corrected time]])</f>
        <v>#NUM!</v>
      </c>
      <c r="N171" s="1"/>
      <c r="O171" s="1">
        <f>Table257911[[#This Row],[Time]]-TIME(0,0,4)</f>
        <v>-4.6296296296296294E-5</v>
      </c>
      <c r="R171">
        <f>Table257911[[#This Row],[RSSI]]</f>
        <v>0</v>
      </c>
    </row>
    <row r="172" spans="2:18" x14ac:dyDescent="0.25">
      <c r="B172" t="e">
        <f>480+2*(Table146810[[#This Row],[min value (corrected)]]-49)</f>
        <v>#NUM!</v>
      </c>
      <c r="C172" t="e">
        <f>MINUTE(Table146810[[#This Row],[Corrected time]])</f>
        <v>#NUM!</v>
      </c>
      <c r="D172" s="1"/>
      <c r="E172" s="1">
        <f>Table146810[[#This Row],[Time]]-TIME(0,0,8)</f>
        <v>-9.2592592592592588E-5</v>
      </c>
      <c r="H172" t="e">
        <f t="shared" si="10"/>
        <v>#VALUE!</v>
      </c>
      <c r="L172" t="e">
        <f>480+2*(Table257911[[#This Row],[min value (corrected)]]-49)</f>
        <v>#NUM!</v>
      </c>
      <c r="M172" t="e">
        <f>MINUTE(Table257911[[#This Row],[Corrected time]])</f>
        <v>#NUM!</v>
      </c>
      <c r="N172" s="1"/>
      <c r="O172" s="1">
        <f>Table257911[[#This Row],[Time]]-TIME(0,0,4)</f>
        <v>-4.6296296296296294E-5</v>
      </c>
      <c r="R172">
        <f>Table257911[[#This Row],[RSSI]]</f>
        <v>0</v>
      </c>
    </row>
    <row r="173" spans="2:18" x14ac:dyDescent="0.25">
      <c r="B173" t="e">
        <f>480+2*(Table146810[[#This Row],[min value (corrected)]]-49)</f>
        <v>#NUM!</v>
      </c>
      <c r="C173" t="e">
        <f>MINUTE(Table146810[[#This Row],[Corrected time]])</f>
        <v>#NUM!</v>
      </c>
      <c r="D173" s="1"/>
      <c r="E173" s="1">
        <f>Table146810[[#This Row],[Time]]-TIME(0,0,8)</f>
        <v>-9.2592592592592588E-5</v>
      </c>
      <c r="H173" t="e">
        <f t="shared" si="10"/>
        <v>#VALUE!</v>
      </c>
      <c r="L173" t="e">
        <f>480+2*(Table257911[[#This Row],[min value (corrected)]]-49)</f>
        <v>#NUM!</v>
      </c>
      <c r="M173" t="e">
        <f>MINUTE(Table257911[[#This Row],[Corrected time]])</f>
        <v>#NUM!</v>
      </c>
      <c r="N173" s="1"/>
      <c r="O173" s="1">
        <f>Table257911[[#This Row],[Time]]-TIME(0,0,4)</f>
        <v>-4.6296296296296294E-5</v>
      </c>
      <c r="R173">
        <f>Table257911[[#This Row],[RSSI]]</f>
        <v>0</v>
      </c>
    </row>
    <row r="174" spans="2:18" x14ac:dyDescent="0.25">
      <c r="B174" t="e">
        <f>480+2*(Table146810[[#This Row],[min value (corrected)]]-49)</f>
        <v>#NUM!</v>
      </c>
      <c r="C174" t="e">
        <f>MINUTE(Table146810[[#This Row],[Corrected time]])</f>
        <v>#NUM!</v>
      </c>
      <c r="D174" s="1"/>
      <c r="E174" s="1">
        <f>Table146810[[#This Row],[Time]]-TIME(0,0,8)</f>
        <v>-9.2592592592592588E-5</v>
      </c>
      <c r="H174" t="e">
        <f t="shared" si="10"/>
        <v>#VALUE!</v>
      </c>
      <c r="L174" t="e">
        <f>480+2*(Table257911[[#This Row],[min value (corrected)]]-49)</f>
        <v>#NUM!</v>
      </c>
      <c r="M174" t="e">
        <f>MINUTE(Table257911[[#This Row],[Corrected time]])</f>
        <v>#NUM!</v>
      </c>
      <c r="N174" s="1"/>
      <c r="O174" s="1">
        <f>Table257911[[#This Row],[Time]]-TIME(0,0,4)</f>
        <v>-4.6296296296296294E-5</v>
      </c>
      <c r="R174">
        <f>Table257911[[#This Row],[RSSI]]</f>
        <v>0</v>
      </c>
    </row>
    <row r="175" spans="2:18" x14ac:dyDescent="0.25">
      <c r="B175" t="e">
        <f>480+2*(Table146810[[#This Row],[min value (corrected)]]-49)</f>
        <v>#NUM!</v>
      </c>
      <c r="C175" t="e">
        <f>MINUTE(Table146810[[#This Row],[Corrected time]])</f>
        <v>#NUM!</v>
      </c>
      <c r="D175" s="1"/>
      <c r="E175" s="1">
        <f>Table146810[[#This Row],[Time]]-TIME(0,0,8)</f>
        <v>-9.2592592592592588E-5</v>
      </c>
      <c r="H175" t="e">
        <f t="shared" si="10"/>
        <v>#VALUE!</v>
      </c>
      <c r="L175" t="e">
        <f>480+2*(Table257911[[#This Row],[min value (corrected)]]-49)</f>
        <v>#NUM!</v>
      </c>
      <c r="M175" t="e">
        <f>MINUTE(Table257911[[#This Row],[Corrected time]])</f>
        <v>#NUM!</v>
      </c>
      <c r="N175" s="1"/>
      <c r="O175" s="1">
        <f>Table257911[[#This Row],[Time]]-TIME(0,0,4)</f>
        <v>-4.6296296296296294E-5</v>
      </c>
      <c r="R175">
        <f>Table257911[[#This Row],[RSSI]]</f>
        <v>0</v>
      </c>
    </row>
    <row r="176" spans="2:18" x14ac:dyDescent="0.25">
      <c r="B176" t="e">
        <f>480+2*(Table146810[[#This Row],[min value (corrected)]]-49)</f>
        <v>#NUM!</v>
      </c>
      <c r="C176" t="e">
        <f>MINUTE(Table146810[[#This Row],[Corrected time]])</f>
        <v>#NUM!</v>
      </c>
      <c r="D176" s="1"/>
      <c r="E176" s="1">
        <f>Table146810[[#This Row],[Time]]-TIME(0,0,8)</f>
        <v>-9.2592592592592588E-5</v>
      </c>
      <c r="H176" t="e">
        <f t="shared" si="10"/>
        <v>#VALUE!</v>
      </c>
      <c r="L176" t="e">
        <f>480+2*(Table257911[[#This Row],[min value (corrected)]]-49)</f>
        <v>#NUM!</v>
      </c>
      <c r="M176" t="e">
        <f>MINUTE(Table257911[[#This Row],[Corrected time]])</f>
        <v>#NUM!</v>
      </c>
      <c r="N176" s="1"/>
      <c r="O176" s="1">
        <f>Table257911[[#This Row],[Time]]-TIME(0,0,4)</f>
        <v>-4.6296296296296294E-5</v>
      </c>
      <c r="R176">
        <f>Table257911[[#This Row],[RSSI]]</f>
        <v>0</v>
      </c>
    </row>
    <row r="177" spans="2:18" x14ac:dyDescent="0.25">
      <c r="B177" t="e">
        <f>480+2*(Table146810[[#This Row],[min value (corrected)]]-49)</f>
        <v>#NUM!</v>
      </c>
      <c r="C177" t="e">
        <f>MINUTE(Table146810[[#This Row],[Corrected time]])</f>
        <v>#NUM!</v>
      </c>
      <c r="D177" s="1"/>
      <c r="E177" s="1">
        <f>Table146810[[#This Row],[Time]]-TIME(0,0,8)</f>
        <v>-9.2592592592592588E-5</v>
      </c>
      <c r="H177" t="e">
        <f t="shared" si="10"/>
        <v>#VALUE!</v>
      </c>
      <c r="L177" t="e">
        <f>480+2*(Table257911[[#This Row],[min value (corrected)]]-49)</f>
        <v>#NUM!</v>
      </c>
      <c r="M177" t="e">
        <f>MINUTE(Table257911[[#This Row],[Corrected time]])</f>
        <v>#NUM!</v>
      </c>
      <c r="N177" s="1"/>
      <c r="O177" s="1">
        <f>Table257911[[#This Row],[Time]]-TIME(0,0,4)</f>
        <v>-4.6296296296296294E-5</v>
      </c>
      <c r="R177">
        <f>Table257911[[#This Row],[RSSI]]</f>
        <v>0</v>
      </c>
    </row>
    <row r="178" spans="2:18" x14ac:dyDescent="0.25">
      <c r="B178" t="e">
        <f>480+2*(Table146810[[#This Row],[min value (corrected)]]-49)</f>
        <v>#NUM!</v>
      </c>
      <c r="C178" t="e">
        <f>MINUTE(Table146810[[#This Row],[Corrected time]])</f>
        <v>#NUM!</v>
      </c>
      <c r="D178" s="1"/>
      <c r="E178" s="1">
        <f>Table146810[[#This Row],[Time]]-TIME(0,0,8)</f>
        <v>-9.2592592592592588E-5</v>
      </c>
      <c r="H178" t="e">
        <f t="shared" si="10"/>
        <v>#VALUE!</v>
      </c>
      <c r="L178" t="e">
        <f>480+2*(Table257911[[#This Row],[min value (corrected)]]-49)</f>
        <v>#NUM!</v>
      </c>
      <c r="M178" t="e">
        <f>MINUTE(Table257911[[#This Row],[Corrected time]])</f>
        <v>#NUM!</v>
      </c>
      <c r="N178" s="1"/>
      <c r="O178" s="1">
        <f>Table257911[[#This Row],[Time]]-TIME(0,0,4)</f>
        <v>-4.6296296296296294E-5</v>
      </c>
      <c r="R178">
        <f>Table257911[[#This Row],[RSSI]]</f>
        <v>0</v>
      </c>
    </row>
    <row r="179" spans="2:18" x14ac:dyDescent="0.25">
      <c r="B179" t="e">
        <f>480+2*(Table146810[[#This Row],[min value (corrected)]]-49)</f>
        <v>#NUM!</v>
      </c>
      <c r="C179" t="e">
        <f>MINUTE(Table146810[[#This Row],[Corrected time]])</f>
        <v>#NUM!</v>
      </c>
      <c r="D179" s="1"/>
      <c r="E179" s="1">
        <f>Table146810[[#This Row],[Time]]-TIME(0,0,8)</f>
        <v>-9.2592592592592588E-5</v>
      </c>
      <c r="H179" t="e">
        <f t="shared" si="10"/>
        <v>#VALUE!</v>
      </c>
      <c r="L179" t="e">
        <f>480+2*(Table257911[[#This Row],[min value (corrected)]]-49)</f>
        <v>#NUM!</v>
      </c>
      <c r="M179" t="e">
        <f>MINUTE(Table257911[[#This Row],[Corrected time]])</f>
        <v>#NUM!</v>
      </c>
      <c r="N179" s="1"/>
      <c r="O179" s="1">
        <f>Table257911[[#This Row],[Time]]-TIME(0,0,4)</f>
        <v>-4.6296296296296294E-5</v>
      </c>
      <c r="R179">
        <f>Table257911[[#This Row],[RSSI]]</f>
        <v>0</v>
      </c>
    </row>
    <row r="180" spans="2:18" x14ac:dyDescent="0.25">
      <c r="B180" t="e">
        <f>480+2*(Table146810[[#This Row],[min value (corrected)]]-49)</f>
        <v>#NUM!</v>
      </c>
      <c r="C180" t="e">
        <f>MINUTE(Table146810[[#This Row],[Corrected time]])</f>
        <v>#NUM!</v>
      </c>
      <c r="D180" s="1"/>
      <c r="E180" s="1">
        <f>Table146810[[#This Row],[Time]]-TIME(0,0,8)</f>
        <v>-9.2592592592592588E-5</v>
      </c>
      <c r="H180" t="e">
        <f t="shared" si="10"/>
        <v>#VALUE!</v>
      </c>
      <c r="L180" t="e">
        <f>480+2*(Table257911[[#This Row],[min value (corrected)]]-49)</f>
        <v>#NUM!</v>
      </c>
      <c r="M180" t="e">
        <f>MINUTE(Table257911[[#This Row],[Corrected time]])</f>
        <v>#NUM!</v>
      </c>
      <c r="N180" s="1"/>
      <c r="O180" s="1">
        <f>Table257911[[#This Row],[Time]]-TIME(0,0,4)</f>
        <v>-4.6296296296296294E-5</v>
      </c>
      <c r="R180">
        <f>Table257911[[#This Row],[RSSI]]</f>
        <v>0</v>
      </c>
    </row>
    <row r="181" spans="2:18" x14ac:dyDescent="0.25">
      <c r="B181" t="e">
        <f>480+2*(Table146810[[#This Row],[min value (corrected)]]-49)</f>
        <v>#NUM!</v>
      </c>
      <c r="C181" t="e">
        <f>MINUTE(Table146810[[#This Row],[Corrected time]])</f>
        <v>#NUM!</v>
      </c>
      <c r="D181" s="1"/>
      <c r="E181" s="1">
        <f>Table146810[[#This Row],[Time]]-TIME(0,0,8)</f>
        <v>-9.2592592592592588E-5</v>
      </c>
      <c r="H181" t="e">
        <f t="shared" si="10"/>
        <v>#VALUE!</v>
      </c>
      <c r="L181" t="e">
        <f>480+2*(Table257911[[#This Row],[min value (corrected)]]-49)</f>
        <v>#NUM!</v>
      </c>
      <c r="M181" t="e">
        <f>MINUTE(Table257911[[#This Row],[Corrected time]])</f>
        <v>#NUM!</v>
      </c>
      <c r="N181" s="1"/>
      <c r="O181" s="1">
        <f>Table257911[[#This Row],[Time]]-TIME(0,0,4)</f>
        <v>-4.6296296296296294E-5</v>
      </c>
      <c r="R181">
        <f>Table257911[[#This Row],[RSSI]]</f>
        <v>0</v>
      </c>
    </row>
    <row r="182" spans="2:18" x14ac:dyDescent="0.25">
      <c r="B182" t="e">
        <f>480+2*(Table146810[[#This Row],[min value (corrected)]]-49)</f>
        <v>#NUM!</v>
      </c>
      <c r="C182" t="e">
        <f>MINUTE(Table146810[[#This Row],[Corrected time]])</f>
        <v>#NUM!</v>
      </c>
      <c r="D182" s="1"/>
      <c r="E182" s="1">
        <f>Table146810[[#This Row],[Time]]-TIME(0,0,8)</f>
        <v>-9.2592592592592588E-5</v>
      </c>
      <c r="H182" t="e">
        <f t="shared" si="10"/>
        <v>#VALUE!</v>
      </c>
      <c r="L182" t="e">
        <f>480+2*(Table257911[[#This Row],[min value (corrected)]]-49)</f>
        <v>#NUM!</v>
      </c>
      <c r="M182" t="e">
        <f>MINUTE(Table257911[[#This Row],[Corrected time]])</f>
        <v>#NUM!</v>
      </c>
      <c r="N182" s="1"/>
      <c r="O182" s="1">
        <f>Table257911[[#This Row],[Time]]-TIME(0,0,4)</f>
        <v>-4.6296296296296294E-5</v>
      </c>
      <c r="R182">
        <f>Table257911[[#This Row],[RSSI]]</f>
        <v>0</v>
      </c>
    </row>
    <row r="183" spans="2:18" x14ac:dyDescent="0.25">
      <c r="B183" t="e">
        <f>480+2*(Table146810[[#This Row],[min value (corrected)]]-49)</f>
        <v>#NUM!</v>
      </c>
      <c r="C183" t="e">
        <f>MINUTE(Table146810[[#This Row],[Corrected time]])</f>
        <v>#NUM!</v>
      </c>
      <c r="D183" s="1"/>
      <c r="E183" s="1">
        <f>Table146810[[#This Row],[Time]]-TIME(0,0,8)</f>
        <v>-9.2592592592592588E-5</v>
      </c>
      <c r="H183" t="e">
        <f t="shared" si="10"/>
        <v>#VALUE!</v>
      </c>
      <c r="L183" t="e">
        <f>480+2*(Table257911[[#This Row],[min value (corrected)]]-49)</f>
        <v>#NUM!</v>
      </c>
      <c r="M183" t="e">
        <f>MINUTE(Table257911[[#This Row],[Corrected time]])</f>
        <v>#NUM!</v>
      </c>
      <c r="N183" s="1"/>
      <c r="O183" s="1">
        <f>Table257911[[#This Row],[Time]]-TIME(0,0,4)</f>
        <v>-4.6296296296296294E-5</v>
      </c>
      <c r="R183">
        <f>Table257911[[#This Row],[RSSI]]</f>
        <v>0</v>
      </c>
    </row>
    <row r="184" spans="2:18" x14ac:dyDescent="0.25">
      <c r="B184" t="e">
        <f>480+2*(Table146810[[#This Row],[min value (corrected)]]-49)</f>
        <v>#NUM!</v>
      </c>
      <c r="C184" t="e">
        <f>MINUTE(Table146810[[#This Row],[Corrected time]])</f>
        <v>#NUM!</v>
      </c>
      <c r="D184" s="1"/>
      <c r="E184" s="1">
        <f>Table146810[[#This Row],[Time]]-TIME(0,0,8)</f>
        <v>-9.2592592592592588E-5</v>
      </c>
      <c r="H184" t="e">
        <f t="shared" si="10"/>
        <v>#VALUE!</v>
      </c>
      <c r="L184" t="e">
        <f>480+2*(Table257911[[#This Row],[min value (corrected)]]-49)</f>
        <v>#NUM!</v>
      </c>
      <c r="M184" t="e">
        <f>MINUTE(Table257911[[#This Row],[Corrected time]])</f>
        <v>#NUM!</v>
      </c>
      <c r="N184" s="1"/>
      <c r="O184" s="1">
        <f>Table257911[[#This Row],[Time]]-TIME(0,0,4)</f>
        <v>-4.6296296296296294E-5</v>
      </c>
      <c r="R184">
        <f>Table257911[[#This Row],[RSSI]]</f>
        <v>0</v>
      </c>
    </row>
    <row r="185" spans="2:18" x14ac:dyDescent="0.25">
      <c r="B185" t="e">
        <f>480+2*(Table146810[[#This Row],[min value (corrected)]]-49)</f>
        <v>#NUM!</v>
      </c>
      <c r="C185" t="e">
        <f>MINUTE(Table146810[[#This Row],[Corrected time]])</f>
        <v>#NUM!</v>
      </c>
      <c r="D185" s="1"/>
      <c r="E185" s="1">
        <f>Table146810[[#This Row],[Time]]-TIME(0,0,8)</f>
        <v>-9.2592592592592588E-5</v>
      </c>
      <c r="H185" t="e">
        <f t="shared" si="10"/>
        <v>#VALUE!</v>
      </c>
      <c r="L185" t="e">
        <f>480+2*(Table257911[[#This Row],[min value (corrected)]]-49)</f>
        <v>#NUM!</v>
      </c>
      <c r="M185" t="e">
        <f>MINUTE(Table257911[[#This Row],[Corrected time]])</f>
        <v>#NUM!</v>
      </c>
      <c r="N185" s="1"/>
      <c r="O185" s="1">
        <f>Table257911[[#This Row],[Time]]-TIME(0,0,4)</f>
        <v>-4.6296296296296294E-5</v>
      </c>
      <c r="R185">
        <f>Table257911[[#This Row],[RSSI]]</f>
        <v>0</v>
      </c>
    </row>
    <row r="186" spans="2:18" x14ac:dyDescent="0.25">
      <c r="B186" t="e">
        <f>480+2*(Table146810[[#This Row],[min value (corrected)]]-49)</f>
        <v>#NUM!</v>
      </c>
      <c r="C186" t="e">
        <f>MINUTE(Table146810[[#This Row],[Corrected time]])</f>
        <v>#NUM!</v>
      </c>
      <c r="D186" s="1"/>
      <c r="E186" s="1">
        <f>Table146810[[#This Row],[Time]]-TIME(0,0,8)</f>
        <v>-9.2592592592592588E-5</v>
      </c>
      <c r="H186" t="e">
        <f t="shared" si="10"/>
        <v>#VALUE!</v>
      </c>
      <c r="L186" t="e">
        <f>480+2*(Table257911[[#This Row],[min value (corrected)]]-49)</f>
        <v>#NUM!</v>
      </c>
      <c r="M186" t="e">
        <f>MINUTE(Table257911[[#This Row],[Corrected time]])</f>
        <v>#NUM!</v>
      </c>
      <c r="N186" s="1"/>
      <c r="O186" s="1">
        <f>Table257911[[#This Row],[Time]]-TIME(0,0,4)</f>
        <v>-4.6296296296296294E-5</v>
      </c>
      <c r="R186">
        <f>Table257911[[#This Row],[RSSI]]</f>
        <v>0</v>
      </c>
    </row>
    <row r="187" spans="2:18" x14ac:dyDescent="0.25">
      <c r="B187" t="e">
        <f>480+2*(Table146810[[#This Row],[min value (corrected)]]-49)</f>
        <v>#NUM!</v>
      </c>
      <c r="C187" t="e">
        <f>MINUTE(Table146810[[#This Row],[Corrected time]])</f>
        <v>#NUM!</v>
      </c>
      <c r="D187" s="1"/>
      <c r="E187" s="1">
        <f>Table146810[[#This Row],[Time]]-TIME(0,0,8)</f>
        <v>-9.2592592592592588E-5</v>
      </c>
      <c r="H187" t="e">
        <f t="shared" si="10"/>
        <v>#VALUE!</v>
      </c>
      <c r="L187" t="e">
        <f>480+2*(Table257911[[#This Row],[min value (corrected)]]-49)</f>
        <v>#NUM!</v>
      </c>
      <c r="M187" t="e">
        <f>MINUTE(Table257911[[#This Row],[Corrected time]])</f>
        <v>#NUM!</v>
      </c>
      <c r="N187" s="1"/>
      <c r="O187" s="1">
        <f>Table257911[[#This Row],[Time]]-TIME(0,0,4)</f>
        <v>-4.6296296296296294E-5</v>
      </c>
      <c r="R187">
        <f>Table257911[[#This Row],[RSSI]]</f>
        <v>0</v>
      </c>
    </row>
    <row r="188" spans="2:18" x14ac:dyDescent="0.25">
      <c r="B188" t="e">
        <f>480+2*(Table146810[[#This Row],[min value (corrected)]]-49)</f>
        <v>#NUM!</v>
      </c>
      <c r="C188" t="e">
        <f>MINUTE(Table146810[[#This Row],[Corrected time]])</f>
        <v>#NUM!</v>
      </c>
      <c r="D188" s="1"/>
      <c r="E188" s="1">
        <f>Table146810[[#This Row],[Time]]-TIME(0,0,8)</f>
        <v>-9.2592592592592588E-5</v>
      </c>
      <c r="H188" t="e">
        <f t="shared" si="10"/>
        <v>#VALUE!</v>
      </c>
      <c r="L188" t="e">
        <f>480+2*(Table257911[[#This Row],[min value (corrected)]]-49)</f>
        <v>#NUM!</v>
      </c>
      <c r="M188" t="e">
        <f>MINUTE(Table257911[[#This Row],[Corrected time]])</f>
        <v>#NUM!</v>
      </c>
      <c r="N188" s="1"/>
      <c r="O188" s="1">
        <f>Table257911[[#This Row],[Time]]-TIME(0,0,4)</f>
        <v>-4.6296296296296294E-5</v>
      </c>
      <c r="R188">
        <f>Table257911[[#This Row],[RSSI]]</f>
        <v>0</v>
      </c>
    </row>
    <row r="189" spans="2:18" x14ac:dyDescent="0.25">
      <c r="B189" t="e">
        <f>480+2*(Table146810[[#This Row],[min value (corrected)]]-49)</f>
        <v>#NUM!</v>
      </c>
      <c r="C189" t="e">
        <f>MINUTE(Table146810[[#This Row],[Corrected time]])</f>
        <v>#NUM!</v>
      </c>
      <c r="D189" s="1"/>
      <c r="E189" s="1">
        <f>Table146810[[#This Row],[Time]]-TIME(0,0,8)</f>
        <v>-9.2592592592592588E-5</v>
      </c>
      <c r="H189" t="e">
        <f t="shared" si="10"/>
        <v>#VALUE!</v>
      </c>
      <c r="L189" t="e">
        <f>480+2*(Table257911[[#This Row],[min value (corrected)]]-49)</f>
        <v>#NUM!</v>
      </c>
      <c r="M189" t="e">
        <f>MINUTE(Table257911[[#This Row],[Corrected time]])</f>
        <v>#NUM!</v>
      </c>
      <c r="N189" s="1"/>
      <c r="O189" s="1">
        <f>Table257911[[#This Row],[Time]]-TIME(0,0,4)</f>
        <v>-4.6296296296296294E-5</v>
      </c>
      <c r="R189">
        <f>Table257911[[#This Row],[RSSI]]</f>
        <v>0</v>
      </c>
    </row>
    <row r="190" spans="2:18" x14ac:dyDescent="0.25">
      <c r="B190" t="e">
        <f>480+2*(Table146810[[#This Row],[min value (corrected)]]-49)</f>
        <v>#NUM!</v>
      </c>
      <c r="C190" t="e">
        <f>MINUTE(Table146810[[#This Row],[Corrected time]])</f>
        <v>#NUM!</v>
      </c>
      <c r="D190" s="1"/>
      <c r="E190" s="1">
        <f>Table146810[[#This Row],[Time]]-TIME(0,0,8)</f>
        <v>-9.2592592592592588E-5</v>
      </c>
      <c r="H190" t="e">
        <f t="shared" si="10"/>
        <v>#VALUE!</v>
      </c>
      <c r="L190" t="e">
        <f>480+2*(Table257911[[#This Row],[min value (corrected)]]-49)</f>
        <v>#NUM!</v>
      </c>
      <c r="M190" t="e">
        <f>MINUTE(Table257911[[#This Row],[Corrected time]])</f>
        <v>#NUM!</v>
      </c>
      <c r="N190" s="1"/>
      <c r="O190" s="1">
        <f>Table257911[[#This Row],[Time]]-TIME(0,0,4)</f>
        <v>-4.6296296296296294E-5</v>
      </c>
      <c r="R190">
        <f>Table257911[[#This Row],[RSSI]]</f>
        <v>0</v>
      </c>
    </row>
    <row r="191" spans="2:18" x14ac:dyDescent="0.25">
      <c r="B191" t="e">
        <f>480+2*(Table146810[[#This Row],[min value (corrected)]]-49)</f>
        <v>#NUM!</v>
      </c>
      <c r="C191" t="e">
        <f>MINUTE(Table146810[[#This Row],[Corrected time]])</f>
        <v>#NUM!</v>
      </c>
      <c r="D191" s="1"/>
      <c r="E191" s="1">
        <f>Table146810[[#This Row],[Time]]-TIME(0,0,8)</f>
        <v>-9.2592592592592588E-5</v>
      </c>
      <c r="H191" t="e">
        <f t="shared" si="10"/>
        <v>#VALUE!</v>
      </c>
      <c r="L191" t="e">
        <f>480+2*(Table257911[[#This Row],[min value (corrected)]]-49)</f>
        <v>#NUM!</v>
      </c>
      <c r="M191" t="e">
        <f>MINUTE(Table257911[[#This Row],[Corrected time]])</f>
        <v>#NUM!</v>
      </c>
      <c r="N191" s="1"/>
      <c r="O191" s="1">
        <f>Table257911[[#This Row],[Time]]-TIME(0,0,4)</f>
        <v>-4.6296296296296294E-5</v>
      </c>
      <c r="R191">
        <f>Table257911[[#This Row],[RSSI]]</f>
        <v>0</v>
      </c>
    </row>
    <row r="192" spans="2:18" x14ac:dyDescent="0.25">
      <c r="B192" t="e">
        <f>480+2*(Table146810[[#This Row],[min value (corrected)]]-49)</f>
        <v>#NUM!</v>
      </c>
      <c r="C192" t="e">
        <f>MINUTE(Table146810[[#This Row],[Corrected time]])</f>
        <v>#NUM!</v>
      </c>
      <c r="D192" s="1"/>
      <c r="E192" s="1">
        <f>Table146810[[#This Row],[Time]]-TIME(0,0,8)</f>
        <v>-9.2592592592592588E-5</v>
      </c>
      <c r="H192" t="e">
        <f t="shared" si="10"/>
        <v>#VALUE!</v>
      </c>
      <c r="L192" t="e">
        <f>480+2*(Table257911[[#This Row],[min value (corrected)]]-49)</f>
        <v>#NUM!</v>
      </c>
      <c r="M192" t="e">
        <f>MINUTE(Table257911[[#This Row],[Corrected time]])</f>
        <v>#NUM!</v>
      </c>
      <c r="N192" s="1"/>
      <c r="O192" s="1">
        <f>Table257911[[#This Row],[Time]]-TIME(0,0,4)</f>
        <v>-4.6296296296296294E-5</v>
      </c>
      <c r="R192">
        <f>Table257911[[#This Row],[RSSI]]</f>
        <v>0</v>
      </c>
    </row>
    <row r="193" spans="2:18" x14ac:dyDescent="0.25">
      <c r="B193" t="e">
        <f>480+2*(Table146810[[#This Row],[min value (corrected)]]-49)</f>
        <v>#NUM!</v>
      </c>
      <c r="C193" t="e">
        <f>MINUTE(Table146810[[#This Row],[Corrected time]])</f>
        <v>#NUM!</v>
      </c>
      <c r="D193" s="1"/>
      <c r="E193" s="1">
        <f>Table146810[[#This Row],[Time]]-TIME(0,0,8)</f>
        <v>-9.2592592592592588E-5</v>
      </c>
      <c r="H193" t="e">
        <f t="shared" si="10"/>
        <v>#VALUE!</v>
      </c>
      <c r="L193" t="e">
        <f>480+2*(Table257911[[#This Row],[min value (corrected)]]-49)</f>
        <v>#NUM!</v>
      </c>
      <c r="M193" t="e">
        <f>MINUTE(Table257911[[#This Row],[Corrected time]])</f>
        <v>#NUM!</v>
      </c>
      <c r="N193" s="1"/>
      <c r="O193" s="1">
        <f>Table257911[[#This Row],[Time]]-TIME(0,0,4)</f>
        <v>-4.6296296296296294E-5</v>
      </c>
      <c r="R193">
        <f>Table257911[[#This Row],[RSSI]]</f>
        <v>0</v>
      </c>
    </row>
    <row r="194" spans="2:18" x14ac:dyDescent="0.25">
      <c r="B194" t="e">
        <f>480+2*(Table146810[[#This Row],[min value (corrected)]]-49)</f>
        <v>#NUM!</v>
      </c>
      <c r="C194" t="e">
        <f>MINUTE(Table146810[[#This Row],[Corrected time]])</f>
        <v>#NUM!</v>
      </c>
      <c r="D194" s="1"/>
      <c r="E194" s="1">
        <f>Table146810[[#This Row],[Time]]-TIME(0,0,8)</f>
        <v>-9.2592592592592588E-5</v>
      </c>
      <c r="H194" t="e">
        <f t="shared" si="10"/>
        <v>#VALUE!</v>
      </c>
      <c r="L194" t="e">
        <f>480+2*(Table257911[[#This Row],[min value (corrected)]]-49)</f>
        <v>#NUM!</v>
      </c>
      <c r="M194" t="e">
        <f>MINUTE(Table257911[[#This Row],[Corrected time]])</f>
        <v>#NUM!</v>
      </c>
      <c r="N194" s="1"/>
      <c r="O194" s="1">
        <f>Table257911[[#This Row],[Time]]-TIME(0,0,4)</f>
        <v>-4.6296296296296294E-5</v>
      </c>
      <c r="R194">
        <f>Table257911[[#This Row],[RSSI]]</f>
        <v>0</v>
      </c>
    </row>
    <row r="195" spans="2:18" x14ac:dyDescent="0.25">
      <c r="B195" t="e">
        <f>480+2*(Table146810[[#This Row],[min value (corrected)]]-49)</f>
        <v>#NUM!</v>
      </c>
      <c r="C195" t="e">
        <f>MINUTE(Table146810[[#This Row],[Corrected time]])</f>
        <v>#NUM!</v>
      </c>
      <c r="D195" s="1"/>
      <c r="E195" s="1">
        <f>Table146810[[#This Row],[Time]]-TIME(0,0,8)</f>
        <v>-9.2592592592592588E-5</v>
      </c>
      <c r="H195" t="e">
        <f t="shared" si="10"/>
        <v>#VALUE!</v>
      </c>
      <c r="L195" t="e">
        <f>480+2*(Table257911[[#This Row],[min value (corrected)]]-49)</f>
        <v>#NUM!</v>
      </c>
      <c r="M195" t="e">
        <f>MINUTE(Table257911[[#This Row],[Corrected time]])</f>
        <v>#NUM!</v>
      </c>
      <c r="N195" s="1"/>
      <c r="O195" s="1">
        <f>Table257911[[#This Row],[Time]]-TIME(0,0,4)</f>
        <v>-4.6296296296296294E-5</v>
      </c>
      <c r="R195">
        <f>Table257911[[#This Row],[RSSI]]</f>
        <v>0</v>
      </c>
    </row>
    <row r="196" spans="2:18" x14ac:dyDescent="0.25">
      <c r="B196" t="e">
        <f>480+2*(Table146810[[#This Row],[min value (corrected)]]-49)</f>
        <v>#NUM!</v>
      </c>
      <c r="C196" t="e">
        <f>MINUTE(Table146810[[#This Row],[Corrected time]])</f>
        <v>#NUM!</v>
      </c>
      <c r="D196" s="1"/>
      <c r="E196" s="1">
        <f>Table146810[[#This Row],[Time]]-TIME(0,0,8)</f>
        <v>-9.2592592592592588E-5</v>
      </c>
      <c r="H196" t="e">
        <f t="shared" si="10"/>
        <v>#VALUE!</v>
      </c>
      <c r="L196" t="e">
        <f>480+2*(Table257911[[#This Row],[min value (corrected)]]-49)</f>
        <v>#NUM!</v>
      </c>
      <c r="M196" t="e">
        <f>MINUTE(Table257911[[#This Row],[Corrected time]])</f>
        <v>#NUM!</v>
      </c>
      <c r="N196" s="1"/>
      <c r="O196" s="1">
        <f>Table257911[[#This Row],[Time]]-TIME(0,0,4)</f>
        <v>-4.6296296296296294E-5</v>
      </c>
      <c r="R196">
        <f>Table257911[[#This Row],[RSSI]]</f>
        <v>0</v>
      </c>
    </row>
    <row r="197" spans="2:18" x14ac:dyDescent="0.25">
      <c r="B197" t="e">
        <f>480+2*(Table146810[[#This Row],[min value (corrected)]]-49)</f>
        <v>#NUM!</v>
      </c>
      <c r="C197" t="e">
        <f>MINUTE(Table146810[[#This Row],[Corrected time]])</f>
        <v>#NUM!</v>
      </c>
      <c r="D197" s="1"/>
      <c r="E197" s="1">
        <f>Table146810[[#This Row],[Time]]-TIME(0,0,8)</f>
        <v>-9.2592592592592588E-5</v>
      </c>
      <c r="H197" t="e">
        <f t="shared" si="10"/>
        <v>#VALUE!</v>
      </c>
      <c r="L197" t="e">
        <f>480+2*(Table257911[[#This Row],[min value (corrected)]]-49)</f>
        <v>#NUM!</v>
      </c>
      <c r="M197" t="e">
        <f>MINUTE(Table257911[[#This Row],[Corrected time]])</f>
        <v>#NUM!</v>
      </c>
      <c r="N197" s="1"/>
      <c r="O197" s="1">
        <f>Table257911[[#This Row],[Time]]-TIME(0,0,4)</f>
        <v>-4.6296296296296294E-5</v>
      </c>
      <c r="R197">
        <f>Table257911[[#This Row],[RSSI]]</f>
        <v>0</v>
      </c>
    </row>
    <row r="198" spans="2:18" x14ac:dyDescent="0.25">
      <c r="B198" t="e">
        <f>480+2*(Table146810[[#This Row],[min value (corrected)]]-49)</f>
        <v>#NUM!</v>
      </c>
      <c r="C198" t="e">
        <f>MINUTE(Table146810[[#This Row],[Corrected time]])</f>
        <v>#NUM!</v>
      </c>
      <c r="D198" s="1"/>
      <c r="E198" s="1">
        <f>Table146810[[#This Row],[Time]]-TIME(0,0,8)</f>
        <v>-9.2592592592592588E-5</v>
      </c>
      <c r="H198" t="e">
        <f t="shared" si="10"/>
        <v>#VALUE!</v>
      </c>
      <c r="L198" t="e">
        <f>480+2*(Table257911[[#This Row],[min value (corrected)]]-49)</f>
        <v>#NUM!</v>
      </c>
      <c r="M198" t="e">
        <f>MINUTE(Table257911[[#This Row],[Corrected time]])</f>
        <v>#NUM!</v>
      </c>
      <c r="N198" s="1"/>
      <c r="O198" s="1">
        <f>Table257911[[#This Row],[Time]]-TIME(0,0,4)</f>
        <v>-4.6296296296296294E-5</v>
      </c>
      <c r="R198">
        <f>Table257911[[#This Row],[RSSI]]</f>
        <v>0</v>
      </c>
    </row>
    <row r="199" spans="2:18" x14ac:dyDescent="0.25">
      <c r="B199" t="e">
        <f>480+2*(Table146810[[#This Row],[min value (corrected)]]-49)</f>
        <v>#NUM!</v>
      </c>
      <c r="C199" t="e">
        <f>MINUTE(Table146810[[#This Row],[Corrected time]])</f>
        <v>#NUM!</v>
      </c>
      <c r="D199" s="1"/>
      <c r="E199" s="1">
        <f>Table146810[[#This Row],[Time]]-TIME(0,0,8)</f>
        <v>-9.2592592592592588E-5</v>
      </c>
      <c r="H199" t="e">
        <f t="shared" si="10"/>
        <v>#VALUE!</v>
      </c>
      <c r="L199" t="e">
        <f>480+2*(Table257911[[#This Row],[min value (corrected)]]-49)</f>
        <v>#NUM!</v>
      </c>
      <c r="M199" t="e">
        <f>MINUTE(Table257911[[#This Row],[Corrected time]])</f>
        <v>#NUM!</v>
      </c>
      <c r="N199" s="1"/>
      <c r="O199" s="1">
        <f>Table257911[[#This Row],[Time]]-TIME(0,0,4)</f>
        <v>-4.6296296296296294E-5</v>
      </c>
      <c r="R199">
        <f>Table257911[[#This Row],[RSSI]]</f>
        <v>0</v>
      </c>
    </row>
    <row r="200" spans="2:18" x14ac:dyDescent="0.25">
      <c r="B200" t="e">
        <f>480+2*(Table146810[[#This Row],[min value (corrected)]]-49)</f>
        <v>#NUM!</v>
      </c>
      <c r="C200" t="e">
        <f>MINUTE(Table146810[[#This Row],[Corrected time]])</f>
        <v>#NUM!</v>
      </c>
      <c r="D200" s="1"/>
      <c r="E200" s="1">
        <f>Table146810[[#This Row],[Time]]-TIME(0,0,8)</f>
        <v>-9.2592592592592588E-5</v>
      </c>
      <c r="H200" t="e">
        <f t="shared" si="10"/>
        <v>#VALUE!</v>
      </c>
      <c r="L200" t="e">
        <f>480+2*(Table257911[[#This Row],[min value (corrected)]]-49)</f>
        <v>#NUM!</v>
      </c>
      <c r="M200" t="e">
        <f>MINUTE(Table257911[[#This Row],[Corrected time]])</f>
        <v>#NUM!</v>
      </c>
      <c r="N200" s="1"/>
      <c r="O200" s="1">
        <f>Table257911[[#This Row],[Time]]-TIME(0,0,4)</f>
        <v>-4.6296296296296294E-5</v>
      </c>
      <c r="R200">
        <f>Table257911[[#This Row],[RSSI]]</f>
        <v>0</v>
      </c>
    </row>
    <row r="201" spans="2:18" x14ac:dyDescent="0.25">
      <c r="B201" t="e">
        <f>480+2*(Table146810[[#This Row],[min value (corrected)]]-49)</f>
        <v>#NUM!</v>
      </c>
      <c r="C201" t="e">
        <f>MINUTE(Table146810[[#This Row],[Corrected time]])</f>
        <v>#NUM!</v>
      </c>
      <c r="D201" s="1"/>
      <c r="E201" s="1">
        <f>Table146810[[#This Row],[Time]]-TIME(0,0,8)</f>
        <v>-9.2592592592592588E-5</v>
      </c>
      <c r="H201" t="e">
        <f t="shared" si="10"/>
        <v>#VALUE!</v>
      </c>
      <c r="L201" t="e">
        <f>480+2*(Table257911[[#This Row],[min value (corrected)]]-49)</f>
        <v>#NUM!</v>
      </c>
      <c r="M201" t="e">
        <f>MINUTE(Table257911[[#This Row],[Corrected time]])</f>
        <v>#NUM!</v>
      </c>
      <c r="N201" s="1"/>
      <c r="O201" s="1">
        <f>Table257911[[#This Row],[Time]]-TIME(0,0,4)</f>
        <v>-4.6296296296296294E-5</v>
      </c>
      <c r="R201">
        <f>Table257911[[#This Row],[RSSI]]</f>
        <v>0</v>
      </c>
    </row>
    <row r="202" spans="2:18" x14ac:dyDescent="0.25">
      <c r="B202" t="e">
        <f>480+2*(Table146810[[#This Row],[min value (corrected)]]-49)</f>
        <v>#NUM!</v>
      </c>
      <c r="C202" t="e">
        <f>MINUTE(Table146810[[#This Row],[Corrected time]])</f>
        <v>#NUM!</v>
      </c>
      <c r="D202" s="1"/>
      <c r="E202" s="1">
        <f>Table146810[[#This Row],[Time]]-TIME(0,0,8)</f>
        <v>-9.2592592592592588E-5</v>
      </c>
      <c r="H202" t="e">
        <f t="shared" si="10"/>
        <v>#VALUE!</v>
      </c>
      <c r="L202" t="e">
        <f>480+2*(Table257911[[#This Row],[min value (corrected)]]-49)</f>
        <v>#NUM!</v>
      </c>
      <c r="M202" t="e">
        <f>MINUTE(Table257911[[#This Row],[Corrected time]])</f>
        <v>#NUM!</v>
      </c>
      <c r="N202" s="1"/>
      <c r="O202" s="1">
        <f>Table257911[[#This Row],[Time]]-TIME(0,0,4)</f>
        <v>-4.6296296296296294E-5</v>
      </c>
      <c r="R202">
        <f>Table257911[[#This Row],[RSSI]]</f>
        <v>0</v>
      </c>
    </row>
    <row r="203" spans="2:18" x14ac:dyDescent="0.25">
      <c r="B203" t="e">
        <f>480+2*(Table146810[[#This Row],[min value (corrected)]]-49)</f>
        <v>#NUM!</v>
      </c>
      <c r="C203" t="e">
        <f>MINUTE(Table146810[[#This Row],[Corrected time]])</f>
        <v>#NUM!</v>
      </c>
      <c r="D203" s="1"/>
      <c r="E203" s="1">
        <f>Table146810[[#This Row],[Time]]-TIME(0,0,8)</f>
        <v>-9.2592592592592588E-5</v>
      </c>
      <c r="H203" t="e">
        <f t="shared" si="10"/>
        <v>#VALUE!</v>
      </c>
      <c r="L203" t="e">
        <f>480+2*(Table257911[[#This Row],[min value (corrected)]]-49)</f>
        <v>#NUM!</v>
      </c>
      <c r="M203" t="e">
        <f>MINUTE(Table257911[[#This Row],[Corrected time]])</f>
        <v>#NUM!</v>
      </c>
      <c r="N203" s="1"/>
      <c r="O203" s="1">
        <f>Table257911[[#This Row],[Time]]-TIME(0,0,4)</f>
        <v>-4.6296296296296294E-5</v>
      </c>
      <c r="R203">
        <f>Table257911[[#This Row],[RSSI]]</f>
        <v>0</v>
      </c>
    </row>
    <row r="204" spans="2:18" x14ac:dyDescent="0.25">
      <c r="B204" t="e">
        <f>480+2*(Table146810[[#This Row],[min value (corrected)]]-49)</f>
        <v>#NUM!</v>
      </c>
      <c r="C204" t="e">
        <f>MINUTE(Table146810[[#This Row],[Corrected time]])</f>
        <v>#NUM!</v>
      </c>
      <c r="D204" s="1"/>
      <c r="E204" s="1">
        <f>Table146810[[#This Row],[Time]]-TIME(0,0,8)</f>
        <v>-9.2592592592592588E-5</v>
      </c>
      <c r="H204" t="e">
        <f t="shared" si="10"/>
        <v>#VALUE!</v>
      </c>
      <c r="L204" t="e">
        <f>480+2*(Table257911[[#This Row],[min value (corrected)]]-49)</f>
        <v>#NUM!</v>
      </c>
      <c r="M204" t="e">
        <f>MINUTE(Table257911[[#This Row],[Corrected time]])</f>
        <v>#NUM!</v>
      </c>
      <c r="N204" s="1"/>
      <c r="O204" s="1">
        <f>Table257911[[#This Row],[Time]]-TIME(0,0,4)</f>
        <v>-4.6296296296296294E-5</v>
      </c>
      <c r="R204">
        <f>Table257911[[#This Row],[RSSI]]</f>
        <v>0</v>
      </c>
    </row>
    <row r="205" spans="2:18" x14ac:dyDescent="0.25">
      <c r="B205" t="e">
        <f>480+2*(Table146810[[#This Row],[min value (corrected)]]-49)</f>
        <v>#NUM!</v>
      </c>
      <c r="C205" t="e">
        <f>MINUTE(Table146810[[#This Row],[Corrected time]])</f>
        <v>#NUM!</v>
      </c>
      <c r="D205" s="1"/>
      <c r="E205" s="1">
        <f>Table146810[[#This Row],[Time]]-TIME(0,0,8)</f>
        <v>-9.2592592592592588E-5</v>
      </c>
      <c r="H205" t="e">
        <f t="shared" si="10"/>
        <v>#VALUE!</v>
      </c>
      <c r="L205" t="e">
        <f>480+2*(Table257911[[#This Row],[min value (corrected)]]-49)</f>
        <v>#NUM!</v>
      </c>
      <c r="M205" t="e">
        <f>MINUTE(Table257911[[#This Row],[Corrected time]])</f>
        <v>#NUM!</v>
      </c>
      <c r="N205" s="1"/>
      <c r="O205" s="1">
        <f>Table257911[[#This Row],[Time]]-TIME(0,0,4)</f>
        <v>-4.6296296296296294E-5</v>
      </c>
      <c r="R205">
        <f>Table257911[[#This Row],[RSSI]]</f>
        <v>0</v>
      </c>
    </row>
    <row r="206" spans="2:18" x14ac:dyDescent="0.25">
      <c r="B206" t="e">
        <f>480+2*(Table146810[[#This Row],[min value (corrected)]]-49)</f>
        <v>#NUM!</v>
      </c>
      <c r="C206" t="e">
        <f>MINUTE(Table146810[[#This Row],[Corrected time]])</f>
        <v>#NUM!</v>
      </c>
      <c r="D206" s="1"/>
      <c r="E206" s="1">
        <f>Table146810[[#This Row],[Time]]-TIME(0,0,8)</f>
        <v>-9.2592592592592588E-5</v>
      </c>
      <c r="H206" t="e">
        <f t="shared" si="10"/>
        <v>#VALUE!</v>
      </c>
      <c r="L206" t="e">
        <f>480+2*(Table257911[[#This Row],[min value (corrected)]]-49)</f>
        <v>#NUM!</v>
      </c>
      <c r="M206" t="e">
        <f>MINUTE(Table257911[[#This Row],[Corrected time]])</f>
        <v>#NUM!</v>
      </c>
      <c r="N206" s="1"/>
      <c r="O206" s="1">
        <f>Table257911[[#This Row],[Time]]-TIME(0,0,4)</f>
        <v>-4.6296296296296294E-5</v>
      </c>
      <c r="R206">
        <f>Table257911[[#This Row],[RSSI]]</f>
        <v>0</v>
      </c>
    </row>
    <row r="207" spans="2:18" x14ac:dyDescent="0.25">
      <c r="B207" t="e">
        <f>480+2*(Table146810[[#This Row],[min value (corrected)]]-49)</f>
        <v>#NUM!</v>
      </c>
      <c r="C207" t="e">
        <f>MINUTE(Table146810[[#This Row],[Corrected time]])</f>
        <v>#NUM!</v>
      </c>
      <c r="D207" s="1"/>
      <c r="E207" s="1">
        <f>Table146810[[#This Row],[Time]]-TIME(0,0,8)</f>
        <v>-9.2592592592592588E-5</v>
      </c>
      <c r="H207" t="e">
        <f t="shared" si="10"/>
        <v>#VALUE!</v>
      </c>
      <c r="L207" t="e">
        <f>480+2*(Table257911[[#This Row],[min value (corrected)]]-49)</f>
        <v>#NUM!</v>
      </c>
      <c r="M207" t="e">
        <f>MINUTE(Table257911[[#This Row],[Corrected time]])</f>
        <v>#NUM!</v>
      </c>
      <c r="N207" s="1"/>
      <c r="O207" s="1">
        <f>Table257911[[#This Row],[Time]]-TIME(0,0,4)</f>
        <v>-4.6296296296296294E-5</v>
      </c>
      <c r="R207">
        <f>Table257911[[#This Row],[RSSI]]</f>
        <v>0</v>
      </c>
    </row>
    <row r="208" spans="2:18" x14ac:dyDescent="0.25">
      <c r="B208" t="e">
        <f>480+2*(Table146810[[#This Row],[min value (corrected)]]-49)</f>
        <v>#NUM!</v>
      </c>
      <c r="C208" t="e">
        <f>MINUTE(Table146810[[#This Row],[Corrected time]])</f>
        <v>#NUM!</v>
      </c>
      <c r="D208" s="1"/>
      <c r="E208" s="1">
        <f>Table146810[[#This Row],[Time]]-TIME(0,0,8)</f>
        <v>-9.2592592592592588E-5</v>
      </c>
      <c r="H208" t="e">
        <f t="shared" si="10"/>
        <v>#VALUE!</v>
      </c>
      <c r="L208" t="e">
        <f>480+2*(Table257911[[#This Row],[min value (corrected)]]-49)</f>
        <v>#NUM!</v>
      </c>
      <c r="M208" t="e">
        <f>MINUTE(Table257911[[#This Row],[Corrected time]])</f>
        <v>#NUM!</v>
      </c>
      <c r="N208" s="1"/>
      <c r="O208" s="1">
        <f>Table257911[[#This Row],[Time]]-TIME(0,0,4)</f>
        <v>-4.6296296296296294E-5</v>
      </c>
      <c r="R208">
        <f>Table257911[[#This Row],[RSSI]]</f>
        <v>0</v>
      </c>
    </row>
    <row r="209" spans="2:18" x14ac:dyDescent="0.25">
      <c r="B209" t="e">
        <f>480+2*(Table146810[[#This Row],[min value (corrected)]]-49)</f>
        <v>#NUM!</v>
      </c>
      <c r="C209" t="e">
        <f>MINUTE(Table146810[[#This Row],[Corrected time]])</f>
        <v>#NUM!</v>
      </c>
      <c r="D209" s="1"/>
      <c r="E209" s="1">
        <f>Table146810[[#This Row],[Time]]-TIME(0,0,8)</f>
        <v>-9.2592592592592588E-5</v>
      </c>
      <c r="H209" t="e">
        <f t="shared" si="10"/>
        <v>#VALUE!</v>
      </c>
      <c r="L209" t="e">
        <f>480+2*(Table257911[[#This Row],[min value (corrected)]]-49)</f>
        <v>#NUM!</v>
      </c>
      <c r="M209" t="e">
        <f>MINUTE(Table257911[[#This Row],[Corrected time]])</f>
        <v>#NUM!</v>
      </c>
      <c r="N209" s="1"/>
      <c r="O209" s="1">
        <f>Table257911[[#This Row],[Time]]-TIME(0,0,4)</f>
        <v>-4.6296296296296294E-5</v>
      </c>
      <c r="R209">
        <f>Table257911[[#This Row],[RSSI]]</f>
        <v>0</v>
      </c>
    </row>
    <row r="210" spans="2:18" x14ac:dyDescent="0.25">
      <c r="B210" t="e">
        <f>480+2*(Table146810[[#This Row],[min value (corrected)]]-49)</f>
        <v>#NUM!</v>
      </c>
      <c r="C210" t="e">
        <f>MINUTE(Table146810[[#This Row],[Corrected time]])</f>
        <v>#NUM!</v>
      </c>
      <c r="D210" s="1"/>
      <c r="E210" s="1">
        <f>Table146810[[#This Row],[Time]]-TIME(0,0,8)</f>
        <v>-9.2592592592592588E-5</v>
      </c>
      <c r="H210" t="e">
        <f t="shared" si="10"/>
        <v>#VALUE!</v>
      </c>
      <c r="L210" t="e">
        <f>480+2*(Table257911[[#This Row],[min value (corrected)]]-49)</f>
        <v>#NUM!</v>
      </c>
      <c r="M210" t="e">
        <f>MINUTE(Table257911[[#This Row],[Corrected time]])</f>
        <v>#NUM!</v>
      </c>
      <c r="N210" s="1"/>
      <c r="O210" s="1">
        <f>Table257911[[#This Row],[Time]]-TIME(0,0,4)</f>
        <v>-4.6296296296296294E-5</v>
      </c>
      <c r="R210">
        <f>Table257911[[#This Row],[RSSI]]</f>
        <v>0</v>
      </c>
    </row>
    <row r="211" spans="2:18" x14ac:dyDescent="0.25">
      <c r="B211" t="e">
        <f>480+2*(Table146810[[#This Row],[min value (corrected)]]-49)</f>
        <v>#NUM!</v>
      </c>
      <c r="C211" t="e">
        <f>MINUTE(Table146810[[#This Row],[Corrected time]])</f>
        <v>#NUM!</v>
      </c>
      <c r="D211" s="1"/>
      <c r="E211" s="1">
        <f>Table146810[[#This Row],[Time]]-TIME(0,0,8)</f>
        <v>-9.2592592592592588E-5</v>
      </c>
      <c r="H211" t="e">
        <f t="shared" si="10"/>
        <v>#VALUE!</v>
      </c>
      <c r="L211" t="e">
        <f>480+2*(Table257911[[#This Row],[min value (corrected)]]-49)</f>
        <v>#NUM!</v>
      </c>
      <c r="M211" t="e">
        <f>MINUTE(Table257911[[#This Row],[Corrected time]])</f>
        <v>#NUM!</v>
      </c>
      <c r="N211" s="1"/>
      <c r="O211" s="1">
        <f>Table257911[[#This Row],[Time]]-TIME(0,0,4)</f>
        <v>-4.6296296296296294E-5</v>
      </c>
      <c r="R211">
        <f>Table257911[[#This Row],[RSSI]]</f>
        <v>0</v>
      </c>
    </row>
    <row r="212" spans="2:18" x14ac:dyDescent="0.25">
      <c r="B212" t="e">
        <f>480+2*(Table146810[[#This Row],[min value (corrected)]]-49)</f>
        <v>#NUM!</v>
      </c>
      <c r="C212" t="e">
        <f>MINUTE(Table146810[[#This Row],[Corrected time]])</f>
        <v>#NUM!</v>
      </c>
      <c r="D212" s="1"/>
      <c r="E212" s="1">
        <f>Table146810[[#This Row],[Time]]-TIME(0,0,8)</f>
        <v>-9.2592592592592588E-5</v>
      </c>
      <c r="H212" t="e">
        <f t="shared" si="10"/>
        <v>#VALUE!</v>
      </c>
      <c r="L212" t="e">
        <f>480+2*(Table257911[[#This Row],[min value (corrected)]]-49)</f>
        <v>#NUM!</v>
      </c>
      <c r="M212" t="e">
        <f>MINUTE(Table257911[[#This Row],[Corrected time]])</f>
        <v>#NUM!</v>
      </c>
      <c r="N212" s="1"/>
      <c r="O212" s="1">
        <f>Table257911[[#This Row],[Time]]-TIME(0,0,4)</f>
        <v>-4.6296296296296294E-5</v>
      </c>
      <c r="R212">
        <f>Table257911[[#This Row],[RSSI]]</f>
        <v>0</v>
      </c>
    </row>
    <row r="213" spans="2:18" x14ac:dyDescent="0.25">
      <c r="B213" t="e">
        <f>480+2*(Table146810[[#This Row],[min value (corrected)]]-49)</f>
        <v>#NUM!</v>
      </c>
      <c r="C213" t="e">
        <f>MINUTE(Table146810[[#This Row],[Corrected time]])</f>
        <v>#NUM!</v>
      </c>
      <c r="D213" s="1"/>
      <c r="E213" s="1">
        <f>Table146810[[#This Row],[Time]]-TIME(0,0,8)</f>
        <v>-9.2592592592592588E-5</v>
      </c>
      <c r="H213" t="e">
        <f t="shared" si="10"/>
        <v>#VALUE!</v>
      </c>
      <c r="L213" t="e">
        <f>480+2*(Table257911[[#This Row],[min value (corrected)]]-49)</f>
        <v>#NUM!</v>
      </c>
      <c r="M213" t="e">
        <f>MINUTE(Table257911[[#This Row],[Corrected time]])</f>
        <v>#NUM!</v>
      </c>
      <c r="N213" s="1"/>
      <c r="O213" s="1">
        <f>Table257911[[#This Row],[Time]]-TIME(0,0,4)</f>
        <v>-4.6296296296296294E-5</v>
      </c>
      <c r="R213">
        <f>Table257911[[#This Row],[RSSI]]</f>
        <v>0</v>
      </c>
    </row>
    <row r="214" spans="2:18" x14ac:dyDescent="0.25">
      <c r="B214" t="e">
        <f>480+2*(Table146810[[#This Row],[min value (corrected)]]-49)</f>
        <v>#NUM!</v>
      </c>
      <c r="C214" t="e">
        <f>MINUTE(Table146810[[#This Row],[Corrected time]])</f>
        <v>#NUM!</v>
      </c>
      <c r="D214" s="1"/>
      <c r="E214" s="1">
        <f>Table146810[[#This Row],[Time]]-TIME(0,0,8)</f>
        <v>-9.2592592592592588E-5</v>
      </c>
      <c r="H214" t="e">
        <f t="shared" ref="H214:H277" si="11">VALUE(LEFT(G214,LEN(G214)-1))</f>
        <v>#VALUE!</v>
      </c>
      <c r="L214" t="e">
        <f>480+2*(Table257911[[#This Row],[min value (corrected)]]-49)</f>
        <v>#NUM!</v>
      </c>
      <c r="M214" t="e">
        <f>MINUTE(Table257911[[#This Row],[Corrected time]])</f>
        <v>#NUM!</v>
      </c>
      <c r="N214" s="1"/>
      <c r="O214" s="1">
        <f>Table257911[[#This Row],[Time]]-TIME(0,0,4)</f>
        <v>-4.6296296296296294E-5</v>
      </c>
      <c r="R214">
        <f>Table257911[[#This Row],[RSSI]]</f>
        <v>0</v>
      </c>
    </row>
    <row r="215" spans="2:18" x14ac:dyDescent="0.25">
      <c r="B215" t="e">
        <f>480+2*(Table146810[[#This Row],[min value (corrected)]]-49)</f>
        <v>#NUM!</v>
      </c>
      <c r="C215" t="e">
        <f>MINUTE(Table146810[[#This Row],[Corrected time]])</f>
        <v>#NUM!</v>
      </c>
      <c r="D215" s="1"/>
      <c r="E215" s="1">
        <f>Table146810[[#This Row],[Time]]-TIME(0,0,8)</f>
        <v>-9.2592592592592588E-5</v>
      </c>
      <c r="H215" t="e">
        <f t="shared" si="11"/>
        <v>#VALUE!</v>
      </c>
      <c r="L215" t="e">
        <f>480+2*(Table257911[[#This Row],[min value (corrected)]]-49)</f>
        <v>#NUM!</v>
      </c>
      <c r="M215" t="e">
        <f>MINUTE(Table257911[[#This Row],[Corrected time]])</f>
        <v>#NUM!</v>
      </c>
      <c r="N215" s="1"/>
      <c r="O215" s="1">
        <f>Table257911[[#This Row],[Time]]-TIME(0,0,4)</f>
        <v>-4.6296296296296294E-5</v>
      </c>
      <c r="R215">
        <f>Table257911[[#This Row],[RSSI]]</f>
        <v>0</v>
      </c>
    </row>
    <row r="216" spans="2:18" x14ac:dyDescent="0.25">
      <c r="B216" t="e">
        <f>480+2*(Table146810[[#This Row],[min value (corrected)]]-49)</f>
        <v>#NUM!</v>
      </c>
      <c r="C216" t="e">
        <f>MINUTE(Table146810[[#This Row],[Corrected time]])</f>
        <v>#NUM!</v>
      </c>
      <c r="D216" s="1"/>
      <c r="E216" s="1">
        <f>Table146810[[#This Row],[Time]]-TIME(0,0,8)</f>
        <v>-9.2592592592592588E-5</v>
      </c>
      <c r="H216" t="e">
        <f t="shared" si="11"/>
        <v>#VALUE!</v>
      </c>
      <c r="L216" t="e">
        <f>480+2*(Table257911[[#This Row],[min value (corrected)]]-49)</f>
        <v>#NUM!</v>
      </c>
      <c r="M216" t="e">
        <f>MINUTE(Table257911[[#This Row],[Corrected time]])</f>
        <v>#NUM!</v>
      </c>
      <c r="N216" s="1"/>
      <c r="O216" s="1">
        <f>Table257911[[#This Row],[Time]]-TIME(0,0,4)</f>
        <v>-4.6296296296296294E-5</v>
      </c>
      <c r="R216">
        <f>Table257911[[#This Row],[RSSI]]</f>
        <v>0</v>
      </c>
    </row>
    <row r="217" spans="2:18" x14ac:dyDescent="0.25">
      <c r="B217" t="e">
        <f>480+2*(Table146810[[#This Row],[min value (corrected)]]-49)</f>
        <v>#NUM!</v>
      </c>
      <c r="C217" t="e">
        <f>MINUTE(Table146810[[#This Row],[Corrected time]])</f>
        <v>#NUM!</v>
      </c>
      <c r="D217" s="1"/>
      <c r="E217" s="1">
        <f>Table146810[[#This Row],[Time]]-TIME(0,0,8)</f>
        <v>-9.2592592592592588E-5</v>
      </c>
      <c r="H217" t="e">
        <f t="shared" si="11"/>
        <v>#VALUE!</v>
      </c>
      <c r="L217" t="e">
        <f>480+2*(Table257911[[#This Row],[min value (corrected)]]-49)</f>
        <v>#NUM!</v>
      </c>
      <c r="M217" t="e">
        <f>MINUTE(Table257911[[#This Row],[Corrected time]])</f>
        <v>#NUM!</v>
      </c>
      <c r="N217" s="1"/>
      <c r="O217" s="1">
        <f>Table257911[[#This Row],[Time]]-TIME(0,0,4)</f>
        <v>-4.6296296296296294E-5</v>
      </c>
      <c r="R217">
        <f>Table257911[[#This Row],[RSSI]]</f>
        <v>0</v>
      </c>
    </row>
    <row r="218" spans="2:18" x14ac:dyDescent="0.25">
      <c r="B218" t="e">
        <f>480+2*(Table146810[[#This Row],[min value (corrected)]]-49)</f>
        <v>#NUM!</v>
      </c>
      <c r="C218" t="e">
        <f>MINUTE(Table146810[[#This Row],[Corrected time]])</f>
        <v>#NUM!</v>
      </c>
      <c r="D218" s="1"/>
      <c r="E218" s="1">
        <f>Table146810[[#This Row],[Time]]-TIME(0,0,8)</f>
        <v>-9.2592592592592588E-5</v>
      </c>
      <c r="H218" t="e">
        <f t="shared" si="11"/>
        <v>#VALUE!</v>
      </c>
      <c r="L218" t="e">
        <f>480+2*(Table257911[[#This Row],[min value (corrected)]]-49)</f>
        <v>#NUM!</v>
      </c>
      <c r="M218" t="e">
        <f>MINUTE(Table257911[[#This Row],[Corrected time]])</f>
        <v>#NUM!</v>
      </c>
      <c r="N218" s="1"/>
      <c r="O218" s="1">
        <f>Table257911[[#This Row],[Time]]-TIME(0,0,4)</f>
        <v>-4.6296296296296294E-5</v>
      </c>
      <c r="R218">
        <f>Table257911[[#This Row],[RSSI]]</f>
        <v>0</v>
      </c>
    </row>
    <row r="219" spans="2:18" x14ac:dyDescent="0.25">
      <c r="B219" t="e">
        <f>480+2*(Table146810[[#This Row],[min value (corrected)]]-49)</f>
        <v>#NUM!</v>
      </c>
      <c r="C219" t="e">
        <f>MINUTE(Table146810[[#This Row],[Corrected time]])</f>
        <v>#NUM!</v>
      </c>
      <c r="D219" s="1"/>
      <c r="E219" s="1">
        <f>Table146810[[#This Row],[Time]]-TIME(0,0,8)</f>
        <v>-9.2592592592592588E-5</v>
      </c>
      <c r="H219" t="e">
        <f t="shared" si="11"/>
        <v>#VALUE!</v>
      </c>
      <c r="L219" t="e">
        <f>480+2*(Table257911[[#This Row],[min value (corrected)]]-49)</f>
        <v>#NUM!</v>
      </c>
      <c r="M219" t="e">
        <f>MINUTE(Table257911[[#This Row],[Corrected time]])</f>
        <v>#NUM!</v>
      </c>
      <c r="N219" s="1"/>
      <c r="O219" s="1">
        <f>Table257911[[#This Row],[Time]]-TIME(0,0,4)</f>
        <v>-4.6296296296296294E-5</v>
      </c>
      <c r="R219">
        <f>Table257911[[#This Row],[RSSI]]</f>
        <v>0</v>
      </c>
    </row>
    <row r="220" spans="2:18" x14ac:dyDescent="0.25">
      <c r="B220" t="e">
        <f>480+2*(Table146810[[#This Row],[min value (corrected)]]-49)</f>
        <v>#NUM!</v>
      </c>
      <c r="C220" t="e">
        <f>MINUTE(Table146810[[#This Row],[Corrected time]])</f>
        <v>#NUM!</v>
      </c>
      <c r="D220" s="1"/>
      <c r="E220" s="1">
        <f>Table146810[[#This Row],[Time]]-TIME(0,0,8)</f>
        <v>-9.2592592592592588E-5</v>
      </c>
      <c r="H220" t="e">
        <f t="shared" si="11"/>
        <v>#VALUE!</v>
      </c>
      <c r="L220" t="e">
        <f>480+2*(Table257911[[#This Row],[min value (corrected)]]-49)</f>
        <v>#NUM!</v>
      </c>
      <c r="M220" t="e">
        <f>MINUTE(Table257911[[#This Row],[Corrected time]])</f>
        <v>#NUM!</v>
      </c>
      <c r="N220" s="1"/>
      <c r="O220" s="1">
        <f>Table257911[[#This Row],[Time]]-TIME(0,0,4)</f>
        <v>-4.6296296296296294E-5</v>
      </c>
      <c r="R220">
        <f>Table257911[[#This Row],[RSSI]]</f>
        <v>0</v>
      </c>
    </row>
    <row r="221" spans="2:18" x14ac:dyDescent="0.25">
      <c r="B221" t="e">
        <f>480+2*(Table146810[[#This Row],[min value (corrected)]]-49)</f>
        <v>#NUM!</v>
      </c>
      <c r="C221" t="e">
        <f>MINUTE(Table146810[[#This Row],[Corrected time]])</f>
        <v>#NUM!</v>
      </c>
      <c r="D221" s="1"/>
      <c r="E221" s="1">
        <f>Table146810[[#This Row],[Time]]-TIME(0,0,8)</f>
        <v>-9.2592592592592588E-5</v>
      </c>
      <c r="H221" t="e">
        <f t="shared" si="11"/>
        <v>#VALUE!</v>
      </c>
      <c r="L221" t="e">
        <f>480+2*(Table257911[[#This Row],[min value (corrected)]]-49)</f>
        <v>#NUM!</v>
      </c>
      <c r="M221" t="e">
        <f>MINUTE(Table257911[[#This Row],[Corrected time]])</f>
        <v>#NUM!</v>
      </c>
      <c r="N221" s="1"/>
      <c r="O221" s="1">
        <f>Table257911[[#This Row],[Time]]-TIME(0,0,4)</f>
        <v>-4.6296296296296294E-5</v>
      </c>
      <c r="R221">
        <f>Table257911[[#This Row],[RSSI]]</f>
        <v>0</v>
      </c>
    </row>
    <row r="222" spans="2:18" x14ac:dyDescent="0.25">
      <c r="B222" t="e">
        <f>480+2*(Table146810[[#This Row],[min value (corrected)]]-49)</f>
        <v>#NUM!</v>
      </c>
      <c r="C222" t="e">
        <f>MINUTE(Table146810[[#This Row],[Corrected time]])</f>
        <v>#NUM!</v>
      </c>
      <c r="D222" s="1"/>
      <c r="E222" s="1">
        <f>Table146810[[#This Row],[Time]]-TIME(0,0,8)</f>
        <v>-9.2592592592592588E-5</v>
      </c>
      <c r="H222" t="e">
        <f t="shared" si="11"/>
        <v>#VALUE!</v>
      </c>
      <c r="L222" t="e">
        <f>480+2*(Table257911[[#This Row],[min value (corrected)]]-49)</f>
        <v>#NUM!</v>
      </c>
      <c r="M222" t="e">
        <f>MINUTE(Table257911[[#This Row],[Corrected time]])</f>
        <v>#NUM!</v>
      </c>
      <c r="N222" s="1"/>
      <c r="O222" s="1">
        <f>Table257911[[#This Row],[Time]]-TIME(0,0,4)</f>
        <v>-4.6296296296296294E-5</v>
      </c>
      <c r="R222">
        <f>Table257911[[#This Row],[RSSI]]</f>
        <v>0</v>
      </c>
    </row>
    <row r="223" spans="2:18" x14ac:dyDescent="0.25">
      <c r="B223" t="e">
        <f>480+2*(Table146810[[#This Row],[min value (corrected)]]-49)</f>
        <v>#NUM!</v>
      </c>
      <c r="C223" t="e">
        <f>MINUTE(Table146810[[#This Row],[Corrected time]])</f>
        <v>#NUM!</v>
      </c>
      <c r="D223" s="1"/>
      <c r="E223" s="1">
        <f>Table146810[[#This Row],[Time]]-TIME(0,0,8)</f>
        <v>-9.2592592592592588E-5</v>
      </c>
      <c r="H223" t="e">
        <f t="shared" si="11"/>
        <v>#VALUE!</v>
      </c>
      <c r="L223" t="e">
        <f>480+2*(Table257911[[#This Row],[min value (corrected)]]-49)</f>
        <v>#NUM!</v>
      </c>
      <c r="M223" t="e">
        <f>MINUTE(Table257911[[#This Row],[Corrected time]])</f>
        <v>#NUM!</v>
      </c>
      <c r="N223" s="1"/>
      <c r="O223" s="1">
        <f>Table257911[[#This Row],[Time]]-TIME(0,0,4)</f>
        <v>-4.6296296296296294E-5</v>
      </c>
      <c r="R223">
        <f>Table257911[[#This Row],[RSSI]]</f>
        <v>0</v>
      </c>
    </row>
    <row r="224" spans="2:18" x14ac:dyDescent="0.25">
      <c r="B224" t="e">
        <f>480+2*(Table146810[[#This Row],[min value (corrected)]]-49)</f>
        <v>#NUM!</v>
      </c>
      <c r="C224" t="e">
        <f>MINUTE(Table146810[[#This Row],[Corrected time]])</f>
        <v>#NUM!</v>
      </c>
      <c r="D224" s="1"/>
      <c r="E224" s="1">
        <f>Table146810[[#This Row],[Time]]-TIME(0,0,8)</f>
        <v>-9.2592592592592588E-5</v>
      </c>
      <c r="H224" t="e">
        <f t="shared" si="11"/>
        <v>#VALUE!</v>
      </c>
      <c r="L224" t="e">
        <f>480+2*(Table257911[[#This Row],[min value (corrected)]]-49)</f>
        <v>#NUM!</v>
      </c>
      <c r="M224" t="e">
        <f>MINUTE(Table257911[[#This Row],[Corrected time]])</f>
        <v>#NUM!</v>
      </c>
      <c r="N224" s="1"/>
      <c r="O224" s="1">
        <f>Table257911[[#This Row],[Time]]-TIME(0,0,4)</f>
        <v>-4.6296296296296294E-5</v>
      </c>
      <c r="R224">
        <f>Table257911[[#This Row],[RSSI]]</f>
        <v>0</v>
      </c>
    </row>
    <row r="225" spans="2:18" x14ac:dyDescent="0.25">
      <c r="B225" t="e">
        <f>480+2*(Table146810[[#This Row],[min value (corrected)]]-49)</f>
        <v>#NUM!</v>
      </c>
      <c r="C225" t="e">
        <f>MINUTE(Table146810[[#This Row],[Corrected time]])</f>
        <v>#NUM!</v>
      </c>
      <c r="D225" s="1"/>
      <c r="E225" s="1">
        <f>Table146810[[#This Row],[Time]]-TIME(0,0,8)</f>
        <v>-9.2592592592592588E-5</v>
      </c>
      <c r="H225" t="e">
        <f t="shared" si="11"/>
        <v>#VALUE!</v>
      </c>
      <c r="L225" t="e">
        <f>480+2*(Table257911[[#This Row],[min value (corrected)]]-49)</f>
        <v>#NUM!</v>
      </c>
      <c r="M225" t="e">
        <f>MINUTE(Table257911[[#This Row],[Corrected time]])</f>
        <v>#NUM!</v>
      </c>
      <c r="N225" s="1"/>
      <c r="O225" s="1">
        <f>Table257911[[#This Row],[Time]]-TIME(0,0,4)</f>
        <v>-4.6296296296296294E-5</v>
      </c>
      <c r="R225">
        <f>Table257911[[#This Row],[RSSI]]</f>
        <v>0</v>
      </c>
    </row>
    <row r="226" spans="2:18" x14ac:dyDescent="0.25">
      <c r="B226" t="e">
        <f>480+2*(Table146810[[#This Row],[min value (corrected)]]-49)</f>
        <v>#NUM!</v>
      </c>
      <c r="C226" t="e">
        <f>MINUTE(Table146810[[#This Row],[Corrected time]])</f>
        <v>#NUM!</v>
      </c>
      <c r="D226" s="1"/>
      <c r="E226" s="1">
        <f>Table146810[[#This Row],[Time]]-TIME(0,0,8)</f>
        <v>-9.2592592592592588E-5</v>
      </c>
      <c r="H226" t="e">
        <f t="shared" si="11"/>
        <v>#VALUE!</v>
      </c>
      <c r="L226" t="e">
        <f>480+2*(Table257911[[#This Row],[min value (corrected)]]-49)</f>
        <v>#NUM!</v>
      </c>
      <c r="M226" t="e">
        <f>MINUTE(Table257911[[#This Row],[Corrected time]])</f>
        <v>#NUM!</v>
      </c>
      <c r="N226" s="1"/>
      <c r="O226" s="1">
        <f>Table257911[[#This Row],[Time]]-TIME(0,0,4)</f>
        <v>-4.6296296296296294E-5</v>
      </c>
      <c r="R226">
        <f>Table257911[[#This Row],[RSSI]]</f>
        <v>0</v>
      </c>
    </row>
    <row r="227" spans="2:18" x14ac:dyDescent="0.25">
      <c r="B227" t="e">
        <f>480+2*(Table146810[[#This Row],[min value (corrected)]]-49)</f>
        <v>#NUM!</v>
      </c>
      <c r="C227" t="e">
        <f>MINUTE(Table146810[[#This Row],[Corrected time]])</f>
        <v>#NUM!</v>
      </c>
      <c r="D227" s="1"/>
      <c r="E227" s="1">
        <f>Table146810[[#This Row],[Time]]-TIME(0,0,8)</f>
        <v>-9.2592592592592588E-5</v>
      </c>
      <c r="H227" t="e">
        <f t="shared" si="11"/>
        <v>#VALUE!</v>
      </c>
      <c r="L227" t="e">
        <f>480+2*(Table257911[[#This Row],[min value (corrected)]]-49)</f>
        <v>#NUM!</v>
      </c>
      <c r="M227" t="e">
        <f>MINUTE(Table257911[[#This Row],[Corrected time]])</f>
        <v>#NUM!</v>
      </c>
      <c r="N227" s="1"/>
      <c r="O227" s="1">
        <f>Table257911[[#This Row],[Time]]-TIME(0,0,4)</f>
        <v>-4.6296296296296294E-5</v>
      </c>
      <c r="R227">
        <f>Table257911[[#This Row],[RSSI]]</f>
        <v>0</v>
      </c>
    </row>
    <row r="228" spans="2:18" x14ac:dyDescent="0.25">
      <c r="B228" t="e">
        <f>480+2*(Table146810[[#This Row],[min value (corrected)]]-49)</f>
        <v>#NUM!</v>
      </c>
      <c r="C228" t="e">
        <f>MINUTE(Table146810[[#This Row],[Corrected time]])</f>
        <v>#NUM!</v>
      </c>
      <c r="D228" s="1"/>
      <c r="E228" s="1">
        <f>Table146810[[#This Row],[Time]]-TIME(0,0,8)</f>
        <v>-9.2592592592592588E-5</v>
      </c>
      <c r="H228" t="e">
        <f t="shared" si="11"/>
        <v>#VALUE!</v>
      </c>
      <c r="L228" t="e">
        <f>480+2*(Table257911[[#This Row],[min value (corrected)]]-49)</f>
        <v>#NUM!</v>
      </c>
      <c r="M228" t="e">
        <f>MINUTE(Table257911[[#This Row],[Corrected time]])</f>
        <v>#NUM!</v>
      </c>
      <c r="N228" s="1"/>
      <c r="O228" s="1">
        <f>Table257911[[#This Row],[Time]]-TIME(0,0,4)</f>
        <v>-4.6296296296296294E-5</v>
      </c>
      <c r="R228">
        <f>Table257911[[#This Row],[RSSI]]</f>
        <v>0</v>
      </c>
    </row>
    <row r="229" spans="2:18" x14ac:dyDescent="0.25">
      <c r="B229" t="e">
        <f>480+2*(Table146810[[#This Row],[min value (corrected)]]-49)</f>
        <v>#NUM!</v>
      </c>
      <c r="C229" t="e">
        <f>MINUTE(Table146810[[#This Row],[Corrected time]])</f>
        <v>#NUM!</v>
      </c>
      <c r="D229" s="1"/>
      <c r="E229" s="1">
        <f>Table146810[[#This Row],[Time]]-TIME(0,0,8)</f>
        <v>-9.2592592592592588E-5</v>
      </c>
      <c r="H229" t="e">
        <f t="shared" si="11"/>
        <v>#VALUE!</v>
      </c>
      <c r="L229" t="e">
        <f>480+2*(Table257911[[#This Row],[min value (corrected)]]-49)</f>
        <v>#NUM!</v>
      </c>
      <c r="M229" t="e">
        <f>MINUTE(Table257911[[#This Row],[Corrected time]])</f>
        <v>#NUM!</v>
      </c>
      <c r="N229" s="1"/>
      <c r="O229" s="1">
        <f>Table257911[[#This Row],[Time]]-TIME(0,0,4)</f>
        <v>-4.6296296296296294E-5</v>
      </c>
      <c r="R229">
        <f>Table257911[[#This Row],[RSSI]]</f>
        <v>0</v>
      </c>
    </row>
    <row r="230" spans="2:18" x14ac:dyDescent="0.25">
      <c r="B230" t="e">
        <f>480+2*(Table146810[[#This Row],[min value (corrected)]]-49)</f>
        <v>#NUM!</v>
      </c>
      <c r="C230" t="e">
        <f>MINUTE(Table146810[[#This Row],[Corrected time]])</f>
        <v>#NUM!</v>
      </c>
      <c r="D230" s="1"/>
      <c r="E230" s="1">
        <f>Table146810[[#This Row],[Time]]-TIME(0,0,8)</f>
        <v>-9.2592592592592588E-5</v>
      </c>
      <c r="H230" t="e">
        <f t="shared" si="11"/>
        <v>#VALUE!</v>
      </c>
      <c r="L230" t="e">
        <f>480+2*(Table257911[[#This Row],[min value (corrected)]]-49)</f>
        <v>#NUM!</v>
      </c>
      <c r="M230" t="e">
        <f>MINUTE(Table257911[[#This Row],[Corrected time]])</f>
        <v>#NUM!</v>
      </c>
      <c r="N230" s="1"/>
      <c r="O230" s="1">
        <f>Table257911[[#This Row],[Time]]-TIME(0,0,4)</f>
        <v>-4.6296296296296294E-5</v>
      </c>
      <c r="R230">
        <f>Table257911[[#This Row],[RSSI]]</f>
        <v>0</v>
      </c>
    </row>
    <row r="231" spans="2:18" x14ac:dyDescent="0.25">
      <c r="B231" t="e">
        <f>480+2*(Table146810[[#This Row],[min value (corrected)]]-49)</f>
        <v>#NUM!</v>
      </c>
      <c r="C231" t="e">
        <f>MINUTE(Table146810[[#This Row],[Corrected time]])</f>
        <v>#NUM!</v>
      </c>
      <c r="D231" s="1"/>
      <c r="E231" s="1">
        <f>Table146810[[#This Row],[Time]]-TIME(0,0,8)</f>
        <v>-9.2592592592592588E-5</v>
      </c>
      <c r="H231" t="e">
        <f t="shared" si="11"/>
        <v>#VALUE!</v>
      </c>
      <c r="L231" t="e">
        <f>480+2*(Table257911[[#This Row],[min value (corrected)]]-49)</f>
        <v>#NUM!</v>
      </c>
      <c r="M231" t="e">
        <f>MINUTE(Table257911[[#This Row],[Corrected time]])</f>
        <v>#NUM!</v>
      </c>
      <c r="N231" s="1"/>
      <c r="O231" s="1">
        <f>Table257911[[#This Row],[Time]]-TIME(0,0,4)</f>
        <v>-4.6296296296296294E-5</v>
      </c>
      <c r="R231">
        <f>Table257911[[#This Row],[RSSI]]</f>
        <v>0</v>
      </c>
    </row>
    <row r="232" spans="2:18" x14ac:dyDescent="0.25">
      <c r="B232" t="e">
        <f>480+2*(Table146810[[#This Row],[min value (corrected)]]-49)</f>
        <v>#NUM!</v>
      </c>
      <c r="C232" t="e">
        <f>MINUTE(Table146810[[#This Row],[Corrected time]])</f>
        <v>#NUM!</v>
      </c>
      <c r="D232" s="1"/>
      <c r="E232" s="1">
        <f>Table146810[[#This Row],[Time]]-TIME(0,0,8)</f>
        <v>-9.2592592592592588E-5</v>
      </c>
      <c r="H232" t="e">
        <f t="shared" si="11"/>
        <v>#VALUE!</v>
      </c>
      <c r="L232" t="e">
        <f>480+2*(Table257911[[#This Row],[min value (corrected)]]-49)</f>
        <v>#NUM!</v>
      </c>
      <c r="M232" t="e">
        <f>MINUTE(Table257911[[#This Row],[Corrected time]])</f>
        <v>#NUM!</v>
      </c>
      <c r="N232" s="1"/>
      <c r="O232" s="1">
        <f>Table257911[[#This Row],[Time]]-TIME(0,0,4)</f>
        <v>-4.6296296296296294E-5</v>
      </c>
      <c r="R232">
        <f>Table257911[[#This Row],[RSSI]]</f>
        <v>0</v>
      </c>
    </row>
    <row r="233" spans="2:18" x14ac:dyDescent="0.25">
      <c r="B233" t="e">
        <f>480+2*(Table146810[[#This Row],[min value (corrected)]]-49)</f>
        <v>#NUM!</v>
      </c>
      <c r="C233" t="e">
        <f>MINUTE(Table146810[[#This Row],[Corrected time]])</f>
        <v>#NUM!</v>
      </c>
      <c r="D233" s="1"/>
      <c r="E233" s="1">
        <f>Table146810[[#This Row],[Time]]-TIME(0,0,8)</f>
        <v>-9.2592592592592588E-5</v>
      </c>
      <c r="H233" t="e">
        <f t="shared" si="11"/>
        <v>#VALUE!</v>
      </c>
      <c r="L233" t="e">
        <f>480+2*(Table257911[[#This Row],[min value (corrected)]]-49)</f>
        <v>#NUM!</v>
      </c>
      <c r="M233" t="e">
        <f>MINUTE(Table257911[[#This Row],[Corrected time]])</f>
        <v>#NUM!</v>
      </c>
      <c r="N233" s="1"/>
      <c r="O233" s="1">
        <f>Table257911[[#This Row],[Time]]-TIME(0,0,4)</f>
        <v>-4.6296296296296294E-5</v>
      </c>
      <c r="R233">
        <f>Table257911[[#This Row],[RSSI]]</f>
        <v>0</v>
      </c>
    </row>
    <row r="234" spans="2:18" x14ac:dyDescent="0.25">
      <c r="B234" t="e">
        <f>480+2*(Table146810[[#This Row],[min value (corrected)]]-49)</f>
        <v>#NUM!</v>
      </c>
      <c r="C234" t="e">
        <f>MINUTE(Table146810[[#This Row],[Corrected time]])</f>
        <v>#NUM!</v>
      </c>
      <c r="D234" s="1"/>
      <c r="E234" s="1">
        <f>Table146810[[#This Row],[Time]]-TIME(0,0,8)</f>
        <v>-9.2592592592592588E-5</v>
      </c>
      <c r="H234" t="e">
        <f t="shared" si="11"/>
        <v>#VALUE!</v>
      </c>
      <c r="L234" t="e">
        <f>480+2*(Table257911[[#This Row],[min value (corrected)]]-49)</f>
        <v>#NUM!</v>
      </c>
      <c r="M234" t="e">
        <f>MINUTE(Table257911[[#This Row],[Corrected time]])</f>
        <v>#NUM!</v>
      </c>
      <c r="N234" s="1"/>
      <c r="O234" s="1">
        <f>Table257911[[#This Row],[Time]]-TIME(0,0,4)</f>
        <v>-4.6296296296296294E-5</v>
      </c>
      <c r="R234">
        <f>Table257911[[#This Row],[RSSI]]</f>
        <v>0</v>
      </c>
    </row>
    <row r="235" spans="2:18" x14ac:dyDescent="0.25">
      <c r="B235" t="e">
        <f>480+2*(Table146810[[#This Row],[min value (corrected)]]-49)</f>
        <v>#NUM!</v>
      </c>
      <c r="C235" t="e">
        <f>MINUTE(Table146810[[#This Row],[Corrected time]])</f>
        <v>#NUM!</v>
      </c>
      <c r="D235" s="1"/>
      <c r="E235" s="1">
        <f>Table146810[[#This Row],[Time]]-TIME(0,0,8)</f>
        <v>-9.2592592592592588E-5</v>
      </c>
      <c r="H235" t="e">
        <f t="shared" si="11"/>
        <v>#VALUE!</v>
      </c>
      <c r="L235" t="e">
        <f>480+2*(Table257911[[#This Row],[min value (corrected)]]-49)</f>
        <v>#NUM!</v>
      </c>
      <c r="M235" t="e">
        <f>MINUTE(Table257911[[#This Row],[Corrected time]])</f>
        <v>#NUM!</v>
      </c>
      <c r="N235" s="1"/>
      <c r="O235" s="1">
        <f>Table257911[[#This Row],[Time]]-TIME(0,0,4)</f>
        <v>-4.6296296296296294E-5</v>
      </c>
      <c r="R235">
        <f>Table257911[[#This Row],[RSSI]]</f>
        <v>0</v>
      </c>
    </row>
    <row r="236" spans="2:18" x14ac:dyDescent="0.25">
      <c r="B236" t="e">
        <f>480+2*(Table146810[[#This Row],[min value (corrected)]]-49)</f>
        <v>#NUM!</v>
      </c>
      <c r="C236" t="e">
        <f>MINUTE(Table146810[[#This Row],[Corrected time]])</f>
        <v>#NUM!</v>
      </c>
      <c r="D236" s="1"/>
      <c r="E236" s="1">
        <f>Table146810[[#This Row],[Time]]-TIME(0,0,8)</f>
        <v>-9.2592592592592588E-5</v>
      </c>
      <c r="H236" t="e">
        <f t="shared" si="11"/>
        <v>#VALUE!</v>
      </c>
      <c r="L236" t="e">
        <f>480+2*(Table257911[[#This Row],[min value (corrected)]]-49)</f>
        <v>#NUM!</v>
      </c>
      <c r="M236" t="e">
        <f>MINUTE(Table257911[[#This Row],[Corrected time]])</f>
        <v>#NUM!</v>
      </c>
      <c r="N236" s="1"/>
      <c r="O236" s="1">
        <f>Table257911[[#This Row],[Time]]-TIME(0,0,4)</f>
        <v>-4.6296296296296294E-5</v>
      </c>
      <c r="R236">
        <f>Table257911[[#This Row],[RSSI]]</f>
        <v>0</v>
      </c>
    </row>
    <row r="237" spans="2:18" x14ac:dyDescent="0.25">
      <c r="B237" t="e">
        <f>480+2*(Table146810[[#This Row],[min value (corrected)]]-49)</f>
        <v>#NUM!</v>
      </c>
      <c r="C237" t="e">
        <f>MINUTE(Table146810[[#This Row],[Corrected time]])</f>
        <v>#NUM!</v>
      </c>
      <c r="D237" s="1"/>
      <c r="E237" s="1">
        <f>Table146810[[#This Row],[Time]]-TIME(0,0,8)</f>
        <v>-9.2592592592592588E-5</v>
      </c>
      <c r="H237" t="e">
        <f t="shared" si="11"/>
        <v>#VALUE!</v>
      </c>
      <c r="L237" t="e">
        <f>480+2*(Table257911[[#This Row],[min value (corrected)]]-49)</f>
        <v>#NUM!</v>
      </c>
      <c r="M237" t="e">
        <f>MINUTE(Table257911[[#This Row],[Corrected time]])</f>
        <v>#NUM!</v>
      </c>
      <c r="N237" s="1"/>
      <c r="O237" s="1">
        <f>Table257911[[#This Row],[Time]]-TIME(0,0,4)</f>
        <v>-4.6296296296296294E-5</v>
      </c>
      <c r="R237">
        <f>Table257911[[#This Row],[RSSI]]</f>
        <v>0</v>
      </c>
    </row>
    <row r="238" spans="2:18" x14ac:dyDescent="0.25">
      <c r="B238" t="e">
        <f>480+2*(Table146810[[#This Row],[min value (corrected)]]-49)</f>
        <v>#NUM!</v>
      </c>
      <c r="C238" t="e">
        <f>MINUTE(Table146810[[#This Row],[Corrected time]])</f>
        <v>#NUM!</v>
      </c>
      <c r="D238" s="1"/>
      <c r="E238" s="1">
        <f>Table146810[[#This Row],[Time]]-TIME(0,0,8)</f>
        <v>-9.2592592592592588E-5</v>
      </c>
      <c r="H238" t="e">
        <f t="shared" si="11"/>
        <v>#VALUE!</v>
      </c>
      <c r="L238" t="e">
        <f>480+2*(Table257911[[#This Row],[min value (corrected)]]-49)</f>
        <v>#NUM!</v>
      </c>
      <c r="M238" t="e">
        <f>MINUTE(Table257911[[#This Row],[Corrected time]])</f>
        <v>#NUM!</v>
      </c>
      <c r="N238" s="1"/>
      <c r="O238" s="1">
        <f>Table257911[[#This Row],[Time]]-TIME(0,0,4)</f>
        <v>-4.6296296296296294E-5</v>
      </c>
      <c r="R238">
        <f>Table257911[[#This Row],[RSSI]]</f>
        <v>0</v>
      </c>
    </row>
    <row r="239" spans="2:18" x14ac:dyDescent="0.25">
      <c r="B239" t="e">
        <f>480+2*(Table146810[[#This Row],[min value (corrected)]]-49)</f>
        <v>#NUM!</v>
      </c>
      <c r="C239" t="e">
        <f>MINUTE(Table146810[[#This Row],[Corrected time]])</f>
        <v>#NUM!</v>
      </c>
      <c r="D239" s="1"/>
      <c r="E239" s="1">
        <f>Table146810[[#This Row],[Time]]-TIME(0,0,8)</f>
        <v>-9.2592592592592588E-5</v>
      </c>
      <c r="H239" t="e">
        <f t="shared" si="11"/>
        <v>#VALUE!</v>
      </c>
      <c r="L239" t="e">
        <f>480+2*(Table257911[[#This Row],[min value (corrected)]]-49)</f>
        <v>#NUM!</v>
      </c>
      <c r="M239" t="e">
        <f>MINUTE(Table257911[[#This Row],[Corrected time]])</f>
        <v>#NUM!</v>
      </c>
      <c r="N239" s="1"/>
      <c r="O239" s="1">
        <f>Table257911[[#This Row],[Time]]-TIME(0,0,4)</f>
        <v>-4.6296296296296294E-5</v>
      </c>
      <c r="R239">
        <f>Table257911[[#This Row],[RSSI]]</f>
        <v>0</v>
      </c>
    </row>
    <row r="240" spans="2:18" x14ac:dyDescent="0.25">
      <c r="B240" t="e">
        <f>480+2*(Table146810[[#This Row],[min value (corrected)]]-49)</f>
        <v>#NUM!</v>
      </c>
      <c r="C240" t="e">
        <f>MINUTE(Table146810[[#This Row],[Corrected time]])</f>
        <v>#NUM!</v>
      </c>
      <c r="D240" s="1"/>
      <c r="E240" s="1">
        <f>Table146810[[#This Row],[Time]]-TIME(0,0,8)</f>
        <v>-9.2592592592592588E-5</v>
      </c>
      <c r="H240" t="e">
        <f t="shared" si="11"/>
        <v>#VALUE!</v>
      </c>
      <c r="L240" t="e">
        <f>480+2*(Table257911[[#This Row],[min value (corrected)]]-49)</f>
        <v>#NUM!</v>
      </c>
      <c r="M240" t="e">
        <f>MINUTE(Table257911[[#This Row],[Corrected time]])</f>
        <v>#NUM!</v>
      </c>
      <c r="N240" s="1"/>
      <c r="O240" s="1">
        <f>Table257911[[#This Row],[Time]]-TIME(0,0,4)</f>
        <v>-4.6296296296296294E-5</v>
      </c>
      <c r="R240">
        <f>Table257911[[#This Row],[RSSI]]</f>
        <v>0</v>
      </c>
    </row>
    <row r="241" spans="2:18" x14ac:dyDescent="0.25">
      <c r="B241" t="e">
        <f>480+2*(Table146810[[#This Row],[min value (corrected)]]-49)</f>
        <v>#NUM!</v>
      </c>
      <c r="C241" t="e">
        <f>MINUTE(Table146810[[#This Row],[Corrected time]])</f>
        <v>#NUM!</v>
      </c>
      <c r="D241" s="1"/>
      <c r="E241" s="1">
        <f>Table146810[[#This Row],[Time]]-TIME(0,0,8)</f>
        <v>-9.2592592592592588E-5</v>
      </c>
      <c r="H241" t="e">
        <f t="shared" si="11"/>
        <v>#VALUE!</v>
      </c>
      <c r="L241" t="e">
        <f>480+2*(Table257911[[#This Row],[min value (corrected)]]-49)</f>
        <v>#NUM!</v>
      </c>
      <c r="M241" t="e">
        <f>MINUTE(Table257911[[#This Row],[Corrected time]])</f>
        <v>#NUM!</v>
      </c>
      <c r="N241" s="1"/>
      <c r="O241" s="1">
        <f>Table257911[[#This Row],[Time]]-TIME(0,0,4)</f>
        <v>-4.6296296296296294E-5</v>
      </c>
      <c r="R241">
        <f>Table257911[[#This Row],[RSSI]]</f>
        <v>0</v>
      </c>
    </row>
    <row r="242" spans="2:18" x14ac:dyDescent="0.25">
      <c r="B242" t="e">
        <f>480+2*(Table146810[[#This Row],[min value (corrected)]]-49)</f>
        <v>#NUM!</v>
      </c>
      <c r="C242" t="e">
        <f>MINUTE(Table146810[[#This Row],[Corrected time]])</f>
        <v>#NUM!</v>
      </c>
      <c r="D242" s="1"/>
      <c r="E242" s="1">
        <f>Table146810[[#This Row],[Time]]-TIME(0,0,8)</f>
        <v>-9.2592592592592588E-5</v>
      </c>
      <c r="H242" t="e">
        <f t="shared" si="11"/>
        <v>#VALUE!</v>
      </c>
      <c r="L242" t="e">
        <f>480+2*(Table257911[[#This Row],[min value (corrected)]]-49)</f>
        <v>#NUM!</v>
      </c>
      <c r="M242" t="e">
        <f>MINUTE(Table257911[[#This Row],[Corrected time]])</f>
        <v>#NUM!</v>
      </c>
      <c r="N242" s="1"/>
      <c r="O242" s="1">
        <f>Table257911[[#This Row],[Time]]-TIME(0,0,4)</f>
        <v>-4.6296296296296294E-5</v>
      </c>
      <c r="R242">
        <f>Table257911[[#This Row],[RSSI]]</f>
        <v>0</v>
      </c>
    </row>
    <row r="243" spans="2:18" x14ac:dyDescent="0.25">
      <c r="B243" t="e">
        <f>480+2*(Table146810[[#This Row],[min value (corrected)]]-49)</f>
        <v>#NUM!</v>
      </c>
      <c r="C243" t="e">
        <f>MINUTE(Table146810[[#This Row],[Corrected time]])</f>
        <v>#NUM!</v>
      </c>
      <c r="D243" s="1"/>
      <c r="E243" s="1">
        <f>Table146810[[#This Row],[Time]]-TIME(0,0,8)</f>
        <v>-9.2592592592592588E-5</v>
      </c>
      <c r="H243" t="e">
        <f t="shared" si="11"/>
        <v>#VALUE!</v>
      </c>
      <c r="L243" t="e">
        <f>480+2*(Table257911[[#This Row],[min value (corrected)]]-49)</f>
        <v>#NUM!</v>
      </c>
      <c r="M243" t="e">
        <f>MINUTE(Table257911[[#This Row],[Corrected time]])</f>
        <v>#NUM!</v>
      </c>
      <c r="N243" s="1"/>
      <c r="O243" s="1">
        <f>Table257911[[#This Row],[Time]]-TIME(0,0,4)</f>
        <v>-4.6296296296296294E-5</v>
      </c>
      <c r="R243">
        <f>Table257911[[#This Row],[RSSI]]</f>
        <v>0</v>
      </c>
    </row>
    <row r="244" spans="2:18" x14ac:dyDescent="0.25">
      <c r="B244" t="e">
        <f>480+2*(Table146810[[#This Row],[min value (corrected)]]-49)</f>
        <v>#NUM!</v>
      </c>
      <c r="C244" t="e">
        <f>MINUTE(Table146810[[#This Row],[Corrected time]])</f>
        <v>#NUM!</v>
      </c>
      <c r="D244" s="1"/>
      <c r="E244" s="1">
        <f>Table146810[[#This Row],[Time]]-TIME(0,0,8)</f>
        <v>-9.2592592592592588E-5</v>
      </c>
      <c r="H244" t="e">
        <f t="shared" si="11"/>
        <v>#VALUE!</v>
      </c>
      <c r="L244" t="e">
        <f>480+2*(Table257911[[#This Row],[min value (corrected)]]-49)</f>
        <v>#NUM!</v>
      </c>
      <c r="M244" t="e">
        <f>MINUTE(Table257911[[#This Row],[Corrected time]])</f>
        <v>#NUM!</v>
      </c>
      <c r="N244" s="1"/>
      <c r="O244" s="1">
        <f>Table257911[[#This Row],[Time]]-TIME(0,0,4)</f>
        <v>-4.6296296296296294E-5</v>
      </c>
      <c r="R244">
        <f>Table257911[[#This Row],[RSSI]]</f>
        <v>0</v>
      </c>
    </row>
    <row r="245" spans="2:18" x14ac:dyDescent="0.25">
      <c r="B245" t="e">
        <f>480+2*(Table146810[[#This Row],[min value (corrected)]]-49)</f>
        <v>#NUM!</v>
      </c>
      <c r="C245" t="e">
        <f>MINUTE(Table146810[[#This Row],[Corrected time]])</f>
        <v>#NUM!</v>
      </c>
      <c r="D245" s="1"/>
      <c r="E245" s="1">
        <f>Table146810[[#This Row],[Time]]-TIME(0,0,8)</f>
        <v>-9.2592592592592588E-5</v>
      </c>
      <c r="H245" t="e">
        <f t="shared" si="11"/>
        <v>#VALUE!</v>
      </c>
      <c r="L245" t="e">
        <f>480+2*(Table257911[[#This Row],[min value (corrected)]]-49)</f>
        <v>#NUM!</v>
      </c>
      <c r="M245" t="e">
        <f>MINUTE(Table257911[[#This Row],[Corrected time]])</f>
        <v>#NUM!</v>
      </c>
      <c r="N245" s="1"/>
      <c r="O245" s="1">
        <f>Table257911[[#This Row],[Time]]-TIME(0,0,4)</f>
        <v>-4.6296296296296294E-5</v>
      </c>
      <c r="R245">
        <f>Table257911[[#This Row],[RSSI]]</f>
        <v>0</v>
      </c>
    </row>
    <row r="246" spans="2:18" x14ac:dyDescent="0.25">
      <c r="B246" t="e">
        <f>480+2*(Table146810[[#This Row],[min value (corrected)]]-49)</f>
        <v>#NUM!</v>
      </c>
      <c r="C246" t="e">
        <f>MINUTE(Table146810[[#This Row],[Corrected time]])</f>
        <v>#NUM!</v>
      </c>
      <c r="D246" s="1"/>
      <c r="E246" s="1">
        <f>Table146810[[#This Row],[Time]]-TIME(0,0,8)</f>
        <v>-9.2592592592592588E-5</v>
      </c>
      <c r="H246" t="e">
        <f t="shared" si="11"/>
        <v>#VALUE!</v>
      </c>
      <c r="L246" t="e">
        <f>480+2*(Table257911[[#This Row],[min value (corrected)]]-49)</f>
        <v>#NUM!</v>
      </c>
      <c r="M246" t="e">
        <f>MINUTE(Table257911[[#This Row],[Corrected time]])</f>
        <v>#NUM!</v>
      </c>
      <c r="N246" s="1"/>
      <c r="O246" s="1">
        <f>Table257911[[#This Row],[Time]]-TIME(0,0,4)</f>
        <v>-4.6296296296296294E-5</v>
      </c>
      <c r="R246">
        <f>Table257911[[#This Row],[RSSI]]</f>
        <v>0</v>
      </c>
    </row>
    <row r="247" spans="2:18" x14ac:dyDescent="0.25">
      <c r="B247" t="e">
        <f>480+2*(Table146810[[#This Row],[min value (corrected)]]-49)</f>
        <v>#NUM!</v>
      </c>
      <c r="C247" t="e">
        <f>MINUTE(Table146810[[#This Row],[Corrected time]])</f>
        <v>#NUM!</v>
      </c>
      <c r="D247" s="1"/>
      <c r="E247" s="1">
        <f>Table146810[[#This Row],[Time]]-TIME(0,0,8)</f>
        <v>-9.2592592592592588E-5</v>
      </c>
      <c r="H247" t="e">
        <f t="shared" si="11"/>
        <v>#VALUE!</v>
      </c>
      <c r="L247" t="e">
        <f>480+2*(Table257911[[#This Row],[min value (corrected)]]-49)</f>
        <v>#NUM!</v>
      </c>
      <c r="M247" t="e">
        <f>MINUTE(Table257911[[#This Row],[Corrected time]])</f>
        <v>#NUM!</v>
      </c>
      <c r="N247" s="1"/>
      <c r="O247" s="1">
        <f>Table257911[[#This Row],[Time]]-TIME(0,0,4)</f>
        <v>-4.6296296296296294E-5</v>
      </c>
      <c r="R247">
        <f>Table257911[[#This Row],[RSSI]]</f>
        <v>0</v>
      </c>
    </row>
    <row r="248" spans="2:18" x14ac:dyDescent="0.25">
      <c r="B248" t="e">
        <f>480+2*(Table146810[[#This Row],[min value (corrected)]]-49)</f>
        <v>#NUM!</v>
      </c>
      <c r="C248" t="e">
        <f>MINUTE(Table146810[[#This Row],[Corrected time]])</f>
        <v>#NUM!</v>
      </c>
      <c r="D248" s="1"/>
      <c r="E248" s="1">
        <f>Table146810[[#This Row],[Time]]-TIME(0,0,8)</f>
        <v>-9.2592592592592588E-5</v>
      </c>
      <c r="H248" t="e">
        <f t="shared" si="11"/>
        <v>#VALUE!</v>
      </c>
      <c r="L248" t="e">
        <f>480+2*(Table257911[[#This Row],[min value (corrected)]]-49)</f>
        <v>#NUM!</v>
      </c>
      <c r="M248" t="e">
        <f>MINUTE(Table257911[[#This Row],[Corrected time]])</f>
        <v>#NUM!</v>
      </c>
      <c r="N248" s="1"/>
      <c r="O248" s="1">
        <f>Table257911[[#This Row],[Time]]-TIME(0,0,4)</f>
        <v>-4.6296296296296294E-5</v>
      </c>
      <c r="R248">
        <f>Table257911[[#This Row],[RSSI]]</f>
        <v>0</v>
      </c>
    </row>
    <row r="249" spans="2:18" x14ac:dyDescent="0.25">
      <c r="B249" t="e">
        <f>480+2*(Table146810[[#This Row],[min value (corrected)]]-49)</f>
        <v>#NUM!</v>
      </c>
      <c r="C249" t="e">
        <f>MINUTE(Table146810[[#This Row],[Corrected time]])</f>
        <v>#NUM!</v>
      </c>
      <c r="D249" s="1"/>
      <c r="E249" s="1">
        <f>Table146810[[#This Row],[Time]]-TIME(0,0,8)</f>
        <v>-9.2592592592592588E-5</v>
      </c>
      <c r="H249" t="e">
        <f t="shared" si="11"/>
        <v>#VALUE!</v>
      </c>
      <c r="L249" t="e">
        <f>480+2*(Table257911[[#This Row],[min value (corrected)]]-49)</f>
        <v>#NUM!</v>
      </c>
      <c r="M249" t="e">
        <f>MINUTE(Table257911[[#This Row],[Corrected time]])</f>
        <v>#NUM!</v>
      </c>
      <c r="N249" s="1"/>
      <c r="O249" s="1">
        <f>Table257911[[#This Row],[Time]]-TIME(0,0,4)</f>
        <v>-4.6296296296296294E-5</v>
      </c>
      <c r="R249">
        <f>Table257911[[#This Row],[RSSI]]</f>
        <v>0</v>
      </c>
    </row>
    <row r="250" spans="2:18" x14ac:dyDescent="0.25">
      <c r="B250" t="e">
        <f>480+2*(Table146810[[#This Row],[min value (corrected)]]-49)</f>
        <v>#NUM!</v>
      </c>
      <c r="C250" t="e">
        <f>MINUTE(Table146810[[#This Row],[Corrected time]])</f>
        <v>#NUM!</v>
      </c>
      <c r="D250" s="1"/>
      <c r="E250" s="1">
        <f>Table146810[[#This Row],[Time]]-TIME(0,0,8)</f>
        <v>-9.2592592592592588E-5</v>
      </c>
      <c r="H250" t="e">
        <f t="shared" si="11"/>
        <v>#VALUE!</v>
      </c>
      <c r="L250" t="e">
        <f>480+2*(Table257911[[#This Row],[min value (corrected)]]-49)</f>
        <v>#NUM!</v>
      </c>
      <c r="M250" t="e">
        <f>MINUTE(Table257911[[#This Row],[Corrected time]])</f>
        <v>#NUM!</v>
      </c>
      <c r="N250" s="1"/>
      <c r="O250" s="1">
        <f>Table257911[[#This Row],[Time]]-TIME(0,0,4)</f>
        <v>-4.6296296296296294E-5</v>
      </c>
      <c r="R250">
        <f>Table257911[[#This Row],[RSSI]]</f>
        <v>0</v>
      </c>
    </row>
    <row r="251" spans="2:18" x14ac:dyDescent="0.25">
      <c r="B251" t="e">
        <f>480+2*(Table146810[[#This Row],[min value (corrected)]]-49)</f>
        <v>#NUM!</v>
      </c>
      <c r="C251" t="e">
        <f>MINUTE(Table146810[[#This Row],[Corrected time]])</f>
        <v>#NUM!</v>
      </c>
      <c r="D251" s="1"/>
      <c r="E251" s="1">
        <f>Table146810[[#This Row],[Time]]-TIME(0,0,8)</f>
        <v>-9.2592592592592588E-5</v>
      </c>
      <c r="H251" t="e">
        <f t="shared" si="11"/>
        <v>#VALUE!</v>
      </c>
      <c r="L251" t="e">
        <f>480+2*(Table257911[[#This Row],[min value (corrected)]]-49)</f>
        <v>#NUM!</v>
      </c>
      <c r="M251" t="e">
        <f>MINUTE(Table257911[[#This Row],[Corrected time]])</f>
        <v>#NUM!</v>
      </c>
      <c r="N251" s="1"/>
      <c r="O251" s="1">
        <f>Table257911[[#This Row],[Time]]-TIME(0,0,4)</f>
        <v>-4.6296296296296294E-5</v>
      </c>
      <c r="R251">
        <f>Table257911[[#This Row],[RSSI]]</f>
        <v>0</v>
      </c>
    </row>
    <row r="252" spans="2:18" x14ac:dyDescent="0.25">
      <c r="B252" t="e">
        <f>480+2*(Table146810[[#This Row],[min value (corrected)]]-49)</f>
        <v>#NUM!</v>
      </c>
      <c r="C252" t="e">
        <f>MINUTE(Table146810[[#This Row],[Corrected time]])</f>
        <v>#NUM!</v>
      </c>
      <c r="D252" s="1"/>
      <c r="E252" s="1">
        <f>Table146810[[#This Row],[Time]]-TIME(0,0,8)</f>
        <v>-9.2592592592592588E-5</v>
      </c>
      <c r="H252" t="e">
        <f t="shared" si="11"/>
        <v>#VALUE!</v>
      </c>
      <c r="L252" t="e">
        <f>480+2*(Table257911[[#This Row],[min value (corrected)]]-49)</f>
        <v>#NUM!</v>
      </c>
      <c r="M252" t="e">
        <f>MINUTE(Table257911[[#This Row],[Corrected time]])</f>
        <v>#NUM!</v>
      </c>
      <c r="N252" s="1"/>
      <c r="O252" s="1">
        <f>Table257911[[#This Row],[Time]]-TIME(0,0,4)</f>
        <v>-4.6296296296296294E-5</v>
      </c>
      <c r="R252">
        <f>Table257911[[#This Row],[RSSI]]</f>
        <v>0</v>
      </c>
    </row>
    <row r="253" spans="2:18" x14ac:dyDescent="0.25">
      <c r="B253" t="e">
        <f>480+2*(Table146810[[#This Row],[min value (corrected)]]-49)</f>
        <v>#NUM!</v>
      </c>
      <c r="C253" t="e">
        <f>MINUTE(Table146810[[#This Row],[Corrected time]])</f>
        <v>#NUM!</v>
      </c>
      <c r="D253" s="1"/>
      <c r="E253" s="1">
        <f>Table146810[[#This Row],[Time]]-TIME(0,0,8)</f>
        <v>-9.2592592592592588E-5</v>
      </c>
      <c r="H253" t="e">
        <f t="shared" si="11"/>
        <v>#VALUE!</v>
      </c>
      <c r="L253" t="e">
        <f>480+2*(Table257911[[#This Row],[min value (corrected)]]-49)</f>
        <v>#NUM!</v>
      </c>
      <c r="M253" t="e">
        <f>MINUTE(Table257911[[#This Row],[Corrected time]])</f>
        <v>#NUM!</v>
      </c>
      <c r="N253" s="1"/>
      <c r="O253" s="1">
        <f>Table257911[[#This Row],[Time]]-TIME(0,0,4)</f>
        <v>-4.6296296296296294E-5</v>
      </c>
      <c r="R253">
        <f>Table257911[[#This Row],[RSSI]]</f>
        <v>0</v>
      </c>
    </row>
    <row r="254" spans="2:18" x14ac:dyDescent="0.25">
      <c r="B254" t="e">
        <f>480+2*(Table146810[[#This Row],[min value (corrected)]]-49)</f>
        <v>#NUM!</v>
      </c>
      <c r="C254" t="e">
        <f>MINUTE(Table146810[[#This Row],[Corrected time]])</f>
        <v>#NUM!</v>
      </c>
      <c r="D254" s="1"/>
      <c r="E254" s="1">
        <f>Table146810[[#This Row],[Time]]-TIME(0,0,8)</f>
        <v>-9.2592592592592588E-5</v>
      </c>
      <c r="H254" t="e">
        <f t="shared" si="11"/>
        <v>#VALUE!</v>
      </c>
      <c r="L254" t="e">
        <f>480+2*(Table257911[[#This Row],[min value (corrected)]]-49)</f>
        <v>#NUM!</v>
      </c>
      <c r="M254" t="e">
        <f>MINUTE(Table257911[[#This Row],[Corrected time]])</f>
        <v>#NUM!</v>
      </c>
      <c r="N254" s="1"/>
      <c r="O254" s="1">
        <f>Table257911[[#This Row],[Time]]-TIME(0,0,4)</f>
        <v>-4.6296296296296294E-5</v>
      </c>
      <c r="R254">
        <f>Table257911[[#This Row],[RSSI]]</f>
        <v>0</v>
      </c>
    </row>
    <row r="255" spans="2:18" x14ac:dyDescent="0.25">
      <c r="B255" t="e">
        <f>480+2*(Table146810[[#This Row],[min value (corrected)]]-49)</f>
        <v>#NUM!</v>
      </c>
      <c r="C255" t="e">
        <f>MINUTE(Table146810[[#This Row],[Corrected time]])</f>
        <v>#NUM!</v>
      </c>
      <c r="D255" s="1"/>
      <c r="E255" s="1">
        <f>Table146810[[#This Row],[Time]]-TIME(0,0,8)</f>
        <v>-9.2592592592592588E-5</v>
      </c>
      <c r="H255" t="e">
        <f t="shared" si="11"/>
        <v>#VALUE!</v>
      </c>
      <c r="L255" t="e">
        <f>480+2*(Table257911[[#This Row],[min value (corrected)]]-49)</f>
        <v>#NUM!</v>
      </c>
      <c r="M255" t="e">
        <f>MINUTE(Table257911[[#This Row],[Corrected time]])</f>
        <v>#NUM!</v>
      </c>
      <c r="N255" s="1"/>
      <c r="O255" s="1">
        <f>Table257911[[#This Row],[Time]]-TIME(0,0,4)</f>
        <v>-4.6296296296296294E-5</v>
      </c>
      <c r="R255">
        <f>Table257911[[#This Row],[RSSI]]</f>
        <v>0</v>
      </c>
    </row>
    <row r="256" spans="2:18" x14ac:dyDescent="0.25">
      <c r="B256" t="e">
        <f>480+2*(Table146810[[#This Row],[min value (corrected)]]-49)</f>
        <v>#NUM!</v>
      </c>
      <c r="C256" t="e">
        <f>MINUTE(Table146810[[#This Row],[Corrected time]])</f>
        <v>#NUM!</v>
      </c>
      <c r="D256" s="1"/>
      <c r="E256" s="1">
        <f>Table146810[[#This Row],[Time]]-TIME(0,0,8)</f>
        <v>-9.2592592592592588E-5</v>
      </c>
      <c r="H256" t="e">
        <f t="shared" si="11"/>
        <v>#VALUE!</v>
      </c>
      <c r="L256" t="e">
        <f>480+2*(Table257911[[#This Row],[min value (corrected)]]-49)</f>
        <v>#NUM!</v>
      </c>
      <c r="M256" t="e">
        <f>MINUTE(Table257911[[#This Row],[Corrected time]])</f>
        <v>#NUM!</v>
      </c>
      <c r="N256" s="1"/>
      <c r="O256" s="1">
        <f>Table257911[[#This Row],[Time]]-TIME(0,0,4)</f>
        <v>-4.6296296296296294E-5</v>
      </c>
      <c r="R256">
        <f>Table257911[[#This Row],[RSSI]]</f>
        <v>0</v>
      </c>
    </row>
    <row r="257" spans="2:18" x14ac:dyDescent="0.25">
      <c r="B257" t="e">
        <f>480+2*(Table146810[[#This Row],[min value (corrected)]]-49)</f>
        <v>#NUM!</v>
      </c>
      <c r="C257" t="e">
        <f>MINUTE(Table146810[[#This Row],[Corrected time]])</f>
        <v>#NUM!</v>
      </c>
      <c r="D257" s="1"/>
      <c r="E257" s="1">
        <f>Table146810[[#This Row],[Time]]-TIME(0,0,8)</f>
        <v>-9.2592592592592588E-5</v>
      </c>
      <c r="H257" t="e">
        <f t="shared" si="11"/>
        <v>#VALUE!</v>
      </c>
      <c r="L257" t="e">
        <f>480+2*(Table257911[[#This Row],[min value (corrected)]]-49)</f>
        <v>#NUM!</v>
      </c>
      <c r="M257" t="e">
        <f>MINUTE(Table257911[[#This Row],[Corrected time]])</f>
        <v>#NUM!</v>
      </c>
      <c r="N257" s="1"/>
      <c r="O257" s="1">
        <f>Table257911[[#This Row],[Time]]-TIME(0,0,4)</f>
        <v>-4.6296296296296294E-5</v>
      </c>
      <c r="R257">
        <f>Table257911[[#This Row],[RSSI]]</f>
        <v>0</v>
      </c>
    </row>
    <row r="258" spans="2:18" x14ac:dyDescent="0.25">
      <c r="B258" t="e">
        <f>480+2*(Table146810[[#This Row],[min value (corrected)]]-49)</f>
        <v>#NUM!</v>
      </c>
      <c r="C258" t="e">
        <f>MINUTE(Table146810[[#This Row],[Corrected time]])</f>
        <v>#NUM!</v>
      </c>
      <c r="D258" s="1"/>
      <c r="E258" s="1">
        <f>Table146810[[#This Row],[Time]]-TIME(0,0,8)</f>
        <v>-9.2592592592592588E-5</v>
      </c>
      <c r="H258" t="e">
        <f t="shared" si="11"/>
        <v>#VALUE!</v>
      </c>
      <c r="L258" t="e">
        <f>480+2*(Table257911[[#This Row],[min value (corrected)]]-49)</f>
        <v>#NUM!</v>
      </c>
      <c r="M258" t="e">
        <f>MINUTE(Table257911[[#This Row],[Corrected time]])</f>
        <v>#NUM!</v>
      </c>
      <c r="N258" s="1"/>
      <c r="O258" s="1">
        <f>Table257911[[#This Row],[Time]]-TIME(0,0,4)</f>
        <v>-4.6296296296296294E-5</v>
      </c>
      <c r="R258">
        <f>Table257911[[#This Row],[RSSI]]</f>
        <v>0</v>
      </c>
    </row>
    <row r="259" spans="2:18" x14ac:dyDescent="0.25">
      <c r="B259" t="e">
        <f>480+2*(Table146810[[#This Row],[min value (corrected)]]-49)</f>
        <v>#NUM!</v>
      </c>
      <c r="C259" t="e">
        <f>MINUTE(Table146810[[#This Row],[Corrected time]])</f>
        <v>#NUM!</v>
      </c>
      <c r="D259" s="1"/>
      <c r="E259" s="1">
        <f>Table146810[[#This Row],[Time]]-TIME(0,0,8)</f>
        <v>-9.2592592592592588E-5</v>
      </c>
      <c r="H259" t="e">
        <f t="shared" si="11"/>
        <v>#VALUE!</v>
      </c>
      <c r="L259" t="e">
        <f>480+2*(Table257911[[#This Row],[min value (corrected)]]-49)</f>
        <v>#NUM!</v>
      </c>
      <c r="M259" t="e">
        <f>MINUTE(Table257911[[#This Row],[Corrected time]])</f>
        <v>#NUM!</v>
      </c>
      <c r="N259" s="1"/>
      <c r="O259" s="1">
        <f>Table257911[[#This Row],[Time]]-TIME(0,0,4)</f>
        <v>-4.6296296296296294E-5</v>
      </c>
      <c r="R259">
        <f>Table257911[[#This Row],[RSSI]]</f>
        <v>0</v>
      </c>
    </row>
    <row r="260" spans="2:18" x14ac:dyDescent="0.25">
      <c r="B260" t="e">
        <f>480+2*(Table146810[[#This Row],[min value (corrected)]]-49)</f>
        <v>#NUM!</v>
      </c>
      <c r="C260" t="e">
        <f>MINUTE(Table146810[[#This Row],[Corrected time]])</f>
        <v>#NUM!</v>
      </c>
      <c r="D260" s="1"/>
      <c r="E260" s="1">
        <f>Table146810[[#This Row],[Time]]-TIME(0,0,8)</f>
        <v>-9.2592592592592588E-5</v>
      </c>
      <c r="H260" t="e">
        <f t="shared" si="11"/>
        <v>#VALUE!</v>
      </c>
      <c r="L260" t="e">
        <f>480+2*(Table257911[[#This Row],[min value (corrected)]]-49)</f>
        <v>#NUM!</v>
      </c>
      <c r="M260" t="e">
        <f>MINUTE(Table257911[[#This Row],[Corrected time]])</f>
        <v>#NUM!</v>
      </c>
      <c r="N260" s="1"/>
      <c r="O260" s="1">
        <f>Table257911[[#This Row],[Time]]-TIME(0,0,4)</f>
        <v>-4.6296296296296294E-5</v>
      </c>
      <c r="R260">
        <f>Table257911[[#This Row],[RSSI]]</f>
        <v>0</v>
      </c>
    </row>
    <row r="261" spans="2:18" x14ac:dyDescent="0.25">
      <c r="B261" t="e">
        <f>480+2*(Table146810[[#This Row],[min value (corrected)]]-49)</f>
        <v>#NUM!</v>
      </c>
      <c r="C261" t="e">
        <f>MINUTE(Table146810[[#This Row],[Corrected time]])</f>
        <v>#NUM!</v>
      </c>
      <c r="D261" s="1"/>
      <c r="E261" s="1">
        <f>Table146810[[#This Row],[Time]]-TIME(0,0,8)</f>
        <v>-9.2592592592592588E-5</v>
      </c>
      <c r="H261" t="e">
        <f t="shared" si="11"/>
        <v>#VALUE!</v>
      </c>
      <c r="L261" t="e">
        <f>480+2*(Table257911[[#This Row],[min value (corrected)]]-49)</f>
        <v>#NUM!</v>
      </c>
      <c r="M261" t="e">
        <f>MINUTE(Table257911[[#This Row],[Corrected time]])</f>
        <v>#NUM!</v>
      </c>
      <c r="N261" s="1"/>
      <c r="O261" s="1">
        <f>Table257911[[#This Row],[Time]]-TIME(0,0,4)</f>
        <v>-4.6296296296296294E-5</v>
      </c>
      <c r="R261">
        <f>Table257911[[#This Row],[RSSI]]</f>
        <v>0</v>
      </c>
    </row>
    <row r="262" spans="2:18" x14ac:dyDescent="0.25">
      <c r="B262" t="e">
        <f>480+2*(Table146810[[#This Row],[min value (corrected)]]-49)</f>
        <v>#NUM!</v>
      </c>
      <c r="C262" t="e">
        <f>MINUTE(Table146810[[#This Row],[Corrected time]])</f>
        <v>#NUM!</v>
      </c>
      <c r="D262" s="1"/>
      <c r="E262" s="1">
        <f>Table146810[[#This Row],[Time]]-TIME(0,0,8)</f>
        <v>-9.2592592592592588E-5</v>
      </c>
      <c r="H262" t="e">
        <f t="shared" si="11"/>
        <v>#VALUE!</v>
      </c>
      <c r="L262" t="e">
        <f>480+2*(Table257911[[#This Row],[min value (corrected)]]-49)</f>
        <v>#NUM!</v>
      </c>
      <c r="M262" t="e">
        <f>MINUTE(Table257911[[#This Row],[Corrected time]])</f>
        <v>#NUM!</v>
      </c>
      <c r="N262" s="1"/>
      <c r="O262" s="1">
        <f>Table257911[[#This Row],[Time]]-TIME(0,0,4)</f>
        <v>-4.6296296296296294E-5</v>
      </c>
      <c r="R262">
        <f>Table257911[[#This Row],[RSSI]]</f>
        <v>0</v>
      </c>
    </row>
    <row r="263" spans="2:18" x14ac:dyDescent="0.25">
      <c r="B263" t="e">
        <f>480+2*(Table146810[[#This Row],[min value (corrected)]]-49)</f>
        <v>#NUM!</v>
      </c>
      <c r="C263" t="e">
        <f>MINUTE(Table146810[[#This Row],[Corrected time]])</f>
        <v>#NUM!</v>
      </c>
      <c r="D263" s="1"/>
      <c r="E263" s="1">
        <f>Table146810[[#This Row],[Time]]-TIME(0,0,8)</f>
        <v>-9.2592592592592588E-5</v>
      </c>
      <c r="H263" t="e">
        <f t="shared" si="11"/>
        <v>#VALUE!</v>
      </c>
      <c r="L263" t="e">
        <f>480+2*(Table257911[[#This Row],[min value (corrected)]]-49)</f>
        <v>#NUM!</v>
      </c>
      <c r="M263" t="e">
        <f>MINUTE(Table257911[[#This Row],[Corrected time]])</f>
        <v>#NUM!</v>
      </c>
      <c r="N263" s="1"/>
      <c r="O263" s="1">
        <f>Table257911[[#This Row],[Time]]-TIME(0,0,4)</f>
        <v>-4.6296296296296294E-5</v>
      </c>
      <c r="R263">
        <f>Table257911[[#This Row],[RSSI]]</f>
        <v>0</v>
      </c>
    </row>
    <row r="264" spans="2:18" x14ac:dyDescent="0.25">
      <c r="B264" t="e">
        <f>480+2*(Table146810[[#This Row],[min value (corrected)]]-49)</f>
        <v>#NUM!</v>
      </c>
      <c r="C264" t="e">
        <f>MINUTE(Table146810[[#This Row],[Corrected time]])</f>
        <v>#NUM!</v>
      </c>
      <c r="D264" s="1"/>
      <c r="E264" s="1">
        <f>Table146810[[#This Row],[Time]]-TIME(0,0,8)</f>
        <v>-9.2592592592592588E-5</v>
      </c>
      <c r="H264" t="e">
        <f t="shared" si="11"/>
        <v>#VALUE!</v>
      </c>
      <c r="L264" t="e">
        <f>480+2*(Table257911[[#This Row],[min value (corrected)]]-49)</f>
        <v>#NUM!</v>
      </c>
      <c r="M264" t="e">
        <f>MINUTE(Table257911[[#This Row],[Corrected time]])</f>
        <v>#NUM!</v>
      </c>
      <c r="N264" s="1"/>
      <c r="O264" s="1">
        <f>Table257911[[#This Row],[Time]]-TIME(0,0,4)</f>
        <v>-4.6296296296296294E-5</v>
      </c>
      <c r="R264">
        <f>Table257911[[#This Row],[RSSI]]</f>
        <v>0</v>
      </c>
    </row>
    <row r="265" spans="2:18" x14ac:dyDescent="0.25">
      <c r="B265" t="e">
        <f>480+2*(Table146810[[#This Row],[min value (corrected)]]-49)</f>
        <v>#NUM!</v>
      </c>
      <c r="C265" t="e">
        <f>MINUTE(Table146810[[#This Row],[Corrected time]])</f>
        <v>#NUM!</v>
      </c>
      <c r="D265" s="1"/>
      <c r="E265" s="1">
        <f>Table146810[[#This Row],[Time]]-TIME(0,0,8)</f>
        <v>-9.2592592592592588E-5</v>
      </c>
      <c r="H265" t="e">
        <f t="shared" si="11"/>
        <v>#VALUE!</v>
      </c>
      <c r="L265" t="e">
        <f>480+2*(Table257911[[#This Row],[min value (corrected)]]-49)</f>
        <v>#NUM!</v>
      </c>
      <c r="M265" t="e">
        <f>MINUTE(Table257911[[#This Row],[Corrected time]])</f>
        <v>#NUM!</v>
      </c>
      <c r="N265" s="1"/>
      <c r="O265" s="1">
        <f>Table257911[[#This Row],[Time]]-TIME(0,0,4)</f>
        <v>-4.6296296296296294E-5</v>
      </c>
      <c r="R265">
        <f>Table257911[[#This Row],[RSSI]]</f>
        <v>0</v>
      </c>
    </row>
    <row r="266" spans="2:18" x14ac:dyDescent="0.25">
      <c r="B266" t="e">
        <f>480+2*(Table146810[[#This Row],[min value (corrected)]]-49)</f>
        <v>#NUM!</v>
      </c>
      <c r="C266" t="e">
        <f>MINUTE(Table146810[[#This Row],[Corrected time]])</f>
        <v>#NUM!</v>
      </c>
      <c r="D266" s="1"/>
      <c r="E266" s="1">
        <f>Table146810[[#This Row],[Time]]-TIME(0,0,8)</f>
        <v>-9.2592592592592588E-5</v>
      </c>
      <c r="H266" t="e">
        <f t="shared" si="11"/>
        <v>#VALUE!</v>
      </c>
      <c r="L266" t="e">
        <f>480+2*(Table257911[[#This Row],[min value (corrected)]]-49)</f>
        <v>#NUM!</v>
      </c>
      <c r="M266" t="e">
        <f>MINUTE(Table257911[[#This Row],[Corrected time]])</f>
        <v>#NUM!</v>
      </c>
      <c r="N266" s="1"/>
      <c r="O266" s="1">
        <f>Table257911[[#This Row],[Time]]-TIME(0,0,4)</f>
        <v>-4.6296296296296294E-5</v>
      </c>
      <c r="R266">
        <f>Table257911[[#This Row],[RSSI]]</f>
        <v>0</v>
      </c>
    </row>
    <row r="267" spans="2:18" x14ac:dyDescent="0.25">
      <c r="B267" t="e">
        <f>480+2*(Table146810[[#This Row],[min value (corrected)]]-49)</f>
        <v>#NUM!</v>
      </c>
      <c r="C267" t="e">
        <f>MINUTE(Table146810[[#This Row],[Corrected time]])</f>
        <v>#NUM!</v>
      </c>
      <c r="D267" s="1"/>
      <c r="E267" s="1">
        <f>Table146810[[#This Row],[Time]]-TIME(0,0,8)</f>
        <v>-9.2592592592592588E-5</v>
      </c>
      <c r="H267" t="e">
        <f t="shared" si="11"/>
        <v>#VALUE!</v>
      </c>
      <c r="L267" t="e">
        <f>480+2*(Table257911[[#This Row],[min value (corrected)]]-49)</f>
        <v>#NUM!</v>
      </c>
      <c r="M267" t="e">
        <f>MINUTE(Table257911[[#This Row],[Corrected time]])</f>
        <v>#NUM!</v>
      </c>
      <c r="N267" s="1"/>
      <c r="O267" s="1">
        <f>Table257911[[#This Row],[Time]]-TIME(0,0,4)</f>
        <v>-4.6296296296296294E-5</v>
      </c>
      <c r="R267">
        <f>Table257911[[#This Row],[RSSI]]</f>
        <v>0</v>
      </c>
    </row>
    <row r="268" spans="2:18" x14ac:dyDescent="0.25">
      <c r="B268" t="e">
        <f>480+2*(Table146810[[#This Row],[min value (corrected)]]-49)</f>
        <v>#NUM!</v>
      </c>
      <c r="C268" t="e">
        <f>MINUTE(Table146810[[#This Row],[Corrected time]])</f>
        <v>#NUM!</v>
      </c>
      <c r="D268" s="1"/>
      <c r="E268" s="1">
        <f>Table146810[[#This Row],[Time]]-TIME(0,0,8)</f>
        <v>-9.2592592592592588E-5</v>
      </c>
      <c r="H268" t="e">
        <f t="shared" si="11"/>
        <v>#VALUE!</v>
      </c>
      <c r="L268" t="e">
        <f>480+2*(Table257911[[#This Row],[min value (corrected)]]-49)</f>
        <v>#NUM!</v>
      </c>
      <c r="M268" t="e">
        <f>MINUTE(Table257911[[#This Row],[Corrected time]])</f>
        <v>#NUM!</v>
      </c>
      <c r="N268" s="1"/>
      <c r="O268" s="1">
        <f>Table257911[[#This Row],[Time]]-TIME(0,0,4)</f>
        <v>-4.6296296296296294E-5</v>
      </c>
      <c r="R268">
        <f>Table257911[[#This Row],[RSSI]]</f>
        <v>0</v>
      </c>
    </row>
    <row r="269" spans="2:18" x14ac:dyDescent="0.25">
      <c r="B269" t="e">
        <f>480+2*(Table146810[[#This Row],[min value (corrected)]]-49)</f>
        <v>#NUM!</v>
      </c>
      <c r="C269" t="e">
        <f>MINUTE(Table146810[[#This Row],[Corrected time]])</f>
        <v>#NUM!</v>
      </c>
      <c r="D269" s="1"/>
      <c r="E269" s="1">
        <f>Table146810[[#This Row],[Time]]-TIME(0,0,8)</f>
        <v>-9.2592592592592588E-5</v>
      </c>
      <c r="H269" t="e">
        <f t="shared" si="11"/>
        <v>#VALUE!</v>
      </c>
      <c r="L269" t="e">
        <f>480+2*(Table257911[[#This Row],[min value (corrected)]]-49)</f>
        <v>#NUM!</v>
      </c>
      <c r="M269" t="e">
        <f>MINUTE(Table257911[[#This Row],[Corrected time]])</f>
        <v>#NUM!</v>
      </c>
      <c r="N269" s="1"/>
      <c r="O269" s="1">
        <f>Table257911[[#This Row],[Time]]-TIME(0,0,4)</f>
        <v>-4.6296296296296294E-5</v>
      </c>
      <c r="R269">
        <f>Table257911[[#This Row],[RSSI]]</f>
        <v>0</v>
      </c>
    </row>
    <row r="270" spans="2:18" x14ac:dyDescent="0.25">
      <c r="B270" t="e">
        <f>480+2*(Table146810[[#This Row],[min value (corrected)]]-49)</f>
        <v>#NUM!</v>
      </c>
      <c r="C270" t="e">
        <f>MINUTE(Table146810[[#This Row],[Corrected time]])</f>
        <v>#NUM!</v>
      </c>
      <c r="D270" s="1"/>
      <c r="E270" s="1">
        <f>Table146810[[#This Row],[Time]]-TIME(0,0,8)</f>
        <v>-9.2592592592592588E-5</v>
      </c>
      <c r="H270" t="e">
        <f t="shared" si="11"/>
        <v>#VALUE!</v>
      </c>
      <c r="L270" t="e">
        <f>480+2*(Table257911[[#This Row],[min value (corrected)]]-49)</f>
        <v>#NUM!</v>
      </c>
      <c r="M270" t="e">
        <f>MINUTE(Table257911[[#This Row],[Corrected time]])</f>
        <v>#NUM!</v>
      </c>
      <c r="N270" s="1"/>
      <c r="O270" s="1">
        <f>Table257911[[#This Row],[Time]]-TIME(0,0,4)</f>
        <v>-4.6296296296296294E-5</v>
      </c>
      <c r="R270">
        <f>Table257911[[#This Row],[RSSI]]</f>
        <v>0</v>
      </c>
    </row>
    <row r="271" spans="2:18" x14ac:dyDescent="0.25">
      <c r="B271" t="e">
        <f>480+2*(Table146810[[#This Row],[min value (corrected)]]-49)</f>
        <v>#NUM!</v>
      </c>
      <c r="C271" t="e">
        <f>MINUTE(Table146810[[#This Row],[Corrected time]])</f>
        <v>#NUM!</v>
      </c>
      <c r="D271" s="1"/>
      <c r="E271" s="1">
        <f>Table146810[[#This Row],[Time]]-TIME(0,0,8)</f>
        <v>-9.2592592592592588E-5</v>
      </c>
      <c r="H271" t="e">
        <f t="shared" si="11"/>
        <v>#VALUE!</v>
      </c>
      <c r="L271" t="e">
        <f>480+2*(Table257911[[#This Row],[min value (corrected)]]-49)</f>
        <v>#NUM!</v>
      </c>
      <c r="M271" t="e">
        <f>MINUTE(Table257911[[#This Row],[Corrected time]])</f>
        <v>#NUM!</v>
      </c>
      <c r="N271" s="1"/>
      <c r="O271" s="1">
        <f>Table257911[[#This Row],[Time]]-TIME(0,0,4)</f>
        <v>-4.6296296296296294E-5</v>
      </c>
      <c r="R271">
        <f>Table257911[[#This Row],[RSSI]]</f>
        <v>0</v>
      </c>
    </row>
    <row r="272" spans="2:18" x14ac:dyDescent="0.25">
      <c r="B272" t="e">
        <f>480+2*(Table146810[[#This Row],[min value (corrected)]]-49)</f>
        <v>#NUM!</v>
      </c>
      <c r="C272" t="e">
        <f>MINUTE(Table146810[[#This Row],[Corrected time]])</f>
        <v>#NUM!</v>
      </c>
      <c r="D272" s="1"/>
      <c r="E272" s="1">
        <f>Table146810[[#This Row],[Time]]-TIME(0,0,8)</f>
        <v>-9.2592592592592588E-5</v>
      </c>
      <c r="H272" t="e">
        <f t="shared" si="11"/>
        <v>#VALUE!</v>
      </c>
      <c r="L272" t="e">
        <f>480+2*(Table257911[[#This Row],[min value (corrected)]]-49)</f>
        <v>#NUM!</v>
      </c>
      <c r="M272" t="e">
        <f>MINUTE(Table257911[[#This Row],[Corrected time]])</f>
        <v>#NUM!</v>
      </c>
      <c r="N272" s="1"/>
      <c r="O272" s="1">
        <f>Table257911[[#This Row],[Time]]-TIME(0,0,4)</f>
        <v>-4.6296296296296294E-5</v>
      </c>
      <c r="R272">
        <f>Table257911[[#This Row],[RSSI]]</f>
        <v>0</v>
      </c>
    </row>
    <row r="273" spans="2:18" x14ac:dyDescent="0.25">
      <c r="B273" t="e">
        <f>480+2*(Table146810[[#This Row],[min value (corrected)]]-49)</f>
        <v>#NUM!</v>
      </c>
      <c r="C273" t="e">
        <f>MINUTE(Table146810[[#This Row],[Corrected time]])</f>
        <v>#NUM!</v>
      </c>
      <c r="D273" s="1"/>
      <c r="E273" s="1">
        <f>Table146810[[#This Row],[Time]]-TIME(0,0,8)</f>
        <v>-9.2592592592592588E-5</v>
      </c>
      <c r="H273" t="e">
        <f t="shared" si="11"/>
        <v>#VALUE!</v>
      </c>
      <c r="L273" t="e">
        <f>480+2*(Table257911[[#This Row],[min value (corrected)]]-49)</f>
        <v>#NUM!</v>
      </c>
      <c r="M273" t="e">
        <f>MINUTE(Table257911[[#This Row],[Corrected time]])</f>
        <v>#NUM!</v>
      </c>
      <c r="N273" s="1"/>
      <c r="O273" s="1">
        <f>Table257911[[#This Row],[Time]]-TIME(0,0,4)</f>
        <v>-4.6296296296296294E-5</v>
      </c>
      <c r="R273">
        <f>Table257911[[#This Row],[RSSI]]</f>
        <v>0</v>
      </c>
    </row>
    <row r="274" spans="2:18" x14ac:dyDescent="0.25">
      <c r="B274" t="e">
        <f>480+2*(Table146810[[#This Row],[min value (corrected)]]-49)</f>
        <v>#NUM!</v>
      </c>
      <c r="C274" t="e">
        <f>MINUTE(Table146810[[#This Row],[Corrected time]])</f>
        <v>#NUM!</v>
      </c>
      <c r="D274" s="1"/>
      <c r="E274" s="1">
        <f>Table146810[[#This Row],[Time]]-TIME(0,0,8)</f>
        <v>-9.2592592592592588E-5</v>
      </c>
      <c r="H274" t="e">
        <f t="shared" si="11"/>
        <v>#VALUE!</v>
      </c>
      <c r="L274" t="e">
        <f>480+2*(Table257911[[#This Row],[min value (corrected)]]-49)</f>
        <v>#NUM!</v>
      </c>
      <c r="M274" t="e">
        <f>MINUTE(Table257911[[#This Row],[Corrected time]])</f>
        <v>#NUM!</v>
      </c>
      <c r="N274" s="1"/>
      <c r="O274" s="1">
        <f>Table257911[[#This Row],[Time]]-TIME(0,0,4)</f>
        <v>-4.6296296296296294E-5</v>
      </c>
      <c r="R274">
        <f>Table257911[[#This Row],[RSSI]]</f>
        <v>0</v>
      </c>
    </row>
    <row r="275" spans="2:18" x14ac:dyDescent="0.25">
      <c r="B275" t="e">
        <f>480+2*(Table146810[[#This Row],[min value (corrected)]]-49)</f>
        <v>#NUM!</v>
      </c>
      <c r="C275" t="e">
        <f>MINUTE(Table146810[[#This Row],[Corrected time]])</f>
        <v>#NUM!</v>
      </c>
      <c r="D275" s="1"/>
      <c r="E275" s="1">
        <f>Table146810[[#This Row],[Time]]-TIME(0,0,8)</f>
        <v>-9.2592592592592588E-5</v>
      </c>
      <c r="H275" t="e">
        <f t="shared" si="11"/>
        <v>#VALUE!</v>
      </c>
      <c r="L275" t="e">
        <f>480+2*(Table257911[[#This Row],[min value (corrected)]]-49)</f>
        <v>#NUM!</v>
      </c>
      <c r="M275" t="e">
        <f>MINUTE(Table257911[[#This Row],[Corrected time]])</f>
        <v>#NUM!</v>
      </c>
      <c r="N275" s="1"/>
      <c r="O275" s="1">
        <f>Table257911[[#This Row],[Time]]-TIME(0,0,4)</f>
        <v>-4.6296296296296294E-5</v>
      </c>
      <c r="R275">
        <f>Table257911[[#This Row],[RSSI]]</f>
        <v>0</v>
      </c>
    </row>
    <row r="276" spans="2:18" x14ac:dyDescent="0.25">
      <c r="B276" t="e">
        <f>480+2*(Table146810[[#This Row],[min value (corrected)]]-49)</f>
        <v>#NUM!</v>
      </c>
      <c r="C276" t="e">
        <f>MINUTE(Table146810[[#This Row],[Corrected time]])</f>
        <v>#NUM!</v>
      </c>
      <c r="D276" s="1"/>
      <c r="E276" s="1">
        <f>Table146810[[#This Row],[Time]]-TIME(0,0,8)</f>
        <v>-9.2592592592592588E-5</v>
      </c>
      <c r="H276" t="e">
        <f t="shared" si="11"/>
        <v>#VALUE!</v>
      </c>
      <c r="L276" t="e">
        <f>480+2*(Table257911[[#This Row],[min value (corrected)]]-49)</f>
        <v>#NUM!</v>
      </c>
      <c r="M276" t="e">
        <f>MINUTE(Table257911[[#This Row],[Corrected time]])</f>
        <v>#NUM!</v>
      </c>
      <c r="N276" s="1"/>
      <c r="O276" s="1">
        <f>Table257911[[#This Row],[Time]]-TIME(0,0,4)</f>
        <v>-4.6296296296296294E-5</v>
      </c>
      <c r="R276">
        <f>Table257911[[#This Row],[RSSI]]</f>
        <v>0</v>
      </c>
    </row>
    <row r="277" spans="2:18" x14ac:dyDescent="0.25">
      <c r="B277" t="e">
        <f>480+2*(Table146810[[#This Row],[min value (corrected)]]-49)</f>
        <v>#NUM!</v>
      </c>
      <c r="C277" t="e">
        <f>MINUTE(Table146810[[#This Row],[Corrected time]])</f>
        <v>#NUM!</v>
      </c>
      <c r="D277" s="1"/>
      <c r="E277" s="1">
        <f>Table146810[[#This Row],[Time]]-TIME(0,0,8)</f>
        <v>-9.2592592592592588E-5</v>
      </c>
      <c r="H277" t="e">
        <f t="shared" si="11"/>
        <v>#VALUE!</v>
      </c>
      <c r="L277" t="e">
        <f>480+2*(Table257911[[#This Row],[min value (corrected)]]-49)</f>
        <v>#NUM!</v>
      </c>
      <c r="M277" t="e">
        <f>MINUTE(Table257911[[#This Row],[Corrected time]])</f>
        <v>#NUM!</v>
      </c>
      <c r="N277" s="1"/>
      <c r="O277" s="1">
        <f>Table257911[[#This Row],[Time]]-TIME(0,0,4)</f>
        <v>-4.6296296296296294E-5</v>
      </c>
      <c r="R277">
        <f>Table257911[[#This Row],[RSSI]]</f>
        <v>0</v>
      </c>
    </row>
    <row r="278" spans="2:18" x14ac:dyDescent="0.25">
      <c r="B278" t="e">
        <f>480+2*(Table146810[[#This Row],[min value (corrected)]]-49)</f>
        <v>#NUM!</v>
      </c>
      <c r="C278" t="e">
        <f>MINUTE(Table146810[[#This Row],[Corrected time]])</f>
        <v>#NUM!</v>
      </c>
      <c r="D278" s="1"/>
      <c r="E278" s="1">
        <f>Table146810[[#This Row],[Time]]-TIME(0,0,8)</f>
        <v>-9.2592592592592588E-5</v>
      </c>
      <c r="H278" t="e">
        <f t="shared" ref="H278:H341" si="12">VALUE(LEFT(G278,LEN(G278)-1))</f>
        <v>#VALUE!</v>
      </c>
      <c r="L278" t="e">
        <f>480+2*(Table257911[[#This Row],[min value (corrected)]]-49)</f>
        <v>#NUM!</v>
      </c>
      <c r="M278" t="e">
        <f>MINUTE(Table257911[[#This Row],[Corrected time]])</f>
        <v>#NUM!</v>
      </c>
      <c r="N278" s="1"/>
      <c r="O278" s="1">
        <f>Table257911[[#This Row],[Time]]-TIME(0,0,4)</f>
        <v>-4.6296296296296294E-5</v>
      </c>
      <c r="R278">
        <f>Table257911[[#This Row],[RSSI]]</f>
        <v>0</v>
      </c>
    </row>
    <row r="279" spans="2:18" x14ac:dyDescent="0.25">
      <c r="B279" t="e">
        <f>480+2*(Table146810[[#This Row],[min value (corrected)]]-49)</f>
        <v>#NUM!</v>
      </c>
      <c r="C279" t="e">
        <f>MINUTE(Table146810[[#This Row],[Corrected time]])</f>
        <v>#NUM!</v>
      </c>
      <c r="D279" s="1"/>
      <c r="E279" s="1">
        <f>Table146810[[#This Row],[Time]]-TIME(0,0,8)</f>
        <v>-9.2592592592592588E-5</v>
      </c>
      <c r="H279" t="e">
        <f t="shared" si="12"/>
        <v>#VALUE!</v>
      </c>
      <c r="L279" t="e">
        <f>480+2*(Table257911[[#This Row],[min value (corrected)]]-49)</f>
        <v>#NUM!</v>
      </c>
      <c r="M279" t="e">
        <f>MINUTE(Table257911[[#This Row],[Corrected time]])</f>
        <v>#NUM!</v>
      </c>
      <c r="N279" s="1"/>
      <c r="O279" s="1">
        <f>Table257911[[#This Row],[Time]]-TIME(0,0,4)</f>
        <v>-4.6296296296296294E-5</v>
      </c>
      <c r="R279">
        <f>Table257911[[#This Row],[RSSI]]</f>
        <v>0</v>
      </c>
    </row>
    <row r="280" spans="2:18" x14ac:dyDescent="0.25">
      <c r="B280" t="e">
        <f>480+2*(Table146810[[#This Row],[min value (corrected)]]-49)</f>
        <v>#NUM!</v>
      </c>
      <c r="C280" t="e">
        <f>MINUTE(Table146810[[#This Row],[Corrected time]])</f>
        <v>#NUM!</v>
      </c>
      <c r="D280" s="1"/>
      <c r="E280" s="1">
        <f>Table146810[[#This Row],[Time]]-TIME(0,0,8)</f>
        <v>-9.2592592592592588E-5</v>
      </c>
      <c r="H280" t="e">
        <f t="shared" si="12"/>
        <v>#VALUE!</v>
      </c>
      <c r="L280" t="e">
        <f>480+2*(Table257911[[#This Row],[min value (corrected)]]-49)</f>
        <v>#NUM!</v>
      </c>
      <c r="M280" t="e">
        <f>MINUTE(Table257911[[#This Row],[Corrected time]])</f>
        <v>#NUM!</v>
      </c>
      <c r="N280" s="1"/>
      <c r="O280" s="1">
        <f>Table257911[[#This Row],[Time]]-TIME(0,0,4)</f>
        <v>-4.6296296296296294E-5</v>
      </c>
      <c r="R280">
        <f>Table257911[[#This Row],[RSSI]]</f>
        <v>0</v>
      </c>
    </row>
    <row r="281" spans="2:18" x14ac:dyDescent="0.25">
      <c r="B281" t="e">
        <f>480+2*(Table146810[[#This Row],[min value (corrected)]]-49)</f>
        <v>#NUM!</v>
      </c>
      <c r="C281" t="e">
        <f>MINUTE(Table146810[[#This Row],[Corrected time]])</f>
        <v>#NUM!</v>
      </c>
      <c r="D281" s="1"/>
      <c r="E281" s="1">
        <f>Table146810[[#This Row],[Time]]-TIME(0,0,8)</f>
        <v>-9.2592592592592588E-5</v>
      </c>
      <c r="H281" t="e">
        <f t="shared" si="12"/>
        <v>#VALUE!</v>
      </c>
      <c r="L281" t="e">
        <f>480+2*(Table257911[[#This Row],[min value (corrected)]]-49)</f>
        <v>#NUM!</v>
      </c>
      <c r="M281" t="e">
        <f>MINUTE(Table257911[[#This Row],[Corrected time]])</f>
        <v>#NUM!</v>
      </c>
      <c r="N281" s="1"/>
      <c r="O281" s="1">
        <f>Table257911[[#This Row],[Time]]-TIME(0,0,4)</f>
        <v>-4.6296296296296294E-5</v>
      </c>
      <c r="R281">
        <f>Table257911[[#This Row],[RSSI]]</f>
        <v>0</v>
      </c>
    </row>
    <row r="282" spans="2:18" x14ac:dyDescent="0.25">
      <c r="B282" t="e">
        <f>480+2*(Table146810[[#This Row],[min value (corrected)]]-49)</f>
        <v>#NUM!</v>
      </c>
      <c r="C282" t="e">
        <f>MINUTE(Table146810[[#This Row],[Corrected time]])</f>
        <v>#NUM!</v>
      </c>
      <c r="D282" s="1"/>
      <c r="E282" s="1">
        <f>Table146810[[#This Row],[Time]]-TIME(0,0,8)</f>
        <v>-9.2592592592592588E-5</v>
      </c>
      <c r="H282" t="e">
        <f t="shared" si="12"/>
        <v>#VALUE!</v>
      </c>
      <c r="L282" t="e">
        <f>480+2*(Table257911[[#This Row],[min value (corrected)]]-49)</f>
        <v>#NUM!</v>
      </c>
      <c r="M282" t="e">
        <f>MINUTE(Table257911[[#This Row],[Corrected time]])</f>
        <v>#NUM!</v>
      </c>
      <c r="N282" s="1"/>
      <c r="O282" s="1">
        <f>Table257911[[#This Row],[Time]]-TIME(0,0,4)</f>
        <v>-4.6296296296296294E-5</v>
      </c>
      <c r="R282">
        <f>Table257911[[#This Row],[RSSI]]</f>
        <v>0</v>
      </c>
    </row>
    <row r="283" spans="2:18" x14ac:dyDescent="0.25">
      <c r="B283" t="e">
        <f>480+2*(Table146810[[#This Row],[min value (corrected)]]-49)</f>
        <v>#NUM!</v>
      </c>
      <c r="C283" t="e">
        <f>MINUTE(Table146810[[#This Row],[Corrected time]])</f>
        <v>#NUM!</v>
      </c>
      <c r="D283" s="1"/>
      <c r="E283" s="1">
        <f>Table146810[[#This Row],[Time]]-TIME(0,0,8)</f>
        <v>-9.2592592592592588E-5</v>
      </c>
      <c r="H283" t="e">
        <f t="shared" si="12"/>
        <v>#VALUE!</v>
      </c>
      <c r="L283" t="e">
        <f>480+2*(Table257911[[#This Row],[min value (corrected)]]-49)</f>
        <v>#NUM!</v>
      </c>
      <c r="M283" t="e">
        <f>MINUTE(Table257911[[#This Row],[Corrected time]])</f>
        <v>#NUM!</v>
      </c>
      <c r="N283" s="1"/>
      <c r="O283" s="1">
        <f>Table257911[[#This Row],[Time]]-TIME(0,0,4)</f>
        <v>-4.6296296296296294E-5</v>
      </c>
      <c r="R283">
        <f>Table257911[[#This Row],[RSSI]]</f>
        <v>0</v>
      </c>
    </row>
    <row r="284" spans="2:18" x14ac:dyDescent="0.25">
      <c r="B284" t="e">
        <f>480+2*(Table146810[[#This Row],[min value (corrected)]]-49)</f>
        <v>#NUM!</v>
      </c>
      <c r="C284" t="e">
        <f>MINUTE(Table146810[[#This Row],[Corrected time]])</f>
        <v>#NUM!</v>
      </c>
      <c r="D284" s="1"/>
      <c r="E284" s="1">
        <f>Table146810[[#This Row],[Time]]-TIME(0,0,8)</f>
        <v>-9.2592592592592588E-5</v>
      </c>
      <c r="H284" t="e">
        <f t="shared" si="12"/>
        <v>#VALUE!</v>
      </c>
      <c r="L284" t="e">
        <f>480+2*(Table257911[[#This Row],[min value (corrected)]]-49)</f>
        <v>#NUM!</v>
      </c>
      <c r="M284" t="e">
        <f>MINUTE(Table257911[[#This Row],[Corrected time]])</f>
        <v>#NUM!</v>
      </c>
      <c r="N284" s="1"/>
      <c r="O284" s="1">
        <f>Table257911[[#This Row],[Time]]-TIME(0,0,4)</f>
        <v>-4.6296296296296294E-5</v>
      </c>
      <c r="R284">
        <f>Table257911[[#This Row],[RSSI]]</f>
        <v>0</v>
      </c>
    </row>
    <row r="285" spans="2:18" x14ac:dyDescent="0.25">
      <c r="B285" t="e">
        <f>480+2*(Table146810[[#This Row],[min value (corrected)]]-49)</f>
        <v>#NUM!</v>
      </c>
      <c r="C285" t="e">
        <f>MINUTE(Table146810[[#This Row],[Corrected time]])</f>
        <v>#NUM!</v>
      </c>
      <c r="D285" s="1"/>
      <c r="E285" s="1">
        <f>Table146810[[#This Row],[Time]]-TIME(0,0,8)</f>
        <v>-9.2592592592592588E-5</v>
      </c>
      <c r="H285" t="e">
        <f t="shared" si="12"/>
        <v>#VALUE!</v>
      </c>
      <c r="L285" t="e">
        <f>480+2*(Table257911[[#This Row],[min value (corrected)]]-49)</f>
        <v>#NUM!</v>
      </c>
      <c r="M285" t="e">
        <f>MINUTE(Table257911[[#This Row],[Corrected time]])</f>
        <v>#NUM!</v>
      </c>
      <c r="N285" s="1"/>
      <c r="O285" s="1">
        <f>Table257911[[#This Row],[Time]]-TIME(0,0,4)</f>
        <v>-4.6296296296296294E-5</v>
      </c>
      <c r="R285">
        <f>Table257911[[#This Row],[RSSI]]</f>
        <v>0</v>
      </c>
    </row>
    <row r="286" spans="2:18" x14ac:dyDescent="0.25">
      <c r="B286" t="e">
        <f>480+2*(Table146810[[#This Row],[min value (corrected)]]-49)</f>
        <v>#NUM!</v>
      </c>
      <c r="C286" t="e">
        <f>MINUTE(Table146810[[#This Row],[Corrected time]])</f>
        <v>#NUM!</v>
      </c>
      <c r="D286" s="1"/>
      <c r="E286" s="1">
        <f>Table146810[[#This Row],[Time]]-TIME(0,0,8)</f>
        <v>-9.2592592592592588E-5</v>
      </c>
      <c r="H286" t="e">
        <f t="shared" si="12"/>
        <v>#VALUE!</v>
      </c>
      <c r="L286" t="e">
        <f>480+2*(Table257911[[#This Row],[min value (corrected)]]-49)</f>
        <v>#NUM!</v>
      </c>
      <c r="M286" t="e">
        <f>MINUTE(Table257911[[#This Row],[Corrected time]])</f>
        <v>#NUM!</v>
      </c>
      <c r="N286" s="1"/>
      <c r="O286" s="1">
        <f>Table257911[[#This Row],[Time]]-TIME(0,0,4)</f>
        <v>-4.6296296296296294E-5</v>
      </c>
      <c r="R286">
        <f>Table257911[[#This Row],[RSSI]]</f>
        <v>0</v>
      </c>
    </row>
    <row r="287" spans="2:18" x14ac:dyDescent="0.25">
      <c r="B287" t="e">
        <f>480+2*(Table146810[[#This Row],[min value (corrected)]]-49)</f>
        <v>#NUM!</v>
      </c>
      <c r="C287" t="e">
        <f>MINUTE(Table146810[[#This Row],[Corrected time]])</f>
        <v>#NUM!</v>
      </c>
      <c r="D287" s="1"/>
      <c r="E287" s="1">
        <f>Table146810[[#This Row],[Time]]-TIME(0,0,8)</f>
        <v>-9.2592592592592588E-5</v>
      </c>
      <c r="H287" t="e">
        <f t="shared" si="12"/>
        <v>#VALUE!</v>
      </c>
      <c r="L287" t="e">
        <f>480+2*(Table257911[[#This Row],[min value (corrected)]]-49)</f>
        <v>#NUM!</v>
      </c>
      <c r="M287" t="e">
        <f>MINUTE(Table257911[[#This Row],[Corrected time]])</f>
        <v>#NUM!</v>
      </c>
      <c r="N287" s="1"/>
      <c r="O287" s="1">
        <f>Table257911[[#This Row],[Time]]-TIME(0,0,4)</f>
        <v>-4.6296296296296294E-5</v>
      </c>
      <c r="R287">
        <f>Table257911[[#This Row],[RSSI]]</f>
        <v>0</v>
      </c>
    </row>
    <row r="288" spans="2:18" x14ac:dyDescent="0.25">
      <c r="B288" t="e">
        <f>480+2*(Table146810[[#This Row],[min value (corrected)]]-49)</f>
        <v>#NUM!</v>
      </c>
      <c r="C288" t="e">
        <f>MINUTE(Table146810[[#This Row],[Corrected time]])</f>
        <v>#NUM!</v>
      </c>
      <c r="D288" s="1"/>
      <c r="E288" s="1">
        <f>Table146810[[#This Row],[Time]]-TIME(0,0,8)</f>
        <v>-9.2592592592592588E-5</v>
      </c>
      <c r="H288" t="e">
        <f t="shared" si="12"/>
        <v>#VALUE!</v>
      </c>
      <c r="L288" t="e">
        <f>480+2*(Table257911[[#This Row],[min value (corrected)]]-49)</f>
        <v>#NUM!</v>
      </c>
      <c r="M288" t="e">
        <f>MINUTE(Table257911[[#This Row],[Corrected time]])</f>
        <v>#NUM!</v>
      </c>
      <c r="N288" s="1"/>
      <c r="O288" s="1">
        <f>Table257911[[#This Row],[Time]]-TIME(0,0,4)</f>
        <v>-4.6296296296296294E-5</v>
      </c>
      <c r="R288">
        <f>Table257911[[#This Row],[RSSI]]</f>
        <v>0</v>
      </c>
    </row>
    <row r="289" spans="2:18" x14ac:dyDescent="0.25">
      <c r="B289" t="e">
        <f>480+2*(Table146810[[#This Row],[min value (corrected)]]-49)</f>
        <v>#NUM!</v>
      </c>
      <c r="C289" t="e">
        <f>MINUTE(Table146810[[#This Row],[Corrected time]])</f>
        <v>#NUM!</v>
      </c>
      <c r="D289" s="1"/>
      <c r="E289" s="1">
        <f>Table146810[[#This Row],[Time]]-TIME(0,0,8)</f>
        <v>-9.2592592592592588E-5</v>
      </c>
      <c r="H289" t="e">
        <f t="shared" si="12"/>
        <v>#VALUE!</v>
      </c>
      <c r="L289" t="e">
        <f>480+2*(Table257911[[#This Row],[min value (corrected)]]-49)</f>
        <v>#NUM!</v>
      </c>
      <c r="M289" t="e">
        <f>MINUTE(Table257911[[#This Row],[Corrected time]])</f>
        <v>#NUM!</v>
      </c>
      <c r="N289" s="1"/>
      <c r="O289" s="1">
        <f>Table257911[[#This Row],[Time]]-TIME(0,0,4)</f>
        <v>-4.6296296296296294E-5</v>
      </c>
      <c r="R289">
        <f>Table257911[[#This Row],[RSSI]]</f>
        <v>0</v>
      </c>
    </row>
    <row r="290" spans="2:18" x14ac:dyDescent="0.25">
      <c r="B290" t="e">
        <f>480+2*(Table146810[[#This Row],[min value (corrected)]]-49)</f>
        <v>#NUM!</v>
      </c>
      <c r="C290" t="e">
        <f>MINUTE(Table146810[[#This Row],[Corrected time]])</f>
        <v>#NUM!</v>
      </c>
      <c r="D290" s="1"/>
      <c r="E290" s="1">
        <f>Table146810[[#This Row],[Time]]-TIME(0,0,8)</f>
        <v>-9.2592592592592588E-5</v>
      </c>
      <c r="H290" t="e">
        <f t="shared" si="12"/>
        <v>#VALUE!</v>
      </c>
      <c r="L290" t="e">
        <f>480+2*(Table257911[[#This Row],[min value (corrected)]]-49)</f>
        <v>#NUM!</v>
      </c>
      <c r="M290" t="e">
        <f>MINUTE(Table257911[[#This Row],[Corrected time]])</f>
        <v>#NUM!</v>
      </c>
      <c r="N290" s="1"/>
      <c r="O290" s="1">
        <f>Table257911[[#This Row],[Time]]-TIME(0,0,4)</f>
        <v>-4.6296296296296294E-5</v>
      </c>
      <c r="R290">
        <f>Table257911[[#This Row],[RSSI]]</f>
        <v>0</v>
      </c>
    </row>
    <row r="291" spans="2:18" x14ac:dyDescent="0.25">
      <c r="B291" t="e">
        <f>480+2*(Table146810[[#This Row],[min value (corrected)]]-49)</f>
        <v>#NUM!</v>
      </c>
      <c r="C291" t="e">
        <f>MINUTE(Table146810[[#This Row],[Corrected time]])</f>
        <v>#NUM!</v>
      </c>
      <c r="D291" s="1"/>
      <c r="E291" s="1">
        <f>Table146810[[#This Row],[Time]]-TIME(0,0,8)</f>
        <v>-9.2592592592592588E-5</v>
      </c>
      <c r="H291" t="e">
        <f t="shared" si="12"/>
        <v>#VALUE!</v>
      </c>
      <c r="L291" t="e">
        <f>480+2*(Table257911[[#This Row],[min value (corrected)]]-49)</f>
        <v>#NUM!</v>
      </c>
      <c r="M291" t="e">
        <f>MINUTE(Table257911[[#This Row],[Corrected time]])</f>
        <v>#NUM!</v>
      </c>
      <c r="N291" s="1"/>
      <c r="O291" s="1">
        <f>Table257911[[#This Row],[Time]]-TIME(0,0,4)</f>
        <v>-4.6296296296296294E-5</v>
      </c>
      <c r="R291">
        <f>Table257911[[#This Row],[RSSI]]</f>
        <v>0</v>
      </c>
    </row>
    <row r="292" spans="2:18" x14ac:dyDescent="0.25">
      <c r="B292" t="e">
        <f>480+2*(Table146810[[#This Row],[min value (corrected)]]-49)</f>
        <v>#NUM!</v>
      </c>
      <c r="C292" t="e">
        <f>MINUTE(Table146810[[#This Row],[Corrected time]])</f>
        <v>#NUM!</v>
      </c>
      <c r="D292" s="1"/>
      <c r="E292" s="1">
        <f>Table146810[[#This Row],[Time]]-TIME(0,0,8)</f>
        <v>-9.2592592592592588E-5</v>
      </c>
      <c r="H292" t="e">
        <f t="shared" si="12"/>
        <v>#VALUE!</v>
      </c>
      <c r="L292" t="e">
        <f>480+2*(Table257911[[#This Row],[min value (corrected)]]-49)</f>
        <v>#NUM!</v>
      </c>
      <c r="M292" t="e">
        <f>MINUTE(Table257911[[#This Row],[Corrected time]])</f>
        <v>#NUM!</v>
      </c>
      <c r="N292" s="1"/>
      <c r="O292" s="1">
        <f>Table257911[[#This Row],[Time]]-TIME(0,0,4)</f>
        <v>-4.6296296296296294E-5</v>
      </c>
      <c r="R292">
        <f>Table257911[[#This Row],[RSSI]]</f>
        <v>0</v>
      </c>
    </row>
    <row r="293" spans="2:18" x14ac:dyDescent="0.25">
      <c r="B293" t="e">
        <f>480+2*(Table146810[[#This Row],[min value (corrected)]]-49)</f>
        <v>#NUM!</v>
      </c>
      <c r="C293" t="e">
        <f>MINUTE(Table146810[[#This Row],[Corrected time]])</f>
        <v>#NUM!</v>
      </c>
      <c r="D293" s="1"/>
      <c r="E293" s="1">
        <f>Table146810[[#This Row],[Time]]-TIME(0,0,8)</f>
        <v>-9.2592592592592588E-5</v>
      </c>
      <c r="H293" t="e">
        <f t="shared" si="12"/>
        <v>#VALUE!</v>
      </c>
      <c r="L293" t="e">
        <f>480+2*(Table257911[[#This Row],[min value (corrected)]]-49)</f>
        <v>#NUM!</v>
      </c>
      <c r="M293" t="e">
        <f>MINUTE(Table257911[[#This Row],[Corrected time]])</f>
        <v>#NUM!</v>
      </c>
      <c r="N293" s="1"/>
      <c r="O293" s="1">
        <f>Table257911[[#This Row],[Time]]-TIME(0,0,4)</f>
        <v>-4.6296296296296294E-5</v>
      </c>
      <c r="R293">
        <f>Table257911[[#This Row],[RSSI]]</f>
        <v>0</v>
      </c>
    </row>
    <row r="294" spans="2:18" x14ac:dyDescent="0.25">
      <c r="B294" t="e">
        <f>480+2*(Table146810[[#This Row],[min value (corrected)]]-49)</f>
        <v>#NUM!</v>
      </c>
      <c r="C294" t="e">
        <f>MINUTE(Table146810[[#This Row],[Corrected time]])</f>
        <v>#NUM!</v>
      </c>
      <c r="D294" s="1"/>
      <c r="E294" s="1">
        <f>Table146810[[#This Row],[Time]]-TIME(0,0,8)</f>
        <v>-9.2592592592592588E-5</v>
      </c>
      <c r="H294" t="e">
        <f t="shared" si="12"/>
        <v>#VALUE!</v>
      </c>
      <c r="L294" t="e">
        <f>480+2*(Table257911[[#This Row],[min value (corrected)]]-49)</f>
        <v>#NUM!</v>
      </c>
      <c r="M294" t="e">
        <f>MINUTE(Table257911[[#This Row],[Corrected time]])</f>
        <v>#NUM!</v>
      </c>
      <c r="N294" s="1"/>
      <c r="O294" s="1">
        <f>Table257911[[#This Row],[Time]]-TIME(0,0,4)</f>
        <v>-4.6296296296296294E-5</v>
      </c>
      <c r="R294">
        <f>Table257911[[#This Row],[RSSI]]</f>
        <v>0</v>
      </c>
    </row>
    <row r="295" spans="2:18" x14ac:dyDescent="0.25">
      <c r="B295" t="e">
        <f>480+2*(Table146810[[#This Row],[min value (corrected)]]-49)</f>
        <v>#NUM!</v>
      </c>
      <c r="C295" t="e">
        <f>MINUTE(Table146810[[#This Row],[Corrected time]])</f>
        <v>#NUM!</v>
      </c>
      <c r="D295" s="1"/>
      <c r="E295" s="1">
        <f>Table146810[[#This Row],[Time]]-TIME(0,0,8)</f>
        <v>-9.2592592592592588E-5</v>
      </c>
      <c r="H295" t="e">
        <f t="shared" si="12"/>
        <v>#VALUE!</v>
      </c>
      <c r="L295" t="e">
        <f>480+2*(Table257911[[#This Row],[min value (corrected)]]-49)</f>
        <v>#NUM!</v>
      </c>
      <c r="M295" t="e">
        <f>MINUTE(Table257911[[#This Row],[Corrected time]])</f>
        <v>#NUM!</v>
      </c>
      <c r="N295" s="1"/>
      <c r="O295" s="1">
        <f>Table257911[[#This Row],[Time]]-TIME(0,0,4)</f>
        <v>-4.6296296296296294E-5</v>
      </c>
      <c r="R295">
        <f>Table257911[[#This Row],[RSSI]]</f>
        <v>0</v>
      </c>
    </row>
    <row r="296" spans="2:18" x14ac:dyDescent="0.25">
      <c r="B296" t="e">
        <f>480+2*(Table146810[[#This Row],[min value (corrected)]]-49)</f>
        <v>#NUM!</v>
      </c>
      <c r="C296" t="e">
        <f>MINUTE(Table146810[[#This Row],[Corrected time]])</f>
        <v>#NUM!</v>
      </c>
      <c r="D296" s="1"/>
      <c r="E296" s="1">
        <f>Table146810[[#This Row],[Time]]-TIME(0,0,8)</f>
        <v>-9.2592592592592588E-5</v>
      </c>
      <c r="H296" t="e">
        <f t="shared" si="12"/>
        <v>#VALUE!</v>
      </c>
      <c r="L296" t="e">
        <f>480+2*(Table257911[[#This Row],[min value (corrected)]]-49)</f>
        <v>#NUM!</v>
      </c>
      <c r="M296" t="e">
        <f>MINUTE(Table257911[[#This Row],[Corrected time]])</f>
        <v>#NUM!</v>
      </c>
      <c r="N296" s="1"/>
      <c r="O296" s="1">
        <f>Table257911[[#This Row],[Time]]-TIME(0,0,4)</f>
        <v>-4.6296296296296294E-5</v>
      </c>
      <c r="R296">
        <f>Table257911[[#This Row],[RSSI]]</f>
        <v>0</v>
      </c>
    </row>
    <row r="297" spans="2:18" x14ac:dyDescent="0.25">
      <c r="B297" t="e">
        <f>480+2*(Table146810[[#This Row],[min value (corrected)]]-49)</f>
        <v>#NUM!</v>
      </c>
      <c r="C297" t="e">
        <f>MINUTE(Table146810[[#This Row],[Corrected time]])</f>
        <v>#NUM!</v>
      </c>
      <c r="D297" s="1"/>
      <c r="E297" s="1">
        <f>Table146810[[#This Row],[Time]]-TIME(0,0,8)</f>
        <v>-9.2592592592592588E-5</v>
      </c>
      <c r="H297" t="e">
        <f t="shared" si="12"/>
        <v>#VALUE!</v>
      </c>
      <c r="L297" t="e">
        <f>480+2*(Table257911[[#This Row],[min value (corrected)]]-49)</f>
        <v>#NUM!</v>
      </c>
      <c r="M297" t="e">
        <f>MINUTE(Table257911[[#This Row],[Corrected time]])</f>
        <v>#NUM!</v>
      </c>
      <c r="N297" s="1"/>
      <c r="O297" s="1">
        <f>Table257911[[#This Row],[Time]]-TIME(0,0,4)</f>
        <v>-4.6296296296296294E-5</v>
      </c>
      <c r="R297">
        <f>Table257911[[#This Row],[RSSI]]</f>
        <v>0</v>
      </c>
    </row>
    <row r="298" spans="2:18" x14ac:dyDescent="0.25">
      <c r="B298" t="e">
        <f>480+2*(Table146810[[#This Row],[min value (corrected)]]-49)</f>
        <v>#NUM!</v>
      </c>
      <c r="C298" t="e">
        <f>MINUTE(Table146810[[#This Row],[Corrected time]])</f>
        <v>#NUM!</v>
      </c>
      <c r="D298" s="1"/>
      <c r="E298" s="1">
        <f>Table146810[[#This Row],[Time]]-TIME(0,0,8)</f>
        <v>-9.2592592592592588E-5</v>
      </c>
      <c r="H298" t="e">
        <f t="shared" si="12"/>
        <v>#VALUE!</v>
      </c>
      <c r="L298" t="e">
        <f>480+2*(Table257911[[#This Row],[min value (corrected)]]-49)</f>
        <v>#NUM!</v>
      </c>
      <c r="M298" t="e">
        <f>MINUTE(Table257911[[#This Row],[Corrected time]])</f>
        <v>#NUM!</v>
      </c>
      <c r="N298" s="1"/>
      <c r="O298" s="1">
        <f>Table257911[[#This Row],[Time]]-TIME(0,0,4)</f>
        <v>-4.6296296296296294E-5</v>
      </c>
      <c r="R298">
        <f>Table257911[[#This Row],[RSSI]]</f>
        <v>0</v>
      </c>
    </row>
    <row r="299" spans="2:18" x14ac:dyDescent="0.25">
      <c r="B299" t="e">
        <f>480+2*(Table146810[[#This Row],[min value (corrected)]]-49)</f>
        <v>#NUM!</v>
      </c>
      <c r="C299" t="e">
        <f>MINUTE(Table146810[[#This Row],[Corrected time]])</f>
        <v>#NUM!</v>
      </c>
      <c r="D299" s="1"/>
      <c r="E299" s="1">
        <f>Table146810[[#This Row],[Time]]-TIME(0,0,8)</f>
        <v>-9.2592592592592588E-5</v>
      </c>
      <c r="H299" t="e">
        <f t="shared" si="12"/>
        <v>#VALUE!</v>
      </c>
      <c r="L299" t="e">
        <f>480+2*(Table257911[[#This Row],[min value (corrected)]]-49)</f>
        <v>#NUM!</v>
      </c>
      <c r="M299" t="e">
        <f>MINUTE(Table257911[[#This Row],[Corrected time]])</f>
        <v>#NUM!</v>
      </c>
      <c r="N299" s="1"/>
      <c r="O299" s="1">
        <f>Table257911[[#This Row],[Time]]-TIME(0,0,4)</f>
        <v>-4.6296296296296294E-5</v>
      </c>
      <c r="R299">
        <f>Table257911[[#This Row],[RSSI]]</f>
        <v>0</v>
      </c>
    </row>
    <row r="300" spans="2:18" x14ac:dyDescent="0.25">
      <c r="B300" t="e">
        <f>480+2*(Table146810[[#This Row],[min value (corrected)]]-49)</f>
        <v>#NUM!</v>
      </c>
      <c r="C300" t="e">
        <f>MINUTE(Table146810[[#This Row],[Corrected time]])</f>
        <v>#NUM!</v>
      </c>
      <c r="D300" s="1"/>
      <c r="E300" s="1">
        <f>Table146810[[#This Row],[Time]]-TIME(0,0,8)</f>
        <v>-9.2592592592592588E-5</v>
      </c>
      <c r="H300" t="e">
        <f t="shared" si="12"/>
        <v>#VALUE!</v>
      </c>
      <c r="L300" t="e">
        <f>480+2*(Table257911[[#This Row],[min value (corrected)]]-49)</f>
        <v>#NUM!</v>
      </c>
      <c r="M300" t="e">
        <f>MINUTE(Table257911[[#This Row],[Corrected time]])</f>
        <v>#NUM!</v>
      </c>
      <c r="N300" s="1"/>
      <c r="O300" s="1">
        <f>Table257911[[#This Row],[Time]]-TIME(0,0,4)</f>
        <v>-4.6296296296296294E-5</v>
      </c>
      <c r="R300">
        <f>Table257911[[#This Row],[RSSI]]</f>
        <v>0</v>
      </c>
    </row>
    <row r="301" spans="2:18" x14ac:dyDescent="0.25">
      <c r="B301" t="e">
        <f>480+2*(Table146810[[#This Row],[min value (corrected)]]-49)</f>
        <v>#NUM!</v>
      </c>
      <c r="C301" t="e">
        <f>MINUTE(Table146810[[#This Row],[Corrected time]])</f>
        <v>#NUM!</v>
      </c>
      <c r="D301" s="1"/>
      <c r="E301" s="1">
        <f>Table146810[[#This Row],[Time]]-TIME(0,0,8)</f>
        <v>-9.2592592592592588E-5</v>
      </c>
      <c r="H301" t="e">
        <f t="shared" si="12"/>
        <v>#VALUE!</v>
      </c>
      <c r="L301" t="e">
        <f>480+2*(Table257911[[#This Row],[min value (corrected)]]-49)</f>
        <v>#NUM!</v>
      </c>
      <c r="M301" t="e">
        <f>MINUTE(Table257911[[#This Row],[Corrected time]])</f>
        <v>#NUM!</v>
      </c>
      <c r="N301" s="1"/>
      <c r="O301" s="1">
        <f>Table257911[[#This Row],[Time]]-TIME(0,0,4)</f>
        <v>-4.6296296296296294E-5</v>
      </c>
      <c r="R301">
        <f>Table257911[[#This Row],[RSSI]]</f>
        <v>0</v>
      </c>
    </row>
    <row r="302" spans="2:18" x14ac:dyDescent="0.25">
      <c r="B302" t="e">
        <f>480+2*(Table146810[[#This Row],[min value (corrected)]]-49)</f>
        <v>#NUM!</v>
      </c>
      <c r="C302" t="e">
        <f>MINUTE(Table146810[[#This Row],[Corrected time]])</f>
        <v>#NUM!</v>
      </c>
      <c r="D302" s="1"/>
      <c r="E302" s="1">
        <f>Table146810[[#This Row],[Time]]-TIME(0,0,8)</f>
        <v>-9.2592592592592588E-5</v>
      </c>
      <c r="H302" t="e">
        <f t="shared" si="12"/>
        <v>#VALUE!</v>
      </c>
      <c r="L302" t="e">
        <f>480+2*(Table257911[[#This Row],[min value (corrected)]]-49)</f>
        <v>#NUM!</v>
      </c>
      <c r="M302" t="e">
        <f>MINUTE(Table257911[[#This Row],[Corrected time]])</f>
        <v>#NUM!</v>
      </c>
      <c r="N302" s="1"/>
      <c r="O302" s="1">
        <f>Table257911[[#This Row],[Time]]-TIME(0,0,4)</f>
        <v>-4.6296296296296294E-5</v>
      </c>
      <c r="R302">
        <f>Table257911[[#This Row],[RSSI]]</f>
        <v>0</v>
      </c>
    </row>
    <row r="303" spans="2:18" x14ac:dyDescent="0.25">
      <c r="B303" t="e">
        <f>480+2*(Table146810[[#This Row],[min value (corrected)]]-49)</f>
        <v>#NUM!</v>
      </c>
      <c r="C303" t="e">
        <f>MINUTE(Table146810[[#This Row],[Corrected time]])</f>
        <v>#NUM!</v>
      </c>
      <c r="D303" s="1"/>
      <c r="E303" s="1">
        <f>Table146810[[#This Row],[Time]]-TIME(0,0,8)</f>
        <v>-9.2592592592592588E-5</v>
      </c>
      <c r="H303" t="e">
        <f t="shared" si="12"/>
        <v>#VALUE!</v>
      </c>
      <c r="L303" t="e">
        <f>480+2*(Table257911[[#This Row],[min value (corrected)]]-49)</f>
        <v>#NUM!</v>
      </c>
      <c r="M303" t="e">
        <f>MINUTE(Table257911[[#This Row],[Corrected time]])</f>
        <v>#NUM!</v>
      </c>
      <c r="N303" s="1"/>
      <c r="O303" s="1">
        <f>Table257911[[#This Row],[Time]]-TIME(0,0,4)</f>
        <v>-4.6296296296296294E-5</v>
      </c>
      <c r="R303">
        <f>Table257911[[#This Row],[RSSI]]</f>
        <v>0</v>
      </c>
    </row>
    <row r="304" spans="2:18" x14ac:dyDescent="0.25">
      <c r="B304" t="e">
        <f>480+2*(Table146810[[#This Row],[min value (corrected)]]-49)</f>
        <v>#NUM!</v>
      </c>
      <c r="C304" t="e">
        <f>MINUTE(Table146810[[#This Row],[Corrected time]])</f>
        <v>#NUM!</v>
      </c>
      <c r="D304" s="1"/>
      <c r="E304" s="1">
        <f>Table146810[[#This Row],[Time]]-TIME(0,0,8)</f>
        <v>-9.2592592592592588E-5</v>
      </c>
      <c r="H304" t="e">
        <f t="shared" si="12"/>
        <v>#VALUE!</v>
      </c>
      <c r="L304" t="e">
        <f>480+2*(Table257911[[#This Row],[min value (corrected)]]-49)</f>
        <v>#NUM!</v>
      </c>
      <c r="M304" t="e">
        <f>MINUTE(Table257911[[#This Row],[Corrected time]])</f>
        <v>#NUM!</v>
      </c>
      <c r="N304" s="1"/>
      <c r="O304" s="1">
        <f>Table257911[[#This Row],[Time]]-TIME(0,0,4)</f>
        <v>-4.6296296296296294E-5</v>
      </c>
      <c r="R304">
        <f>Table257911[[#This Row],[RSSI]]</f>
        <v>0</v>
      </c>
    </row>
    <row r="305" spans="2:18" x14ac:dyDescent="0.25">
      <c r="B305" t="e">
        <f>480+2*(Table146810[[#This Row],[min value (corrected)]]-49)</f>
        <v>#NUM!</v>
      </c>
      <c r="C305" t="e">
        <f>MINUTE(Table146810[[#This Row],[Corrected time]])</f>
        <v>#NUM!</v>
      </c>
      <c r="D305" s="1"/>
      <c r="E305" s="1">
        <f>Table146810[[#This Row],[Time]]-TIME(0,0,8)</f>
        <v>-9.2592592592592588E-5</v>
      </c>
      <c r="H305" t="e">
        <f t="shared" si="12"/>
        <v>#VALUE!</v>
      </c>
      <c r="L305" t="e">
        <f>480+2*(Table257911[[#This Row],[min value (corrected)]]-49)</f>
        <v>#NUM!</v>
      </c>
      <c r="M305" t="e">
        <f>MINUTE(Table257911[[#This Row],[Corrected time]])</f>
        <v>#NUM!</v>
      </c>
      <c r="N305" s="1"/>
      <c r="O305" s="1">
        <f>Table257911[[#This Row],[Time]]-TIME(0,0,4)</f>
        <v>-4.6296296296296294E-5</v>
      </c>
      <c r="R305">
        <f>Table257911[[#This Row],[RSSI]]</f>
        <v>0</v>
      </c>
    </row>
    <row r="306" spans="2:18" x14ac:dyDescent="0.25">
      <c r="B306" t="e">
        <f>480+2*(Table146810[[#This Row],[min value (corrected)]]-49)</f>
        <v>#NUM!</v>
      </c>
      <c r="C306" t="e">
        <f>MINUTE(Table146810[[#This Row],[Corrected time]])</f>
        <v>#NUM!</v>
      </c>
      <c r="D306" s="1"/>
      <c r="E306" s="1">
        <f>Table146810[[#This Row],[Time]]-TIME(0,0,8)</f>
        <v>-9.2592592592592588E-5</v>
      </c>
      <c r="H306" t="e">
        <f t="shared" si="12"/>
        <v>#VALUE!</v>
      </c>
      <c r="L306" t="e">
        <f>480+2*(Table257911[[#This Row],[min value (corrected)]]-49)</f>
        <v>#NUM!</v>
      </c>
      <c r="M306" t="e">
        <f>MINUTE(Table257911[[#This Row],[Corrected time]])</f>
        <v>#NUM!</v>
      </c>
      <c r="N306" s="1"/>
      <c r="O306" s="1">
        <f>Table257911[[#This Row],[Time]]-TIME(0,0,4)</f>
        <v>-4.6296296296296294E-5</v>
      </c>
      <c r="R306">
        <f>Table257911[[#This Row],[RSSI]]</f>
        <v>0</v>
      </c>
    </row>
    <row r="307" spans="2:18" x14ac:dyDescent="0.25">
      <c r="B307" t="e">
        <f>480+2*(Table146810[[#This Row],[min value (corrected)]]-49)</f>
        <v>#NUM!</v>
      </c>
      <c r="C307" t="e">
        <f>MINUTE(Table146810[[#This Row],[Corrected time]])</f>
        <v>#NUM!</v>
      </c>
      <c r="D307" s="1"/>
      <c r="E307" s="1">
        <f>Table146810[[#This Row],[Time]]-TIME(0,0,8)</f>
        <v>-9.2592592592592588E-5</v>
      </c>
      <c r="H307" t="e">
        <f t="shared" si="12"/>
        <v>#VALUE!</v>
      </c>
      <c r="L307" t="e">
        <f>480+2*(Table257911[[#This Row],[min value (corrected)]]-49)</f>
        <v>#NUM!</v>
      </c>
      <c r="M307" t="e">
        <f>MINUTE(Table257911[[#This Row],[Corrected time]])</f>
        <v>#NUM!</v>
      </c>
      <c r="N307" s="1"/>
      <c r="O307" s="1">
        <f>Table257911[[#This Row],[Time]]-TIME(0,0,4)</f>
        <v>-4.6296296296296294E-5</v>
      </c>
      <c r="R307">
        <f>Table257911[[#This Row],[RSSI]]</f>
        <v>0</v>
      </c>
    </row>
    <row r="308" spans="2:18" x14ac:dyDescent="0.25">
      <c r="B308" t="e">
        <f>480+2*(Table146810[[#This Row],[min value (corrected)]]-49)</f>
        <v>#NUM!</v>
      </c>
      <c r="C308" t="e">
        <f>MINUTE(Table146810[[#This Row],[Corrected time]])</f>
        <v>#NUM!</v>
      </c>
      <c r="D308" s="1"/>
      <c r="E308" s="1">
        <f>Table146810[[#This Row],[Time]]-TIME(0,0,8)</f>
        <v>-9.2592592592592588E-5</v>
      </c>
      <c r="H308" t="e">
        <f t="shared" si="12"/>
        <v>#VALUE!</v>
      </c>
      <c r="L308" t="e">
        <f>480+2*(Table257911[[#This Row],[min value (corrected)]]-49)</f>
        <v>#NUM!</v>
      </c>
      <c r="M308" t="e">
        <f>MINUTE(Table257911[[#This Row],[Corrected time]])</f>
        <v>#NUM!</v>
      </c>
      <c r="N308" s="1"/>
      <c r="O308" s="1">
        <f>Table257911[[#This Row],[Time]]-TIME(0,0,4)</f>
        <v>-4.6296296296296294E-5</v>
      </c>
      <c r="R308">
        <f>Table257911[[#This Row],[RSSI]]</f>
        <v>0</v>
      </c>
    </row>
    <row r="309" spans="2:18" x14ac:dyDescent="0.25">
      <c r="B309" t="e">
        <f>480+2*(Table146810[[#This Row],[min value (corrected)]]-49)</f>
        <v>#NUM!</v>
      </c>
      <c r="C309" t="e">
        <f>MINUTE(Table146810[[#This Row],[Corrected time]])</f>
        <v>#NUM!</v>
      </c>
      <c r="D309" s="1"/>
      <c r="E309" s="1">
        <f>Table146810[[#This Row],[Time]]-TIME(0,0,8)</f>
        <v>-9.2592592592592588E-5</v>
      </c>
      <c r="H309" t="e">
        <f t="shared" si="12"/>
        <v>#VALUE!</v>
      </c>
      <c r="L309" t="e">
        <f>480+2*(Table257911[[#This Row],[min value (corrected)]]-49)</f>
        <v>#NUM!</v>
      </c>
      <c r="M309" t="e">
        <f>MINUTE(Table257911[[#This Row],[Corrected time]])</f>
        <v>#NUM!</v>
      </c>
      <c r="N309" s="1"/>
      <c r="O309" s="1">
        <f>Table257911[[#This Row],[Time]]-TIME(0,0,4)</f>
        <v>-4.6296296296296294E-5</v>
      </c>
      <c r="R309">
        <f>Table257911[[#This Row],[RSSI]]</f>
        <v>0</v>
      </c>
    </row>
    <row r="310" spans="2:18" x14ac:dyDescent="0.25">
      <c r="B310" t="e">
        <f>480+2*(Table146810[[#This Row],[min value (corrected)]]-49)</f>
        <v>#NUM!</v>
      </c>
      <c r="C310" t="e">
        <f>MINUTE(Table146810[[#This Row],[Corrected time]])</f>
        <v>#NUM!</v>
      </c>
      <c r="D310" s="1"/>
      <c r="E310" s="1">
        <f>Table146810[[#This Row],[Time]]-TIME(0,0,8)</f>
        <v>-9.2592592592592588E-5</v>
      </c>
      <c r="H310" t="e">
        <f t="shared" si="12"/>
        <v>#VALUE!</v>
      </c>
      <c r="L310" t="e">
        <f>480+2*(Table257911[[#This Row],[min value (corrected)]]-49)</f>
        <v>#NUM!</v>
      </c>
      <c r="M310" t="e">
        <f>MINUTE(Table257911[[#This Row],[Corrected time]])</f>
        <v>#NUM!</v>
      </c>
      <c r="N310" s="1"/>
      <c r="O310" s="1">
        <f>Table257911[[#This Row],[Time]]-TIME(0,0,4)</f>
        <v>-4.6296296296296294E-5</v>
      </c>
      <c r="R310">
        <f>Table257911[[#This Row],[RSSI]]</f>
        <v>0</v>
      </c>
    </row>
    <row r="311" spans="2:18" x14ac:dyDescent="0.25">
      <c r="B311" t="e">
        <f>480+2*(Table146810[[#This Row],[min value (corrected)]]-49)</f>
        <v>#NUM!</v>
      </c>
      <c r="C311" t="e">
        <f>MINUTE(Table146810[[#This Row],[Corrected time]])</f>
        <v>#NUM!</v>
      </c>
      <c r="D311" s="1"/>
      <c r="E311" s="1">
        <f>Table146810[[#This Row],[Time]]-TIME(0,0,8)</f>
        <v>-9.2592592592592588E-5</v>
      </c>
      <c r="H311" t="e">
        <f t="shared" si="12"/>
        <v>#VALUE!</v>
      </c>
      <c r="L311" t="e">
        <f>480+2*(Table257911[[#This Row],[min value (corrected)]]-49)</f>
        <v>#NUM!</v>
      </c>
      <c r="M311" t="e">
        <f>MINUTE(Table257911[[#This Row],[Corrected time]])</f>
        <v>#NUM!</v>
      </c>
      <c r="N311" s="1"/>
      <c r="O311" s="1">
        <f>Table257911[[#This Row],[Time]]-TIME(0,0,4)</f>
        <v>-4.6296296296296294E-5</v>
      </c>
      <c r="R311">
        <f>Table257911[[#This Row],[RSSI]]</f>
        <v>0</v>
      </c>
    </row>
    <row r="312" spans="2:18" x14ac:dyDescent="0.25">
      <c r="B312" t="e">
        <f>480+2*(Table146810[[#This Row],[min value (corrected)]]-49)</f>
        <v>#NUM!</v>
      </c>
      <c r="C312" t="e">
        <f>MINUTE(Table146810[[#This Row],[Corrected time]])</f>
        <v>#NUM!</v>
      </c>
      <c r="D312" s="1"/>
      <c r="E312" s="1">
        <f>Table146810[[#This Row],[Time]]-TIME(0,0,8)</f>
        <v>-9.2592592592592588E-5</v>
      </c>
      <c r="H312" t="e">
        <f t="shared" si="12"/>
        <v>#VALUE!</v>
      </c>
      <c r="L312" t="e">
        <f>480+2*(Table257911[[#This Row],[min value (corrected)]]-49)</f>
        <v>#NUM!</v>
      </c>
      <c r="M312" t="e">
        <f>MINUTE(Table257911[[#This Row],[Corrected time]])</f>
        <v>#NUM!</v>
      </c>
      <c r="N312" s="1"/>
      <c r="O312" s="1">
        <f>Table257911[[#This Row],[Time]]-TIME(0,0,4)</f>
        <v>-4.6296296296296294E-5</v>
      </c>
      <c r="R312">
        <f>Table257911[[#This Row],[RSSI]]</f>
        <v>0</v>
      </c>
    </row>
    <row r="313" spans="2:18" x14ac:dyDescent="0.25">
      <c r="B313" t="e">
        <f>480+2*(Table146810[[#This Row],[min value (corrected)]]-49)</f>
        <v>#NUM!</v>
      </c>
      <c r="C313" t="e">
        <f>MINUTE(Table146810[[#This Row],[Corrected time]])</f>
        <v>#NUM!</v>
      </c>
      <c r="D313" s="1"/>
      <c r="E313" s="1">
        <f>Table146810[[#This Row],[Time]]-TIME(0,0,8)</f>
        <v>-9.2592592592592588E-5</v>
      </c>
      <c r="H313" t="e">
        <f t="shared" si="12"/>
        <v>#VALUE!</v>
      </c>
      <c r="L313" t="e">
        <f>480+2*(Table257911[[#This Row],[min value (corrected)]]-49)</f>
        <v>#NUM!</v>
      </c>
      <c r="M313" t="e">
        <f>MINUTE(Table257911[[#This Row],[Corrected time]])</f>
        <v>#NUM!</v>
      </c>
      <c r="N313" s="1"/>
      <c r="O313" s="1">
        <f>Table257911[[#This Row],[Time]]-TIME(0,0,4)</f>
        <v>-4.6296296296296294E-5</v>
      </c>
      <c r="R313">
        <f>Table257911[[#This Row],[RSSI]]</f>
        <v>0</v>
      </c>
    </row>
    <row r="314" spans="2:18" x14ac:dyDescent="0.25">
      <c r="B314" t="e">
        <f>480+2*(Table146810[[#This Row],[min value (corrected)]]-49)</f>
        <v>#NUM!</v>
      </c>
      <c r="C314" t="e">
        <f>MINUTE(Table146810[[#This Row],[Corrected time]])</f>
        <v>#NUM!</v>
      </c>
      <c r="D314" s="1"/>
      <c r="E314" s="1">
        <f>Table146810[[#This Row],[Time]]-TIME(0,0,8)</f>
        <v>-9.2592592592592588E-5</v>
      </c>
      <c r="H314" t="e">
        <f t="shared" si="12"/>
        <v>#VALUE!</v>
      </c>
      <c r="L314" t="e">
        <f>480+2*(Table257911[[#This Row],[min value (corrected)]]-49)</f>
        <v>#NUM!</v>
      </c>
      <c r="M314" t="e">
        <f>MINUTE(Table257911[[#This Row],[Corrected time]])</f>
        <v>#NUM!</v>
      </c>
      <c r="N314" s="1"/>
      <c r="O314" s="1">
        <f>Table257911[[#This Row],[Time]]-TIME(0,0,4)</f>
        <v>-4.6296296296296294E-5</v>
      </c>
      <c r="R314">
        <f>Table257911[[#This Row],[RSSI]]</f>
        <v>0</v>
      </c>
    </row>
    <row r="315" spans="2:18" x14ac:dyDescent="0.25">
      <c r="B315" t="e">
        <f>480+2*(Table146810[[#This Row],[min value (corrected)]]-49)</f>
        <v>#NUM!</v>
      </c>
      <c r="C315" t="e">
        <f>MINUTE(Table146810[[#This Row],[Corrected time]])</f>
        <v>#NUM!</v>
      </c>
      <c r="D315" s="1"/>
      <c r="E315" s="1">
        <f>Table146810[[#This Row],[Time]]-TIME(0,0,8)</f>
        <v>-9.2592592592592588E-5</v>
      </c>
      <c r="H315" t="e">
        <f t="shared" si="12"/>
        <v>#VALUE!</v>
      </c>
      <c r="L315" t="e">
        <f>480+2*(Table257911[[#This Row],[min value (corrected)]]-49)</f>
        <v>#NUM!</v>
      </c>
      <c r="M315" t="e">
        <f>MINUTE(Table257911[[#This Row],[Corrected time]])</f>
        <v>#NUM!</v>
      </c>
      <c r="N315" s="1"/>
      <c r="O315" s="1">
        <f>Table257911[[#This Row],[Time]]-TIME(0,0,4)</f>
        <v>-4.6296296296296294E-5</v>
      </c>
      <c r="R315">
        <f>Table257911[[#This Row],[RSSI]]</f>
        <v>0</v>
      </c>
    </row>
    <row r="316" spans="2:18" x14ac:dyDescent="0.25">
      <c r="B316" t="e">
        <f>480+2*(Table146810[[#This Row],[min value (corrected)]]-49)</f>
        <v>#NUM!</v>
      </c>
      <c r="C316" t="e">
        <f>MINUTE(Table146810[[#This Row],[Corrected time]])</f>
        <v>#NUM!</v>
      </c>
      <c r="D316" s="1"/>
      <c r="E316" s="1">
        <f>Table146810[[#This Row],[Time]]-TIME(0,0,8)</f>
        <v>-9.2592592592592588E-5</v>
      </c>
      <c r="H316" t="e">
        <f t="shared" si="12"/>
        <v>#VALUE!</v>
      </c>
      <c r="L316" t="e">
        <f>480+2*(Table257911[[#This Row],[min value (corrected)]]-49)</f>
        <v>#NUM!</v>
      </c>
      <c r="M316" t="e">
        <f>MINUTE(Table257911[[#This Row],[Corrected time]])</f>
        <v>#NUM!</v>
      </c>
      <c r="N316" s="1"/>
      <c r="O316" s="1">
        <f>Table257911[[#This Row],[Time]]-TIME(0,0,4)</f>
        <v>-4.6296296296296294E-5</v>
      </c>
      <c r="R316">
        <f>Table257911[[#This Row],[RSSI]]</f>
        <v>0</v>
      </c>
    </row>
    <row r="317" spans="2:18" x14ac:dyDescent="0.25">
      <c r="B317" t="e">
        <f>480+2*(Table146810[[#This Row],[min value (corrected)]]-49)</f>
        <v>#NUM!</v>
      </c>
      <c r="C317" t="e">
        <f>MINUTE(Table146810[[#This Row],[Corrected time]])</f>
        <v>#NUM!</v>
      </c>
      <c r="D317" s="1"/>
      <c r="E317" s="1">
        <f>Table146810[[#This Row],[Time]]-TIME(0,0,8)</f>
        <v>-9.2592592592592588E-5</v>
      </c>
      <c r="H317" t="e">
        <f t="shared" si="12"/>
        <v>#VALUE!</v>
      </c>
      <c r="L317" t="e">
        <f>480+2*(Table257911[[#This Row],[min value (corrected)]]-49)</f>
        <v>#NUM!</v>
      </c>
      <c r="M317" t="e">
        <f>MINUTE(Table257911[[#This Row],[Corrected time]])</f>
        <v>#NUM!</v>
      </c>
      <c r="N317" s="1"/>
      <c r="O317" s="1">
        <f>Table257911[[#This Row],[Time]]-TIME(0,0,4)</f>
        <v>-4.6296296296296294E-5</v>
      </c>
      <c r="R317">
        <f>Table257911[[#This Row],[RSSI]]</f>
        <v>0</v>
      </c>
    </row>
    <row r="318" spans="2:18" x14ac:dyDescent="0.25">
      <c r="B318" t="e">
        <f>480+2*(Table146810[[#This Row],[min value (corrected)]]-49)</f>
        <v>#NUM!</v>
      </c>
      <c r="C318" t="e">
        <f>MINUTE(Table146810[[#This Row],[Corrected time]])</f>
        <v>#NUM!</v>
      </c>
      <c r="D318" s="1"/>
      <c r="E318" s="1">
        <f>Table146810[[#This Row],[Time]]-TIME(0,0,8)</f>
        <v>-9.2592592592592588E-5</v>
      </c>
      <c r="H318" t="e">
        <f t="shared" si="12"/>
        <v>#VALUE!</v>
      </c>
      <c r="L318" t="e">
        <f>480+2*(Table257911[[#This Row],[min value (corrected)]]-49)</f>
        <v>#NUM!</v>
      </c>
      <c r="M318" t="e">
        <f>MINUTE(Table257911[[#This Row],[Corrected time]])</f>
        <v>#NUM!</v>
      </c>
      <c r="N318" s="1"/>
      <c r="O318" s="1">
        <f>Table257911[[#This Row],[Time]]-TIME(0,0,4)</f>
        <v>-4.6296296296296294E-5</v>
      </c>
      <c r="R318">
        <f>Table257911[[#This Row],[RSSI]]</f>
        <v>0</v>
      </c>
    </row>
    <row r="319" spans="2:18" x14ac:dyDescent="0.25">
      <c r="B319" t="e">
        <f>480+2*(Table146810[[#This Row],[min value (corrected)]]-49)</f>
        <v>#NUM!</v>
      </c>
      <c r="C319" t="e">
        <f>MINUTE(Table146810[[#This Row],[Corrected time]])</f>
        <v>#NUM!</v>
      </c>
      <c r="D319" s="1"/>
      <c r="E319" s="1">
        <f>Table146810[[#This Row],[Time]]-TIME(0,0,8)</f>
        <v>-9.2592592592592588E-5</v>
      </c>
      <c r="H319" t="e">
        <f t="shared" si="12"/>
        <v>#VALUE!</v>
      </c>
      <c r="L319" t="e">
        <f>480+2*(Table257911[[#This Row],[min value (corrected)]]-49)</f>
        <v>#NUM!</v>
      </c>
      <c r="M319" t="e">
        <f>MINUTE(Table257911[[#This Row],[Corrected time]])</f>
        <v>#NUM!</v>
      </c>
      <c r="N319" s="1"/>
      <c r="O319" s="1">
        <f>Table257911[[#This Row],[Time]]-TIME(0,0,4)</f>
        <v>-4.6296296296296294E-5</v>
      </c>
      <c r="R319">
        <f>Table257911[[#This Row],[RSSI]]</f>
        <v>0</v>
      </c>
    </row>
    <row r="320" spans="2:18" x14ac:dyDescent="0.25">
      <c r="B320" t="e">
        <f>480+2*(Table146810[[#This Row],[min value (corrected)]]-49)</f>
        <v>#NUM!</v>
      </c>
      <c r="C320" t="e">
        <f>MINUTE(Table146810[[#This Row],[Corrected time]])</f>
        <v>#NUM!</v>
      </c>
      <c r="D320" s="1"/>
      <c r="E320" s="1">
        <f>Table146810[[#This Row],[Time]]-TIME(0,0,8)</f>
        <v>-9.2592592592592588E-5</v>
      </c>
      <c r="H320" t="e">
        <f t="shared" si="12"/>
        <v>#VALUE!</v>
      </c>
      <c r="L320" t="e">
        <f>480+2*(Table257911[[#This Row],[min value (corrected)]]-49)</f>
        <v>#NUM!</v>
      </c>
      <c r="M320" t="e">
        <f>MINUTE(Table257911[[#This Row],[Corrected time]])</f>
        <v>#NUM!</v>
      </c>
      <c r="N320" s="1"/>
      <c r="O320" s="1">
        <f>Table257911[[#This Row],[Time]]-TIME(0,0,4)</f>
        <v>-4.6296296296296294E-5</v>
      </c>
      <c r="R320">
        <f>Table257911[[#This Row],[RSSI]]</f>
        <v>0</v>
      </c>
    </row>
    <row r="321" spans="2:18" x14ac:dyDescent="0.25">
      <c r="B321" t="e">
        <f>480+2*(Table146810[[#This Row],[min value (corrected)]]-49)</f>
        <v>#NUM!</v>
      </c>
      <c r="C321" t="e">
        <f>MINUTE(Table146810[[#This Row],[Corrected time]])</f>
        <v>#NUM!</v>
      </c>
      <c r="D321" s="1"/>
      <c r="E321" s="1">
        <f>Table146810[[#This Row],[Time]]-TIME(0,0,8)</f>
        <v>-9.2592592592592588E-5</v>
      </c>
      <c r="H321" t="e">
        <f t="shared" si="12"/>
        <v>#VALUE!</v>
      </c>
      <c r="L321" t="e">
        <f>480+2*(Table257911[[#This Row],[min value (corrected)]]-49)</f>
        <v>#NUM!</v>
      </c>
      <c r="M321" t="e">
        <f>MINUTE(Table257911[[#This Row],[Corrected time]])</f>
        <v>#NUM!</v>
      </c>
      <c r="N321" s="1"/>
      <c r="O321" s="1">
        <f>Table257911[[#This Row],[Time]]-TIME(0,0,4)</f>
        <v>-4.6296296296296294E-5</v>
      </c>
      <c r="R321">
        <f>Table257911[[#This Row],[RSSI]]</f>
        <v>0</v>
      </c>
    </row>
    <row r="322" spans="2:18" x14ac:dyDescent="0.25">
      <c r="B322" t="e">
        <f>480+2*(Table146810[[#This Row],[min value (corrected)]]-49)</f>
        <v>#NUM!</v>
      </c>
      <c r="C322" t="e">
        <f>MINUTE(Table146810[[#This Row],[Corrected time]])</f>
        <v>#NUM!</v>
      </c>
      <c r="D322" s="1"/>
      <c r="E322" s="1">
        <f>Table146810[[#This Row],[Time]]-TIME(0,0,8)</f>
        <v>-9.2592592592592588E-5</v>
      </c>
      <c r="H322" t="e">
        <f t="shared" si="12"/>
        <v>#VALUE!</v>
      </c>
      <c r="L322" t="e">
        <f>480+2*(Table257911[[#This Row],[min value (corrected)]]-49)</f>
        <v>#NUM!</v>
      </c>
      <c r="M322" t="e">
        <f>MINUTE(Table257911[[#This Row],[Corrected time]])</f>
        <v>#NUM!</v>
      </c>
      <c r="N322" s="1"/>
      <c r="O322" s="1">
        <f>Table257911[[#This Row],[Time]]-TIME(0,0,4)</f>
        <v>-4.6296296296296294E-5</v>
      </c>
      <c r="R322">
        <f>Table257911[[#This Row],[RSSI]]</f>
        <v>0</v>
      </c>
    </row>
    <row r="323" spans="2:18" x14ac:dyDescent="0.25">
      <c r="B323" t="e">
        <f>480+2*(Table146810[[#This Row],[min value (corrected)]]-49)</f>
        <v>#NUM!</v>
      </c>
      <c r="C323" t="e">
        <f>MINUTE(Table146810[[#This Row],[Corrected time]])</f>
        <v>#NUM!</v>
      </c>
      <c r="D323" s="1"/>
      <c r="E323" s="1">
        <f>Table146810[[#This Row],[Time]]-TIME(0,0,8)</f>
        <v>-9.2592592592592588E-5</v>
      </c>
      <c r="H323" t="e">
        <f t="shared" si="12"/>
        <v>#VALUE!</v>
      </c>
      <c r="L323" t="e">
        <f>480+2*(Table257911[[#This Row],[min value (corrected)]]-49)</f>
        <v>#NUM!</v>
      </c>
      <c r="M323" t="e">
        <f>MINUTE(Table257911[[#This Row],[Corrected time]])</f>
        <v>#NUM!</v>
      </c>
      <c r="N323" s="1"/>
      <c r="O323" s="1">
        <f>Table257911[[#This Row],[Time]]-TIME(0,0,4)</f>
        <v>-4.6296296296296294E-5</v>
      </c>
      <c r="R323">
        <f>Table257911[[#This Row],[RSSI]]</f>
        <v>0</v>
      </c>
    </row>
    <row r="324" spans="2:18" x14ac:dyDescent="0.25">
      <c r="B324" t="e">
        <f>480+2*(Table146810[[#This Row],[min value (corrected)]]-49)</f>
        <v>#NUM!</v>
      </c>
      <c r="C324" t="e">
        <f>MINUTE(Table146810[[#This Row],[Corrected time]])</f>
        <v>#NUM!</v>
      </c>
      <c r="D324" s="1"/>
      <c r="E324" s="1">
        <f>Table146810[[#This Row],[Time]]-TIME(0,0,8)</f>
        <v>-9.2592592592592588E-5</v>
      </c>
      <c r="H324" t="e">
        <f t="shared" si="12"/>
        <v>#VALUE!</v>
      </c>
      <c r="L324" t="e">
        <f>480+2*(Table257911[[#This Row],[min value (corrected)]]-49)</f>
        <v>#NUM!</v>
      </c>
      <c r="M324" t="e">
        <f>MINUTE(Table257911[[#This Row],[Corrected time]])</f>
        <v>#NUM!</v>
      </c>
      <c r="N324" s="1"/>
      <c r="O324" s="1">
        <f>Table257911[[#This Row],[Time]]-TIME(0,0,4)</f>
        <v>-4.6296296296296294E-5</v>
      </c>
      <c r="R324">
        <f>Table257911[[#This Row],[RSSI]]</f>
        <v>0</v>
      </c>
    </row>
    <row r="325" spans="2:18" x14ac:dyDescent="0.25">
      <c r="B325" t="e">
        <f>480+2*(Table146810[[#This Row],[min value (corrected)]]-49)</f>
        <v>#NUM!</v>
      </c>
      <c r="C325" t="e">
        <f>MINUTE(Table146810[[#This Row],[Corrected time]])</f>
        <v>#NUM!</v>
      </c>
      <c r="D325" s="1"/>
      <c r="E325" s="1">
        <f>Table146810[[#This Row],[Time]]-TIME(0,0,8)</f>
        <v>-9.2592592592592588E-5</v>
      </c>
      <c r="H325" t="e">
        <f t="shared" si="12"/>
        <v>#VALUE!</v>
      </c>
      <c r="L325" t="e">
        <f>480+2*(Table257911[[#This Row],[min value (corrected)]]-49)</f>
        <v>#NUM!</v>
      </c>
      <c r="M325" t="e">
        <f>MINUTE(Table257911[[#This Row],[Corrected time]])</f>
        <v>#NUM!</v>
      </c>
      <c r="N325" s="1"/>
      <c r="O325" s="1">
        <f>Table257911[[#This Row],[Time]]-TIME(0,0,4)</f>
        <v>-4.6296296296296294E-5</v>
      </c>
      <c r="R325">
        <f>Table257911[[#This Row],[RSSI]]</f>
        <v>0</v>
      </c>
    </row>
    <row r="326" spans="2:18" x14ac:dyDescent="0.25">
      <c r="B326" t="e">
        <f>480+2*(Table146810[[#This Row],[min value (corrected)]]-49)</f>
        <v>#NUM!</v>
      </c>
      <c r="C326" t="e">
        <f>MINUTE(Table146810[[#This Row],[Corrected time]])</f>
        <v>#NUM!</v>
      </c>
      <c r="D326" s="1"/>
      <c r="E326" s="1">
        <f>Table146810[[#This Row],[Time]]-TIME(0,0,8)</f>
        <v>-9.2592592592592588E-5</v>
      </c>
      <c r="H326" t="e">
        <f t="shared" si="12"/>
        <v>#VALUE!</v>
      </c>
      <c r="L326" t="e">
        <f>480+2*(Table257911[[#This Row],[min value (corrected)]]-49)</f>
        <v>#NUM!</v>
      </c>
      <c r="M326" t="e">
        <f>MINUTE(Table257911[[#This Row],[Corrected time]])</f>
        <v>#NUM!</v>
      </c>
      <c r="N326" s="1"/>
      <c r="O326" s="1">
        <f>Table257911[[#This Row],[Time]]-TIME(0,0,4)</f>
        <v>-4.6296296296296294E-5</v>
      </c>
      <c r="R326">
        <f>Table257911[[#This Row],[RSSI]]</f>
        <v>0</v>
      </c>
    </row>
    <row r="327" spans="2:18" x14ac:dyDescent="0.25">
      <c r="B327" t="e">
        <f>480+2*(Table146810[[#This Row],[min value (corrected)]]-49)</f>
        <v>#NUM!</v>
      </c>
      <c r="C327" t="e">
        <f>MINUTE(Table146810[[#This Row],[Corrected time]])</f>
        <v>#NUM!</v>
      </c>
      <c r="D327" s="1"/>
      <c r="E327" s="1">
        <f>Table146810[[#This Row],[Time]]-TIME(0,0,8)</f>
        <v>-9.2592592592592588E-5</v>
      </c>
      <c r="H327" t="e">
        <f t="shared" si="12"/>
        <v>#VALUE!</v>
      </c>
      <c r="L327" t="e">
        <f>480+2*(Table257911[[#This Row],[min value (corrected)]]-49)</f>
        <v>#NUM!</v>
      </c>
      <c r="M327" t="e">
        <f>MINUTE(Table257911[[#This Row],[Corrected time]])</f>
        <v>#NUM!</v>
      </c>
      <c r="N327" s="1"/>
      <c r="O327" s="1">
        <f>Table257911[[#This Row],[Time]]-TIME(0,0,4)</f>
        <v>-4.6296296296296294E-5</v>
      </c>
      <c r="R327">
        <f>Table257911[[#This Row],[RSSI]]</f>
        <v>0</v>
      </c>
    </row>
    <row r="328" spans="2:18" x14ac:dyDescent="0.25">
      <c r="B328" t="e">
        <f>480+2*(Table146810[[#This Row],[min value (corrected)]]-49)</f>
        <v>#NUM!</v>
      </c>
      <c r="C328" t="e">
        <f>MINUTE(Table146810[[#This Row],[Corrected time]])</f>
        <v>#NUM!</v>
      </c>
      <c r="D328" s="1"/>
      <c r="E328" s="1">
        <f>Table146810[[#This Row],[Time]]-TIME(0,0,8)</f>
        <v>-9.2592592592592588E-5</v>
      </c>
      <c r="H328" t="e">
        <f t="shared" si="12"/>
        <v>#VALUE!</v>
      </c>
      <c r="L328" t="e">
        <f>480+2*(Table257911[[#This Row],[min value (corrected)]]-49)</f>
        <v>#NUM!</v>
      </c>
      <c r="M328" t="e">
        <f>MINUTE(Table257911[[#This Row],[Corrected time]])</f>
        <v>#NUM!</v>
      </c>
      <c r="N328" s="1"/>
      <c r="O328" s="1">
        <f>Table257911[[#This Row],[Time]]-TIME(0,0,4)</f>
        <v>-4.6296296296296294E-5</v>
      </c>
      <c r="R328">
        <f>Table257911[[#This Row],[RSSI]]</f>
        <v>0</v>
      </c>
    </row>
    <row r="329" spans="2:18" x14ac:dyDescent="0.25">
      <c r="B329" t="e">
        <f>480+2*(Table146810[[#This Row],[min value (corrected)]]-49)</f>
        <v>#NUM!</v>
      </c>
      <c r="C329" t="e">
        <f>MINUTE(Table146810[[#This Row],[Corrected time]])</f>
        <v>#NUM!</v>
      </c>
      <c r="D329" s="1"/>
      <c r="E329" s="1">
        <f>Table146810[[#This Row],[Time]]-TIME(0,0,8)</f>
        <v>-9.2592592592592588E-5</v>
      </c>
      <c r="H329" t="e">
        <f t="shared" si="12"/>
        <v>#VALUE!</v>
      </c>
      <c r="L329" t="e">
        <f>480+2*(Table257911[[#This Row],[min value (corrected)]]-49)</f>
        <v>#NUM!</v>
      </c>
      <c r="M329" t="e">
        <f>MINUTE(Table257911[[#This Row],[Corrected time]])</f>
        <v>#NUM!</v>
      </c>
      <c r="N329" s="1"/>
      <c r="O329" s="1">
        <f>Table257911[[#This Row],[Time]]-TIME(0,0,4)</f>
        <v>-4.6296296296296294E-5</v>
      </c>
      <c r="R329">
        <f>Table257911[[#This Row],[RSSI]]</f>
        <v>0</v>
      </c>
    </row>
    <row r="330" spans="2:18" x14ac:dyDescent="0.25">
      <c r="B330" t="e">
        <f>480+2*(Table146810[[#This Row],[min value (corrected)]]-49)</f>
        <v>#NUM!</v>
      </c>
      <c r="C330" t="e">
        <f>MINUTE(Table146810[[#This Row],[Corrected time]])</f>
        <v>#NUM!</v>
      </c>
      <c r="D330" s="1"/>
      <c r="E330" s="1">
        <f>Table146810[[#This Row],[Time]]-TIME(0,0,8)</f>
        <v>-9.2592592592592588E-5</v>
      </c>
      <c r="H330" t="e">
        <f t="shared" si="12"/>
        <v>#VALUE!</v>
      </c>
      <c r="L330" t="e">
        <f>480+2*(Table257911[[#This Row],[min value (corrected)]]-49)</f>
        <v>#NUM!</v>
      </c>
      <c r="M330" t="e">
        <f>MINUTE(Table257911[[#This Row],[Corrected time]])</f>
        <v>#NUM!</v>
      </c>
      <c r="N330" s="1"/>
      <c r="O330" s="1">
        <f>Table257911[[#This Row],[Time]]-TIME(0,0,4)</f>
        <v>-4.6296296296296294E-5</v>
      </c>
      <c r="R330">
        <f>Table257911[[#This Row],[RSSI]]</f>
        <v>0</v>
      </c>
    </row>
    <row r="331" spans="2:18" x14ac:dyDescent="0.25">
      <c r="B331" t="e">
        <f>480+2*(Table146810[[#This Row],[min value (corrected)]]-49)</f>
        <v>#NUM!</v>
      </c>
      <c r="C331" t="e">
        <f>MINUTE(Table146810[[#This Row],[Corrected time]])</f>
        <v>#NUM!</v>
      </c>
      <c r="D331" s="1"/>
      <c r="E331" s="1">
        <f>Table146810[[#This Row],[Time]]-TIME(0,0,8)</f>
        <v>-9.2592592592592588E-5</v>
      </c>
      <c r="H331" t="e">
        <f t="shared" si="12"/>
        <v>#VALUE!</v>
      </c>
      <c r="L331" t="e">
        <f>480+2*(Table257911[[#This Row],[min value (corrected)]]-49)</f>
        <v>#NUM!</v>
      </c>
      <c r="M331" t="e">
        <f>MINUTE(Table257911[[#This Row],[Corrected time]])</f>
        <v>#NUM!</v>
      </c>
      <c r="N331" s="1"/>
      <c r="O331" s="1">
        <f>Table257911[[#This Row],[Time]]-TIME(0,0,4)</f>
        <v>-4.6296296296296294E-5</v>
      </c>
      <c r="R331">
        <f>Table257911[[#This Row],[RSSI]]</f>
        <v>0</v>
      </c>
    </row>
    <row r="332" spans="2:18" x14ac:dyDescent="0.25">
      <c r="B332" t="e">
        <f>480+2*(Table146810[[#This Row],[min value (corrected)]]-49)</f>
        <v>#NUM!</v>
      </c>
      <c r="C332" t="e">
        <f>MINUTE(Table146810[[#This Row],[Corrected time]])</f>
        <v>#NUM!</v>
      </c>
      <c r="D332" s="1"/>
      <c r="E332" s="1">
        <f>Table146810[[#This Row],[Time]]-TIME(0,0,8)</f>
        <v>-9.2592592592592588E-5</v>
      </c>
      <c r="H332" t="e">
        <f t="shared" si="12"/>
        <v>#VALUE!</v>
      </c>
      <c r="L332" t="e">
        <f>480+2*(Table257911[[#This Row],[min value (corrected)]]-49)</f>
        <v>#NUM!</v>
      </c>
      <c r="M332" t="e">
        <f>MINUTE(Table257911[[#This Row],[Corrected time]])</f>
        <v>#NUM!</v>
      </c>
      <c r="N332" s="1"/>
      <c r="O332" s="1">
        <f>Table257911[[#This Row],[Time]]-TIME(0,0,4)</f>
        <v>-4.6296296296296294E-5</v>
      </c>
      <c r="R332">
        <f>Table257911[[#This Row],[RSSI]]</f>
        <v>0</v>
      </c>
    </row>
    <row r="333" spans="2:18" x14ac:dyDescent="0.25">
      <c r="B333" t="e">
        <f>480+2*(Table146810[[#This Row],[min value (corrected)]]-49)</f>
        <v>#NUM!</v>
      </c>
      <c r="C333" t="e">
        <f>MINUTE(Table146810[[#This Row],[Corrected time]])</f>
        <v>#NUM!</v>
      </c>
      <c r="D333" s="1"/>
      <c r="E333" s="1">
        <f>Table146810[[#This Row],[Time]]-TIME(0,0,8)</f>
        <v>-9.2592592592592588E-5</v>
      </c>
      <c r="H333" t="e">
        <f t="shared" si="12"/>
        <v>#VALUE!</v>
      </c>
      <c r="L333" t="e">
        <f>480+2*(Table257911[[#This Row],[min value (corrected)]]-49)</f>
        <v>#NUM!</v>
      </c>
      <c r="M333" t="e">
        <f>MINUTE(Table257911[[#This Row],[Corrected time]])</f>
        <v>#NUM!</v>
      </c>
      <c r="N333" s="1"/>
      <c r="O333" s="1">
        <f>Table257911[[#This Row],[Time]]-TIME(0,0,4)</f>
        <v>-4.6296296296296294E-5</v>
      </c>
      <c r="R333">
        <f>Table257911[[#This Row],[RSSI]]</f>
        <v>0</v>
      </c>
    </row>
    <row r="334" spans="2:18" x14ac:dyDescent="0.25">
      <c r="B334" t="e">
        <f>480+2*(Table146810[[#This Row],[min value (corrected)]]-49)</f>
        <v>#NUM!</v>
      </c>
      <c r="C334" t="e">
        <f>MINUTE(Table146810[[#This Row],[Corrected time]])</f>
        <v>#NUM!</v>
      </c>
      <c r="D334" s="1"/>
      <c r="E334" s="1">
        <f>Table146810[[#This Row],[Time]]-TIME(0,0,8)</f>
        <v>-9.2592592592592588E-5</v>
      </c>
      <c r="H334" t="e">
        <f t="shared" si="12"/>
        <v>#VALUE!</v>
      </c>
      <c r="L334" t="e">
        <f>480+2*(Table257911[[#This Row],[min value (corrected)]]-49)</f>
        <v>#NUM!</v>
      </c>
      <c r="M334" t="e">
        <f>MINUTE(Table257911[[#This Row],[Corrected time]])</f>
        <v>#NUM!</v>
      </c>
      <c r="N334" s="1"/>
      <c r="O334" s="1">
        <f>Table257911[[#This Row],[Time]]-TIME(0,0,4)</f>
        <v>-4.6296296296296294E-5</v>
      </c>
      <c r="R334">
        <f>Table257911[[#This Row],[RSSI]]</f>
        <v>0</v>
      </c>
    </row>
    <row r="335" spans="2:18" x14ac:dyDescent="0.25">
      <c r="B335" t="e">
        <f>480+2*(Table146810[[#This Row],[min value (corrected)]]-49)</f>
        <v>#NUM!</v>
      </c>
      <c r="C335" t="e">
        <f>MINUTE(Table146810[[#This Row],[Corrected time]])</f>
        <v>#NUM!</v>
      </c>
      <c r="D335" s="1"/>
      <c r="E335" s="1">
        <f>Table146810[[#This Row],[Time]]-TIME(0,0,8)</f>
        <v>-9.2592592592592588E-5</v>
      </c>
      <c r="H335" t="e">
        <f t="shared" si="12"/>
        <v>#VALUE!</v>
      </c>
      <c r="L335" t="e">
        <f>480+2*(Table257911[[#This Row],[min value (corrected)]]-49)</f>
        <v>#NUM!</v>
      </c>
      <c r="M335" t="e">
        <f>MINUTE(Table257911[[#This Row],[Corrected time]])</f>
        <v>#NUM!</v>
      </c>
      <c r="N335" s="1"/>
      <c r="O335" s="1">
        <f>Table257911[[#This Row],[Time]]-TIME(0,0,4)</f>
        <v>-4.6296296296296294E-5</v>
      </c>
      <c r="R335">
        <f>Table257911[[#This Row],[RSSI]]</f>
        <v>0</v>
      </c>
    </row>
    <row r="336" spans="2:18" x14ac:dyDescent="0.25">
      <c r="B336" t="e">
        <f>480+2*(Table146810[[#This Row],[min value (corrected)]]-49)</f>
        <v>#NUM!</v>
      </c>
      <c r="C336" t="e">
        <f>MINUTE(Table146810[[#This Row],[Corrected time]])</f>
        <v>#NUM!</v>
      </c>
      <c r="D336" s="1"/>
      <c r="E336" s="1">
        <f>Table146810[[#This Row],[Time]]-TIME(0,0,8)</f>
        <v>-9.2592592592592588E-5</v>
      </c>
      <c r="H336" t="e">
        <f t="shared" si="12"/>
        <v>#VALUE!</v>
      </c>
      <c r="L336" t="e">
        <f>480+2*(Table257911[[#This Row],[min value (corrected)]]-49)</f>
        <v>#NUM!</v>
      </c>
      <c r="M336" t="e">
        <f>MINUTE(Table257911[[#This Row],[Corrected time]])</f>
        <v>#NUM!</v>
      </c>
      <c r="N336" s="1"/>
      <c r="O336" s="1">
        <f>Table257911[[#This Row],[Time]]-TIME(0,0,4)</f>
        <v>-4.6296296296296294E-5</v>
      </c>
      <c r="R336">
        <f>Table257911[[#This Row],[RSSI]]</f>
        <v>0</v>
      </c>
    </row>
    <row r="337" spans="2:18" x14ac:dyDescent="0.25">
      <c r="B337" t="e">
        <f>480+2*(Table146810[[#This Row],[min value (corrected)]]-49)</f>
        <v>#NUM!</v>
      </c>
      <c r="C337" t="e">
        <f>MINUTE(Table146810[[#This Row],[Corrected time]])</f>
        <v>#NUM!</v>
      </c>
      <c r="D337" s="1"/>
      <c r="E337" s="1">
        <f>Table146810[[#This Row],[Time]]-TIME(0,0,8)</f>
        <v>-9.2592592592592588E-5</v>
      </c>
      <c r="H337" t="e">
        <f t="shared" si="12"/>
        <v>#VALUE!</v>
      </c>
      <c r="L337" t="e">
        <f>480+2*(Table257911[[#This Row],[min value (corrected)]]-49)</f>
        <v>#NUM!</v>
      </c>
      <c r="M337" t="e">
        <f>MINUTE(Table257911[[#This Row],[Corrected time]])</f>
        <v>#NUM!</v>
      </c>
      <c r="N337" s="1"/>
      <c r="O337" s="1">
        <f>Table257911[[#This Row],[Time]]-TIME(0,0,4)</f>
        <v>-4.6296296296296294E-5</v>
      </c>
      <c r="R337">
        <f>Table257911[[#This Row],[RSSI]]</f>
        <v>0</v>
      </c>
    </row>
    <row r="338" spans="2:18" x14ac:dyDescent="0.25">
      <c r="B338" t="e">
        <f>480+2*(Table146810[[#This Row],[min value (corrected)]]-49)</f>
        <v>#NUM!</v>
      </c>
      <c r="C338" t="e">
        <f>MINUTE(Table146810[[#This Row],[Corrected time]])</f>
        <v>#NUM!</v>
      </c>
      <c r="D338" s="1"/>
      <c r="E338" s="1">
        <f>Table146810[[#This Row],[Time]]-TIME(0,0,8)</f>
        <v>-9.2592592592592588E-5</v>
      </c>
      <c r="H338" t="e">
        <f t="shared" si="12"/>
        <v>#VALUE!</v>
      </c>
      <c r="L338" t="e">
        <f>480+2*(Table257911[[#This Row],[min value (corrected)]]-49)</f>
        <v>#NUM!</v>
      </c>
      <c r="M338" t="e">
        <f>MINUTE(Table257911[[#This Row],[Corrected time]])</f>
        <v>#NUM!</v>
      </c>
      <c r="N338" s="1"/>
      <c r="O338" s="1">
        <f>Table257911[[#This Row],[Time]]-TIME(0,0,4)</f>
        <v>-4.6296296296296294E-5</v>
      </c>
      <c r="R338">
        <f>Table257911[[#This Row],[RSSI]]</f>
        <v>0</v>
      </c>
    </row>
    <row r="339" spans="2:18" x14ac:dyDescent="0.25">
      <c r="B339" t="e">
        <f>480+2*(Table146810[[#This Row],[min value (corrected)]]-49)</f>
        <v>#NUM!</v>
      </c>
      <c r="C339" t="e">
        <f>MINUTE(Table146810[[#This Row],[Corrected time]])</f>
        <v>#NUM!</v>
      </c>
      <c r="D339" s="1"/>
      <c r="E339" s="1">
        <f>Table146810[[#This Row],[Time]]-TIME(0,0,8)</f>
        <v>-9.2592592592592588E-5</v>
      </c>
      <c r="H339" t="e">
        <f t="shared" si="12"/>
        <v>#VALUE!</v>
      </c>
      <c r="L339" t="e">
        <f>480+2*(Table257911[[#This Row],[min value (corrected)]]-49)</f>
        <v>#NUM!</v>
      </c>
      <c r="M339" t="e">
        <f>MINUTE(Table257911[[#This Row],[Corrected time]])</f>
        <v>#NUM!</v>
      </c>
      <c r="N339" s="1"/>
      <c r="O339" s="1">
        <f>Table257911[[#This Row],[Time]]-TIME(0,0,4)</f>
        <v>-4.6296296296296294E-5</v>
      </c>
      <c r="R339">
        <f>Table257911[[#This Row],[RSSI]]</f>
        <v>0</v>
      </c>
    </row>
    <row r="340" spans="2:18" x14ac:dyDescent="0.25">
      <c r="B340" t="e">
        <f>480+2*(Table146810[[#This Row],[min value (corrected)]]-49)</f>
        <v>#NUM!</v>
      </c>
      <c r="C340" t="e">
        <f>MINUTE(Table146810[[#This Row],[Corrected time]])</f>
        <v>#NUM!</v>
      </c>
      <c r="D340" s="1"/>
      <c r="E340" s="1">
        <f>Table146810[[#This Row],[Time]]-TIME(0,0,8)</f>
        <v>-9.2592592592592588E-5</v>
      </c>
      <c r="H340" t="e">
        <f t="shared" si="12"/>
        <v>#VALUE!</v>
      </c>
      <c r="L340" t="e">
        <f>480+2*(Table257911[[#This Row],[min value (corrected)]]-49)</f>
        <v>#NUM!</v>
      </c>
      <c r="M340" t="e">
        <f>MINUTE(Table257911[[#This Row],[Corrected time]])</f>
        <v>#NUM!</v>
      </c>
      <c r="N340" s="1"/>
      <c r="O340" s="1">
        <f>Table257911[[#This Row],[Time]]-TIME(0,0,4)</f>
        <v>-4.6296296296296294E-5</v>
      </c>
      <c r="R340">
        <f>Table257911[[#This Row],[RSSI]]</f>
        <v>0</v>
      </c>
    </row>
    <row r="341" spans="2:18" x14ac:dyDescent="0.25">
      <c r="B341" t="e">
        <f>480+2*(Table146810[[#This Row],[min value (corrected)]]-49)</f>
        <v>#NUM!</v>
      </c>
      <c r="C341" t="e">
        <f>MINUTE(Table146810[[#This Row],[Corrected time]])</f>
        <v>#NUM!</v>
      </c>
      <c r="D341" s="1"/>
      <c r="E341" s="1">
        <f>Table146810[[#This Row],[Time]]-TIME(0,0,8)</f>
        <v>-9.2592592592592588E-5</v>
      </c>
      <c r="H341" t="e">
        <f t="shared" si="12"/>
        <v>#VALUE!</v>
      </c>
      <c r="L341" t="e">
        <f>480+2*(Table257911[[#This Row],[min value (corrected)]]-49)</f>
        <v>#NUM!</v>
      </c>
      <c r="M341" t="e">
        <f>MINUTE(Table257911[[#This Row],[Corrected time]])</f>
        <v>#NUM!</v>
      </c>
      <c r="N341" s="1"/>
      <c r="O341" s="1">
        <f>Table257911[[#This Row],[Time]]-TIME(0,0,4)</f>
        <v>-4.6296296296296294E-5</v>
      </c>
      <c r="R341">
        <f>Table257911[[#This Row],[RSSI]]</f>
        <v>0</v>
      </c>
    </row>
    <row r="342" spans="2:18" x14ac:dyDescent="0.25">
      <c r="B342" t="e">
        <f>480+2*(Table146810[[#This Row],[min value (corrected)]]-49)</f>
        <v>#NUM!</v>
      </c>
      <c r="C342" t="e">
        <f>MINUTE(Table146810[[#This Row],[Corrected time]])</f>
        <v>#NUM!</v>
      </c>
      <c r="D342" s="1"/>
      <c r="E342" s="1">
        <f>Table146810[[#This Row],[Time]]-TIME(0,0,8)</f>
        <v>-9.2592592592592588E-5</v>
      </c>
      <c r="H342" t="e">
        <f t="shared" ref="H342:H405" si="13">VALUE(LEFT(G342,LEN(G342)-1))</f>
        <v>#VALUE!</v>
      </c>
      <c r="L342" t="e">
        <f>480+2*(Table257911[[#This Row],[min value (corrected)]]-49)</f>
        <v>#NUM!</v>
      </c>
      <c r="M342" t="e">
        <f>MINUTE(Table257911[[#This Row],[Corrected time]])</f>
        <v>#NUM!</v>
      </c>
      <c r="N342" s="1"/>
      <c r="O342" s="1">
        <f>Table257911[[#This Row],[Time]]-TIME(0,0,4)</f>
        <v>-4.6296296296296294E-5</v>
      </c>
      <c r="R342">
        <f>Table257911[[#This Row],[RSSI]]</f>
        <v>0</v>
      </c>
    </row>
    <row r="343" spans="2:18" x14ac:dyDescent="0.25">
      <c r="B343" t="e">
        <f>480+2*(Table146810[[#This Row],[min value (corrected)]]-49)</f>
        <v>#NUM!</v>
      </c>
      <c r="C343" t="e">
        <f>MINUTE(Table146810[[#This Row],[Corrected time]])</f>
        <v>#NUM!</v>
      </c>
      <c r="D343" s="1"/>
      <c r="E343" s="1">
        <f>Table146810[[#This Row],[Time]]-TIME(0,0,8)</f>
        <v>-9.2592592592592588E-5</v>
      </c>
      <c r="H343" t="e">
        <f t="shared" si="13"/>
        <v>#VALUE!</v>
      </c>
      <c r="L343" t="e">
        <f>480+2*(Table257911[[#This Row],[min value (corrected)]]-49)</f>
        <v>#NUM!</v>
      </c>
      <c r="M343" t="e">
        <f>MINUTE(Table257911[[#This Row],[Corrected time]])</f>
        <v>#NUM!</v>
      </c>
      <c r="N343" s="1"/>
      <c r="O343" s="1">
        <f>Table257911[[#This Row],[Time]]-TIME(0,0,4)</f>
        <v>-4.6296296296296294E-5</v>
      </c>
      <c r="R343">
        <f>Table257911[[#This Row],[RSSI]]</f>
        <v>0</v>
      </c>
    </row>
    <row r="344" spans="2:18" x14ac:dyDescent="0.25">
      <c r="B344" t="e">
        <f>480+2*(Table146810[[#This Row],[min value (corrected)]]-49)</f>
        <v>#NUM!</v>
      </c>
      <c r="C344" t="e">
        <f>MINUTE(Table146810[[#This Row],[Corrected time]])</f>
        <v>#NUM!</v>
      </c>
      <c r="D344" s="1"/>
      <c r="E344" s="1">
        <f>Table146810[[#This Row],[Time]]-TIME(0,0,8)</f>
        <v>-9.2592592592592588E-5</v>
      </c>
      <c r="H344" t="e">
        <f t="shared" si="13"/>
        <v>#VALUE!</v>
      </c>
      <c r="L344" t="e">
        <f>480+2*(Table257911[[#This Row],[min value (corrected)]]-49)</f>
        <v>#NUM!</v>
      </c>
      <c r="M344" t="e">
        <f>MINUTE(Table257911[[#This Row],[Corrected time]])</f>
        <v>#NUM!</v>
      </c>
      <c r="N344" s="1"/>
      <c r="O344" s="1">
        <f>Table257911[[#This Row],[Time]]-TIME(0,0,4)</f>
        <v>-4.6296296296296294E-5</v>
      </c>
      <c r="R344">
        <f>Table257911[[#This Row],[RSSI]]</f>
        <v>0</v>
      </c>
    </row>
    <row r="345" spans="2:18" x14ac:dyDescent="0.25">
      <c r="B345" t="e">
        <f>480+2*(Table146810[[#This Row],[min value (corrected)]]-49)</f>
        <v>#NUM!</v>
      </c>
      <c r="C345" t="e">
        <f>MINUTE(Table146810[[#This Row],[Corrected time]])</f>
        <v>#NUM!</v>
      </c>
      <c r="D345" s="1"/>
      <c r="E345" s="1">
        <f>Table146810[[#This Row],[Time]]-TIME(0,0,8)</f>
        <v>-9.2592592592592588E-5</v>
      </c>
      <c r="H345" t="e">
        <f t="shared" si="13"/>
        <v>#VALUE!</v>
      </c>
      <c r="L345" t="e">
        <f>480+2*(Table257911[[#This Row],[min value (corrected)]]-49)</f>
        <v>#NUM!</v>
      </c>
      <c r="M345" t="e">
        <f>MINUTE(Table257911[[#This Row],[Corrected time]])</f>
        <v>#NUM!</v>
      </c>
      <c r="N345" s="1"/>
      <c r="O345" s="1">
        <f>Table257911[[#This Row],[Time]]-TIME(0,0,4)</f>
        <v>-4.6296296296296294E-5</v>
      </c>
      <c r="R345">
        <f>Table257911[[#This Row],[RSSI]]</f>
        <v>0</v>
      </c>
    </row>
    <row r="346" spans="2:18" x14ac:dyDescent="0.25">
      <c r="B346" t="e">
        <f>480+2*(Table146810[[#This Row],[min value (corrected)]]-49)</f>
        <v>#NUM!</v>
      </c>
      <c r="C346" t="e">
        <f>MINUTE(Table146810[[#This Row],[Corrected time]])</f>
        <v>#NUM!</v>
      </c>
      <c r="D346" s="1"/>
      <c r="E346" s="1">
        <f>Table146810[[#This Row],[Time]]-TIME(0,0,8)</f>
        <v>-9.2592592592592588E-5</v>
      </c>
      <c r="H346" t="e">
        <f t="shared" si="13"/>
        <v>#VALUE!</v>
      </c>
      <c r="L346" t="e">
        <f>480+2*(Table257911[[#This Row],[min value (corrected)]]-49)</f>
        <v>#NUM!</v>
      </c>
      <c r="M346" t="e">
        <f>MINUTE(Table257911[[#This Row],[Corrected time]])</f>
        <v>#NUM!</v>
      </c>
      <c r="N346" s="1"/>
      <c r="O346" s="1">
        <f>Table257911[[#This Row],[Time]]-TIME(0,0,4)</f>
        <v>-4.6296296296296294E-5</v>
      </c>
      <c r="R346">
        <f>Table257911[[#This Row],[RSSI]]</f>
        <v>0</v>
      </c>
    </row>
    <row r="347" spans="2:18" x14ac:dyDescent="0.25">
      <c r="B347" t="e">
        <f>480+2*(Table146810[[#This Row],[min value (corrected)]]-49)</f>
        <v>#NUM!</v>
      </c>
      <c r="C347" t="e">
        <f>MINUTE(Table146810[[#This Row],[Corrected time]])</f>
        <v>#NUM!</v>
      </c>
      <c r="D347" s="1"/>
      <c r="E347" s="1">
        <f>Table146810[[#This Row],[Time]]-TIME(0,0,8)</f>
        <v>-9.2592592592592588E-5</v>
      </c>
      <c r="H347" t="e">
        <f t="shared" si="13"/>
        <v>#VALUE!</v>
      </c>
      <c r="L347" t="e">
        <f>480+2*(Table257911[[#This Row],[min value (corrected)]]-49)</f>
        <v>#NUM!</v>
      </c>
      <c r="M347" t="e">
        <f>MINUTE(Table257911[[#This Row],[Corrected time]])</f>
        <v>#NUM!</v>
      </c>
      <c r="N347" s="1"/>
      <c r="O347" s="1">
        <f>Table257911[[#This Row],[Time]]-TIME(0,0,4)</f>
        <v>-4.6296296296296294E-5</v>
      </c>
      <c r="R347">
        <f>Table257911[[#This Row],[RSSI]]</f>
        <v>0</v>
      </c>
    </row>
    <row r="348" spans="2:18" x14ac:dyDescent="0.25">
      <c r="B348" t="e">
        <f>480+2*(Table146810[[#This Row],[min value (corrected)]]-49)</f>
        <v>#NUM!</v>
      </c>
      <c r="C348" t="e">
        <f>MINUTE(Table146810[[#This Row],[Corrected time]])</f>
        <v>#NUM!</v>
      </c>
      <c r="D348" s="1"/>
      <c r="E348" s="1">
        <f>Table146810[[#This Row],[Time]]-TIME(0,0,8)</f>
        <v>-9.2592592592592588E-5</v>
      </c>
      <c r="H348" t="e">
        <f t="shared" si="13"/>
        <v>#VALUE!</v>
      </c>
      <c r="L348" t="e">
        <f>480+2*(Table257911[[#This Row],[min value (corrected)]]-49)</f>
        <v>#NUM!</v>
      </c>
      <c r="M348" t="e">
        <f>MINUTE(Table257911[[#This Row],[Corrected time]])</f>
        <v>#NUM!</v>
      </c>
      <c r="N348" s="1"/>
      <c r="O348" s="1">
        <f>Table257911[[#This Row],[Time]]-TIME(0,0,4)</f>
        <v>-4.6296296296296294E-5</v>
      </c>
      <c r="R348">
        <f>Table257911[[#This Row],[RSSI]]</f>
        <v>0</v>
      </c>
    </row>
    <row r="349" spans="2:18" x14ac:dyDescent="0.25">
      <c r="B349" t="e">
        <f>480+2*(Table146810[[#This Row],[min value (corrected)]]-49)</f>
        <v>#NUM!</v>
      </c>
      <c r="C349" t="e">
        <f>MINUTE(Table146810[[#This Row],[Corrected time]])</f>
        <v>#NUM!</v>
      </c>
      <c r="D349" s="1"/>
      <c r="E349" s="1">
        <f>Table146810[[#This Row],[Time]]-TIME(0,0,8)</f>
        <v>-9.2592592592592588E-5</v>
      </c>
      <c r="H349" t="e">
        <f t="shared" si="13"/>
        <v>#VALUE!</v>
      </c>
      <c r="L349" t="e">
        <f>480+2*(Table257911[[#This Row],[min value (corrected)]]-49)</f>
        <v>#NUM!</v>
      </c>
      <c r="M349" t="e">
        <f>MINUTE(Table257911[[#This Row],[Corrected time]])</f>
        <v>#NUM!</v>
      </c>
      <c r="N349" s="1"/>
      <c r="O349" s="1">
        <f>Table257911[[#This Row],[Time]]-TIME(0,0,4)</f>
        <v>-4.6296296296296294E-5</v>
      </c>
      <c r="R349">
        <f>Table257911[[#This Row],[RSSI]]</f>
        <v>0</v>
      </c>
    </row>
    <row r="350" spans="2:18" x14ac:dyDescent="0.25">
      <c r="B350" t="e">
        <f>480+2*(Table146810[[#This Row],[min value (corrected)]]-49)</f>
        <v>#NUM!</v>
      </c>
      <c r="C350" t="e">
        <f>MINUTE(Table146810[[#This Row],[Corrected time]])</f>
        <v>#NUM!</v>
      </c>
      <c r="D350" s="1"/>
      <c r="E350" s="1">
        <f>Table146810[[#This Row],[Time]]-TIME(0,0,8)</f>
        <v>-9.2592592592592588E-5</v>
      </c>
      <c r="H350" t="e">
        <f t="shared" si="13"/>
        <v>#VALUE!</v>
      </c>
      <c r="L350" t="e">
        <f>480+2*(Table257911[[#This Row],[min value (corrected)]]-49)</f>
        <v>#NUM!</v>
      </c>
      <c r="M350" t="e">
        <f>MINUTE(Table257911[[#This Row],[Corrected time]])</f>
        <v>#NUM!</v>
      </c>
      <c r="N350" s="1"/>
      <c r="O350" s="1">
        <f>Table257911[[#This Row],[Time]]-TIME(0,0,4)</f>
        <v>-4.6296296296296294E-5</v>
      </c>
      <c r="R350">
        <f>Table257911[[#This Row],[RSSI]]</f>
        <v>0</v>
      </c>
    </row>
    <row r="351" spans="2:18" x14ac:dyDescent="0.25">
      <c r="B351" t="e">
        <f>480+2*(Table146810[[#This Row],[min value (corrected)]]-49)</f>
        <v>#NUM!</v>
      </c>
      <c r="C351" t="e">
        <f>MINUTE(Table146810[[#This Row],[Corrected time]])</f>
        <v>#NUM!</v>
      </c>
      <c r="D351" s="1"/>
      <c r="E351" s="1">
        <f>Table146810[[#This Row],[Time]]-TIME(0,0,8)</f>
        <v>-9.2592592592592588E-5</v>
      </c>
      <c r="H351" t="e">
        <f t="shared" si="13"/>
        <v>#VALUE!</v>
      </c>
      <c r="L351" t="e">
        <f>480+2*(Table257911[[#This Row],[min value (corrected)]]-49)</f>
        <v>#NUM!</v>
      </c>
      <c r="M351" t="e">
        <f>MINUTE(Table257911[[#This Row],[Corrected time]])</f>
        <v>#NUM!</v>
      </c>
      <c r="N351" s="1"/>
      <c r="O351" s="1">
        <f>Table257911[[#This Row],[Time]]-TIME(0,0,4)</f>
        <v>-4.6296296296296294E-5</v>
      </c>
      <c r="R351">
        <f>Table257911[[#This Row],[RSSI]]</f>
        <v>0</v>
      </c>
    </row>
    <row r="352" spans="2:18" x14ac:dyDescent="0.25">
      <c r="B352" t="e">
        <f>480+2*(Table146810[[#This Row],[min value (corrected)]]-49)</f>
        <v>#NUM!</v>
      </c>
      <c r="C352" t="e">
        <f>MINUTE(Table146810[[#This Row],[Corrected time]])</f>
        <v>#NUM!</v>
      </c>
      <c r="D352" s="1"/>
      <c r="E352" s="1">
        <f>Table146810[[#This Row],[Time]]-TIME(0,0,8)</f>
        <v>-9.2592592592592588E-5</v>
      </c>
      <c r="H352" t="e">
        <f t="shared" si="13"/>
        <v>#VALUE!</v>
      </c>
      <c r="L352" t="e">
        <f>480+2*(Table257911[[#This Row],[min value (corrected)]]-49)</f>
        <v>#NUM!</v>
      </c>
      <c r="M352" t="e">
        <f>MINUTE(Table257911[[#This Row],[Corrected time]])</f>
        <v>#NUM!</v>
      </c>
      <c r="N352" s="1"/>
      <c r="O352" s="1">
        <f>Table257911[[#This Row],[Time]]-TIME(0,0,4)</f>
        <v>-4.6296296296296294E-5</v>
      </c>
      <c r="R352">
        <f>Table257911[[#This Row],[RSSI]]</f>
        <v>0</v>
      </c>
    </row>
    <row r="353" spans="2:18" x14ac:dyDescent="0.25">
      <c r="B353" t="e">
        <f>480+2*(Table146810[[#This Row],[min value (corrected)]]-49)</f>
        <v>#NUM!</v>
      </c>
      <c r="C353" t="e">
        <f>MINUTE(Table146810[[#This Row],[Corrected time]])</f>
        <v>#NUM!</v>
      </c>
      <c r="D353" s="1"/>
      <c r="E353" s="1">
        <f>Table146810[[#This Row],[Time]]-TIME(0,0,8)</f>
        <v>-9.2592592592592588E-5</v>
      </c>
      <c r="H353" t="e">
        <f t="shared" si="13"/>
        <v>#VALUE!</v>
      </c>
      <c r="L353" t="e">
        <f>480+2*(Table257911[[#This Row],[min value (corrected)]]-49)</f>
        <v>#NUM!</v>
      </c>
      <c r="M353" t="e">
        <f>MINUTE(Table257911[[#This Row],[Corrected time]])</f>
        <v>#NUM!</v>
      </c>
      <c r="N353" s="1"/>
      <c r="O353" s="1">
        <f>Table257911[[#This Row],[Time]]-TIME(0,0,4)</f>
        <v>-4.6296296296296294E-5</v>
      </c>
      <c r="R353">
        <f>Table257911[[#This Row],[RSSI]]</f>
        <v>0</v>
      </c>
    </row>
    <row r="354" spans="2:18" x14ac:dyDescent="0.25">
      <c r="B354" t="e">
        <f>480+2*(Table146810[[#This Row],[min value (corrected)]]-49)</f>
        <v>#NUM!</v>
      </c>
      <c r="C354" t="e">
        <f>MINUTE(Table146810[[#This Row],[Corrected time]])</f>
        <v>#NUM!</v>
      </c>
      <c r="D354" s="1"/>
      <c r="E354" s="1">
        <f>Table146810[[#This Row],[Time]]-TIME(0,0,8)</f>
        <v>-9.2592592592592588E-5</v>
      </c>
      <c r="H354" t="e">
        <f t="shared" si="13"/>
        <v>#VALUE!</v>
      </c>
      <c r="L354" t="e">
        <f>480+2*(Table257911[[#This Row],[min value (corrected)]]-49)</f>
        <v>#NUM!</v>
      </c>
      <c r="M354" t="e">
        <f>MINUTE(Table257911[[#This Row],[Corrected time]])</f>
        <v>#NUM!</v>
      </c>
      <c r="N354" s="1"/>
      <c r="O354" s="1">
        <f>Table257911[[#This Row],[Time]]-TIME(0,0,4)</f>
        <v>-4.6296296296296294E-5</v>
      </c>
      <c r="R354">
        <f>Table257911[[#This Row],[RSSI]]</f>
        <v>0</v>
      </c>
    </row>
    <row r="355" spans="2:18" x14ac:dyDescent="0.25">
      <c r="B355" t="e">
        <f>480+2*(Table146810[[#This Row],[min value (corrected)]]-49)</f>
        <v>#NUM!</v>
      </c>
      <c r="C355" t="e">
        <f>MINUTE(Table146810[[#This Row],[Corrected time]])</f>
        <v>#NUM!</v>
      </c>
      <c r="D355" s="1"/>
      <c r="E355" s="1">
        <f>Table146810[[#This Row],[Time]]-TIME(0,0,8)</f>
        <v>-9.2592592592592588E-5</v>
      </c>
      <c r="H355" t="e">
        <f t="shared" si="13"/>
        <v>#VALUE!</v>
      </c>
      <c r="L355" t="e">
        <f>480+2*(Table257911[[#This Row],[min value (corrected)]]-49)</f>
        <v>#NUM!</v>
      </c>
      <c r="M355" t="e">
        <f>MINUTE(Table257911[[#This Row],[Corrected time]])</f>
        <v>#NUM!</v>
      </c>
      <c r="N355" s="1"/>
      <c r="O355" s="1">
        <f>Table257911[[#This Row],[Time]]-TIME(0,0,4)</f>
        <v>-4.6296296296296294E-5</v>
      </c>
      <c r="R355">
        <f>Table257911[[#This Row],[RSSI]]</f>
        <v>0</v>
      </c>
    </row>
    <row r="356" spans="2:18" x14ac:dyDescent="0.25">
      <c r="B356" t="e">
        <f>480+2*(Table146810[[#This Row],[min value (corrected)]]-49)</f>
        <v>#NUM!</v>
      </c>
      <c r="C356" t="e">
        <f>MINUTE(Table146810[[#This Row],[Corrected time]])</f>
        <v>#NUM!</v>
      </c>
      <c r="D356" s="1"/>
      <c r="E356" s="1">
        <f>Table146810[[#This Row],[Time]]-TIME(0,0,8)</f>
        <v>-9.2592592592592588E-5</v>
      </c>
      <c r="H356" t="e">
        <f t="shared" si="13"/>
        <v>#VALUE!</v>
      </c>
      <c r="L356" t="e">
        <f>480+2*(Table257911[[#This Row],[min value (corrected)]]-49)</f>
        <v>#NUM!</v>
      </c>
      <c r="M356" t="e">
        <f>MINUTE(Table257911[[#This Row],[Corrected time]])</f>
        <v>#NUM!</v>
      </c>
      <c r="N356" s="1"/>
      <c r="O356" s="1">
        <f>Table257911[[#This Row],[Time]]-TIME(0,0,4)</f>
        <v>-4.6296296296296294E-5</v>
      </c>
      <c r="R356">
        <f>Table257911[[#This Row],[RSSI]]</f>
        <v>0</v>
      </c>
    </row>
    <row r="357" spans="2:18" x14ac:dyDescent="0.25">
      <c r="B357" t="e">
        <f>480+2*(Table146810[[#This Row],[min value (corrected)]]-49)</f>
        <v>#NUM!</v>
      </c>
      <c r="C357" t="e">
        <f>MINUTE(Table146810[[#This Row],[Corrected time]])</f>
        <v>#NUM!</v>
      </c>
      <c r="D357" s="1"/>
      <c r="E357" s="1">
        <f>Table146810[[#This Row],[Time]]-TIME(0,0,8)</f>
        <v>-9.2592592592592588E-5</v>
      </c>
      <c r="H357" t="e">
        <f t="shared" si="13"/>
        <v>#VALUE!</v>
      </c>
      <c r="L357" t="e">
        <f>480+2*(Table257911[[#This Row],[min value (corrected)]]-49)</f>
        <v>#NUM!</v>
      </c>
      <c r="M357" t="e">
        <f>MINUTE(Table257911[[#This Row],[Corrected time]])</f>
        <v>#NUM!</v>
      </c>
      <c r="N357" s="1"/>
      <c r="O357" s="1">
        <f>Table257911[[#This Row],[Time]]-TIME(0,0,4)</f>
        <v>-4.6296296296296294E-5</v>
      </c>
      <c r="R357">
        <f>Table257911[[#This Row],[RSSI]]</f>
        <v>0</v>
      </c>
    </row>
    <row r="358" spans="2:18" x14ac:dyDescent="0.25">
      <c r="B358" t="e">
        <f>480+2*(Table146810[[#This Row],[min value (corrected)]]-49)</f>
        <v>#NUM!</v>
      </c>
      <c r="C358" t="e">
        <f>MINUTE(Table146810[[#This Row],[Corrected time]])</f>
        <v>#NUM!</v>
      </c>
      <c r="D358" s="1"/>
      <c r="E358" s="1">
        <f>Table146810[[#This Row],[Time]]-TIME(0,0,8)</f>
        <v>-9.2592592592592588E-5</v>
      </c>
      <c r="H358" t="e">
        <f t="shared" si="13"/>
        <v>#VALUE!</v>
      </c>
      <c r="L358" t="e">
        <f>480+2*(Table257911[[#This Row],[min value (corrected)]]-49)</f>
        <v>#NUM!</v>
      </c>
      <c r="M358" t="e">
        <f>MINUTE(Table257911[[#This Row],[Corrected time]])</f>
        <v>#NUM!</v>
      </c>
      <c r="N358" s="1"/>
      <c r="O358" s="1">
        <f>Table257911[[#This Row],[Time]]-TIME(0,0,4)</f>
        <v>-4.6296296296296294E-5</v>
      </c>
      <c r="R358">
        <f>Table257911[[#This Row],[RSSI]]</f>
        <v>0</v>
      </c>
    </row>
    <row r="359" spans="2:18" x14ac:dyDescent="0.25">
      <c r="B359" t="e">
        <f>480+2*(Table146810[[#This Row],[min value (corrected)]]-49)</f>
        <v>#NUM!</v>
      </c>
      <c r="C359" t="e">
        <f>MINUTE(Table146810[[#This Row],[Corrected time]])</f>
        <v>#NUM!</v>
      </c>
      <c r="D359" s="1"/>
      <c r="E359" s="1">
        <f>Table146810[[#This Row],[Time]]-TIME(0,0,8)</f>
        <v>-9.2592592592592588E-5</v>
      </c>
      <c r="H359" t="e">
        <f t="shared" si="13"/>
        <v>#VALUE!</v>
      </c>
      <c r="L359" t="e">
        <f>480+2*(Table257911[[#This Row],[min value (corrected)]]-49)</f>
        <v>#NUM!</v>
      </c>
      <c r="M359" t="e">
        <f>MINUTE(Table257911[[#This Row],[Corrected time]])</f>
        <v>#NUM!</v>
      </c>
      <c r="N359" s="1"/>
      <c r="O359" s="1">
        <f>Table257911[[#This Row],[Time]]-TIME(0,0,4)</f>
        <v>-4.6296296296296294E-5</v>
      </c>
      <c r="R359">
        <f>Table257911[[#This Row],[RSSI]]</f>
        <v>0</v>
      </c>
    </row>
    <row r="360" spans="2:18" x14ac:dyDescent="0.25">
      <c r="B360" t="e">
        <f>480+2*(Table146810[[#This Row],[min value (corrected)]]-49)</f>
        <v>#NUM!</v>
      </c>
      <c r="C360" t="e">
        <f>MINUTE(Table146810[[#This Row],[Corrected time]])</f>
        <v>#NUM!</v>
      </c>
      <c r="D360" s="1"/>
      <c r="E360" s="1">
        <f>Table146810[[#This Row],[Time]]-TIME(0,0,8)</f>
        <v>-9.2592592592592588E-5</v>
      </c>
      <c r="H360" t="e">
        <f t="shared" si="13"/>
        <v>#VALUE!</v>
      </c>
      <c r="L360" t="e">
        <f>480+2*(Table257911[[#This Row],[min value (corrected)]]-49)</f>
        <v>#NUM!</v>
      </c>
      <c r="M360" t="e">
        <f>MINUTE(Table257911[[#This Row],[Corrected time]])</f>
        <v>#NUM!</v>
      </c>
      <c r="N360" s="1"/>
      <c r="O360" s="1">
        <f>Table257911[[#This Row],[Time]]-TIME(0,0,4)</f>
        <v>-4.6296296296296294E-5</v>
      </c>
      <c r="R360">
        <f>Table257911[[#This Row],[RSSI]]</f>
        <v>0</v>
      </c>
    </row>
    <row r="361" spans="2:18" x14ac:dyDescent="0.25">
      <c r="B361" t="e">
        <f>480+2*(Table146810[[#This Row],[min value (corrected)]]-49)</f>
        <v>#NUM!</v>
      </c>
      <c r="C361" t="e">
        <f>MINUTE(Table146810[[#This Row],[Corrected time]])</f>
        <v>#NUM!</v>
      </c>
      <c r="D361" s="1"/>
      <c r="E361" s="1">
        <f>Table146810[[#This Row],[Time]]-TIME(0,0,8)</f>
        <v>-9.2592592592592588E-5</v>
      </c>
      <c r="H361" t="e">
        <f t="shared" si="13"/>
        <v>#VALUE!</v>
      </c>
      <c r="L361" t="e">
        <f>480+2*(Table257911[[#This Row],[min value (corrected)]]-49)</f>
        <v>#NUM!</v>
      </c>
      <c r="M361" t="e">
        <f>MINUTE(Table257911[[#This Row],[Corrected time]])</f>
        <v>#NUM!</v>
      </c>
      <c r="N361" s="1"/>
      <c r="O361" s="1">
        <f>Table257911[[#This Row],[Time]]-TIME(0,0,4)</f>
        <v>-4.6296296296296294E-5</v>
      </c>
      <c r="R361">
        <f>Table257911[[#This Row],[RSSI]]</f>
        <v>0</v>
      </c>
    </row>
    <row r="362" spans="2:18" x14ac:dyDescent="0.25">
      <c r="B362" t="e">
        <f>480+2*(Table146810[[#This Row],[min value (corrected)]]-49)</f>
        <v>#NUM!</v>
      </c>
      <c r="C362" t="e">
        <f>MINUTE(Table146810[[#This Row],[Corrected time]])</f>
        <v>#NUM!</v>
      </c>
      <c r="D362" s="1"/>
      <c r="E362" s="1">
        <f>Table146810[[#This Row],[Time]]-TIME(0,0,8)</f>
        <v>-9.2592592592592588E-5</v>
      </c>
      <c r="H362" t="e">
        <f t="shared" si="13"/>
        <v>#VALUE!</v>
      </c>
      <c r="L362" t="e">
        <f>480+2*(Table257911[[#This Row],[min value (corrected)]]-49)</f>
        <v>#NUM!</v>
      </c>
      <c r="M362" t="e">
        <f>MINUTE(Table257911[[#This Row],[Corrected time]])</f>
        <v>#NUM!</v>
      </c>
      <c r="N362" s="1"/>
      <c r="O362" s="1">
        <f>Table257911[[#This Row],[Time]]-TIME(0,0,4)</f>
        <v>-4.6296296296296294E-5</v>
      </c>
      <c r="R362">
        <f>Table257911[[#This Row],[RSSI]]</f>
        <v>0</v>
      </c>
    </row>
    <row r="363" spans="2:18" x14ac:dyDescent="0.25">
      <c r="B363" t="e">
        <f>480+2*(Table146810[[#This Row],[min value (corrected)]]-49)</f>
        <v>#NUM!</v>
      </c>
      <c r="C363" t="e">
        <f>MINUTE(Table146810[[#This Row],[Corrected time]])</f>
        <v>#NUM!</v>
      </c>
      <c r="D363" s="1"/>
      <c r="E363" s="1">
        <f>Table146810[[#This Row],[Time]]-TIME(0,0,8)</f>
        <v>-9.2592592592592588E-5</v>
      </c>
      <c r="H363" t="e">
        <f t="shared" si="13"/>
        <v>#VALUE!</v>
      </c>
      <c r="L363" t="e">
        <f>480+2*(Table257911[[#This Row],[min value (corrected)]]-49)</f>
        <v>#NUM!</v>
      </c>
      <c r="M363" t="e">
        <f>MINUTE(Table257911[[#This Row],[Corrected time]])</f>
        <v>#NUM!</v>
      </c>
      <c r="N363" s="1"/>
      <c r="O363" s="1">
        <f>Table257911[[#This Row],[Time]]-TIME(0,0,4)</f>
        <v>-4.6296296296296294E-5</v>
      </c>
      <c r="R363">
        <f>Table257911[[#This Row],[RSSI]]</f>
        <v>0</v>
      </c>
    </row>
    <row r="364" spans="2:18" x14ac:dyDescent="0.25">
      <c r="B364" t="e">
        <f>480+2*(Table146810[[#This Row],[min value (corrected)]]-49)</f>
        <v>#NUM!</v>
      </c>
      <c r="C364" t="e">
        <f>MINUTE(Table146810[[#This Row],[Corrected time]])</f>
        <v>#NUM!</v>
      </c>
      <c r="D364" s="1"/>
      <c r="E364" s="1">
        <f>Table146810[[#This Row],[Time]]-TIME(0,0,8)</f>
        <v>-9.2592592592592588E-5</v>
      </c>
      <c r="H364" t="e">
        <f t="shared" si="13"/>
        <v>#VALUE!</v>
      </c>
      <c r="L364" t="e">
        <f>480+2*(Table257911[[#This Row],[min value (corrected)]]-49)</f>
        <v>#NUM!</v>
      </c>
      <c r="M364" t="e">
        <f>MINUTE(Table257911[[#This Row],[Corrected time]])</f>
        <v>#NUM!</v>
      </c>
      <c r="N364" s="1"/>
      <c r="O364" s="1">
        <f>Table257911[[#This Row],[Time]]-TIME(0,0,4)</f>
        <v>-4.6296296296296294E-5</v>
      </c>
      <c r="R364">
        <f>Table257911[[#This Row],[RSSI]]</f>
        <v>0</v>
      </c>
    </row>
    <row r="365" spans="2:18" x14ac:dyDescent="0.25">
      <c r="B365" t="e">
        <f>480+2*(Table146810[[#This Row],[min value (corrected)]]-49)</f>
        <v>#NUM!</v>
      </c>
      <c r="C365" t="e">
        <f>MINUTE(Table146810[[#This Row],[Corrected time]])</f>
        <v>#NUM!</v>
      </c>
      <c r="D365" s="1"/>
      <c r="E365" s="1">
        <f>Table146810[[#This Row],[Time]]-TIME(0,0,8)</f>
        <v>-9.2592592592592588E-5</v>
      </c>
      <c r="H365" t="e">
        <f t="shared" si="13"/>
        <v>#VALUE!</v>
      </c>
      <c r="L365" t="e">
        <f>480+2*(Table257911[[#This Row],[min value (corrected)]]-49)</f>
        <v>#NUM!</v>
      </c>
      <c r="M365" t="e">
        <f>MINUTE(Table257911[[#This Row],[Corrected time]])</f>
        <v>#NUM!</v>
      </c>
      <c r="N365" s="1"/>
      <c r="O365" s="1">
        <f>Table257911[[#This Row],[Time]]-TIME(0,0,4)</f>
        <v>-4.6296296296296294E-5</v>
      </c>
      <c r="R365">
        <f>Table257911[[#This Row],[RSSI]]</f>
        <v>0</v>
      </c>
    </row>
    <row r="366" spans="2:18" x14ac:dyDescent="0.25">
      <c r="B366" t="e">
        <f>480+2*(Table146810[[#This Row],[min value (corrected)]]-49)</f>
        <v>#NUM!</v>
      </c>
      <c r="C366" t="e">
        <f>MINUTE(Table146810[[#This Row],[Corrected time]])</f>
        <v>#NUM!</v>
      </c>
      <c r="D366" s="1"/>
      <c r="E366" s="1">
        <f>Table146810[[#This Row],[Time]]-TIME(0,0,8)</f>
        <v>-9.2592592592592588E-5</v>
      </c>
      <c r="H366" t="e">
        <f t="shared" si="13"/>
        <v>#VALUE!</v>
      </c>
      <c r="L366" t="e">
        <f>480+2*(Table257911[[#This Row],[min value (corrected)]]-49)</f>
        <v>#NUM!</v>
      </c>
      <c r="M366" t="e">
        <f>MINUTE(Table257911[[#This Row],[Corrected time]])</f>
        <v>#NUM!</v>
      </c>
      <c r="N366" s="1"/>
      <c r="O366" s="1">
        <f>Table257911[[#This Row],[Time]]-TIME(0,0,4)</f>
        <v>-4.6296296296296294E-5</v>
      </c>
      <c r="R366">
        <f>Table257911[[#This Row],[RSSI]]</f>
        <v>0</v>
      </c>
    </row>
    <row r="367" spans="2:18" x14ac:dyDescent="0.25">
      <c r="B367" t="e">
        <f>480+2*(Table146810[[#This Row],[min value (corrected)]]-49)</f>
        <v>#NUM!</v>
      </c>
      <c r="C367" t="e">
        <f>MINUTE(Table146810[[#This Row],[Corrected time]])</f>
        <v>#NUM!</v>
      </c>
      <c r="D367" s="1"/>
      <c r="E367" s="1">
        <f>Table146810[[#This Row],[Time]]-TIME(0,0,8)</f>
        <v>-9.2592592592592588E-5</v>
      </c>
      <c r="H367" t="e">
        <f t="shared" si="13"/>
        <v>#VALUE!</v>
      </c>
      <c r="L367" t="e">
        <f>480+2*(Table257911[[#This Row],[min value (corrected)]]-49)</f>
        <v>#NUM!</v>
      </c>
      <c r="M367" t="e">
        <f>MINUTE(Table257911[[#This Row],[Corrected time]])</f>
        <v>#NUM!</v>
      </c>
      <c r="N367" s="1"/>
      <c r="O367" s="1">
        <f>Table257911[[#This Row],[Time]]-TIME(0,0,4)</f>
        <v>-4.6296296296296294E-5</v>
      </c>
      <c r="R367">
        <f>Table257911[[#This Row],[RSSI]]</f>
        <v>0</v>
      </c>
    </row>
    <row r="368" spans="2:18" x14ac:dyDescent="0.25">
      <c r="B368" t="e">
        <f>480+2*(Table146810[[#This Row],[min value (corrected)]]-49)</f>
        <v>#NUM!</v>
      </c>
      <c r="C368" t="e">
        <f>MINUTE(Table146810[[#This Row],[Corrected time]])</f>
        <v>#NUM!</v>
      </c>
      <c r="D368" s="1"/>
      <c r="E368" s="1">
        <f>Table146810[[#This Row],[Time]]-TIME(0,0,8)</f>
        <v>-9.2592592592592588E-5</v>
      </c>
      <c r="H368" t="e">
        <f t="shared" si="13"/>
        <v>#VALUE!</v>
      </c>
      <c r="L368" t="e">
        <f>480+2*(Table257911[[#This Row],[min value (corrected)]]-49)</f>
        <v>#NUM!</v>
      </c>
      <c r="M368" t="e">
        <f>MINUTE(Table257911[[#This Row],[Corrected time]])</f>
        <v>#NUM!</v>
      </c>
      <c r="N368" s="1"/>
      <c r="O368" s="1">
        <f>Table257911[[#This Row],[Time]]-TIME(0,0,4)</f>
        <v>-4.6296296296296294E-5</v>
      </c>
      <c r="R368">
        <f>Table257911[[#This Row],[RSSI]]</f>
        <v>0</v>
      </c>
    </row>
    <row r="369" spans="2:18" x14ac:dyDescent="0.25">
      <c r="B369" t="e">
        <f>480+2*(Table146810[[#This Row],[min value (corrected)]]-49)</f>
        <v>#NUM!</v>
      </c>
      <c r="C369" t="e">
        <f>MINUTE(Table146810[[#This Row],[Corrected time]])</f>
        <v>#NUM!</v>
      </c>
      <c r="D369" s="1"/>
      <c r="E369" s="1">
        <f>Table146810[[#This Row],[Time]]-TIME(0,0,8)</f>
        <v>-9.2592592592592588E-5</v>
      </c>
      <c r="H369" t="e">
        <f t="shared" si="13"/>
        <v>#VALUE!</v>
      </c>
      <c r="L369" t="e">
        <f>480+2*(Table257911[[#This Row],[min value (corrected)]]-49)</f>
        <v>#NUM!</v>
      </c>
      <c r="M369" t="e">
        <f>MINUTE(Table257911[[#This Row],[Corrected time]])</f>
        <v>#NUM!</v>
      </c>
      <c r="N369" s="1"/>
      <c r="O369" s="1">
        <f>Table257911[[#This Row],[Time]]-TIME(0,0,4)</f>
        <v>-4.6296296296296294E-5</v>
      </c>
      <c r="R369">
        <f>Table257911[[#This Row],[RSSI]]</f>
        <v>0</v>
      </c>
    </row>
    <row r="370" spans="2:18" x14ac:dyDescent="0.25">
      <c r="B370" t="e">
        <f>480+2*(Table146810[[#This Row],[min value (corrected)]]-49)</f>
        <v>#NUM!</v>
      </c>
      <c r="C370" t="e">
        <f>MINUTE(Table146810[[#This Row],[Corrected time]])</f>
        <v>#NUM!</v>
      </c>
      <c r="D370" s="1"/>
      <c r="E370" s="1">
        <f>Table146810[[#This Row],[Time]]-TIME(0,0,8)</f>
        <v>-9.2592592592592588E-5</v>
      </c>
      <c r="H370" t="e">
        <f t="shared" si="13"/>
        <v>#VALUE!</v>
      </c>
      <c r="L370" t="e">
        <f>480+2*(Table257911[[#This Row],[min value (corrected)]]-49)</f>
        <v>#NUM!</v>
      </c>
      <c r="M370" t="e">
        <f>MINUTE(Table257911[[#This Row],[Corrected time]])</f>
        <v>#NUM!</v>
      </c>
      <c r="N370" s="1"/>
      <c r="O370" s="1">
        <f>Table257911[[#This Row],[Time]]-TIME(0,0,4)</f>
        <v>-4.6296296296296294E-5</v>
      </c>
      <c r="R370">
        <f>Table257911[[#This Row],[RSSI]]</f>
        <v>0</v>
      </c>
    </row>
    <row r="371" spans="2:18" x14ac:dyDescent="0.25">
      <c r="B371" t="e">
        <f>480+2*(Table146810[[#This Row],[min value (corrected)]]-49)</f>
        <v>#NUM!</v>
      </c>
      <c r="C371" t="e">
        <f>MINUTE(Table146810[[#This Row],[Corrected time]])</f>
        <v>#NUM!</v>
      </c>
      <c r="D371" s="1"/>
      <c r="E371" s="1">
        <f>Table146810[[#This Row],[Time]]-TIME(0,0,8)</f>
        <v>-9.2592592592592588E-5</v>
      </c>
      <c r="H371" t="e">
        <f t="shared" si="13"/>
        <v>#VALUE!</v>
      </c>
      <c r="L371" t="e">
        <f>480+2*(Table257911[[#This Row],[min value (corrected)]]-49)</f>
        <v>#NUM!</v>
      </c>
      <c r="M371" t="e">
        <f>MINUTE(Table257911[[#This Row],[Corrected time]])</f>
        <v>#NUM!</v>
      </c>
      <c r="N371" s="1"/>
      <c r="O371" s="1">
        <f>Table257911[[#This Row],[Time]]-TIME(0,0,4)</f>
        <v>-4.6296296296296294E-5</v>
      </c>
      <c r="R371">
        <f>Table257911[[#This Row],[RSSI]]</f>
        <v>0</v>
      </c>
    </row>
    <row r="372" spans="2:18" x14ac:dyDescent="0.25">
      <c r="B372" t="e">
        <f>480+2*(Table146810[[#This Row],[min value (corrected)]]-49)</f>
        <v>#NUM!</v>
      </c>
      <c r="C372" t="e">
        <f>MINUTE(Table146810[[#This Row],[Corrected time]])</f>
        <v>#NUM!</v>
      </c>
      <c r="D372" s="1"/>
      <c r="E372" s="1">
        <f>Table146810[[#This Row],[Time]]-TIME(0,0,8)</f>
        <v>-9.2592592592592588E-5</v>
      </c>
      <c r="H372" t="e">
        <f t="shared" si="13"/>
        <v>#VALUE!</v>
      </c>
      <c r="L372" t="e">
        <f>480+2*(Table257911[[#This Row],[min value (corrected)]]-49)</f>
        <v>#NUM!</v>
      </c>
      <c r="M372" t="e">
        <f>MINUTE(Table257911[[#This Row],[Corrected time]])</f>
        <v>#NUM!</v>
      </c>
      <c r="N372" s="1"/>
      <c r="O372" s="1">
        <f>Table257911[[#This Row],[Time]]-TIME(0,0,4)</f>
        <v>-4.6296296296296294E-5</v>
      </c>
      <c r="R372">
        <f>Table257911[[#This Row],[RSSI]]</f>
        <v>0</v>
      </c>
    </row>
    <row r="373" spans="2:18" x14ac:dyDescent="0.25">
      <c r="B373" t="e">
        <f>480+2*(Table146810[[#This Row],[min value (corrected)]]-49)</f>
        <v>#NUM!</v>
      </c>
      <c r="C373" t="e">
        <f>MINUTE(Table146810[[#This Row],[Corrected time]])</f>
        <v>#NUM!</v>
      </c>
      <c r="D373" s="1"/>
      <c r="E373" s="1">
        <f>Table146810[[#This Row],[Time]]-TIME(0,0,8)</f>
        <v>-9.2592592592592588E-5</v>
      </c>
      <c r="H373" t="e">
        <f t="shared" si="13"/>
        <v>#VALUE!</v>
      </c>
      <c r="L373" t="e">
        <f>480+2*(Table257911[[#This Row],[min value (corrected)]]-49)</f>
        <v>#NUM!</v>
      </c>
      <c r="M373" t="e">
        <f>MINUTE(Table257911[[#This Row],[Corrected time]])</f>
        <v>#NUM!</v>
      </c>
      <c r="N373" s="1"/>
      <c r="O373" s="1">
        <f>Table257911[[#This Row],[Time]]-TIME(0,0,4)</f>
        <v>-4.6296296296296294E-5</v>
      </c>
      <c r="R373">
        <f>Table257911[[#This Row],[RSSI]]</f>
        <v>0</v>
      </c>
    </row>
    <row r="374" spans="2:18" x14ac:dyDescent="0.25">
      <c r="B374" t="e">
        <f>480+2*(Table146810[[#This Row],[min value (corrected)]]-49)</f>
        <v>#NUM!</v>
      </c>
      <c r="C374" t="e">
        <f>MINUTE(Table146810[[#This Row],[Corrected time]])</f>
        <v>#NUM!</v>
      </c>
      <c r="D374" s="1"/>
      <c r="E374" s="1">
        <f>Table146810[[#This Row],[Time]]-TIME(0,0,8)</f>
        <v>-9.2592592592592588E-5</v>
      </c>
      <c r="H374" t="e">
        <f t="shared" si="13"/>
        <v>#VALUE!</v>
      </c>
      <c r="L374" t="e">
        <f>480+2*(Table257911[[#This Row],[min value (corrected)]]-49)</f>
        <v>#NUM!</v>
      </c>
      <c r="M374" t="e">
        <f>MINUTE(Table257911[[#This Row],[Corrected time]])</f>
        <v>#NUM!</v>
      </c>
      <c r="N374" s="1"/>
      <c r="O374" s="1">
        <f>Table257911[[#This Row],[Time]]-TIME(0,0,4)</f>
        <v>-4.6296296296296294E-5</v>
      </c>
      <c r="R374">
        <f>Table257911[[#This Row],[RSSI]]</f>
        <v>0</v>
      </c>
    </row>
    <row r="375" spans="2:18" x14ac:dyDescent="0.25">
      <c r="B375" t="e">
        <f>480+2*(Table146810[[#This Row],[min value (corrected)]]-49)</f>
        <v>#NUM!</v>
      </c>
      <c r="C375" t="e">
        <f>MINUTE(Table146810[[#This Row],[Corrected time]])</f>
        <v>#NUM!</v>
      </c>
      <c r="D375" s="1"/>
      <c r="E375" s="1">
        <f>Table146810[[#This Row],[Time]]-TIME(0,0,8)</f>
        <v>-9.2592592592592588E-5</v>
      </c>
      <c r="H375" t="e">
        <f t="shared" si="13"/>
        <v>#VALUE!</v>
      </c>
      <c r="L375" t="e">
        <f>480+2*(Table257911[[#This Row],[min value (corrected)]]-49)</f>
        <v>#NUM!</v>
      </c>
      <c r="M375" t="e">
        <f>MINUTE(Table257911[[#This Row],[Corrected time]])</f>
        <v>#NUM!</v>
      </c>
      <c r="N375" s="1"/>
      <c r="O375" s="1">
        <f>Table257911[[#This Row],[Time]]-TIME(0,0,4)</f>
        <v>-4.6296296296296294E-5</v>
      </c>
      <c r="R375">
        <f>Table257911[[#This Row],[RSSI]]</f>
        <v>0</v>
      </c>
    </row>
    <row r="376" spans="2:18" x14ac:dyDescent="0.25">
      <c r="B376" t="e">
        <f>480+2*(Table146810[[#This Row],[min value (corrected)]]-49)</f>
        <v>#NUM!</v>
      </c>
      <c r="C376" t="e">
        <f>MINUTE(Table146810[[#This Row],[Corrected time]])</f>
        <v>#NUM!</v>
      </c>
      <c r="D376" s="1"/>
      <c r="E376" s="1">
        <f>Table146810[[#This Row],[Time]]-TIME(0,0,8)</f>
        <v>-9.2592592592592588E-5</v>
      </c>
      <c r="H376" t="e">
        <f t="shared" si="13"/>
        <v>#VALUE!</v>
      </c>
      <c r="L376" t="e">
        <f>480+2*(Table257911[[#This Row],[min value (corrected)]]-49)</f>
        <v>#NUM!</v>
      </c>
      <c r="M376" t="e">
        <f>MINUTE(Table257911[[#This Row],[Corrected time]])</f>
        <v>#NUM!</v>
      </c>
      <c r="N376" s="1"/>
      <c r="O376" s="1">
        <f>Table257911[[#This Row],[Time]]-TIME(0,0,4)</f>
        <v>-4.6296296296296294E-5</v>
      </c>
      <c r="R376">
        <f>Table257911[[#This Row],[RSSI]]</f>
        <v>0</v>
      </c>
    </row>
    <row r="377" spans="2:18" x14ac:dyDescent="0.25">
      <c r="B377" t="e">
        <f>480+2*(Table146810[[#This Row],[min value (corrected)]]-49)</f>
        <v>#NUM!</v>
      </c>
      <c r="C377" t="e">
        <f>MINUTE(Table146810[[#This Row],[Corrected time]])</f>
        <v>#NUM!</v>
      </c>
      <c r="D377" s="1"/>
      <c r="E377" s="1">
        <f>Table146810[[#This Row],[Time]]-TIME(0,0,8)</f>
        <v>-9.2592592592592588E-5</v>
      </c>
      <c r="H377" t="e">
        <f t="shared" si="13"/>
        <v>#VALUE!</v>
      </c>
      <c r="L377" t="e">
        <f>480+2*(Table257911[[#This Row],[min value (corrected)]]-49)</f>
        <v>#NUM!</v>
      </c>
      <c r="M377" t="e">
        <f>MINUTE(Table257911[[#This Row],[Corrected time]])</f>
        <v>#NUM!</v>
      </c>
      <c r="N377" s="1"/>
      <c r="O377" s="1">
        <f>Table257911[[#This Row],[Time]]-TIME(0,0,4)</f>
        <v>-4.6296296296296294E-5</v>
      </c>
      <c r="R377">
        <f>Table257911[[#This Row],[RSSI]]</f>
        <v>0</v>
      </c>
    </row>
    <row r="378" spans="2:18" x14ac:dyDescent="0.25">
      <c r="B378" t="e">
        <f>480+2*(Table146810[[#This Row],[min value (corrected)]]-49)</f>
        <v>#NUM!</v>
      </c>
      <c r="C378" t="e">
        <f>MINUTE(Table146810[[#This Row],[Corrected time]])</f>
        <v>#NUM!</v>
      </c>
      <c r="D378" s="1"/>
      <c r="E378" s="1">
        <f>Table146810[[#This Row],[Time]]-TIME(0,0,8)</f>
        <v>-9.2592592592592588E-5</v>
      </c>
      <c r="H378" t="e">
        <f t="shared" si="13"/>
        <v>#VALUE!</v>
      </c>
      <c r="L378" t="e">
        <f>480+2*(Table257911[[#This Row],[min value (corrected)]]-49)</f>
        <v>#NUM!</v>
      </c>
      <c r="M378" t="e">
        <f>MINUTE(Table257911[[#This Row],[Corrected time]])</f>
        <v>#NUM!</v>
      </c>
      <c r="N378" s="1"/>
      <c r="O378" s="1">
        <f>Table257911[[#This Row],[Time]]-TIME(0,0,4)</f>
        <v>-4.6296296296296294E-5</v>
      </c>
      <c r="R378">
        <f>Table257911[[#This Row],[RSSI]]</f>
        <v>0</v>
      </c>
    </row>
    <row r="379" spans="2:18" x14ac:dyDescent="0.25">
      <c r="B379" t="e">
        <f>480+2*(Table146810[[#This Row],[min value (corrected)]]-49)</f>
        <v>#NUM!</v>
      </c>
      <c r="C379" t="e">
        <f>MINUTE(Table146810[[#This Row],[Corrected time]])</f>
        <v>#NUM!</v>
      </c>
      <c r="D379" s="1"/>
      <c r="E379" s="1">
        <f>Table146810[[#This Row],[Time]]-TIME(0,0,8)</f>
        <v>-9.2592592592592588E-5</v>
      </c>
      <c r="H379" t="e">
        <f t="shared" si="13"/>
        <v>#VALUE!</v>
      </c>
      <c r="L379" t="e">
        <f>480+2*(Table257911[[#This Row],[min value (corrected)]]-49)</f>
        <v>#NUM!</v>
      </c>
      <c r="M379" t="e">
        <f>MINUTE(Table257911[[#This Row],[Corrected time]])</f>
        <v>#NUM!</v>
      </c>
      <c r="N379" s="1"/>
      <c r="O379" s="1">
        <f>Table257911[[#This Row],[Time]]-TIME(0,0,4)</f>
        <v>-4.6296296296296294E-5</v>
      </c>
      <c r="R379">
        <f>Table257911[[#This Row],[RSSI]]</f>
        <v>0</v>
      </c>
    </row>
    <row r="380" spans="2:18" x14ac:dyDescent="0.25">
      <c r="B380" t="e">
        <f>480+2*(Table146810[[#This Row],[min value (corrected)]]-49)</f>
        <v>#NUM!</v>
      </c>
      <c r="C380" t="e">
        <f>MINUTE(Table146810[[#This Row],[Corrected time]])</f>
        <v>#NUM!</v>
      </c>
      <c r="D380" s="1"/>
      <c r="E380" s="1">
        <f>Table146810[[#This Row],[Time]]-TIME(0,0,8)</f>
        <v>-9.2592592592592588E-5</v>
      </c>
      <c r="H380" t="e">
        <f t="shared" si="13"/>
        <v>#VALUE!</v>
      </c>
      <c r="L380" t="e">
        <f>480+2*(Table257911[[#This Row],[min value (corrected)]]-49)</f>
        <v>#NUM!</v>
      </c>
      <c r="M380" t="e">
        <f>MINUTE(Table257911[[#This Row],[Corrected time]])</f>
        <v>#NUM!</v>
      </c>
      <c r="N380" s="1"/>
      <c r="O380" s="1">
        <f>Table257911[[#This Row],[Time]]-TIME(0,0,4)</f>
        <v>-4.6296296296296294E-5</v>
      </c>
      <c r="R380">
        <f>Table257911[[#This Row],[RSSI]]</f>
        <v>0</v>
      </c>
    </row>
    <row r="381" spans="2:18" x14ac:dyDescent="0.25">
      <c r="B381" t="e">
        <f>480+2*(Table146810[[#This Row],[min value (corrected)]]-49)</f>
        <v>#NUM!</v>
      </c>
      <c r="C381" t="e">
        <f>MINUTE(Table146810[[#This Row],[Corrected time]])</f>
        <v>#NUM!</v>
      </c>
      <c r="D381" s="1"/>
      <c r="E381" s="1">
        <f>Table146810[[#This Row],[Time]]-TIME(0,0,8)</f>
        <v>-9.2592592592592588E-5</v>
      </c>
      <c r="H381" t="e">
        <f t="shared" si="13"/>
        <v>#VALUE!</v>
      </c>
      <c r="L381" t="e">
        <f>480+2*(Table257911[[#This Row],[min value (corrected)]]-49)</f>
        <v>#NUM!</v>
      </c>
      <c r="M381" t="e">
        <f>MINUTE(Table257911[[#This Row],[Corrected time]])</f>
        <v>#NUM!</v>
      </c>
      <c r="N381" s="1"/>
      <c r="O381" s="1">
        <f>Table257911[[#This Row],[Time]]-TIME(0,0,4)</f>
        <v>-4.6296296296296294E-5</v>
      </c>
      <c r="R381">
        <f>Table257911[[#This Row],[RSSI]]</f>
        <v>0</v>
      </c>
    </row>
    <row r="382" spans="2:18" x14ac:dyDescent="0.25">
      <c r="B382" t="e">
        <f>480+2*(Table146810[[#This Row],[min value (corrected)]]-49)</f>
        <v>#NUM!</v>
      </c>
      <c r="C382" t="e">
        <f>MINUTE(Table146810[[#This Row],[Corrected time]])</f>
        <v>#NUM!</v>
      </c>
      <c r="D382" s="1"/>
      <c r="E382" s="1">
        <f>Table146810[[#This Row],[Time]]-TIME(0,0,8)</f>
        <v>-9.2592592592592588E-5</v>
      </c>
      <c r="H382" t="e">
        <f t="shared" si="13"/>
        <v>#VALUE!</v>
      </c>
      <c r="L382" t="e">
        <f>480+2*(Table257911[[#This Row],[min value (corrected)]]-49)</f>
        <v>#NUM!</v>
      </c>
      <c r="M382" t="e">
        <f>MINUTE(Table257911[[#This Row],[Corrected time]])</f>
        <v>#NUM!</v>
      </c>
      <c r="N382" s="1"/>
      <c r="O382" s="1">
        <f>Table257911[[#This Row],[Time]]-TIME(0,0,4)</f>
        <v>-4.6296296296296294E-5</v>
      </c>
      <c r="R382">
        <f>Table257911[[#This Row],[RSSI]]</f>
        <v>0</v>
      </c>
    </row>
    <row r="383" spans="2:18" x14ac:dyDescent="0.25">
      <c r="B383" t="e">
        <f>480+2*(Table146810[[#This Row],[min value (corrected)]]-49)</f>
        <v>#NUM!</v>
      </c>
      <c r="C383" t="e">
        <f>MINUTE(Table146810[[#This Row],[Corrected time]])</f>
        <v>#NUM!</v>
      </c>
      <c r="D383" s="1"/>
      <c r="E383" s="1">
        <f>Table146810[[#This Row],[Time]]-TIME(0,0,8)</f>
        <v>-9.2592592592592588E-5</v>
      </c>
      <c r="H383" t="e">
        <f t="shared" si="13"/>
        <v>#VALUE!</v>
      </c>
      <c r="L383" t="e">
        <f>480+2*(Table257911[[#This Row],[min value (corrected)]]-49)</f>
        <v>#NUM!</v>
      </c>
      <c r="M383" t="e">
        <f>MINUTE(Table257911[[#This Row],[Corrected time]])</f>
        <v>#NUM!</v>
      </c>
      <c r="N383" s="1"/>
      <c r="O383" s="1">
        <f>Table257911[[#This Row],[Time]]-TIME(0,0,4)</f>
        <v>-4.6296296296296294E-5</v>
      </c>
      <c r="R383">
        <f>Table257911[[#This Row],[RSSI]]</f>
        <v>0</v>
      </c>
    </row>
    <row r="384" spans="2:18" x14ac:dyDescent="0.25">
      <c r="B384" t="e">
        <f>480+2*(Table146810[[#This Row],[min value (corrected)]]-49)</f>
        <v>#NUM!</v>
      </c>
      <c r="C384" t="e">
        <f>MINUTE(Table146810[[#This Row],[Corrected time]])</f>
        <v>#NUM!</v>
      </c>
      <c r="D384" s="1"/>
      <c r="E384" s="1">
        <f>Table146810[[#This Row],[Time]]-TIME(0,0,8)</f>
        <v>-9.2592592592592588E-5</v>
      </c>
      <c r="H384" t="e">
        <f t="shared" si="13"/>
        <v>#VALUE!</v>
      </c>
      <c r="L384" t="e">
        <f>480+2*(Table257911[[#This Row],[min value (corrected)]]-49)</f>
        <v>#NUM!</v>
      </c>
      <c r="M384" t="e">
        <f>MINUTE(Table257911[[#This Row],[Corrected time]])</f>
        <v>#NUM!</v>
      </c>
      <c r="N384" s="1"/>
      <c r="O384" s="1">
        <f>Table257911[[#This Row],[Time]]-TIME(0,0,4)</f>
        <v>-4.6296296296296294E-5</v>
      </c>
      <c r="R384">
        <f>Table257911[[#This Row],[RSSI]]</f>
        <v>0</v>
      </c>
    </row>
    <row r="385" spans="2:18" x14ac:dyDescent="0.25">
      <c r="B385" t="e">
        <f>480+2*(Table146810[[#This Row],[min value (corrected)]]-49)</f>
        <v>#NUM!</v>
      </c>
      <c r="C385" t="e">
        <f>MINUTE(Table146810[[#This Row],[Corrected time]])</f>
        <v>#NUM!</v>
      </c>
      <c r="D385" s="1"/>
      <c r="E385" s="1">
        <f>Table146810[[#This Row],[Time]]-TIME(0,0,8)</f>
        <v>-9.2592592592592588E-5</v>
      </c>
      <c r="H385" t="e">
        <f t="shared" si="13"/>
        <v>#VALUE!</v>
      </c>
      <c r="L385" t="e">
        <f>480+2*(Table257911[[#This Row],[min value (corrected)]]-49)</f>
        <v>#NUM!</v>
      </c>
      <c r="M385" t="e">
        <f>MINUTE(Table257911[[#This Row],[Corrected time]])</f>
        <v>#NUM!</v>
      </c>
      <c r="N385" s="1"/>
      <c r="O385" s="1">
        <f>Table257911[[#This Row],[Time]]-TIME(0,0,4)</f>
        <v>-4.6296296296296294E-5</v>
      </c>
      <c r="R385">
        <f>Table257911[[#This Row],[RSSI]]</f>
        <v>0</v>
      </c>
    </row>
    <row r="386" spans="2:18" x14ac:dyDescent="0.25">
      <c r="B386" t="e">
        <f>480+2*(Table146810[[#This Row],[min value (corrected)]]-49)</f>
        <v>#NUM!</v>
      </c>
      <c r="C386" t="e">
        <f>MINUTE(Table146810[[#This Row],[Corrected time]])</f>
        <v>#NUM!</v>
      </c>
      <c r="D386" s="1"/>
      <c r="E386" s="1">
        <f>Table146810[[#This Row],[Time]]-TIME(0,0,8)</f>
        <v>-9.2592592592592588E-5</v>
      </c>
      <c r="H386" t="e">
        <f t="shared" si="13"/>
        <v>#VALUE!</v>
      </c>
      <c r="L386" t="e">
        <f>480+2*(Table257911[[#This Row],[min value (corrected)]]-49)</f>
        <v>#NUM!</v>
      </c>
      <c r="M386" t="e">
        <f>MINUTE(Table257911[[#This Row],[Corrected time]])</f>
        <v>#NUM!</v>
      </c>
      <c r="N386" s="1"/>
      <c r="O386" s="1">
        <f>Table257911[[#This Row],[Time]]-TIME(0,0,4)</f>
        <v>-4.6296296296296294E-5</v>
      </c>
      <c r="R386">
        <f>Table257911[[#This Row],[RSSI]]</f>
        <v>0</v>
      </c>
    </row>
    <row r="387" spans="2:18" x14ac:dyDescent="0.25">
      <c r="B387" t="e">
        <f>480+2*(Table146810[[#This Row],[min value (corrected)]]-49)</f>
        <v>#NUM!</v>
      </c>
      <c r="C387" t="e">
        <f>MINUTE(Table146810[[#This Row],[Corrected time]])</f>
        <v>#NUM!</v>
      </c>
      <c r="D387" s="1"/>
      <c r="E387" s="1">
        <f>Table146810[[#This Row],[Time]]-TIME(0,0,8)</f>
        <v>-9.2592592592592588E-5</v>
      </c>
      <c r="H387" t="e">
        <f t="shared" si="13"/>
        <v>#VALUE!</v>
      </c>
      <c r="L387" t="e">
        <f>480+2*(Table257911[[#This Row],[min value (corrected)]]-49)</f>
        <v>#NUM!</v>
      </c>
      <c r="M387" t="e">
        <f>MINUTE(Table257911[[#This Row],[Corrected time]])</f>
        <v>#NUM!</v>
      </c>
      <c r="N387" s="1"/>
      <c r="O387" s="1">
        <f>Table257911[[#This Row],[Time]]-TIME(0,0,4)</f>
        <v>-4.6296296296296294E-5</v>
      </c>
      <c r="R387">
        <f>Table257911[[#This Row],[RSSI]]</f>
        <v>0</v>
      </c>
    </row>
    <row r="388" spans="2:18" x14ac:dyDescent="0.25">
      <c r="B388" t="e">
        <f>480+2*(Table146810[[#This Row],[min value (corrected)]]-49)</f>
        <v>#NUM!</v>
      </c>
      <c r="C388" t="e">
        <f>MINUTE(Table146810[[#This Row],[Corrected time]])</f>
        <v>#NUM!</v>
      </c>
      <c r="D388" s="1"/>
      <c r="E388" s="1">
        <f>Table146810[[#This Row],[Time]]-TIME(0,0,8)</f>
        <v>-9.2592592592592588E-5</v>
      </c>
      <c r="H388" t="e">
        <f t="shared" si="13"/>
        <v>#VALUE!</v>
      </c>
      <c r="L388" t="e">
        <f>480+2*(Table257911[[#This Row],[min value (corrected)]]-49)</f>
        <v>#NUM!</v>
      </c>
      <c r="M388" t="e">
        <f>MINUTE(Table257911[[#This Row],[Corrected time]])</f>
        <v>#NUM!</v>
      </c>
      <c r="N388" s="1"/>
      <c r="O388" s="1">
        <f>Table257911[[#This Row],[Time]]-TIME(0,0,4)</f>
        <v>-4.6296296296296294E-5</v>
      </c>
      <c r="R388">
        <f>Table257911[[#This Row],[RSSI]]</f>
        <v>0</v>
      </c>
    </row>
    <row r="389" spans="2:18" x14ac:dyDescent="0.25">
      <c r="B389" t="e">
        <f>480+2*(Table146810[[#This Row],[min value (corrected)]]-49)</f>
        <v>#NUM!</v>
      </c>
      <c r="C389" t="e">
        <f>MINUTE(Table146810[[#This Row],[Corrected time]])</f>
        <v>#NUM!</v>
      </c>
      <c r="D389" s="1"/>
      <c r="E389" s="1">
        <f>Table146810[[#This Row],[Time]]-TIME(0,0,8)</f>
        <v>-9.2592592592592588E-5</v>
      </c>
      <c r="H389" t="e">
        <f t="shared" si="13"/>
        <v>#VALUE!</v>
      </c>
      <c r="L389" t="e">
        <f>480+2*(Table257911[[#This Row],[min value (corrected)]]-49)</f>
        <v>#NUM!</v>
      </c>
      <c r="M389" t="e">
        <f>MINUTE(Table257911[[#This Row],[Corrected time]])</f>
        <v>#NUM!</v>
      </c>
      <c r="N389" s="1"/>
      <c r="O389" s="1">
        <f>Table257911[[#This Row],[Time]]-TIME(0,0,4)</f>
        <v>-4.6296296296296294E-5</v>
      </c>
      <c r="R389">
        <f>Table257911[[#This Row],[RSSI]]</f>
        <v>0</v>
      </c>
    </row>
    <row r="390" spans="2:18" x14ac:dyDescent="0.25">
      <c r="B390" t="e">
        <f>480+2*(Table146810[[#This Row],[min value (corrected)]]-49)</f>
        <v>#NUM!</v>
      </c>
      <c r="C390" t="e">
        <f>MINUTE(Table146810[[#This Row],[Corrected time]])</f>
        <v>#NUM!</v>
      </c>
      <c r="D390" s="1"/>
      <c r="E390" s="1">
        <f>Table146810[[#This Row],[Time]]-TIME(0,0,8)</f>
        <v>-9.2592592592592588E-5</v>
      </c>
      <c r="H390" t="e">
        <f t="shared" si="13"/>
        <v>#VALUE!</v>
      </c>
      <c r="L390" t="e">
        <f>480+2*(Table257911[[#This Row],[min value (corrected)]]-49)</f>
        <v>#NUM!</v>
      </c>
      <c r="M390" t="e">
        <f>MINUTE(Table257911[[#This Row],[Corrected time]])</f>
        <v>#NUM!</v>
      </c>
      <c r="N390" s="1"/>
      <c r="O390" s="1">
        <f>Table257911[[#This Row],[Time]]-TIME(0,0,4)</f>
        <v>-4.6296296296296294E-5</v>
      </c>
      <c r="R390">
        <f>Table257911[[#This Row],[RSSI]]</f>
        <v>0</v>
      </c>
    </row>
    <row r="391" spans="2:18" x14ac:dyDescent="0.25">
      <c r="B391" t="e">
        <f>480+2*(Table146810[[#This Row],[min value (corrected)]]-49)</f>
        <v>#NUM!</v>
      </c>
      <c r="C391" t="e">
        <f>MINUTE(Table146810[[#This Row],[Corrected time]])</f>
        <v>#NUM!</v>
      </c>
      <c r="D391" s="1"/>
      <c r="E391" s="1">
        <f>Table146810[[#This Row],[Time]]-TIME(0,0,8)</f>
        <v>-9.2592592592592588E-5</v>
      </c>
      <c r="H391" t="e">
        <f t="shared" si="13"/>
        <v>#VALUE!</v>
      </c>
      <c r="L391" t="e">
        <f>480+2*(Table257911[[#This Row],[min value (corrected)]]-49)</f>
        <v>#NUM!</v>
      </c>
      <c r="M391" t="e">
        <f>MINUTE(Table257911[[#This Row],[Corrected time]])</f>
        <v>#NUM!</v>
      </c>
      <c r="N391" s="1"/>
      <c r="O391" s="1">
        <f>Table257911[[#This Row],[Time]]-TIME(0,0,4)</f>
        <v>-4.6296296296296294E-5</v>
      </c>
      <c r="R391">
        <f>Table257911[[#This Row],[RSSI]]</f>
        <v>0</v>
      </c>
    </row>
    <row r="392" spans="2:18" x14ac:dyDescent="0.25">
      <c r="B392" t="e">
        <f>480+2*(Table146810[[#This Row],[min value (corrected)]]-49)</f>
        <v>#NUM!</v>
      </c>
      <c r="C392" t="e">
        <f>MINUTE(Table146810[[#This Row],[Corrected time]])</f>
        <v>#NUM!</v>
      </c>
      <c r="D392" s="1"/>
      <c r="E392" s="1">
        <f>Table146810[[#This Row],[Time]]-TIME(0,0,8)</f>
        <v>-9.2592592592592588E-5</v>
      </c>
      <c r="H392" t="e">
        <f t="shared" si="13"/>
        <v>#VALUE!</v>
      </c>
      <c r="L392" t="e">
        <f>480+2*(Table257911[[#This Row],[min value (corrected)]]-49)</f>
        <v>#NUM!</v>
      </c>
      <c r="M392" t="e">
        <f>MINUTE(Table257911[[#This Row],[Corrected time]])</f>
        <v>#NUM!</v>
      </c>
      <c r="N392" s="1"/>
      <c r="O392" s="1">
        <f>Table257911[[#This Row],[Time]]-TIME(0,0,4)</f>
        <v>-4.6296296296296294E-5</v>
      </c>
      <c r="R392">
        <f>Table257911[[#This Row],[RSSI]]</f>
        <v>0</v>
      </c>
    </row>
    <row r="393" spans="2:18" x14ac:dyDescent="0.25">
      <c r="B393" t="e">
        <f>480+2*(Table146810[[#This Row],[min value (corrected)]]-49)</f>
        <v>#NUM!</v>
      </c>
      <c r="C393" t="e">
        <f>MINUTE(Table146810[[#This Row],[Corrected time]])</f>
        <v>#NUM!</v>
      </c>
      <c r="D393" s="1"/>
      <c r="E393" s="1">
        <f>Table146810[[#This Row],[Time]]-TIME(0,0,8)</f>
        <v>-9.2592592592592588E-5</v>
      </c>
      <c r="H393" t="e">
        <f t="shared" si="13"/>
        <v>#VALUE!</v>
      </c>
      <c r="L393" t="e">
        <f>480+2*(Table257911[[#This Row],[min value (corrected)]]-49)</f>
        <v>#NUM!</v>
      </c>
      <c r="M393" t="e">
        <f>MINUTE(Table257911[[#This Row],[Corrected time]])</f>
        <v>#NUM!</v>
      </c>
      <c r="N393" s="1"/>
      <c r="O393" s="1">
        <f>Table257911[[#This Row],[Time]]-TIME(0,0,4)</f>
        <v>-4.6296296296296294E-5</v>
      </c>
      <c r="R393">
        <f>Table257911[[#This Row],[RSSI]]</f>
        <v>0</v>
      </c>
    </row>
    <row r="394" spans="2:18" x14ac:dyDescent="0.25">
      <c r="B394" t="e">
        <f>480+2*(Table146810[[#This Row],[min value (corrected)]]-49)</f>
        <v>#NUM!</v>
      </c>
      <c r="C394" t="e">
        <f>MINUTE(Table146810[[#This Row],[Corrected time]])</f>
        <v>#NUM!</v>
      </c>
      <c r="D394" s="1"/>
      <c r="E394" s="1">
        <f>Table146810[[#This Row],[Time]]-TIME(0,0,8)</f>
        <v>-9.2592592592592588E-5</v>
      </c>
      <c r="H394" t="e">
        <f t="shared" si="13"/>
        <v>#VALUE!</v>
      </c>
      <c r="L394" t="e">
        <f>480+2*(Table257911[[#This Row],[min value (corrected)]]-49)</f>
        <v>#NUM!</v>
      </c>
      <c r="M394" t="e">
        <f>MINUTE(Table257911[[#This Row],[Corrected time]])</f>
        <v>#NUM!</v>
      </c>
      <c r="N394" s="1"/>
      <c r="O394" s="1">
        <f>Table257911[[#This Row],[Time]]-TIME(0,0,4)</f>
        <v>-4.6296296296296294E-5</v>
      </c>
      <c r="R394">
        <f>Table257911[[#This Row],[RSSI]]</f>
        <v>0</v>
      </c>
    </row>
    <row r="395" spans="2:18" x14ac:dyDescent="0.25">
      <c r="B395" t="e">
        <f>480+2*(Table146810[[#This Row],[min value (corrected)]]-49)</f>
        <v>#NUM!</v>
      </c>
      <c r="C395" t="e">
        <f>MINUTE(Table146810[[#This Row],[Corrected time]])</f>
        <v>#NUM!</v>
      </c>
      <c r="D395" s="1"/>
      <c r="E395" s="1">
        <f>Table146810[[#This Row],[Time]]-TIME(0,0,8)</f>
        <v>-9.2592592592592588E-5</v>
      </c>
      <c r="H395" t="e">
        <f t="shared" si="13"/>
        <v>#VALUE!</v>
      </c>
      <c r="L395" t="e">
        <f>480+2*(Table257911[[#This Row],[min value (corrected)]]-49)</f>
        <v>#NUM!</v>
      </c>
      <c r="M395" t="e">
        <f>MINUTE(Table257911[[#This Row],[Corrected time]])</f>
        <v>#NUM!</v>
      </c>
      <c r="N395" s="1"/>
      <c r="O395" s="1">
        <f>Table257911[[#This Row],[Time]]-TIME(0,0,4)</f>
        <v>-4.6296296296296294E-5</v>
      </c>
      <c r="R395">
        <f>Table257911[[#This Row],[RSSI]]</f>
        <v>0</v>
      </c>
    </row>
    <row r="396" spans="2:18" x14ac:dyDescent="0.25">
      <c r="B396" t="e">
        <f>480+2*(Table146810[[#This Row],[min value (corrected)]]-49)</f>
        <v>#NUM!</v>
      </c>
      <c r="C396" t="e">
        <f>MINUTE(Table146810[[#This Row],[Corrected time]])</f>
        <v>#NUM!</v>
      </c>
      <c r="D396" s="1"/>
      <c r="E396" s="1">
        <f>Table146810[[#This Row],[Time]]-TIME(0,0,8)</f>
        <v>-9.2592592592592588E-5</v>
      </c>
      <c r="H396" t="e">
        <f t="shared" si="13"/>
        <v>#VALUE!</v>
      </c>
      <c r="L396" t="e">
        <f>480+2*(Table257911[[#This Row],[min value (corrected)]]-49)</f>
        <v>#NUM!</v>
      </c>
      <c r="M396" t="e">
        <f>MINUTE(Table257911[[#This Row],[Corrected time]])</f>
        <v>#NUM!</v>
      </c>
      <c r="N396" s="1"/>
      <c r="O396" s="1">
        <f>Table257911[[#This Row],[Time]]-TIME(0,0,4)</f>
        <v>-4.6296296296296294E-5</v>
      </c>
      <c r="R396">
        <f>Table257911[[#This Row],[RSSI]]</f>
        <v>0</v>
      </c>
    </row>
    <row r="397" spans="2:18" x14ac:dyDescent="0.25">
      <c r="B397" t="e">
        <f>480+2*(Table146810[[#This Row],[min value (corrected)]]-49)</f>
        <v>#NUM!</v>
      </c>
      <c r="C397" t="e">
        <f>MINUTE(Table146810[[#This Row],[Corrected time]])</f>
        <v>#NUM!</v>
      </c>
      <c r="D397" s="1"/>
      <c r="E397" s="1">
        <f>Table146810[[#This Row],[Time]]-TIME(0,0,8)</f>
        <v>-9.2592592592592588E-5</v>
      </c>
      <c r="H397" t="e">
        <f t="shared" si="13"/>
        <v>#VALUE!</v>
      </c>
      <c r="L397" t="e">
        <f>480+2*(Table257911[[#This Row],[min value (corrected)]]-49)</f>
        <v>#NUM!</v>
      </c>
      <c r="M397" t="e">
        <f>MINUTE(Table257911[[#This Row],[Corrected time]])</f>
        <v>#NUM!</v>
      </c>
      <c r="N397" s="1"/>
      <c r="O397" s="1">
        <f>Table257911[[#This Row],[Time]]-TIME(0,0,4)</f>
        <v>-4.6296296296296294E-5</v>
      </c>
      <c r="R397">
        <f>Table257911[[#This Row],[RSSI]]</f>
        <v>0</v>
      </c>
    </row>
    <row r="398" spans="2:18" x14ac:dyDescent="0.25">
      <c r="B398" t="e">
        <f>480+2*(Table146810[[#This Row],[min value (corrected)]]-49)</f>
        <v>#NUM!</v>
      </c>
      <c r="C398" t="e">
        <f>MINUTE(Table146810[[#This Row],[Corrected time]])</f>
        <v>#NUM!</v>
      </c>
      <c r="D398" s="1"/>
      <c r="E398" s="1">
        <f>Table146810[[#This Row],[Time]]-TIME(0,0,8)</f>
        <v>-9.2592592592592588E-5</v>
      </c>
      <c r="H398" t="e">
        <f t="shared" si="13"/>
        <v>#VALUE!</v>
      </c>
      <c r="L398" t="e">
        <f>480+2*(Table257911[[#This Row],[min value (corrected)]]-49)</f>
        <v>#NUM!</v>
      </c>
      <c r="M398" t="e">
        <f>MINUTE(Table257911[[#This Row],[Corrected time]])</f>
        <v>#NUM!</v>
      </c>
      <c r="N398" s="1"/>
      <c r="O398" s="1">
        <f>Table257911[[#This Row],[Time]]-TIME(0,0,4)</f>
        <v>-4.6296296296296294E-5</v>
      </c>
      <c r="R398">
        <f>Table257911[[#This Row],[RSSI]]</f>
        <v>0</v>
      </c>
    </row>
    <row r="399" spans="2:18" x14ac:dyDescent="0.25">
      <c r="B399" t="e">
        <f>480+2*(Table146810[[#This Row],[min value (corrected)]]-49)</f>
        <v>#NUM!</v>
      </c>
      <c r="C399" t="e">
        <f>MINUTE(Table146810[[#This Row],[Corrected time]])</f>
        <v>#NUM!</v>
      </c>
      <c r="D399" s="1"/>
      <c r="E399" s="1">
        <f>Table146810[[#This Row],[Time]]-TIME(0,0,8)</f>
        <v>-9.2592592592592588E-5</v>
      </c>
      <c r="H399" t="e">
        <f t="shared" si="13"/>
        <v>#VALUE!</v>
      </c>
      <c r="L399" t="e">
        <f>480+2*(Table257911[[#This Row],[min value (corrected)]]-49)</f>
        <v>#NUM!</v>
      </c>
      <c r="M399" t="e">
        <f>MINUTE(Table257911[[#This Row],[Corrected time]])</f>
        <v>#NUM!</v>
      </c>
      <c r="N399" s="1"/>
      <c r="O399" s="1">
        <f>Table257911[[#This Row],[Time]]-TIME(0,0,4)</f>
        <v>-4.6296296296296294E-5</v>
      </c>
      <c r="R399">
        <f>Table257911[[#This Row],[RSSI]]</f>
        <v>0</v>
      </c>
    </row>
    <row r="400" spans="2:18" x14ac:dyDescent="0.25">
      <c r="B400" t="e">
        <f>480+2*(Table146810[[#This Row],[min value (corrected)]]-49)</f>
        <v>#NUM!</v>
      </c>
      <c r="C400" t="e">
        <f>MINUTE(Table146810[[#This Row],[Corrected time]])</f>
        <v>#NUM!</v>
      </c>
      <c r="D400" s="1"/>
      <c r="E400" s="1">
        <f>Table146810[[#This Row],[Time]]-TIME(0,0,8)</f>
        <v>-9.2592592592592588E-5</v>
      </c>
      <c r="H400" t="e">
        <f t="shared" si="13"/>
        <v>#VALUE!</v>
      </c>
      <c r="L400" t="e">
        <f>480+2*(Table257911[[#This Row],[min value (corrected)]]-49)</f>
        <v>#NUM!</v>
      </c>
      <c r="M400" t="e">
        <f>MINUTE(Table257911[[#This Row],[Corrected time]])</f>
        <v>#NUM!</v>
      </c>
      <c r="N400" s="1"/>
      <c r="O400" s="1">
        <f>Table257911[[#This Row],[Time]]-TIME(0,0,4)</f>
        <v>-4.6296296296296294E-5</v>
      </c>
      <c r="R400">
        <f>Table257911[[#This Row],[RSSI]]</f>
        <v>0</v>
      </c>
    </row>
    <row r="401" spans="2:18" x14ac:dyDescent="0.25">
      <c r="B401" t="e">
        <f>480+2*(Table146810[[#This Row],[min value (corrected)]]-49)</f>
        <v>#NUM!</v>
      </c>
      <c r="C401" t="e">
        <f>MINUTE(Table146810[[#This Row],[Corrected time]])</f>
        <v>#NUM!</v>
      </c>
      <c r="D401" s="1"/>
      <c r="E401" s="1">
        <f>Table146810[[#This Row],[Time]]-TIME(0,0,8)</f>
        <v>-9.2592592592592588E-5</v>
      </c>
      <c r="H401" t="e">
        <f t="shared" si="13"/>
        <v>#VALUE!</v>
      </c>
      <c r="L401" t="e">
        <f>480+2*(Table257911[[#This Row],[min value (corrected)]]-49)</f>
        <v>#NUM!</v>
      </c>
      <c r="M401" t="e">
        <f>MINUTE(Table257911[[#This Row],[Corrected time]])</f>
        <v>#NUM!</v>
      </c>
      <c r="N401" s="1"/>
      <c r="O401" s="1">
        <f>Table257911[[#This Row],[Time]]-TIME(0,0,4)</f>
        <v>-4.6296296296296294E-5</v>
      </c>
      <c r="R401">
        <f>Table257911[[#This Row],[RSSI]]</f>
        <v>0</v>
      </c>
    </row>
    <row r="402" spans="2:18" x14ac:dyDescent="0.25">
      <c r="B402" t="e">
        <f>480+2*(Table146810[[#This Row],[min value (corrected)]]-49)</f>
        <v>#NUM!</v>
      </c>
      <c r="C402" t="e">
        <f>MINUTE(Table146810[[#This Row],[Corrected time]])</f>
        <v>#NUM!</v>
      </c>
      <c r="D402" s="1"/>
      <c r="E402" s="1">
        <f>Table146810[[#This Row],[Time]]-TIME(0,0,8)</f>
        <v>-9.2592592592592588E-5</v>
      </c>
      <c r="H402" t="e">
        <f t="shared" si="13"/>
        <v>#VALUE!</v>
      </c>
      <c r="L402" t="e">
        <f>480+2*(Table257911[[#This Row],[min value (corrected)]]-49)</f>
        <v>#NUM!</v>
      </c>
      <c r="M402" t="e">
        <f>MINUTE(Table257911[[#This Row],[Corrected time]])</f>
        <v>#NUM!</v>
      </c>
      <c r="N402" s="1"/>
      <c r="O402" s="1">
        <f>Table257911[[#This Row],[Time]]-TIME(0,0,4)</f>
        <v>-4.6296296296296294E-5</v>
      </c>
      <c r="R402">
        <f>Table257911[[#This Row],[RSSI]]</f>
        <v>0</v>
      </c>
    </row>
    <row r="403" spans="2:18" x14ac:dyDescent="0.25">
      <c r="B403" t="e">
        <f>480+2*(Table146810[[#This Row],[min value (corrected)]]-49)</f>
        <v>#NUM!</v>
      </c>
      <c r="C403" t="e">
        <f>MINUTE(Table146810[[#This Row],[Corrected time]])</f>
        <v>#NUM!</v>
      </c>
      <c r="D403" s="1"/>
      <c r="E403" s="1">
        <f>Table146810[[#This Row],[Time]]-TIME(0,0,8)</f>
        <v>-9.2592592592592588E-5</v>
      </c>
      <c r="H403" t="e">
        <f t="shared" si="13"/>
        <v>#VALUE!</v>
      </c>
      <c r="L403" t="e">
        <f>480+2*(Table257911[[#This Row],[min value (corrected)]]-49)</f>
        <v>#NUM!</v>
      </c>
      <c r="M403" t="e">
        <f>MINUTE(Table257911[[#This Row],[Corrected time]])</f>
        <v>#NUM!</v>
      </c>
      <c r="N403" s="1"/>
      <c r="O403" s="1">
        <f>Table257911[[#This Row],[Time]]-TIME(0,0,4)</f>
        <v>-4.6296296296296294E-5</v>
      </c>
      <c r="R403">
        <f>Table257911[[#This Row],[RSSI]]</f>
        <v>0</v>
      </c>
    </row>
    <row r="404" spans="2:18" x14ac:dyDescent="0.25">
      <c r="B404" t="e">
        <f>480+2*(Table146810[[#This Row],[min value (corrected)]]-49)</f>
        <v>#NUM!</v>
      </c>
      <c r="C404" t="e">
        <f>MINUTE(Table146810[[#This Row],[Corrected time]])</f>
        <v>#NUM!</v>
      </c>
      <c r="D404" s="1"/>
      <c r="E404" s="1">
        <f>Table146810[[#This Row],[Time]]-TIME(0,0,8)</f>
        <v>-9.2592592592592588E-5</v>
      </c>
      <c r="H404" t="e">
        <f t="shared" si="13"/>
        <v>#VALUE!</v>
      </c>
      <c r="L404" t="e">
        <f>480+2*(Table257911[[#This Row],[min value (corrected)]]-49)</f>
        <v>#NUM!</v>
      </c>
      <c r="M404" t="e">
        <f>MINUTE(Table257911[[#This Row],[Corrected time]])</f>
        <v>#NUM!</v>
      </c>
      <c r="N404" s="1"/>
      <c r="O404" s="1">
        <f>Table257911[[#This Row],[Time]]-TIME(0,0,4)</f>
        <v>-4.6296296296296294E-5</v>
      </c>
      <c r="R404">
        <f>Table257911[[#This Row],[RSSI]]</f>
        <v>0</v>
      </c>
    </row>
    <row r="405" spans="2:18" x14ac:dyDescent="0.25">
      <c r="B405" t="e">
        <f>480+2*(Table146810[[#This Row],[min value (corrected)]]-49)</f>
        <v>#NUM!</v>
      </c>
      <c r="C405" t="e">
        <f>MINUTE(Table146810[[#This Row],[Corrected time]])</f>
        <v>#NUM!</v>
      </c>
      <c r="D405" s="1"/>
      <c r="E405" s="1">
        <f>Table146810[[#This Row],[Time]]-TIME(0,0,8)</f>
        <v>-9.2592592592592588E-5</v>
      </c>
      <c r="H405" t="e">
        <f t="shared" si="13"/>
        <v>#VALUE!</v>
      </c>
      <c r="L405" t="e">
        <f>480+2*(Table257911[[#This Row],[min value (corrected)]]-49)</f>
        <v>#NUM!</v>
      </c>
      <c r="M405" t="e">
        <f>MINUTE(Table257911[[#This Row],[Corrected time]])</f>
        <v>#NUM!</v>
      </c>
      <c r="N405" s="1"/>
      <c r="O405" s="1">
        <f>Table257911[[#This Row],[Time]]-TIME(0,0,4)</f>
        <v>-4.6296296296296294E-5</v>
      </c>
      <c r="R405">
        <f>Table257911[[#This Row],[RSSI]]</f>
        <v>0</v>
      </c>
    </row>
    <row r="406" spans="2:18" x14ac:dyDescent="0.25">
      <c r="B406" t="e">
        <f>480+2*(Table146810[[#This Row],[min value (corrected)]]-49)</f>
        <v>#NUM!</v>
      </c>
      <c r="C406" t="e">
        <f>MINUTE(Table146810[[#This Row],[Corrected time]])</f>
        <v>#NUM!</v>
      </c>
      <c r="D406" s="1"/>
      <c r="E406" s="1">
        <f>Table146810[[#This Row],[Time]]-TIME(0,0,8)</f>
        <v>-9.2592592592592588E-5</v>
      </c>
      <c r="H406" t="e">
        <f t="shared" ref="H406:H469" si="14">VALUE(LEFT(G406,LEN(G406)-1))</f>
        <v>#VALUE!</v>
      </c>
      <c r="L406" t="e">
        <f>480+2*(Table257911[[#This Row],[min value (corrected)]]-49)</f>
        <v>#NUM!</v>
      </c>
      <c r="M406" t="e">
        <f>MINUTE(Table257911[[#This Row],[Corrected time]])</f>
        <v>#NUM!</v>
      </c>
      <c r="N406" s="1"/>
      <c r="O406" s="1">
        <f>Table257911[[#This Row],[Time]]-TIME(0,0,4)</f>
        <v>-4.6296296296296294E-5</v>
      </c>
      <c r="R406">
        <f>Table257911[[#This Row],[RSSI]]</f>
        <v>0</v>
      </c>
    </row>
    <row r="407" spans="2:18" x14ac:dyDescent="0.25">
      <c r="B407" t="e">
        <f>502+2*(Table146810[[#This Row],[min value (corrected)]])</f>
        <v>#NUM!</v>
      </c>
      <c r="C407" t="e">
        <f>MINUTE(Table146810[[#This Row],[Corrected time]])</f>
        <v>#NUM!</v>
      </c>
      <c r="D407" s="1"/>
      <c r="E407" s="1">
        <f>Table146810[[#This Row],[Time]]-TIME(0,0,8)</f>
        <v>-9.2592592592592588E-5</v>
      </c>
      <c r="H407" t="e">
        <f t="shared" si="14"/>
        <v>#VALUE!</v>
      </c>
      <c r="L407" t="e">
        <f>480+2*(Table257911[[#This Row],[min value (corrected)]]-49)</f>
        <v>#NUM!</v>
      </c>
      <c r="M407" t="e">
        <f>MINUTE(Table257911[[#This Row],[Corrected time]])</f>
        <v>#NUM!</v>
      </c>
      <c r="N407" s="1"/>
      <c r="O407" s="1">
        <f>Table257911[[#This Row],[Time]]-TIME(0,0,4)</f>
        <v>-4.6296296296296294E-5</v>
      </c>
      <c r="R407">
        <f>Table257911[[#This Row],[RSSI]]</f>
        <v>0</v>
      </c>
    </row>
    <row r="408" spans="2:18" x14ac:dyDescent="0.25">
      <c r="B408" t="e">
        <f>502+2*(Table146810[[#This Row],[min value (corrected)]])</f>
        <v>#NUM!</v>
      </c>
      <c r="C408" t="e">
        <f>MINUTE(Table146810[[#This Row],[Corrected time]])</f>
        <v>#NUM!</v>
      </c>
      <c r="D408" s="1"/>
      <c r="E408" s="1">
        <f>Table146810[[#This Row],[Time]]-TIME(0,0,8)</f>
        <v>-9.2592592592592588E-5</v>
      </c>
      <c r="H408" t="e">
        <f t="shared" si="14"/>
        <v>#VALUE!</v>
      </c>
      <c r="L408" t="e">
        <f>480+2*(Table257911[[#This Row],[min value (corrected)]]-49)</f>
        <v>#NUM!</v>
      </c>
      <c r="M408" t="e">
        <f>MINUTE(Table257911[[#This Row],[Corrected time]])</f>
        <v>#NUM!</v>
      </c>
      <c r="N408" s="1"/>
      <c r="O408" s="1">
        <f>Table257911[[#This Row],[Time]]-TIME(0,0,4)</f>
        <v>-4.6296296296296294E-5</v>
      </c>
      <c r="R408">
        <f>Table257911[[#This Row],[RSSI]]</f>
        <v>0</v>
      </c>
    </row>
    <row r="409" spans="2:18" x14ac:dyDescent="0.25">
      <c r="B409" t="e">
        <f>502+2*(Table146810[[#This Row],[min value (corrected)]])</f>
        <v>#NUM!</v>
      </c>
      <c r="C409" t="e">
        <f>MINUTE(Table146810[[#This Row],[Corrected time]])</f>
        <v>#NUM!</v>
      </c>
      <c r="D409" s="1"/>
      <c r="E409" s="1">
        <f>Table146810[[#This Row],[Time]]-TIME(0,0,8)</f>
        <v>-9.2592592592592588E-5</v>
      </c>
      <c r="H409" t="e">
        <f t="shared" si="14"/>
        <v>#VALUE!</v>
      </c>
      <c r="L409" t="e">
        <f>480+2*(Table257911[[#This Row],[min value (corrected)]]-49)</f>
        <v>#NUM!</v>
      </c>
      <c r="M409" t="e">
        <f>MINUTE(Table257911[[#This Row],[Corrected time]])</f>
        <v>#NUM!</v>
      </c>
      <c r="N409" s="1"/>
      <c r="O409" s="1">
        <f>Table257911[[#This Row],[Time]]-TIME(0,0,4)</f>
        <v>-4.6296296296296294E-5</v>
      </c>
      <c r="R409">
        <f>Table257911[[#This Row],[RSSI]]</f>
        <v>0</v>
      </c>
    </row>
    <row r="410" spans="2:18" x14ac:dyDescent="0.25">
      <c r="B410" t="e">
        <f>502+2*(Table146810[[#This Row],[min value (corrected)]])</f>
        <v>#NUM!</v>
      </c>
      <c r="C410" t="e">
        <f>MINUTE(Table146810[[#This Row],[Corrected time]])</f>
        <v>#NUM!</v>
      </c>
      <c r="D410" s="1"/>
      <c r="E410" s="1">
        <f>Table146810[[#This Row],[Time]]-TIME(0,0,8)</f>
        <v>-9.2592592592592588E-5</v>
      </c>
      <c r="H410" t="e">
        <f t="shared" si="14"/>
        <v>#VALUE!</v>
      </c>
      <c r="L410" t="e">
        <f>502+2*(Table257911[[#This Row],[min value (corrected)]])</f>
        <v>#NUM!</v>
      </c>
      <c r="M410" t="e">
        <f>MINUTE(Table257911[[#This Row],[Corrected time]])</f>
        <v>#NUM!</v>
      </c>
      <c r="N410" s="1"/>
      <c r="O410" s="1">
        <f>Table257911[[#This Row],[Time]]-TIME(0,0,4)</f>
        <v>-4.6296296296296294E-5</v>
      </c>
      <c r="R410">
        <f>Table257911[[#This Row],[RSSI]]</f>
        <v>0</v>
      </c>
    </row>
    <row r="411" spans="2:18" x14ac:dyDescent="0.25">
      <c r="B411" t="e">
        <f>502+2*(Table146810[[#This Row],[min value (corrected)]])</f>
        <v>#NUM!</v>
      </c>
      <c r="C411" t="e">
        <f>MINUTE(Table146810[[#This Row],[Corrected time]])</f>
        <v>#NUM!</v>
      </c>
      <c r="D411" s="1"/>
      <c r="E411" s="1">
        <f>Table146810[[#This Row],[Time]]-TIME(0,0,8)</f>
        <v>-9.2592592592592588E-5</v>
      </c>
      <c r="H411" t="e">
        <f t="shared" si="14"/>
        <v>#VALUE!</v>
      </c>
      <c r="L411" t="e">
        <f>502+2*(Table257911[[#This Row],[min value (corrected)]])</f>
        <v>#NUM!</v>
      </c>
      <c r="M411" t="e">
        <f>MINUTE(Table257911[[#This Row],[Corrected time]])</f>
        <v>#NUM!</v>
      </c>
      <c r="N411" s="1"/>
      <c r="O411" s="1">
        <f>Table257911[[#This Row],[Time]]-TIME(0,0,4)</f>
        <v>-4.6296296296296294E-5</v>
      </c>
      <c r="R411">
        <f>Table257911[[#This Row],[RSSI]]</f>
        <v>0</v>
      </c>
    </row>
    <row r="412" spans="2:18" x14ac:dyDescent="0.25">
      <c r="B412" t="e">
        <f>502+2*(Table146810[[#This Row],[min value (corrected)]])</f>
        <v>#NUM!</v>
      </c>
      <c r="C412" t="e">
        <f>MINUTE(Table146810[[#This Row],[Corrected time]])</f>
        <v>#NUM!</v>
      </c>
      <c r="D412" s="1"/>
      <c r="E412" s="1">
        <f>Table146810[[#This Row],[Time]]-TIME(0,0,8)</f>
        <v>-9.2592592592592588E-5</v>
      </c>
      <c r="H412" t="e">
        <f t="shared" si="14"/>
        <v>#VALUE!</v>
      </c>
      <c r="L412" t="e">
        <f>502+2*(Table257911[[#This Row],[min value (corrected)]])</f>
        <v>#NUM!</v>
      </c>
      <c r="M412" t="e">
        <f>MINUTE(Table257911[[#This Row],[Corrected time]])</f>
        <v>#NUM!</v>
      </c>
      <c r="N412" s="1"/>
      <c r="O412" s="1">
        <f>Table257911[[#This Row],[Time]]-TIME(0,0,4)</f>
        <v>-4.6296296296296294E-5</v>
      </c>
      <c r="R412">
        <f>Table257911[[#This Row],[RSSI]]</f>
        <v>0</v>
      </c>
    </row>
    <row r="413" spans="2:18" x14ac:dyDescent="0.25">
      <c r="B413" t="e">
        <f>502+2*(Table146810[[#This Row],[min value (corrected)]])</f>
        <v>#NUM!</v>
      </c>
      <c r="C413" t="e">
        <f>MINUTE(Table146810[[#This Row],[Corrected time]])</f>
        <v>#NUM!</v>
      </c>
      <c r="D413" s="1"/>
      <c r="E413" s="1">
        <f>Table146810[[#This Row],[Time]]-TIME(0,0,8)</f>
        <v>-9.2592592592592588E-5</v>
      </c>
      <c r="H413" t="e">
        <f t="shared" si="14"/>
        <v>#VALUE!</v>
      </c>
      <c r="L413" t="e">
        <f>502+2*(Table257911[[#This Row],[min value (corrected)]])</f>
        <v>#NUM!</v>
      </c>
      <c r="M413" t="e">
        <f>MINUTE(Table257911[[#This Row],[Corrected time]])</f>
        <v>#NUM!</v>
      </c>
      <c r="N413" s="1"/>
      <c r="O413" s="1">
        <f>Table257911[[#This Row],[Time]]-TIME(0,0,4)</f>
        <v>-4.6296296296296294E-5</v>
      </c>
      <c r="R413">
        <f>Table257911[[#This Row],[RSSI]]</f>
        <v>0</v>
      </c>
    </row>
    <row r="414" spans="2:18" x14ac:dyDescent="0.25">
      <c r="B414" t="e">
        <f>502+2*(Table146810[[#This Row],[min value (corrected)]])</f>
        <v>#NUM!</v>
      </c>
      <c r="C414" t="e">
        <f>MINUTE(Table146810[[#This Row],[Corrected time]])</f>
        <v>#NUM!</v>
      </c>
      <c r="D414" s="1"/>
      <c r="E414" s="1">
        <f>Table146810[[#This Row],[Time]]-TIME(0,0,8)</f>
        <v>-9.2592592592592588E-5</v>
      </c>
      <c r="H414" t="e">
        <f t="shared" si="14"/>
        <v>#VALUE!</v>
      </c>
      <c r="L414" t="e">
        <f>502+2*(Table257911[[#This Row],[min value (corrected)]])</f>
        <v>#NUM!</v>
      </c>
      <c r="M414" t="e">
        <f>MINUTE(Table257911[[#This Row],[Corrected time]])</f>
        <v>#NUM!</v>
      </c>
      <c r="N414" s="1"/>
      <c r="O414" s="1">
        <f>Table257911[[#This Row],[Time]]-TIME(0,0,4)</f>
        <v>-4.6296296296296294E-5</v>
      </c>
      <c r="R414">
        <f>Table257911[[#This Row],[RSSI]]</f>
        <v>0</v>
      </c>
    </row>
    <row r="415" spans="2:18" x14ac:dyDescent="0.25">
      <c r="B415" t="e">
        <f>502+2*(Table146810[[#This Row],[min value (corrected)]])</f>
        <v>#NUM!</v>
      </c>
      <c r="C415" t="e">
        <f>MINUTE(Table146810[[#This Row],[Corrected time]])</f>
        <v>#NUM!</v>
      </c>
      <c r="D415" s="1"/>
      <c r="E415" s="1">
        <f>Table146810[[#This Row],[Time]]-TIME(0,0,8)</f>
        <v>-9.2592592592592588E-5</v>
      </c>
      <c r="H415" t="e">
        <f t="shared" si="14"/>
        <v>#VALUE!</v>
      </c>
      <c r="L415" t="e">
        <f>502+2*(Table257911[[#This Row],[min value (corrected)]])</f>
        <v>#NUM!</v>
      </c>
      <c r="M415" t="e">
        <f>MINUTE(Table257911[[#This Row],[Corrected time]])</f>
        <v>#NUM!</v>
      </c>
      <c r="N415" s="1"/>
      <c r="O415" s="1">
        <f>Table257911[[#This Row],[Time]]-TIME(0,0,4)</f>
        <v>-4.6296296296296294E-5</v>
      </c>
      <c r="R415">
        <f>Table257911[[#This Row],[RSSI]]</f>
        <v>0</v>
      </c>
    </row>
    <row r="416" spans="2:18" x14ac:dyDescent="0.25">
      <c r="B416" t="e">
        <f>502+2*(Table146810[[#This Row],[min value (corrected)]])</f>
        <v>#NUM!</v>
      </c>
      <c r="C416" t="e">
        <f>MINUTE(Table146810[[#This Row],[Corrected time]])</f>
        <v>#NUM!</v>
      </c>
      <c r="D416" s="1"/>
      <c r="E416" s="1">
        <f>Table146810[[#This Row],[Time]]-TIME(0,0,8)</f>
        <v>-9.2592592592592588E-5</v>
      </c>
      <c r="H416" t="e">
        <f t="shared" si="14"/>
        <v>#VALUE!</v>
      </c>
      <c r="L416" t="e">
        <f>502+2*(Table257911[[#This Row],[min value (corrected)]])</f>
        <v>#NUM!</v>
      </c>
      <c r="M416" t="e">
        <f>MINUTE(Table257911[[#This Row],[Corrected time]])</f>
        <v>#NUM!</v>
      </c>
      <c r="N416" s="1"/>
      <c r="O416" s="1">
        <f>Table257911[[#This Row],[Time]]-TIME(0,0,4)</f>
        <v>-4.6296296296296294E-5</v>
      </c>
      <c r="R416">
        <f>Table257911[[#This Row],[RSSI]]</f>
        <v>0</v>
      </c>
    </row>
    <row r="417" spans="2:18" x14ac:dyDescent="0.25">
      <c r="B417" t="e">
        <f>502+2*(Table146810[[#This Row],[min value (corrected)]])</f>
        <v>#NUM!</v>
      </c>
      <c r="C417" t="e">
        <f>MINUTE(Table146810[[#This Row],[Corrected time]])</f>
        <v>#NUM!</v>
      </c>
      <c r="D417" s="1"/>
      <c r="E417" s="1">
        <f>Table146810[[#This Row],[Time]]-TIME(0,0,8)</f>
        <v>-9.2592592592592588E-5</v>
      </c>
      <c r="H417" t="e">
        <f t="shared" si="14"/>
        <v>#VALUE!</v>
      </c>
      <c r="L417" t="e">
        <f>502+2*(Table257911[[#This Row],[min value (corrected)]])</f>
        <v>#NUM!</v>
      </c>
      <c r="M417" t="e">
        <f>MINUTE(Table257911[[#This Row],[Corrected time]])</f>
        <v>#NUM!</v>
      </c>
      <c r="N417" s="1"/>
      <c r="O417" s="1">
        <f>Table257911[[#This Row],[Time]]-TIME(0,0,4)</f>
        <v>-4.6296296296296294E-5</v>
      </c>
      <c r="R417">
        <f>Table257911[[#This Row],[RSSI]]</f>
        <v>0</v>
      </c>
    </row>
    <row r="418" spans="2:18" x14ac:dyDescent="0.25">
      <c r="B418" t="e">
        <f>502+2*(Table146810[[#This Row],[min value (corrected)]])</f>
        <v>#NUM!</v>
      </c>
      <c r="C418" t="e">
        <f>MINUTE(Table146810[[#This Row],[Corrected time]])</f>
        <v>#NUM!</v>
      </c>
      <c r="D418" s="1"/>
      <c r="E418" s="1">
        <f>Table146810[[#This Row],[Time]]-TIME(0,0,8)</f>
        <v>-9.2592592592592588E-5</v>
      </c>
      <c r="H418" t="e">
        <f t="shared" si="14"/>
        <v>#VALUE!</v>
      </c>
      <c r="L418" t="e">
        <f>502+2*(Table257911[[#This Row],[min value (corrected)]])</f>
        <v>#NUM!</v>
      </c>
      <c r="M418" t="e">
        <f>MINUTE(Table257911[[#This Row],[Corrected time]])</f>
        <v>#NUM!</v>
      </c>
      <c r="N418" s="1"/>
      <c r="O418" s="1">
        <f>Table257911[[#This Row],[Time]]-TIME(0,0,4)</f>
        <v>-4.6296296296296294E-5</v>
      </c>
      <c r="R418">
        <f>Table257911[[#This Row],[RSSI]]</f>
        <v>0</v>
      </c>
    </row>
    <row r="419" spans="2:18" x14ac:dyDescent="0.25">
      <c r="B419" t="e">
        <f>502+2*(Table146810[[#This Row],[min value (corrected)]])</f>
        <v>#NUM!</v>
      </c>
      <c r="C419" t="e">
        <f>MINUTE(Table146810[[#This Row],[Corrected time]])</f>
        <v>#NUM!</v>
      </c>
      <c r="D419" s="1"/>
      <c r="E419" s="1">
        <f>Table146810[[#This Row],[Time]]-TIME(0,0,8)</f>
        <v>-9.2592592592592588E-5</v>
      </c>
      <c r="H419" t="e">
        <f t="shared" si="14"/>
        <v>#VALUE!</v>
      </c>
      <c r="L419" t="e">
        <f>502+2*(Table257911[[#This Row],[min value (corrected)]])</f>
        <v>#NUM!</v>
      </c>
      <c r="M419" t="e">
        <f>MINUTE(Table257911[[#This Row],[Corrected time]])</f>
        <v>#NUM!</v>
      </c>
      <c r="N419" s="1"/>
      <c r="O419" s="1">
        <f>Table257911[[#This Row],[Time]]-TIME(0,0,4)</f>
        <v>-4.6296296296296294E-5</v>
      </c>
      <c r="R419">
        <f>Table257911[[#This Row],[RSSI]]</f>
        <v>0</v>
      </c>
    </row>
    <row r="420" spans="2:18" x14ac:dyDescent="0.25">
      <c r="B420" t="e">
        <f>502+2*(Table146810[[#This Row],[min value (corrected)]])</f>
        <v>#NUM!</v>
      </c>
      <c r="C420" t="e">
        <f>MINUTE(Table146810[[#This Row],[Corrected time]])</f>
        <v>#NUM!</v>
      </c>
      <c r="D420" s="1"/>
      <c r="E420" s="1">
        <f>Table146810[[#This Row],[Time]]-TIME(0,0,8)</f>
        <v>-9.2592592592592588E-5</v>
      </c>
      <c r="H420" t="e">
        <f t="shared" si="14"/>
        <v>#VALUE!</v>
      </c>
      <c r="L420" t="e">
        <f>502+2*(Table257911[[#This Row],[min value (corrected)]])</f>
        <v>#NUM!</v>
      </c>
      <c r="M420" t="e">
        <f>MINUTE(Table257911[[#This Row],[Corrected time]])</f>
        <v>#NUM!</v>
      </c>
      <c r="N420" s="1"/>
      <c r="O420" s="1">
        <f>Table257911[[#This Row],[Time]]-TIME(0,0,4)</f>
        <v>-4.6296296296296294E-5</v>
      </c>
      <c r="R420">
        <f>Table257911[[#This Row],[RSSI]]</f>
        <v>0</v>
      </c>
    </row>
    <row r="421" spans="2:18" x14ac:dyDescent="0.25">
      <c r="B421" t="e">
        <f>502+2*(Table146810[[#This Row],[min value (corrected)]])</f>
        <v>#NUM!</v>
      </c>
      <c r="C421" t="e">
        <f>MINUTE(Table146810[[#This Row],[Corrected time]])</f>
        <v>#NUM!</v>
      </c>
      <c r="D421" s="1"/>
      <c r="E421" s="1">
        <f>Table146810[[#This Row],[Time]]-TIME(0,0,8)</f>
        <v>-9.2592592592592588E-5</v>
      </c>
      <c r="H421" t="e">
        <f t="shared" si="14"/>
        <v>#VALUE!</v>
      </c>
      <c r="L421" t="e">
        <f>502+2*(Table257911[[#This Row],[min value (corrected)]])</f>
        <v>#NUM!</v>
      </c>
      <c r="M421" t="e">
        <f>MINUTE(Table257911[[#This Row],[Corrected time]])</f>
        <v>#NUM!</v>
      </c>
      <c r="N421" s="1"/>
      <c r="O421" s="1">
        <f>Table257911[[#This Row],[Time]]-TIME(0,0,4)</f>
        <v>-4.6296296296296294E-5</v>
      </c>
      <c r="R421">
        <f>Table257911[[#This Row],[RSSI]]</f>
        <v>0</v>
      </c>
    </row>
    <row r="422" spans="2:18" x14ac:dyDescent="0.25">
      <c r="B422" t="e">
        <f>502+2*(Table146810[[#This Row],[min value (corrected)]])</f>
        <v>#NUM!</v>
      </c>
      <c r="C422" t="e">
        <f>MINUTE(Table146810[[#This Row],[Corrected time]])</f>
        <v>#NUM!</v>
      </c>
      <c r="D422" s="1"/>
      <c r="E422" s="1">
        <f>Table146810[[#This Row],[Time]]-TIME(0,0,8)</f>
        <v>-9.2592592592592588E-5</v>
      </c>
      <c r="H422" t="e">
        <f t="shared" si="14"/>
        <v>#VALUE!</v>
      </c>
      <c r="L422" t="e">
        <f>502+2*(Table257911[[#This Row],[min value (corrected)]])</f>
        <v>#NUM!</v>
      </c>
      <c r="M422" t="e">
        <f>MINUTE(Table257911[[#This Row],[Corrected time]])</f>
        <v>#NUM!</v>
      </c>
      <c r="N422" s="1"/>
      <c r="O422" s="1">
        <f>Table257911[[#This Row],[Time]]-TIME(0,0,4)</f>
        <v>-4.6296296296296294E-5</v>
      </c>
      <c r="R422">
        <f>Table257911[[#This Row],[RSSI]]</f>
        <v>0</v>
      </c>
    </row>
    <row r="423" spans="2:18" x14ac:dyDescent="0.25">
      <c r="B423" t="e">
        <f>502+2*(Table146810[[#This Row],[min value (corrected)]])</f>
        <v>#NUM!</v>
      </c>
      <c r="C423" t="e">
        <f>MINUTE(Table146810[[#This Row],[Corrected time]])</f>
        <v>#NUM!</v>
      </c>
      <c r="D423" s="1"/>
      <c r="E423" s="1">
        <f>Table146810[[#This Row],[Time]]-TIME(0,0,8)</f>
        <v>-9.2592592592592588E-5</v>
      </c>
      <c r="H423" t="e">
        <f t="shared" si="14"/>
        <v>#VALUE!</v>
      </c>
      <c r="L423" t="e">
        <f>502+2*(Table257911[[#This Row],[min value (corrected)]])</f>
        <v>#NUM!</v>
      </c>
      <c r="M423" t="e">
        <f>MINUTE(Table257911[[#This Row],[Corrected time]])</f>
        <v>#NUM!</v>
      </c>
      <c r="N423" s="1"/>
      <c r="O423" s="1">
        <f>Table257911[[#This Row],[Time]]-TIME(0,0,4)</f>
        <v>-4.6296296296296294E-5</v>
      </c>
      <c r="R423">
        <f>Table257911[[#This Row],[RSSI]]</f>
        <v>0</v>
      </c>
    </row>
    <row r="424" spans="2:18" x14ac:dyDescent="0.25">
      <c r="B424" t="e">
        <f>502+2*(Table146810[[#This Row],[min value (corrected)]])</f>
        <v>#NUM!</v>
      </c>
      <c r="C424" t="e">
        <f>MINUTE(Table146810[[#This Row],[Corrected time]])</f>
        <v>#NUM!</v>
      </c>
      <c r="D424" s="1"/>
      <c r="E424" s="1">
        <f>Table146810[[#This Row],[Time]]-TIME(0,0,8)</f>
        <v>-9.2592592592592588E-5</v>
      </c>
      <c r="H424" t="e">
        <f t="shared" si="14"/>
        <v>#VALUE!</v>
      </c>
      <c r="L424" t="e">
        <f>502+2*(Table257911[[#This Row],[min value (corrected)]])</f>
        <v>#NUM!</v>
      </c>
      <c r="M424" t="e">
        <f>MINUTE(Table257911[[#This Row],[Corrected time]])</f>
        <v>#NUM!</v>
      </c>
      <c r="N424" s="1"/>
      <c r="O424" s="1">
        <f>Table257911[[#This Row],[Time]]-TIME(0,0,4)</f>
        <v>-4.6296296296296294E-5</v>
      </c>
      <c r="R424">
        <f>Table257911[[#This Row],[RSSI]]</f>
        <v>0</v>
      </c>
    </row>
    <row r="425" spans="2:18" x14ac:dyDescent="0.25">
      <c r="B425" t="e">
        <f>502+2*(Table146810[[#This Row],[min value (corrected)]])</f>
        <v>#NUM!</v>
      </c>
      <c r="C425" t="e">
        <f>MINUTE(Table146810[[#This Row],[Corrected time]])</f>
        <v>#NUM!</v>
      </c>
      <c r="D425" s="1"/>
      <c r="E425" s="1">
        <f>Table146810[[#This Row],[Time]]-TIME(0,0,8)</f>
        <v>-9.2592592592592588E-5</v>
      </c>
      <c r="H425" t="e">
        <f t="shared" si="14"/>
        <v>#VALUE!</v>
      </c>
      <c r="L425" t="e">
        <f>502+2*(Table257911[[#This Row],[min value (corrected)]])</f>
        <v>#NUM!</v>
      </c>
      <c r="M425" t="e">
        <f>MINUTE(Table257911[[#This Row],[Corrected time]])</f>
        <v>#NUM!</v>
      </c>
      <c r="N425" s="1"/>
      <c r="O425" s="1">
        <f>Table257911[[#This Row],[Time]]-TIME(0,0,4)</f>
        <v>-4.6296296296296294E-5</v>
      </c>
      <c r="R425">
        <f>Table257911[[#This Row],[RSSI]]</f>
        <v>0</v>
      </c>
    </row>
    <row r="426" spans="2:18" x14ac:dyDescent="0.25">
      <c r="B426" t="e">
        <f>502+2*(Table146810[[#This Row],[min value (corrected)]])</f>
        <v>#NUM!</v>
      </c>
      <c r="C426" t="e">
        <f>MINUTE(Table146810[[#This Row],[Corrected time]])</f>
        <v>#NUM!</v>
      </c>
      <c r="D426" s="1"/>
      <c r="E426" s="1">
        <f>Table146810[[#This Row],[Time]]-TIME(0,0,8)</f>
        <v>-9.2592592592592588E-5</v>
      </c>
      <c r="H426" t="e">
        <f t="shared" si="14"/>
        <v>#VALUE!</v>
      </c>
      <c r="L426" t="e">
        <f>502+2*(Table257911[[#This Row],[min value (corrected)]])</f>
        <v>#NUM!</v>
      </c>
      <c r="M426" t="e">
        <f>MINUTE(Table257911[[#This Row],[Corrected time]])</f>
        <v>#NUM!</v>
      </c>
      <c r="N426" s="1"/>
      <c r="O426" s="1">
        <f>Table257911[[#This Row],[Time]]-TIME(0,0,4)</f>
        <v>-4.6296296296296294E-5</v>
      </c>
      <c r="R426">
        <f>Table257911[[#This Row],[RSSI]]</f>
        <v>0</v>
      </c>
    </row>
    <row r="427" spans="2:18" x14ac:dyDescent="0.25">
      <c r="B427" t="e">
        <f>502+2*(Table146810[[#This Row],[min value (corrected)]])</f>
        <v>#NUM!</v>
      </c>
      <c r="C427" t="e">
        <f>MINUTE(Table146810[[#This Row],[Corrected time]])</f>
        <v>#NUM!</v>
      </c>
      <c r="D427" s="1"/>
      <c r="E427" s="1">
        <f>Table146810[[#This Row],[Time]]-TIME(0,0,8)</f>
        <v>-9.2592592592592588E-5</v>
      </c>
      <c r="H427" t="e">
        <f t="shared" si="14"/>
        <v>#VALUE!</v>
      </c>
      <c r="L427" t="e">
        <f>502+2*(Table257911[[#This Row],[min value (corrected)]])</f>
        <v>#NUM!</v>
      </c>
      <c r="M427" t="e">
        <f>MINUTE(Table257911[[#This Row],[Corrected time]])</f>
        <v>#NUM!</v>
      </c>
      <c r="N427" s="1"/>
      <c r="O427" s="1">
        <f>Table257911[[#This Row],[Time]]-TIME(0,0,4)</f>
        <v>-4.6296296296296294E-5</v>
      </c>
      <c r="R427">
        <f>Table257911[[#This Row],[RSSI]]</f>
        <v>0</v>
      </c>
    </row>
    <row r="428" spans="2:18" x14ac:dyDescent="0.25">
      <c r="B428" t="e">
        <f>502+2*(Table146810[[#This Row],[min value (corrected)]])</f>
        <v>#NUM!</v>
      </c>
      <c r="C428" t="e">
        <f>MINUTE(Table146810[[#This Row],[Corrected time]])</f>
        <v>#NUM!</v>
      </c>
      <c r="D428" s="1"/>
      <c r="E428" s="1">
        <f>Table146810[[#This Row],[Time]]-TIME(0,0,8)</f>
        <v>-9.2592592592592588E-5</v>
      </c>
      <c r="H428" t="e">
        <f t="shared" si="14"/>
        <v>#VALUE!</v>
      </c>
      <c r="L428" t="e">
        <f>502+2*(Table257911[[#This Row],[min value (corrected)]])</f>
        <v>#NUM!</v>
      </c>
      <c r="M428" t="e">
        <f>MINUTE(Table257911[[#This Row],[Corrected time]])</f>
        <v>#NUM!</v>
      </c>
      <c r="N428" s="1"/>
      <c r="O428" s="1">
        <f>Table257911[[#This Row],[Time]]-TIME(0,0,4)</f>
        <v>-4.6296296296296294E-5</v>
      </c>
      <c r="R428">
        <f>Table257911[[#This Row],[RSSI]]</f>
        <v>0</v>
      </c>
    </row>
    <row r="429" spans="2:18" x14ac:dyDescent="0.25">
      <c r="B429" t="e">
        <f>502+2*(Table146810[[#This Row],[min value (corrected)]])</f>
        <v>#NUM!</v>
      </c>
      <c r="C429" t="e">
        <f>MINUTE(Table146810[[#This Row],[Corrected time]])</f>
        <v>#NUM!</v>
      </c>
      <c r="D429" s="1"/>
      <c r="E429" s="1">
        <f>Table146810[[#This Row],[Time]]-TIME(0,0,8)</f>
        <v>-9.2592592592592588E-5</v>
      </c>
      <c r="H429" t="e">
        <f t="shared" si="14"/>
        <v>#VALUE!</v>
      </c>
      <c r="L429" t="e">
        <f>502+2*(Table257911[[#This Row],[min value (corrected)]])</f>
        <v>#NUM!</v>
      </c>
      <c r="M429" t="e">
        <f>MINUTE(Table257911[[#This Row],[Corrected time]])</f>
        <v>#NUM!</v>
      </c>
      <c r="N429" s="1"/>
      <c r="O429" s="1">
        <f>Table257911[[#This Row],[Time]]-TIME(0,0,4)</f>
        <v>-4.6296296296296294E-5</v>
      </c>
      <c r="R429">
        <f>Table257911[[#This Row],[RSSI]]</f>
        <v>0</v>
      </c>
    </row>
    <row r="430" spans="2:18" x14ac:dyDescent="0.25">
      <c r="B430" t="e">
        <f>502+2*(Table146810[[#This Row],[min value (corrected)]])</f>
        <v>#NUM!</v>
      </c>
      <c r="C430" t="e">
        <f>MINUTE(Table146810[[#This Row],[Corrected time]])</f>
        <v>#NUM!</v>
      </c>
      <c r="D430" s="1"/>
      <c r="E430" s="1">
        <f>Table146810[[#This Row],[Time]]-TIME(0,0,8)</f>
        <v>-9.2592592592592588E-5</v>
      </c>
      <c r="H430" t="e">
        <f t="shared" si="14"/>
        <v>#VALUE!</v>
      </c>
      <c r="L430" t="e">
        <f>502+2*(Table257911[[#This Row],[min value (corrected)]])</f>
        <v>#NUM!</v>
      </c>
      <c r="M430" t="e">
        <f>MINUTE(Table257911[[#This Row],[Corrected time]])</f>
        <v>#NUM!</v>
      </c>
      <c r="N430" s="1"/>
      <c r="O430" s="1">
        <f>Table257911[[#This Row],[Time]]-TIME(0,0,4)</f>
        <v>-4.6296296296296294E-5</v>
      </c>
      <c r="R430">
        <f>Table257911[[#This Row],[RSSI]]</f>
        <v>0</v>
      </c>
    </row>
    <row r="431" spans="2:18" x14ac:dyDescent="0.25">
      <c r="B431" t="e">
        <f>502+2*(Table146810[[#This Row],[min value (corrected)]])</f>
        <v>#NUM!</v>
      </c>
      <c r="C431" t="e">
        <f>MINUTE(Table146810[[#This Row],[Corrected time]])</f>
        <v>#NUM!</v>
      </c>
      <c r="D431" s="1"/>
      <c r="E431" s="1">
        <f>Table146810[[#This Row],[Time]]-TIME(0,0,8)</f>
        <v>-9.2592592592592588E-5</v>
      </c>
      <c r="H431" t="e">
        <f t="shared" si="14"/>
        <v>#VALUE!</v>
      </c>
      <c r="L431" t="e">
        <f>502+2*(Table257911[[#This Row],[min value (corrected)]])</f>
        <v>#NUM!</v>
      </c>
      <c r="M431" t="e">
        <f>MINUTE(Table257911[[#This Row],[Corrected time]])</f>
        <v>#NUM!</v>
      </c>
      <c r="N431" s="1"/>
      <c r="O431" s="1">
        <f>Table257911[[#This Row],[Time]]-TIME(0,0,4)</f>
        <v>-4.6296296296296294E-5</v>
      </c>
      <c r="R431">
        <f>Table257911[[#This Row],[RSSI]]</f>
        <v>0</v>
      </c>
    </row>
    <row r="432" spans="2:18" x14ac:dyDescent="0.25">
      <c r="B432" t="e">
        <f>502+2*(Table146810[[#This Row],[min value (corrected)]])</f>
        <v>#NUM!</v>
      </c>
      <c r="C432" t="e">
        <f>MINUTE(Table146810[[#This Row],[Corrected time]])</f>
        <v>#NUM!</v>
      </c>
      <c r="D432" s="1"/>
      <c r="E432" s="1">
        <f>Table146810[[#This Row],[Time]]-TIME(0,0,8)</f>
        <v>-9.2592592592592588E-5</v>
      </c>
      <c r="H432" t="e">
        <f t="shared" si="14"/>
        <v>#VALUE!</v>
      </c>
      <c r="L432" t="e">
        <f>502+2*(Table257911[[#This Row],[min value (corrected)]])</f>
        <v>#NUM!</v>
      </c>
      <c r="M432" t="e">
        <f>MINUTE(Table257911[[#This Row],[Corrected time]])</f>
        <v>#NUM!</v>
      </c>
      <c r="N432" s="1"/>
      <c r="O432" s="1">
        <f>Table257911[[#This Row],[Time]]-TIME(0,0,4)</f>
        <v>-4.6296296296296294E-5</v>
      </c>
      <c r="R432">
        <f>Table257911[[#This Row],[RSSI]]</f>
        <v>0</v>
      </c>
    </row>
    <row r="433" spans="2:18" x14ac:dyDescent="0.25">
      <c r="B433" t="e">
        <f>502+2*(Table146810[[#This Row],[min value (corrected)]])</f>
        <v>#NUM!</v>
      </c>
      <c r="C433" t="e">
        <f>MINUTE(Table146810[[#This Row],[Corrected time]])</f>
        <v>#NUM!</v>
      </c>
      <c r="D433" s="1"/>
      <c r="E433" s="1">
        <f>Table146810[[#This Row],[Time]]-TIME(0,0,8)</f>
        <v>-9.2592592592592588E-5</v>
      </c>
      <c r="H433" t="e">
        <f t="shared" si="14"/>
        <v>#VALUE!</v>
      </c>
      <c r="L433" t="e">
        <f>502+2*(Table257911[[#This Row],[min value (corrected)]])</f>
        <v>#NUM!</v>
      </c>
      <c r="M433" t="e">
        <f>MINUTE(Table257911[[#This Row],[Corrected time]])</f>
        <v>#NUM!</v>
      </c>
      <c r="N433" s="1"/>
      <c r="O433" s="1">
        <f>Table257911[[#This Row],[Time]]-TIME(0,0,4)</f>
        <v>-4.6296296296296294E-5</v>
      </c>
      <c r="R433">
        <f>Table257911[[#This Row],[RSSI]]</f>
        <v>0</v>
      </c>
    </row>
    <row r="434" spans="2:18" x14ac:dyDescent="0.25">
      <c r="B434" t="e">
        <f>502+2*(Table146810[[#This Row],[min value (corrected)]])</f>
        <v>#NUM!</v>
      </c>
      <c r="C434" t="e">
        <f>MINUTE(Table146810[[#This Row],[Corrected time]])</f>
        <v>#NUM!</v>
      </c>
      <c r="D434" s="1"/>
      <c r="E434" s="1">
        <f>Table146810[[#This Row],[Time]]-TIME(0,0,8)</f>
        <v>-9.2592592592592588E-5</v>
      </c>
      <c r="H434" t="e">
        <f t="shared" si="14"/>
        <v>#VALUE!</v>
      </c>
      <c r="L434" t="e">
        <f>502+2*(Table257911[[#This Row],[min value (corrected)]])</f>
        <v>#NUM!</v>
      </c>
      <c r="M434" t="e">
        <f>MINUTE(Table257911[[#This Row],[Corrected time]])</f>
        <v>#NUM!</v>
      </c>
      <c r="N434" s="1"/>
      <c r="O434" s="1">
        <f>Table257911[[#This Row],[Time]]-TIME(0,0,4)</f>
        <v>-4.6296296296296294E-5</v>
      </c>
      <c r="R434">
        <f>Table257911[[#This Row],[RSSI]]</f>
        <v>0</v>
      </c>
    </row>
    <row r="435" spans="2:18" x14ac:dyDescent="0.25">
      <c r="B435" t="e">
        <f>502+2*(Table146810[[#This Row],[min value (corrected)]])</f>
        <v>#NUM!</v>
      </c>
      <c r="C435" t="e">
        <f>MINUTE(Table146810[[#This Row],[Corrected time]])</f>
        <v>#NUM!</v>
      </c>
      <c r="D435" s="1"/>
      <c r="E435" s="1">
        <f>Table146810[[#This Row],[Time]]-TIME(0,0,8)</f>
        <v>-9.2592592592592588E-5</v>
      </c>
      <c r="H435" t="e">
        <f t="shared" si="14"/>
        <v>#VALUE!</v>
      </c>
      <c r="L435" t="e">
        <f>502+2*(Table257911[[#This Row],[min value (corrected)]])</f>
        <v>#NUM!</v>
      </c>
      <c r="M435" t="e">
        <f>MINUTE(Table257911[[#This Row],[Corrected time]])</f>
        <v>#NUM!</v>
      </c>
      <c r="N435" s="1"/>
      <c r="O435" s="1">
        <f>Table257911[[#This Row],[Time]]-TIME(0,0,4)</f>
        <v>-4.6296296296296294E-5</v>
      </c>
      <c r="R435">
        <f>Table257911[[#This Row],[RSSI]]</f>
        <v>0</v>
      </c>
    </row>
    <row r="436" spans="2:18" x14ac:dyDescent="0.25">
      <c r="B436" t="e">
        <f>502+2*(Table146810[[#This Row],[min value (corrected)]])</f>
        <v>#NUM!</v>
      </c>
      <c r="C436" t="e">
        <f>MINUTE(Table146810[[#This Row],[Corrected time]])</f>
        <v>#NUM!</v>
      </c>
      <c r="D436" s="1"/>
      <c r="E436" s="1">
        <f>Table146810[[#This Row],[Time]]-TIME(0,0,8)</f>
        <v>-9.2592592592592588E-5</v>
      </c>
      <c r="H436" t="e">
        <f t="shared" si="14"/>
        <v>#VALUE!</v>
      </c>
      <c r="L436" t="e">
        <f>502+2*(Table257911[[#This Row],[min value (corrected)]])</f>
        <v>#NUM!</v>
      </c>
      <c r="M436" t="e">
        <f>MINUTE(Table257911[[#This Row],[Corrected time]])</f>
        <v>#NUM!</v>
      </c>
      <c r="N436" s="1"/>
      <c r="O436" s="1">
        <f>Table257911[[#This Row],[Time]]-TIME(0,0,4)</f>
        <v>-4.6296296296296294E-5</v>
      </c>
      <c r="R436">
        <f>Table257911[[#This Row],[RSSI]]</f>
        <v>0</v>
      </c>
    </row>
    <row r="437" spans="2:18" x14ac:dyDescent="0.25">
      <c r="B437" t="e">
        <f>502+2*(Table146810[[#This Row],[min value (corrected)]])</f>
        <v>#NUM!</v>
      </c>
      <c r="C437" t="e">
        <f>MINUTE(Table146810[[#This Row],[Corrected time]])</f>
        <v>#NUM!</v>
      </c>
      <c r="D437" s="1"/>
      <c r="E437" s="1">
        <f>Table146810[[#This Row],[Time]]-TIME(0,0,8)</f>
        <v>-9.2592592592592588E-5</v>
      </c>
      <c r="H437" t="e">
        <f t="shared" si="14"/>
        <v>#VALUE!</v>
      </c>
      <c r="L437" t="e">
        <f>502+2*(Table257911[[#This Row],[min value (corrected)]])</f>
        <v>#NUM!</v>
      </c>
      <c r="M437" t="e">
        <f>MINUTE(Table257911[[#This Row],[Corrected time]])</f>
        <v>#NUM!</v>
      </c>
      <c r="N437" s="1"/>
      <c r="O437" s="1">
        <f>Table257911[[#This Row],[Time]]-TIME(0,0,4)</f>
        <v>-4.6296296296296294E-5</v>
      </c>
      <c r="R437">
        <f>Table257911[[#This Row],[RSSI]]</f>
        <v>0</v>
      </c>
    </row>
    <row r="438" spans="2:18" x14ac:dyDescent="0.25">
      <c r="B438" t="e">
        <f>502+2*(Table146810[[#This Row],[min value (corrected)]])</f>
        <v>#NUM!</v>
      </c>
      <c r="C438" t="e">
        <f>MINUTE(Table146810[[#This Row],[Corrected time]])</f>
        <v>#NUM!</v>
      </c>
      <c r="D438" s="1"/>
      <c r="E438" s="1">
        <f>Table146810[[#This Row],[Time]]-TIME(0,0,8)</f>
        <v>-9.2592592592592588E-5</v>
      </c>
      <c r="H438" t="e">
        <f t="shared" si="14"/>
        <v>#VALUE!</v>
      </c>
      <c r="L438" t="e">
        <f>502+2*(Table257911[[#This Row],[min value (corrected)]])</f>
        <v>#NUM!</v>
      </c>
      <c r="M438" t="e">
        <f>MINUTE(Table257911[[#This Row],[Corrected time]])</f>
        <v>#NUM!</v>
      </c>
      <c r="N438" s="1"/>
      <c r="O438" s="1">
        <f>Table257911[[#This Row],[Time]]-TIME(0,0,4)</f>
        <v>-4.6296296296296294E-5</v>
      </c>
      <c r="R438">
        <f>Table257911[[#This Row],[RSSI]]</f>
        <v>0</v>
      </c>
    </row>
    <row r="439" spans="2:18" x14ac:dyDescent="0.25">
      <c r="B439" t="e">
        <f>502+2*(Table146810[[#This Row],[min value (corrected)]])</f>
        <v>#NUM!</v>
      </c>
      <c r="C439" t="e">
        <f>MINUTE(Table146810[[#This Row],[Corrected time]])</f>
        <v>#NUM!</v>
      </c>
      <c r="D439" s="1"/>
      <c r="E439" s="1">
        <f>Table146810[[#This Row],[Time]]-TIME(0,0,8)</f>
        <v>-9.2592592592592588E-5</v>
      </c>
      <c r="H439" t="e">
        <f t="shared" si="14"/>
        <v>#VALUE!</v>
      </c>
      <c r="L439" t="e">
        <f>502+2*(Table257911[[#This Row],[min value (corrected)]])</f>
        <v>#NUM!</v>
      </c>
      <c r="M439" t="e">
        <f>MINUTE(Table257911[[#This Row],[Corrected time]])</f>
        <v>#NUM!</v>
      </c>
      <c r="N439" s="1"/>
      <c r="O439" s="1">
        <f>Table257911[[#This Row],[Time]]-TIME(0,0,4)</f>
        <v>-4.6296296296296294E-5</v>
      </c>
      <c r="R439">
        <f>Table257911[[#This Row],[RSSI]]</f>
        <v>0</v>
      </c>
    </row>
    <row r="440" spans="2:18" x14ac:dyDescent="0.25">
      <c r="B440" t="e">
        <f>502+2*(Table146810[[#This Row],[min value (corrected)]])</f>
        <v>#NUM!</v>
      </c>
      <c r="C440" t="e">
        <f>MINUTE(Table146810[[#This Row],[Corrected time]])</f>
        <v>#NUM!</v>
      </c>
      <c r="D440" s="1"/>
      <c r="E440" s="1">
        <f>Table146810[[#This Row],[Time]]-TIME(0,0,8)</f>
        <v>-9.2592592592592588E-5</v>
      </c>
      <c r="H440" t="e">
        <f t="shared" si="14"/>
        <v>#VALUE!</v>
      </c>
      <c r="L440" t="e">
        <f>502+2*(Table257911[[#This Row],[min value (corrected)]])</f>
        <v>#NUM!</v>
      </c>
      <c r="M440" t="e">
        <f>MINUTE(Table257911[[#This Row],[Corrected time]])</f>
        <v>#NUM!</v>
      </c>
      <c r="N440" s="1"/>
      <c r="O440" s="1">
        <f>Table257911[[#This Row],[Time]]-TIME(0,0,4)</f>
        <v>-4.6296296296296294E-5</v>
      </c>
      <c r="R440">
        <f>Table257911[[#This Row],[RSSI]]</f>
        <v>0</v>
      </c>
    </row>
    <row r="441" spans="2:18" x14ac:dyDescent="0.25">
      <c r="B441" t="e">
        <f>502+2*(Table146810[[#This Row],[min value (corrected)]])</f>
        <v>#NUM!</v>
      </c>
      <c r="C441" t="e">
        <f>MINUTE(Table146810[[#This Row],[Corrected time]])</f>
        <v>#NUM!</v>
      </c>
      <c r="D441" s="1"/>
      <c r="E441" s="1">
        <f>Table146810[[#This Row],[Time]]-TIME(0,0,8)</f>
        <v>-9.2592592592592588E-5</v>
      </c>
      <c r="H441" t="e">
        <f t="shared" si="14"/>
        <v>#VALUE!</v>
      </c>
      <c r="L441" t="e">
        <f>502+2*(Table257911[[#This Row],[min value (corrected)]])</f>
        <v>#NUM!</v>
      </c>
      <c r="M441" t="e">
        <f>MINUTE(Table257911[[#This Row],[Corrected time]])</f>
        <v>#NUM!</v>
      </c>
      <c r="N441" s="1"/>
      <c r="O441" s="1">
        <f>Table257911[[#This Row],[Time]]-TIME(0,0,4)</f>
        <v>-4.6296296296296294E-5</v>
      </c>
      <c r="R441">
        <f>Table257911[[#This Row],[RSSI]]</f>
        <v>0</v>
      </c>
    </row>
    <row r="442" spans="2:18" x14ac:dyDescent="0.25">
      <c r="B442" t="e">
        <f>502+2*(Table146810[[#This Row],[min value (corrected)]])</f>
        <v>#NUM!</v>
      </c>
      <c r="C442" t="e">
        <f>MINUTE(Table146810[[#This Row],[Corrected time]])</f>
        <v>#NUM!</v>
      </c>
      <c r="D442" s="1"/>
      <c r="E442" s="1">
        <f>Table146810[[#This Row],[Time]]-TIME(0,0,8)</f>
        <v>-9.2592592592592588E-5</v>
      </c>
      <c r="H442" t="e">
        <f t="shared" si="14"/>
        <v>#VALUE!</v>
      </c>
      <c r="L442" t="e">
        <f>502+2*(Table257911[[#This Row],[min value (corrected)]])</f>
        <v>#NUM!</v>
      </c>
      <c r="M442" t="e">
        <f>MINUTE(Table257911[[#This Row],[Corrected time]])</f>
        <v>#NUM!</v>
      </c>
      <c r="N442" s="1"/>
      <c r="O442" s="1">
        <f>Table257911[[#This Row],[Time]]-TIME(0,0,4)</f>
        <v>-4.6296296296296294E-5</v>
      </c>
      <c r="R442">
        <f>Table257911[[#This Row],[RSSI]]</f>
        <v>0</v>
      </c>
    </row>
    <row r="443" spans="2:18" x14ac:dyDescent="0.25">
      <c r="B443" t="e">
        <f>502+2*(Table146810[[#This Row],[min value (corrected)]])</f>
        <v>#NUM!</v>
      </c>
      <c r="C443" t="e">
        <f>MINUTE(Table146810[[#This Row],[Corrected time]])</f>
        <v>#NUM!</v>
      </c>
      <c r="D443" s="1"/>
      <c r="E443" s="1">
        <f>Table146810[[#This Row],[Time]]-TIME(0,0,8)</f>
        <v>-9.2592592592592588E-5</v>
      </c>
      <c r="H443" t="e">
        <f t="shared" si="14"/>
        <v>#VALUE!</v>
      </c>
      <c r="L443" t="e">
        <f>502+2*(Table257911[[#This Row],[min value (corrected)]])</f>
        <v>#NUM!</v>
      </c>
      <c r="M443" t="e">
        <f>MINUTE(Table257911[[#This Row],[Corrected time]])</f>
        <v>#NUM!</v>
      </c>
      <c r="N443" s="1"/>
      <c r="O443" s="1">
        <f>Table257911[[#This Row],[Time]]-TIME(0,0,4)</f>
        <v>-4.6296296296296294E-5</v>
      </c>
      <c r="R443">
        <f>Table257911[[#This Row],[RSSI]]</f>
        <v>0</v>
      </c>
    </row>
    <row r="444" spans="2:18" x14ac:dyDescent="0.25">
      <c r="B444" t="e">
        <f>502+2*(Table146810[[#This Row],[min value (corrected)]])</f>
        <v>#NUM!</v>
      </c>
      <c r="C444" t="e">
        <f>MINUTE(Table146810[[#This Row],[Corrected time]])</f>
        <v>#NUM!</v>
      </c>
      <c r="D444" s="1"/>
      <c r="E444" s="1">
        <f>Table146810[[#This Row],[Time]]-TIME(0,0,8)</f>
        <v>-9.2592592592592588E-5</v>
      </c>
      <c r="H444" t="e">
        <f t="shared" si="14"/>
        <v>#VALUE!</v>
      </c>
      <c r="L444" t="e">
        <f>502+2*(Table257911[[#This Row],[min value (corrected)]])</f>
        <v>#NUM!</v>
      </c>
      <c r="M444" t="e">
        <f>MINUTE(Table257911[[#This Row],[Corrected time]])</f>
        <v>#NUM!</v>
      </c>
      <c r="N444" s="1"/>
      <c r="O444" s="1">
        <f>Table257911[[#This Row],[Time]]-TIME(0,0,4)</f>
        <v>-4.6296296296296294E-5</v>
      </c>
      <c r="R444">
        <f>Table257911[[#This Row],[RSSI]]</f>
        <v>0</v>
      </c>
    </row>
    <row r="445" spans="2:18" x14ac:dyDescent="0.25">
      <c r="B445" t="e">
        <f>502+2*(Table146810[[#This Row],[min value (corrected)]])</f>
        <v>#NUM!</v>
      </c>
      <c r="C445" t="e">
        <f>MINUTE(Table146810[[#This Row],[Corrected time]])</f>
        <v>#NUM!</v>
      </c>
      <c r="D445" s="1"/>
      <c r="E445" s="1">
        <f>Table146810[[#This Row],[Time]]-TIME(0,0,8)</f>
        <v>-9.2592592592592588E-5</v>
      </c>
      <c r="H445" t="e">
        <f t="shared" si="14"/>
        <v>#VALUE!</v>
      </c>
      <c r="L445" t="e">
        <f>502+2*(Table257911[[#This Row],[min value (corrected)]])</f>
        <v>#NUM!</v>
      </c>
      <c r="M445" t="e">
        <f>MINUTE(Table257911[[#This Row],[Corrected time]])</f>
        <v>#NUM!</v>
      </c>
      <c r="N445" s="1"/>
      <c r="O445" s="1">
        <f>Table257911[[#This Row],[Time]]-TIME(0,0,4)</f>
        <v>-4.6296296296296294E-5</v>
      </c>
      <c r="R445">
        <f>Table257911[[#This Row],[RSSI]]</f>
        <v>0</v>
      </c>
    </row>
    <row r="446" spans="2:18" x14ac:dyDescent="0.25">
      <c r="B446" t="e">
        <f>502+2*(Table146810[[#This Row],[min value (corrected)]])</f>
        <v>#NUM!</v>
      </c>
      <c r="C446" t="e">
        <f>MINUTE(Table146810[[#This Row],[Corrected time]])</f>
        <v>#NUM!</v>
      </c>
      <c r="D446" s="1"/>
      <c r="E446" s="1">
        <f>Table146810[[#This Row],[Time]]-TIME(0,0,8)</f>
        <v>-9.2592592592592588E-5</v>
      </c>
      <c r="H446" t="e">
        <f t="shared" si="14"/>
        <v>#VALUE!</v>
      </c>
      <c r="L446" t="e">
        <f>502+2*(Table257911[[#This Row],[min value (corrected)]])</f>
        <v>#NUM!</v>
      </c>
      <c r="M446" t="e">
        <f>MINUTE(Table257911[[#This Row],[Corrected time]])</f>
        <v>#NUM!</v>
      </c>
      <c r="N446" s="1"/>
      <c r="O446" s="1">
        <f>Table257911[[#This Row],[Time]]-TIME(0,0,4)</f>
        <v>-4.6296296296296294E-5</v>
      </c>
      <c r="R446">
        <f>Table257911[[#This Row],[RSSI]]</f>
        <v>0</v>
      </c>
    </row>
    <row r="447" spans="2:18" x14ac:dyDescent="0.25">
      <c r="B447" t="e">
        <f>502+2*(Table146810[[#This Row],[min value (corrected)]])</f>
        <v>#NUM!</v>
      </c>
      <c r="C447" t="e">
        <f>MINUTE(Table146810[[#This Row],[Corrected time]])</f>
        <v>#NUM!</v>
      </c>
      <c r="D447" s="1"/>
      <c r="E447" s="1">
        <f>Table146810[[#This Row],[Time]]-TIME(0,0,8)</f>
        <v>-9.2592592592592588E-5</v>
      </c>
      <c r="H447" t="e">
        <f t="shared" si="14"/>
        <v>#VALUE!</v>
      </c>
      <c r="L447" t="e">
        <f>502+2*(Table257911[[#This Row],[min value (corrected)]])</f>
        <v>#NUM!</v>
      </c>
      <c r="M447" t="e">
        <f>MINUTE(Table257911[[#This Row],[Corrected time]])</f>
        <v>#NUM!</v>
      </c>
      <c r="N447" s="1"/>
      <c r="O447" s="1">
        <f>Table257911[[#This Row],[Time]]-TIME(0,0,4)</f>
        <v>-4.6296296296296294E-5</v>
      </c>
      <c r="R447">
        <f>Table257911[[#This Row],[RSSI]]</f>
        <v>0</v>
      </c>
    </row>
    <row r="448" spans="2:18" x14ac:dyDescent="0.25">
      <c r="B448" t="e">
        <f>502+2*(Table146810[[#This Row],[min value (corrected)]])</f>
        <v>#NUM!</v>
      </c>
      <c r="C448" t="e">
        <f>MINUTE(Table146810[[#This Row],[Corrected time]])</f>
        <v>#NUM!</v>
      </c>
      <c r="D448" s="1"/>
      <c r="E448" s="1">
        <f>Table146810[[#This Row],[Time]]-TIME(0,0,8)</f>
        <v>-9.2592592592592588E-5</v>
      </c>
      <c r="H448" t="e">
        <f t="shared" si="14"/>
        <v>#VALUE!</v>
      </c>
      <c r="L448" t="e">
        <f>502+2*(Table257911[[#This Row],[min value (corrected)]])</f>
        <v>#NUM!</v>
      </c>
      <c r="M448" t="e">
        <f>MINUTE(Table257911[[#This Row],[Corrected time]])</f>
        <v>#NUM!</v>
      </c>
      <c r="N448" s="1"/>
      <c r="O448" s="1">
        <f>Table257911[[#This Row],[Time]]-TIME(0,0,4)</f>
        <v>-4.6296296296296294E-5</v>
      </c>
      <c r="R448">
        <f>Table257911[[#This Row],[RSSI]]</f>
        <v>0</v>
      </c>
    </row>
    <row r="449" spans="2:18" x14ac:dyDescent="0.25">
      <c r="B449" t="e">
        <f>502+2*(Table146810[[#This Row],[min value (corrected)]])</f>
        <v>#NUM!</v>
      </c>
      <c r="C449" t="e">
        <f>MINUTE(Table146810[[#This Row],[Corrected time]])</f>
        <v>#NUM!</v>
      </c>
      <c r="D449" s="1"/>
      <c r="E449" s="1">
        <f>Table146810[[#This Row],[Time]]-TIME(0,0,8)</f>
        <v>-9.2592592592592588E-5</v>
      </c>
      <c r="H449" t="e">
        <f t="shared" si="14"/>
        <v>#VALUE!</v>
      </c>
      <c r="L449" t="e">
        <f>502+2*(Table257911[[#This Row],[min value (corrected)]])</f>
        <v>#NUM!</v>
      </c>
      <c r="M449" t="e">
        <f>MINUTE(Table257911[[#This Row],[Corrected time]])</f>
        <v>#NUM!</v>
      </c>
      <c r="N449" s="1"/>
      <c r="O449" s="1">
        <f>Table257911[[#This Row],[Time]]-TIME(0,0,4)</f>
        <v>-4.6296296296296294E-5</v>
      </c>
      <c r="R449">
        <f>Table257911[[#This Row],[RSSI]]</f>
        <v>0</v>
      </c>
    </row>
    <row r="450" spans="2:18" x14ac:dyDescent="0.25">
      <c r="B450" t="e">
        <f>502+2*(Table146810[[#This Row],[min value (corrected)]])</f>
        <v>#NUM!</v>
      </c>
      <c r="C450" t="e">
        <f>MINUTE(Table146810[[#This Row],[Corrected time]])</f>
        <v>#NUM!</v>
      </c>
      <c r="D450" s="1"/>
      <c r="E450" s="1">
        <f>Table146810[[#This Row],[Time]]-TIME(0,0,8)</f>
        <v>-9.2592592592592588E-5</v>
      </c>
      <c r="H450" t="e">
        <f t="shared" si="14"/>
        <v>#VALUE!</v>
      </c>
      <c r="L450" t="e">
        <f>502+2*(Table257911[[#This Row],[min value (corrected)]])</f>
        <v>#NUM!</v>
      </c>
      <c r="M450" t="e">
        <f>MINUTE(Table257911[[#This Row],[Corrected time]])</f>
        <v>#NUM!</v>
      </c>
      <c r="N450" s="1"/>
      <c r="O450" s="1">
        <f>Table257911[[#This Row],[Time]]-TIME(0,0,4)</f>
        <v>-4.6296296296296294E-5</v>
      </c>
      <c r="R450">
        <f>Table257911[[#This Row],[RSSI]]</f>
        <v>0</v>
      </c>
    </row>
    <row r="451" spans="2:18" x14ac:dyDescent="0.25">
      <c r="B451" t="e">
        <f>502+2*(Table146810[[#This Row],[min value (corrected)]])</f>
        <v>#NUM!</v>
      </c>
      <c r="C451" t="e">
        <f>MINUTE(Table146810[[#This Row],[Corrected time]])</f>
        <v>#NUM!</v>
      </c>
      <c r="D451" s="1"/>
      <c r="E451" s="1">
        <f>Table146810[[#This Row],[Time]]-TIME(0,0,8)</f>
        <v>-9.2592592592592588E-5</v>
      </c>
      <c r="H451" t="e">
        <f t="shared" si="14"/>
        <v>#VALUE!</v>
      </c>
      <c r="L451" t="e">
        <f>502+2*(Table257911[[#This Row],[min value (corrected)]])</f>
        <v>#NUM!</v>
      </c>
      <c r="M451" t="e">
        <f>MINUTE(Table257911[[#This Row],[Corrected time]])</f>
        <v>#NUM!</v>
      </c>
      <c r="N451" s="1"/>
      <c r="O451" s="1">
        <f>Table257911[[#This Row],[Time]]-TIME(0,0,4)</f>
        <v>-4.6296296296296294E-5</v>
      </c>
      <c r="R451">
        <f>Table257911[[#This Row],[RSSI]]</f>
        <v>0</v>
      </c>
    </row>
    <row r="452" spans="2:18" x14ac:dyDescent="0.25">
      <c r="B452" t="e">
        <f>502+2*(Table146810[[#This Row],[min value (corrected)]])</f>
        <v>#NUM!</v>
      </c>
      <c r="C452" t="e">
        <f>MINUTE(Table146810[[#This Row],[Corrected time]])</f>
        <v>#NUM!</v>
      </c>
      <c r="D452" s="1"/>
      <c r="E452" s="1">
        <f>Table146810[[#This Row],[Time]]-TIME(0,0,8)</f>
        <v>-9.2592592592592588E-5</v>
      </c>
      <c r="H452" t="e">
        <f t="shared" si="14"/>
        <v>#VALUE!</v>
      </c>
      <c r="L452" t="e">
        <f>502+2*(Table257911[[#This Row],[min value (corrected)]])</f>
        <v>#NUM!</v>
      </c>
      <c r="M452" t="e">
        <f>MINUTE(Table257911[[#This Row],[Corrected time]])</f>
        <v>#NUM!</v>
      </c>
      <c r="N452" s="1"/>
      <c r="O452" s="1">
        <f>Table257911[[#This Row],[Time]]-TIME(0,0,4)</f>
        <v>-4.6296296296296294E-5</v>
      </c>
      <c r="R452">
        <f>Table257911[[#This Row],[RSSI]]</f>
        <v>0</v>
      </c>
    </row>
    <row r="453" spans="2:18" x14ac:dyDescent="0.25">
      <c r="B453" t="e">
        <f>502+2*(Table146810[[#This Row],[min value (corrected)]])</f>
        <v>#NUM!</v>
      </c>
      <c r="C453" t="e">
        <f>MINUTE(Table146810[[#This Row],[Corrected time]])</f>
        <v>#NUM!</v>
      </c>
      <c r="D453" s="1"/>
      <c r="E453" s="1">
        <f>Table146810[[#This Row],[Time]]-TIME(0,0,8)</f>
        <v>-9.2592592592592588E-5</v>
      </c>
      <c r="H453" t="e">
        <f t="shared" si="14"/>
        <v>#VALUE!</v>
      </c>
      <c r="L453" t="e">
        <f>502+2*(Table257911[[#This Row],[min value (corrected)]])</f>
        <v>#NUM!</v>
      </c>
      <c r="M453" t="e">
        <f>MINUTE(Table257911[[#This Row],[Corrected time]])</f>
        <v>#NUM!</v>
      </c>
      <c r="N453" s="1"/>
      <c r="O453" s="1">
        <f>Table257911[[#This Row],[Time]]-TIME(0,0,4)</f>
        <v>-4.6296296296296294E-5</v>
      </c>
      <c r="R453">
        <f>Table257911[[#This Row],[RSSI]]</f>
        <v>0</v>
      </c>
    </row>
    <row r="454" spans="2:18" x14ac:dyDescent="0.25">
      <c r="B454" t="e">
        <f>502+2*(Table146810[[#This Row],[min value (corrected)]])</f>
        <v>#NUM!</v>
      </c>
      <c r="C454" t="e">
        <f>MINUTE(Table146810[[#This Row],[Corrected time]])</f>
        <v>#NUM!</v>
      </c>
      <c r="D454" s="1"/>
      <c r="E454" s="1">
        <f>Table146810[[#This Row],[Time]]-TIME(0,0,8)</f>
        <v>-9.2592592592592588E-5</v>
      </c>
      <c r="H454" t="e">
        <f t="shared" si="14"/>
        <v>#VALUE!</v>
      </c>
      <c r="L454" t="e">
        <f>502+2*(Table257911[[#This Row],[min value (corrected)]])</f>
        <v>#NUM!</v>
      </c>
      <c r="M454" t="e">
        <f>MINUTE(Table257911[[#This Row],[Corrected time]])</f>
        <v>#NUM!</v>
      </c>
      <c r="N454" s="1"/>
      <c r="O454" s="1">
        <f>Table257911[[#This Row],[Time]]-TIME(0,0,4)</f>
        <v>-4.6296296296296294E-5</v>
      </c>
      <c r="R454">
        <f>Table257911[[#This Row],[RSSI]]</f>
        <v>0</v>
      </c>
    </row>
    <row r="455" spans="2:18" x14ac:dyDescent="0.25">
      <c r="D455" s="1"/>
      <c r="E455" s="1">
        <f>Table146810[[#This Row],[Time]]-TIME(0,0,8)</f>
        <v>-9.2592592592592588E-5</v>
      </c>
      <c r="H455" t="e">
        <f t="shared" si="14"/>
        <v>#VALUE!</v>
      </c>
      <c r="L455" t="e">
        <f>502+2*(Table257911[[#This Row],[min value (corrected)]])</f>
        <v>#NUM!</v>
      </c>
      <c r="M455" t="e">
        <f>MINUTE(Table257911[[#This Row],[Corrected time]])</f>
        <v>#NUM!</v>
      </c>
      <c r="N455" s="1"/>
      <c r="O455" s="1">
        <f>Table257911[[#This Row],[Time]]-TIME(0,0,4)</f>
        <v>-4.6296296296296294E-5</v>
      </c>
      <c r="R455">
        <f>Table257911[[#This Row],[RSSI]]</f>
        <v>0</v>
      </c>
    </row>
    <row r="456" spans="2:18" x14ac:dyDescent="0.25">
      <c r="D456" s="1"/>
      <c r="E456" s="1">
        <f>Table146810[[#This Row],[Time]]-TIME(0,0,8)</f>
        <v>-9.2592592592592588E-5</v>
      </c>
      <c r="H456" t="e">
        <f t="shared" si="14"/>
        <v>#VALUE!</v>
      </c>
      <c r="L456" t="e">
        <f>502+2*(Table257911[[#This Row],[min value (corrected)]])</f>
        <v>#NUM!</v>
      </c>
      <c r="M456" t="e">
        <f>MINUTE(Table257911[[#This Row],[Corrected time]])</f>
        <v>#NUM!</v>
      </c>
      <c r="N456" s="1"/>
      <c r="O456" s="1">
        <f>Table257911[[#This Row],[Time]]-TIME(0,0,4)</f>
        <v>-4.6296296296296294E-5</v>
      </c>
      <c r="R456">
        <f>Table257911[[#This Row],[RSSI]]</f>
        <v>0</v>
      </c>
    </row>
    <row r="457" spans="2:18" x14ac:dyDescent="0.25">
      <c r="D457" s="1"/>
      <c r="E457" s="1">
        <f>Table146810[[#This Row],[Time]]-TIME(0,0,8)</f>
        <v>-9.2592592592592588E-5</v>
      </c>
      <c r="H457" t="e">
        <f t="shared" si="14"/>
        <v>#VALUE!</v>
      </c>
      <c r="L457" t="e">
        <f>502+2*(Table257911[[#This Row],[min value (corrected)]])</f>
        <v>#NUM!</v>
      </c>
      <c r="M457" t="e">
        <f>MINUTE(Table257911[[#This Row],[Corrected time]])</f>
        <v>#NUM!</v>
      </c>
      <c r="N457" s="1"/>
      <c r="O457" s="1">
        <f>Table257911[[#This Row],[Time]]-TIME(0,0,4)</f>
        <v>-4.6296296296296294E-5</v>
      </c>
      <c r="R457">
        <f>Table257911[[#This Row],[RSSI]]</f>
        <v>0</v>
      </c>
    </row>
    <row r="458" spans="2:18" x14ac:dyDescent="0.25">
      <c r="D458" s="1"/>
      <c r="E458" s="1">
        <f>Table146810[[#This Row],[Time]]-TIME(0,0,8)</f>
        <v>-9.2592592592592588E-5</v>
      </c>
      <c r="H458" t="e">
        <f t="shared" si="14"/>
        <v>#VALUE!</v>
      </c>
      <c r="L458" t="e">
        <f>502+2*(Table257911[[#This Row],[min value (corrected)]])</f>
        <v>#NUM!</v>
      </c>
      <c r="M458" t="e">
        <f>MINUTE(Table257911[[#This Row],[Corrected time]])</f>
        <v>#NUM!</v>
      </c>
      <c r="N458" s="1"/>
      <c r="O458" s="1">
        <f>Table257911[[#This Row],[Time]]-TIME(0,0,4)</f>
        <v>-4.6296296296296294E-5</v>
      </c>
      <c r="R458">
        <f>Table257911[[#This Row],[RSSI]]</f>
        <v>0</v>
      </c>
    </row>
    <row r="459" spans="2:18" x14ac:dyDescent="0.25">
      <c r="D459" s="1"/>
      <c r="E459" s="1">
        <f>Table146810[[#This Row],[Time]]-TIME(0,0,8)</f>
        <v>-9.2592592592592588E-5</v>
      </c>
      <c r="H459" t="e">
        <f t="shared" si="14"/>
        <v>#VALUE!</v>
      </c>
      <c r="L459" t="e">
        <f>502+2*(Table257911[[#This Row],[min value (corrected)]])</f>
        <v>#NUM!</v>
      </c>
      <c r="M459" t="e">
        <f>MINUTE(Table257911[[#This Row],[Corrected time]])</f>
        <v>#NUM!</v>
      </c>
      <c r="N459" s="1"/>
      <c r="O459" s="1">
        <f>Table257911[[#This Row],[Time]]-TIME(0,0,4)</f>
        <v>-4.6296296296296294E-5</v>
      </c>
      <c r="R459">
        <f>Table257911[[#This Row],[RSSI]]</f>
        <v>0</v>
      </c>
    </row>
    <row r="460" spans="2:18" x14ac:dyDescent="0.25">
      <c r="D460" s="1"/>
      <c r="E460" s="1">
        <f>Table146810[[#This Row],[Time]]-TIME(0,0,8)</f>
        <v>-9.2592592592592588E-5</v>
      </c>
      <c r="H460" t="e">
        <f t="shared" si="14"/>
        <v>#VALUE!</v>
      </c>
      <c r="L460" t="e">
        <f>502+2*(Table257911[[#This Row],[min value (corrected)]])</f>
        <v>#NUM!</v>
      </c>
      <c r="M460" t="e">
        <f>MINUTE(Table257911[[#This Row],[Corrected time]])</f>
        <v>#NUM!</v>
      </c>
      <c r="N460" s="1"/>
      <c r="O460" s="1">
        <f>Table257911[[#This Row],[Time]]-TIME(0,0,4)</f>
        <v>-4.6296296296296294E-5</v>
      </c>
      <c r="R460">
        <f>Table257911[[#This Row],[RSSI]]</f>
        <v>0</v>
      </c>
    </row>
    <row r="461" spans="2:18" x14ac:dyDescent="0.25">
      <c r="D461" s="1"/>
      <c r="E461" s="1">
        <f>Table146810[[#This Row],[Time]]-TIME(0,0,8)</f>
        <v>-9.2592592592592588E-5</v>
      </c>
      <c r="H461" t="e">
        <f t="shared" si="14"/>
        <v>#VALUE!</v>
      </c>
      <c r="L461" t="e">
        <f>502+2*(Table257911[[#This Row],[min value (corrected)]])</f>
        <v>#NUM!</v>
      </c>
      <c r="M461" t="e">
        <f>MINUTE(Table257911[[#This Row],[Corrected time]])</f>
        <v>#NUM!</v>
      </c>
      <c r="N461" s="1"/>
      <c r="O461" s="1">
        <f>Table257911[[#This Row],[Time]]-TIME(0,0,4)</f>
        <v>-4.6296296296296294E-5</v>
      </c>
      <c r="R461">
        <f>Table257911[[#This Row],[RSSI]]</f>
        <v>0</v>
      </c>
    </row>
    <row r="462" spans="2:18" x14ac:dyDescent="0.25">
      <c r="D462" s="1"/>
      <c r="E462" s="1">
        <f>Table146810[[#This Row],[Time]]-TIME(0,0,8)</f>
        <v>-9.2592592592592588E-5</v>
      </c>
      <c r="H462" t="e">
        <f t="shared" si="14"/>
        <v>#VALUE!</v>
      </c>
      <c r="L462" t="e">
        <f>502+2*(Table257911[[#This Row],[min value (corrected)]])</f>
        <v>#NUM!</v>
      </c>
      <c r="M462" t="e">
        <f>MINUTE(Table257911[[#This Row],[Corrected time]])</f>
        <v>#NUM!</v>
      </c>
      <c r="N462" s="1"/>
      <c r="O462" s="1">
        <f>Table257911[[#This Row],[Time]]-TIME(0,0,4)</f>
        <v>-4.6296296296296294E-5</v>
      </c>
      <c r="R462">
        <f>Table257911[[#This Row],[RSSI]]</f>
        <v>0</v>
      </c>
    </row>
    <row r="463" spans="2:18" x14ac:dyDescent="0.25">
      <c r="D463" s="1"/>
      <c r="E463" s="1">
        <f>Table146810[[#This Row],[Time]]-TIME(0,0,8)</f>
        <v>-9.2592592592592588E-5</v>
      </c>
      <c r="H463" t="e">
        <f t="shared" si="14"/>
        <v>#VALUE!</v>
      </c>
      <c r="L463" t="e">
        <f>502+2*(Table257911[[#This Row],[min value (corrected)]])</f>
        <v>#NUM!</v>
      </c>
      <c r="M463" t="e">
        <f>MINUTE(Table257911[[#This Row],[Corrected time]])</f>
        <v>#NUM!</v>
      </c>
      <c r="N463" s="1"/>
      <c r="O463" s="1">
        <f>Table257911[[#This Row],[Time]]-TIME(0,0,4)</f>
        <v>-4.6296296296296294E-5</v>
      </c>
      <c r="R463">
        <f>Table257911[[#This Row],[RSSI]]</f>
        <v>0</v>
      </c>
    </row>
    <row r="464" spans="2:18" x14ac:dyDescent="0.25">
      <c r="D464" s="1"/>
      <c r="E464" s="1">
        <f>Table146810[[#This Row],[Time]]-TIME(0,0,8)</f>
        <v>-9.2592592592592588E-5</v>
      </c>
      <c r="H464" t="e">
        <f t="shared" si="14"/>
        <v>#VALUE!</v>
      </c>
      <c r="L464" t="e">
        <f>502+2*(Table257911[[#This Row],[min value (corrected)]])</f>
        <v>#NUM!</v>
      </c>
      <c r="M464" t="e">
        <f>MINUTE(Table257911[[#This Row],[Corrected time]])</f>
        <v>#NUM!</v>
      </c>
      <c r="N464" s="1"/>
      <c r="O464" s="1">
        <f>Table257911[[#This Row],[Time]]-TIME(0,0,4)</f>
        <v>-4.6296296296296294E-5</v>
      </c>
      <c r="R464">
        <f>Table257911[[#This Row],[RSSI]]</f>
        <v>0</v>
      </c>
    </row>
    <row r="465" spans="4:18" x14ac:dyDescent="0.25">
      <c r="D465" s="1"/>
      <c r="E465" s="1">
        <f>Table146810[[#This Row],[Time]]-TIME(0,0,8)</f>
        <v>-9.2592592592592588E-5</v>
      </c>
      <c r="H465" t="e">
        <f t="shared" si="14"/>
        <v>#VALUE!</v>
      </c>
      <c r="L465" t="e">
        <f>502+2*(Table257911[[#This Row],[min value (corrected)]])</f>
        <v>#NUM!</v>
      </c>
      <c r="M465" t="e">
        <f>MINUTE(Table257911[[#This Row],[Corrected time]])</f>
        <v>#NUM!</v>
      </c>
      <c r="N465" s="1"/>
      <c r="O465" s="1">
        <f>Table257911[[#This Row],[Time]]-TIME(0,0,4)</f>
        <v>-4.6296296296296294E-5</v>
      </c>
      <c r="R465">
        <f>Table257911[[#This Row],[RSSI]]</f>
        <v>0</v>
      </c>
    </row>
    <row r="466" spans="4:18" x14ac:dyDescent="0.25">
      <c r="D466" s="1"/>
      <c r="E466" s="1">
        <f>Table146810[[#This Row],[Time]]-TIME(0,0,8)</f>
        <v>-9.2592592592592588E-5</v>
      </c>
      <c r="H466" t="e">
        <f t="shared" si="14"/>
        <v>#VALUE!</v>
      </c>
      <c r="L466" t="e">
        <f>502+2*(Table257911[[#This Row],[min value (corrected)]])</f>
        <v>#NUM!</v>
      </c>
      <c r="M466" t="e">
        <f>MINUTE(Table257911[[#This Row],[Corrected time]])</f>
        <v>#NUM!</v>
      </c>
      <c r="N466" s="1"/>
      <c r="O466" s="1">
        <f>Table257911[[#This Row],[Time]]-TIME(0,0,4)</f>
        <v>-4.6296296296296294E-5</v>
      </c>
      <c r="R466">
        <f>Table257911[[#This Row],[RSSI]]</f>
        <v>0</v>
      </c>
    </row>
    <row r="467" spans="4:18" x14ac:dyDescent="0.25">
      <c r="D467" s="1"/>
      <c r="E467" s="1">
        <f>Table146810[[#This Row],[Time]]-TIME(0,0,8)</f>
        <v>-9.2592592592592588E-5</v>
      </c>
      <c r="H467" t="e">
        <f t="shared" si="14"/>
        <v>#VALUE!</v>
      </c>
      <c r="L467" t="e">
        <f>502+2*(Table257911[[#This Row],[min value (corrected)]])</f>
        <v>#NUM!</v>
      </c>
      <c r="M467" t="e">
        <f>MINUTE(Table257911[[#This Row],[Corrected time]])</f>
        <v>#NUM!</v>
      </c>
      <c r="N467" s="1"/>
      <c r="O467" s="1">
        <f>Table257911[[#This Row],[Time]]-TIME(0,0,4)</f>
        <v>-4.6296296296296294E-5</v>
      </c>
      <c r="R467">
        <f>Table257911[[#This Row],[RSSI]]</f>
        <v>0</v>
      </c>
    </row>
    <row r="468" spans="4:18" x14ac:dyDescent="0.25">
      <c r="D468" s="1"/>
      <c r="E468" s="1">
        <f>Table146810[[#This Row],[Time]]-TIME(0,0,8)</f>
        <v>-9.2592592592592588E-5</v>
      </c>
      <c r="H468" t="e">
        <f t="shared" si="14"/>
        <v>#VALUE!</v>
      </c>
      <c r="L468" t="e">
        <f>502+2*(Table257911[[#This Row],[min value (corrected)]])</f>
        <v>#NUM!</v>
      </c>
      <c r="M468" t="e">
        <f>MINUTE(Table257911[[#This Row],[Corrected time]])</f>
        <v>#NUM!</v>
      </c>
      <c r="N468" s="1"/>
      <c r="O468" s="1">
        <f>Table257911[[#This Row],[Time]]-TIME(0,0,4)</f>
        <v>-4.6296296296296294E-5</v>
      </c>
      <c r="R468">
        <f>Table257911[[#This Row],[RSSI]]</f>
        <v>0</v>
      </c>
    </row>
    <row r="469" spans="4:18" x14ac:dyDescent="0.25">
      <c r="D469" s="1"/>
      <c r="E469" s="1">
        <f>Table146810[[#This Row],[Time]]-TIME(0,0,8)</f>
        <v>-9.2592592592592588E-5</v>
      </c>
      <c r="H469" t="e">
        <f t="shared" si="14"/>
        <v>#VALUE!</v>
      </c>
      <c r="L469" t="e">
        <f>502+2*(Table257911[[#This Row],[min value (corrected)]])</f>
        <v>#NUM!</v>
      </c>
      <c r="M469" t="e">
        <f>MINUTE(Table257911[[#This Row],[Corrected time]])</f>
        <v>#NUM!</v>
      </c>
      <c r="N469" s="1"/>
      <c r="O469" s="1">
        <f>Table257911[[#This Row],[Time]]-TIME(0,0,4)</f>
        <v>-4.6296296296296294E-5</v>
      </c>
      <c r="R469">
        <f>Table257911[[#This Row],[RSSI]]</f>
        <v>0</v>
      </c>
    </row>
    <row r="470" spans="4:18" x14ac:dyDescent="0.25">
      <c r="D470" s="1"/>
      <c r="E470" s="1">
        <f>Table146810[[#This Row],[Time]]-TIME(0,0,8)</f>
        <v>-9.2592592592592588E-5</v>
      </c>
      <c r="H470" t="e">
        <f t="shared" ref="H470:H533" si="15">VALUE(LEFT(G470,LEN(G470)-1))</f>
        <v>#VALUE!</v>
      </c>
      <c r="L470" t="e">
        <f>502+2*(Table257911[[#This Row],[min value (corrected)]])</f>
        <v>#NUM!</v>
      </c>
      <c r="M470" t="e">
        <f>MINUTE(Table257911[[#This Row],[Corrected time]])</f>
        <v>#NUM!</v>
      </c>
      <c r="N470" s="1"/>
      <c r="O470" s="1">
        <f>Table257911[[#This Row],[Time]]-TIME(0,0,4)</f>
        <v>-4.6296296296296294E-5</v>
      </c>
      <c r="R470">
        <f>Table257911[[#This Row],[RSSI]]</f>
        <v>0</v>
      </c>
    </row>
    <row r="471" spans="4:18" x14ac:dyDescent="0.25">
      <c r="D471" s="1"/>
      <c r="E471" s="1">
        <f>Table146810[[#This Row],[Time]]-TIME(0,0,8)</f>
        <v>-9.2592592592592588E-5</v>
      </c>
      <c r="H471" t="e">
        <f t="shared" si="15"/>
        <v>#VALUE!</v>
      </c>
      <c r="L471" t="e">
        <f>502+2*(Table257911[[#This Row],[min value (corrected)]])</f>
        <v>#NUM!</v>
      </c>
      <c r="M471" t="e">
        <f>MINUTE(Table257911[[#This Row],[Corrected time]])</f>
        <v>#NUM!</v>
      </c>
      <c r="N471" s="1"/>
      <c r="O471" s="1">
        <f>Table257911[[#This Row],[Time]]-TIME(0,0,4)</f>
        <v>-4.6296296296296294E-5</v>
      </c>
      <c r="R471">
        <f>Table257911[[#This Row],[RSSI]]</f>
        <v>0</v>
      </c>
    </row>
    <row r="472" spans="4:18" x14ac:dyDescent="0.25">
      <c r="D472" s="1"/>
      <c r="E472" s="1">
        <f>Table146810[[#This Row],[Time]]-TIME(0,0,8)</f>
        <v>-9.2592592592592588E-5</v>
      </c>
      <c r="H472" t="e">
        <f t="shared" si="15"/>
        <v>#VALUE!</v>
      </c>
      <c r="N472" s="1"/>
      <c r="O472" s="1">
        <f>Table257911[[#This Row],[Time]]</f>
        <v>0</v>
      </c>
      <c r="R472">
        <f>Table257911[[#This Row],[RSSI]]</f>
        <v>0</v>
      </c>
    </row>
    <row r="473" spans="4:18" x14ac:dyDescent="0.25">
      <c r="D473" s="1"/>
      <c r="E473" s="1">
        <f>Table146810[[#This Row],[Time]]-TIME(0,0,8)</f>
        <v>-9.2592592592592588E-5</v>
      </c>
      <c r="H473" t="e">
        <f t="shared" si="15"/>
        <v>#VALUE!</v>
      </c>
      <c r="N473" s="1"/>
      <c r="O473" s="1">
        <f>Table257911[[#This Row],[Time]]</f>
        <v>0</v>
      </c>
      <c r="R473">
        <f>Table257911[[#This Row],[RSSI]]</f>
        <v>0</v>
      </c>
    </row>
    <row r="474" spans="4:18" x14ac:dyDescent="0.25">
      <c r="D474" s="1"/>
      <c r="E474" s="1">
        <f>Table146810[[#This Row],[Time]]-TIME(0,0,8)</f>
        <v>-9.2592592592592588E-5</v>
      </c>
      <c r="H474" t="e">
        <f t="shared" si="15"/>
        <v>#VALUE!</v>
      </c>
      <c r="N474" s="1"/>
      <c r="O474" s="1">
        <f>Table257911[[#This Row],[Time]]</f>
        <v>0</v>
      </c>
      <c r="R474">
        <f>Table257911[[#This Row],[RSSI]]</f>
        <v>0</v>
      </c>
    </row>
    <row r="475" spans="4:18" x14ac:dyDescent="0.25">
      <c r="D475" s="1"/>
      <c r="E475" s="1">
        <f>Table146810[[#This Row],[Time]]-TIME(0,0,8)</f>
        <v>-9.2592592592592588E-5</v>
      </c>
      <c r="H475" t="e">
        <f t="shared" si="15"/>
        <v>#VALUE!</v>
      </c>
      <c r="N475" s="1"/>
      <c r="O475" s="1">
        <f>Table257911[[#This Row],[Time]]</f>
        <v>0</v>
      </c>
      <c r="R475">
        <f>Table257911[[#This Row],[RSSI]]</f>
        <v>0</v>
      </c>
    </row>
    <row r="476" spans="4:18" x14ac:dyDescent="0.25">
      <c r="D476" s="1"/>
      <c r="E476" s="1">
        <f>Table146810[[#This Row],[Time]]-TIME(0,0,8)</f>
        <v>-9.2592592592592588E-5</v>
      </c>
      <c r="H476" t="e">
        <f t="shared" si="15"/>
        <v>#VALUE!</v>
      </c>
      <c r="N476" s="1"/>
      <c r="O476" s="1">
        <f>Table257911[[#This Row],[Time]]</f>
        <v>0</v>
      </c>
      <c r="R476">
        <f>Table257911[[#This Row],[RSSI]]</f>
        <v>0</v>
      </c>
    </row>
    <row r="477" spans="4:18" x14ac:dyDescent="0.25">
      <c r="D477" s="1"/>
      <c r="E477" s="1">
        <f>Table146810[[#This Row],[Time]]-TIME(0,0,8)</f>
        <v>-9.2592592592592588E-5</v>
      </c>
      <c r="H477" t="e">
        <f t="shared" si="15"/>
        <v>#VALUE!</v>
      </c>
      <c r="N477" s="1"/>
      <c r="O477" s="1">
        <f>Table257911[[#This Row],[Time]]</f>
        <v>0</v>
      </c>
      <c r="R477">
        <f>Table257911[[#This Row],[RSSI]]</f>
        <v>0</v>
      </c>
    </row>
    <row r="478" spans="4:18" x14ac:dyDescent="0.25">
      <c r="D478" s="1"/>
      <c r="E478" s="1">
        <f>Table146810[[#This Row],[Time]]-TIME(0,0,8)</f>
        <v>-9.2592592592592588E-5</v>
      </c>
      <c r="H478" t="e">
        <f t="shared" si="15"/>
        <v>#VALUE!</v>
      </c>
      <c r="N478" s="1"/>
      <c r="O478" s="1">
        <f>Table257911[[#This Row],[Time]]</f>
        <v>0</v>
      </c>
      <c r="R478">
        <f>Table257911[[#This Row],[RSSI]]</f>
        <v>0</v>
      </c>
    </row>
    <row r="479" spans="4:18" x14ac:dyDescent="0.25">
      <c r="D479" s="1"/>
      <c r="E479" s="1">
        <f>Table146810[[#This Row],[Time]]-TIME(0,0,8)</f>
        <v>-9.2592592592592588E-5</v>
      </c>
      <c r="H479" t="e">
        <f t="shared" si="15"/>
        <v>#VALUE!</v>
      </c>
      <c r="N479" s="1"/>
      <c r="O479" s="1">
        <f>Table257911[[#This Row],[Time]]</f>
        <v>0</v>
      </c>
      <c r="R479">
        <f>Table257911[[#This Row],[RSSI]]</f>
        <v>0</v>
      </c>
    </row>
    <row r="480" spans="4:18" x14ac:dyDescent="0.25">
      <c r="D480" s="1"/>
      <c r="E480" s="1">
        <f>Table146810[[#This Row],[Time]]-TIME(0,0,8)</f>
        <v>-9.2592592592592588E-5</v>
      </c>
      <c r="H480" t="e">
        <f t="shared" si="15"/>
        <v>#VALUE!</v>
      </c>
      <c r="N480" s="1"/>
      <c r="O480" s="1">
        <f>Table257911[[#This Row],[Time]]</f>
        <v>0</v>
      </c>
      <c r="R480">
        <f>Table257911[[#This Row],[RSSI]]</f>
        <v>0</v>
      </c>
    </row>
    <row r="481" spans="4:18" x14ac:dyDescent="0.25">
      <c r="D481" s="1"/>
      <c r="E481" s="1">
        <f>Table146810[[#This Row],[Time]]-TIME(0,0,8)</f>
        <v>-9.2592592592592588E-5</v>
      </c>
      <c r="H481" t="e">
        <f t="shared" si="15"/>
        <v>#VALUE!</v>
      </c>
      <c r="N481" s="1"/>
      <c r="O481" s="1">
        <f>Table257911[[#This Row],[Time]]</f>
        <v>0</v>
      </c>
      <c r="R481">
        <f>Table257911[[#This Row],[RSSI]]</f>
        <v>0</v>
      </c>
    </row>
    <row r="482" spans="4:18" x14ac:dyDescent="0.25">
      <c r="D482" s="1"/>
      <c r="E482" s="1">
        <f>Table146810[[#This Row],[Time]]-TIME(0,0,8)</f>
        <v>-9.2592592592592588E-5</v>
      </c>
      <c r="H482" t="e">
        <f t="shared" si="15"/>
        <v>#VALUE!</v>
      </c>
      <c r="N482" s="1"/>
      <c r="O482" s="1">
        <f>Table257911[[#This Row],[Time]]</f>
        <v>0</v>
      </c>
      <c r="R482">
        <f>Table257911[[#This Row],[RSSI]]</f>
        <v>0</v>
      </c>
    </row>
    <row r="483" spans="4:18" x14ac:dyDescent="0.25">
      <c r="D483" s="1"/>
      <c r="E483" s="1">
        <f>Table146810[[#This Row],[Time]]-TIME(0,0,8)</f>
        <v>-9.2592592592592588E-5</v>
      </c>
      <c r="H483" t="e">
        <f t="shared" si="15"/>
        <v>#VALUE!</v>
      </c>
      <c r="N483" s="1"/>
      <c r="O483" s="1">
        <f>Table257911[[#This Row],[Time]]</f>
        <v>0</v>
      </c>
      <c r="R483">
        <f>Table257911[[#This Row],[RSSI]]</f>
        <v>0</v>
      </c>
    </row>
    <row r="484" spans="4:18" x14ac:dyDescent="0.25">
      <c r="D484" s="1"/>
      <c r="E484" s="1">
        <f>Table146810[[#This Row],[Time]]-TIME(0,0,8)</f>
        <v>-9.2592592592592588E-5</v>
      </c>
      <c r="H484" t="e">
        <f t="shared" si="15"/>
        <v>#VALUE!</v>
      </c>
      <c r="N484" s="1"/>
      <c r="O484" s="1">
        <f>Table257911[[#This Row],[Time]]</f>
        <v>0</v>
      </c>
      <c r="R484">
        <f>Table257911[[#This Row],[RSSI]]</f>
        <v>0</v>
      </c>
    </row>
    <row r="485" spans="4:18" x14ac:dyDescent="0.25">
      <c r="D485" s="1"/>
      <c r="E485" s="1">
        <f>Table146810[[#This Row],[Time]]-TIME(0,0,8)</f>
        <v>-9.2592592592592588E-5</v>
      </c>
      <c r="H485" t="e">
        <f t="shared" si="15"/>
        <v>#VALUE!</v>
      </c>
      <c r="N485" s="1"/>
      <c r="O485" s="1">
        <f>Table257911[[#This Row],[Time]]</f>
        <v>0</v>
      </c>
      <c r="R485">
        <f>Table257911[[#This Row],[RSSI]]</f>
        <v>0</v>
      </c>
    </row>
    <row r="486" spans="4:18" x14ac:dyDescent="0.25">
      <c r="D486" s="1"/>
      <c r="E486" s="1">
        <f>Table146810[[#This Row],[Time]]-TIME(0,0,8)</f>
        <v>-9.2592592592592588E-5</v>
      </c>
      <c r="H486" t="e">
        <f t="shared" si="15"/>
        <v>#VALUE!</v>
      </c>
      <c r="N486" s="1"/>
      <c r="O486" s="1">
        <f>Table257911[[#This Row],[Time]]</f>
        <v>0</v>
      </c>
      <c r="R486">
        <f>Table257911[[#This Row],[RSSI]]</f>
        <v>0</v>
      </c>
    </row>
    <row r="487" spans="4:18" x14ac:dyDescent="0.25">
      <c r="D487" s="1"/>
      <c r="E487" s="1">
        <f>Table146810[[#This Row],[Time]]-TIME(0,0,8)</f>
        <v>-9.2592592592592588E-5</v>
      </c>
      <c r="H487" t="e">
        <f t="shared" si="15"/>
        <v>#VALUE!</v>
      </c>
      <c r="N487" s="1"/>
      <c r="O487" s="1">
        <f>Table257911[[#This Row],[Time]]</f>
        <v>0</v>
      </c>
      <c r="R487">
        <f>Table257911[[#This Row],[RSSI]]</f>
        <v>0</v>
      </c>
    </row>
    <row r="488" spans="4:18" x14ac:dyDescent="0.25">
      <c r="D488" s="1"/>
      <c r="E488" s="1">
        <f>Table146810[[#This Row],[Time]]-TIME(0,0,8)</f>
        <v>-9.2592592592592588E-5</v>
      </c>
      <c r="H488" t="e">
        <f t="shared" si="15"/>
        <v>#VALUE!</v>
      </c>
      <c r="N488" s="1"/>
      <c r="O488" s="1">
        <f>Table257911[[#This Row],[Time]]</f>
        <v>0</v>
      </c>
      <c r="R488">
        <f>Table257911[[#This Row],[RSSI]]</f>
        <v>0</v>
      </c>
    </row>
    <row r="489" spans="4:18" x14ac:dyDescent="0.25">
      <c r="D489" s="1"/>
      <c r="E489" s="1">
        <f>Table146810[[#This Row],[Time]]-TIME(0,0,8)</f>
        <v>-9.2592592592592588E-5</v>
      </c>
      <c r="H489" t="e">
        <f t="shared" si="15"/>
        <v>#VALUE!</v>
      </c>
      <c r="N489" s="1"/>
      <c r="O489" s="1">
        <f>Table257911[[#This Row],[Time]]</f>
        <v>0</v>
      </c>
      <c r="R489">
        <f>Table257911[[#This Row],[RSSI]]</f>
        <v>0</v>
      </c>
    </row>
    <row r="490" spans="4:18" x14ac:dyDescent="0.25">
      <c r="D490" s="1"/>
      <c r="E490" s="1">
        <f>Table146810[[#This Row],[Time]]-TIME(0,0,8)</f>
        <v>-9.2592592592592588E-5</v>
      </c>
      <c r="H490" t="e">
        <f t="shared" si="15"/>
        <v>#VALUE!</v>
      </c>
      <c r="N490" s="1"/>
      <c r="O490" s="1">
        <f>Table257911[[#This Row],[Time]]</f>
        <v>0</v>
      </c>
      <c r="R490">
        <f>Table257911[[#This Row],[RSSI]]</f>
        <v>0</v>
      </c>
    </row>
    <row r="491" spans="4:18" x14ac:dyDescent="0.25">
      <c r="D491" s="1"/>
      <c r="E491" s="1">
        <f>Table146810[[#This Row],[Time]]-TIME(0,0,8)</f>
        <v>-9.2592592592592588E-5</v>
      </c>
      <c r="H491" t="e">
        <f t="shared" si="15"/>
        <v>#VALUE!</v>
      </c>
      <c r="N491" s="1"/>
      <c r="O491" s="1">
        <f>Table257911[[#This Row],[Time]]</f>
        <v>0</v>
      </c>
      <c r="R491">
        <f>Table257911[[#This Row],[RSSI]]</f>
        <v>0</v>
      </c>
    </row>
    <row r="492" spans="4:18" x14ac:dyDescent="0.25">
      <c r="D492" s="1"/>
      <c r="E492" s="1">
        <f>Table146810[[#This Row],[Time]]-TIME(0,0,8)</f>
        <v>-9.2592592592592588E-5</v>
      </c>
      <c r="H492" t="e">
        <f t="shared" si="15"/>
        <v>#VALUE!</v>
      </c>
      <c r="N492" s="1"/>
      <c r="O492" s="1">
        <f>Table257911[[#This Row],[Time]]</f>
        <v>0</v>
      </c>
      <c r="R492">
        <f>Table257911[[#This Row],[RSSI]]</f>
        <v>0</v>
      </c>
    </row>
    <row r="493" spans="4:18" x14ac:dyDescent="0.25">
      <c r="D493" s="1"/>
      <c r="E493" s="1">
        <f>Table146810[[#This Row],[Time]]-TIME(0,0,8)</f>
        <v>-9.2592592592592588E-5</v>
      </c>
      <c r="H493" t="e">
        <f t="shared" si="15"/>
        <v>#VALUE!</v>
      </c>
      <c r="N493" s="1"/>
      <c r="O493" s="1">
        <f>Table257911[[#This Row],[Time]]</f>
        <v>0</v>
      </c>
      <c r="R493">
        <f>Table257911[[#This Row],[RSSI]]</f>
        <v>0</v>
      </c>
    </row>
    <row r="494" spans="4:18" x14ac:dyDescent="0.25">
      <c r="D494" s="1"/>
      <c r="E494" s="1">
        <f>Table146810[[#This Row],[Time]]-TIME(0,0,8)</f>
        <v>-9.2592592592592588E-5</v>
      </c>
      <c r="H494" t="e">
        <f t="shared" si="15"/>
        <v>#VALUE!</v>
      </c>
      <c r="N494" s="1"/>
      <c r="O494" s="1">
        <f>Table257911[[#This Row],[Time]]</f>
        <v>0</v>
      </c>
      <c r="R494">
        <f>Table257911[[#This Row],[RSSI]]</f>
        <v>0</v>
      </c>
    </row>
    <row r="495" spans="4:18" x14ac:dyDescent="0.25">
      <c r="D495" s="1"/>
      <c r="E495" s="1">
        <f>Table146810[[#This Row],[Time]]-TIME(0,0,8)</f>
        <v>-9.2592592592592588E-5</v>
      </c>
      <c r="H495" t="e">
        <f t="shared" si="15"/>
        <v>#VALUE!</v>
      </c>
      <c r="N495" s="1"/>
      <c r="O495" s="1">
        <f>Table257911[[#This Row],[Time]]</f>
        <v>0</v>
      </c>
      <c r="R495">
        <f>Table257911[[#This Row],[RSSI]]</f>
        <v>0</v>
      </c>
    </row>
    <row r="496" spans="4:18" x14ac:dyDescent="0.25">
      <c r="D496" s="1"/>
      <c r="E496" s="1">
        <f>Table146810[[#This Row],[Time]]-TIME(0,0,8)</f>
        <v>-9.2592592592592588E-5</v>
      </c>
      <c r="H496" t="e">
        <f t="shared" si="15"/>
        <v>#VALUE!</v>
      </c>
      <c r="N496" s="1"/>
      <c r="O496" s="1">
        <f>Table257911[[#This Row],[Time]]</f>
        <v>0</v>
      </c>
      <c r="R496">
        <f>Table257911[[#This Row],[RSSI]]</f>
        <v>0</v>
      </c>
    </row>
    <row r="497" spans="4:18" x14ac:dyDescent="0.25">
      <c r="D497" s="1"/>
      <c r="E497" s="1">
        <f>Table146810[[#This Row],[Time]]-TIME(0,0,8)</f>
        <v>-9.2592592592592588E-5</v>
      </c>
      <c r="H497" t="e">
        <f t="shared" si="15"/>
        <v>#VALUE!</v>
      </c>
      <c r="N497" s="1"/>
      <c r="O497" s="1">
        <f>Table257911[[#This Row],[Time]]</f>
        <v>0</v>
      </c>
      <c r="R497">
        <f>Table257911[[#This Row],[RSSI]]</f>
        <v>0</v>
      </c>
    </row>
    <row r="498" spans="4:18" x14ac:dyDescent="0.25">
      <c r="D498" s="1"/>
      <c r="E498" s="1">
        <f>Table146810[[#This Row],[Time]]-TIME(0,0,8)</f>
        <v>-9.2592592592592588E-5</v>
      </c>
      <c r="H498" t="e">
        <f t="shared" si="15"/>
        <v>#VALUE!</v>
      </c>
      <c r="N498" s="1"/>
      <c r="O498" s="1">
        <f>Table257911[[#This Row],[Time]]</f>
        <v>0</v>
      </c>
      <c r="R498">
        <f>Table257911[[#This Row],[RSSI]]</f>
        <v>0</v>
      </c>
    </row>
    <row r="499" spans="4:18" x14ac:dyDescent="0.25">
      <c r="D499" s="1"/>
      <c r="E499" s="1">
        <f>Table146810[[#This Row],[Time]]-TIME(0,0,8)</f>
        <v>-9.2592592592592588E-5</v>
      </c>
      <c r="H499" t="e">
        <f t="shared" si="15"/>
        <v>#VALUE!</v>
      </c>
      <c r="N499" s="1"/>
      <c r="O499" s="1">
        <f>Table257911[[#This Row],[Time]]</f>
        <v>0</v>
      </c>
      <c r="R499">
        <f>Table257911[[#This Row],[RSSI]]</f>
        <v>0</v>
      </c>
    </row>
    <row r="500" spans="4:18" x14ac:dyDescent="0.25">
      <c r="D500" s="1"/>
      <c r="E500" s="1">
        <f>Table146810[[#This Row],[Time]]-TIME(0,0,8)</f>
        <v>-9.2592592592592588E-5</v>
      </c>
      <c r="H500" t="e">
        <f t="shared" si="15"/>
        <v>#VALUE!</v>
      </c>
      <c r="N500" s="1"/>
      <c r="O500" s="1">
        <f>Table257911[[#This Row],[Time]]</f>
        <v>0</v>
      </c>
      <c r="R500">
        <f>Table257911[[#This Row],[RSSI]]</f>
        <v>0</v>
      </c>
    </row>
    <row r="501" spans="4:18" x14ac:dyDescent="0.25">
      <c r="D501" s="1"/>
      <c r="E501" s="1">
        <f>Table146810[[#This Row],[Time]]-TIME(0,0,8)</f>
        <v>-9.2592592592592588E-5</v>
      </c>
      <c r="H501" t="e">
        <f t="shared" si="15"/>
        <v>#VALUE!</v>
      </c>
      <c r="N501" s="1"/>
      <c r="O501" s="1">
        <f>Table257911[[#This Row],[Time]]</f>
        <v>0</v>
      </c>
      <c r="R501">
        <f>Table257911[[#This Row],[RSSI]]</f>
        <v>0</v>
      </c>
    </row>
    <row r="502" spans="4:18" x14ac:dyDescent="0.25">
      <c r="D502" s="1"/>
      <c r="E502" s="1">
        <f>Table146810[[#This Row],[Time]]-TIME(0,0,8)</f>
        <v>-9.2592592592592588E-5</v>
      </c>
      <c r="H502" t="e">
        <f t="shared" si="15"/>
        <v>#VALUE!</v>
      </c>
      <c r="N502" s="1"/>
      <c r="O502" s="1">
        <f>Table257911[[#This Row],[Time]]</f>
        <v>0</v>
      </c>
      <c r="R502">
        <f>Table257911[[#This Row],[RSSI]]</f>
        <v>0</v>
      </c>
    </row>
    <row r="503" spans="4:18" x14ac:dyDescent="0.25">
      <c r="D503" s="1"/>
      <c r="E503" s="1">
        <f>Table146810[[#This Row],[Time]]-TIME(0,0,8)</f>
        <v>-9.2592592592592588E-5</v>
      </c>
      <c r="H503" t="e">
        <f t="shared" si="15"/>
        <v>#VALUE!</v>
      </c>
      <c r="N503" s="1"/>
      <c r="O503" s="1">
        <f>Table257911[[#This Row],[Time]]</f>
        <v>0</v>
      </c>
      <c r="R503">
        <f>Table257911[[#This Row],[RSSI]]</f>
        <v>0</v>
      </c>
    </row>
    <row r="504" spans="4:18" x14ac:dyDescent="0.25">
      <c r="D504" s="1"/>
      <c r="E504" s="1">
        <f>Table146810[[#This Row],[Time]]-TIME(0,0,8)</f>
        <v>-9.2592592592592588E-5</v>
      </c>
      <c r="H504" t="e">
        <f t="shared" si="15"/>
        <v>#VALUE!</v>
      </c>
      <c r="N504" s="1"/>
      <c r="O504" s="1">
        <f>Table257911[[#This Row],[Time]]</f>
        <v>0</v>
      </c>
      <c r="R504">
        <f>Table257911[[#This Row],[RSSI]]</f>
        <v>0</v>
      </c>
    </row>
    <row r="505" spans="4:18" x14ac:dyDescent="0.25">
      <c r="D505" s="1"/>
      <c r="E505" s="1">
        <f>Table146810[[#This Row],[Time]]-TIME(0,0,8)</f>
        <v>-9.2592592592592588E-5</v>
      </c>
      <c r="H505" t="e">
        <f t="shared" si="15"/>
        <v>#VALUE!</v>
      </c>
      <c r="N505" s="1"/>
      <c r="O505" s="1">
        <f>Table257911[[#This Row],[Time]]</f>
        <v>0</v>
      </c>
      <c r="R505">
        <f>Table257911[[#This Row],[RSSI]]</f>
        <v>0</v>
      </c>
    </row>
    <row r="506" spans="4:18" x14ac:dyDescent="0.25">
      <c r="D506" s="1"/>
      <c r="E506" s="1">
        <f>Table146810[[#This Row],[Time]]-TIME(0,0,8)</f>
        <v>-9.2592592592592588E-5</v>
      </c>
      <c r="H506" t="e">
        <f t="shared" si="15"/>
        <v>#VALUE!</v>
      </c>
      <c r="N506" s="1"/>
      <c r="O506" s="1">
        <f>Table257911[[#This Row],[Time]]</f>
        <v>0</v>
      </c>
      <c r="R506">
        <f>Table257911[[#This Row],[RSSI]]</f>
        <v>0</v>
      </c>
    </row>
    <row r="507" spans="4:18" x14ac:dyDescent="0.25">
      <c r="D507" s="1"/>
      <c r="E507" s="1">
        <f>Table146810[[#This Row],[Time]]-TIME(0,0,8)</f>
        <v>-9.2592592592592588E-5</v>
      </c>
      <c r="H507" t="e">
        <f t="shared" si="15"/>
        <v>#VALUE!</v>
      </c>
      <c r="N507" s="1"/>
      <c r="O507" s="1">
        <f>Table257911[[#This Row],[Time]]</f>
        <v>0</v>
      </c>
      <c r="R507">
        <f>Table257911[[#This Row],[RSSI]]</f>
        <v>0</v>
      </c>
    </row>
    <row r="508" spans="4:18" x14ac:dyDescent="0.25">
      <c r="D508" s="1"/>
      <c r="E508" s="1">
        <f>Table146810[[#This Row],[Time]]-TIME(0,0,8)</f>
        <v>-9.2592592592592588E-5</v>
      </c>
      <c r="H508" t="e">
        <f t="shared" si="15"/>
        <v>#VALUE!</v>
      </c>
      <c r="N508" s="1"/>
      <c r="O508" s="1">
        <f>Table257911[[#This Row],[Time]]</f>
        <v>0</v>
      </c>
      <c r="R508">
        <f>Table257911[[#This Row],[RSSI]]</f>
        <v>0</v>
      </c>
    </row>
    <row r="509" spans="4:18" x14ac:dyDescent="0.25">
      <c r="D509" s="1"/>
      <c r="E509" s="1">
        <f>Table146810[[#This Row],[Time]]-TIME(0,0,8)</f>
        <v>-9.2592592592592588E-5</v>
      </c>
      <c r="H509" t="e">
        <f t="shared" si="15"/>
        <v>#VALUE!</v>
      </c>
      <c r="N509" s="1"/>
      <c r="O509" s="1">
        <f>Table257911[[#This Row],[Time]]</f>
        <v>0</v>
      </c>
      <c r="R509">
        <f>Table257911[[#This Row],[RSSI]]</f>
        <v>0</v>
      </c>
    </row>
    <row r="510" spans="4:18" x14ac:dyDescent="0.25">
      <c r="D510" s="1"/>
      <c r="E510" s="1">
        <f>Table146810[[#This Row],[Time]]-TIME(0,0,8)</f>
        <v>-9.2592592592592588E-5</v>
      </c>
      <c r="H510" t="e">
        <f t="shared" si="15"/>
        <v>#VALUE!</v>
      </c>
      <c r="N510" s="1"/>
      <c r="O510" s="1">
        <f>Table257911[[#This Row],[Time]]</f>
        <v>0</v>
      </c>
      <c r="R510">
        <f>Table257911[[#This Row],[RSSI]]</f>
        <v>0</v>
      </c>
    </row>
    <row r="511" spans="4:18" x14ac:dyDescent="0.25">
      <c r="D511" s="1"/>
      <c r="E511" s="1">
        <f>Table146810[[#This Row],[Time]]-TIME(0,0,8)</f>
        <v>-9.2592592592592588E-5</v>
      </c>
      <c r="H511" t="e">
        <f t="shared" si="15"/>
        <v>#VALUE!</v>
      </c>
      <c r="N511" s="1"/>
      <c r="O511" s="1">
        <f>Table257911[[#This Row],[Time]]</f>
        <v>0</v>
      </c>
      <c r="R511">
        <f>Table257911[[#This Row],[RSSI]]</f>
        <v>0</v>
      </c>
    </row>
    <row r="512" spans="4:18" x14ac:dyDescent="0.25">
      <c r="D512" s="1"/>
      <c r="E512" s="1">
        <f>Table146810[[#This Row],[Time]]-TIME(0,0,8)</f>
        <v>-9.2592592592592588E-5</v>
      </c>
      <c r="H512" t="e">
        <f t="shared" si="15"/>
        <v>#VALUE!</v>
      </c>
      <c r="N512" s="1"/>
      <c r="O512" s="1">
        <f>Table257911[[#This Row],[Time]]</f>
        <v>0</v>
      </c>
      <c r="R512">
        <f>Table257911[[#This Row],[RSSI]]</f>
        <v>0</v>
      </c>
    </row>
    <row r="513" spans="4:18" x14ac:dyDescent="0.25">
      <c r="D513" s="1"/>
      <c r="E513" s="1">
        <f>Table146810[[#This Row],[Time]]-TIME(0,0,8)</f>
        <v>-9.2592592592592588E-5</v>
      </c>
      <c r="H513" t="e">
        <f t="shared" si="15"/>
        <v>#VALUE!</v>
      </c>
      <c r="N513" s="1"/>
      <c r="O513" s="1">
        <f>Table257911[[#This Row],[Time]]</f>
        <v>0</v>
      </c>
      <c r="R513">
        <f>Table257911[[#This Row],[RSSI]]</f>
        <v>0</v>
      </c>
    </row>
    <row r="514" spans="4:18" x14ac:dyDescent="0.25">
      <c r="D514" s="1"/>
      <c r="E514" s="1">
        <f>Table146810[[#This Row],[Time]]-TIME(0,0,8)</f>
        <v>-9.2592592592592588E-5</v>
      </c>
      <c r="H514" t="e">
        <f t="shared" si="15"/>
        <v>#VALUE!</v>
      </c>
      <c r="N514" s="1"/>
      <c r="O514" s="1">
        <f>Table257911[[#This Row],[Time]]</f>
        <v>0</v>
      </c>
      <c r="R514">
        <f>Table257911[[#This Row],[RSSI]]</f>
        <v>0</v>
      </c>
    </row>
    <row r="515" spans="4:18" x14ac:dyDescent="0.25">
      <c r="D515" s="1"/>
      <c r="E515" s="1">
        <f>Table146810[[#This Row],[Time]]-TIME(0,0,8)</f>
        <v>-9.2592592592592588E-5</v>
      </c>
      <c r="H515" t="e">
        <f t="shared" si="15"/>
        <v>#VALUE!</v>
      </c>
      <c r="N515" s="1"/>
      <c r="O515" s="1">
        <f>Table257911[[#This Row],[Time]]</f>
        <v>0</v>
      </c>
      <c r="R515">
        <f>Table257911[[#This Row],[RSSI]]</f>
        <v>0</v>
      </c>
    </row>
    <row r="516" spans="4:18" x14ac:dyDescent="0.25">
      <c r="D516" s="1"/>
      <c r="E516" s="1">
        <f>Table146810[[#This Row],[Time]]-TIME(0,0,8)</f>
        <v>-9.2592592592592588E-5</v>
      </c>
      <c r="H516" t="e">
        <f t="shared" si="15"/>
        <v>#VALUE!</v>
      </c>
      <c r="N516" s="1"/>
      <c r="O516" s="1">
        <f>Table257911[[#This Row],[Time]]</f>
        <v>0</v>
      </c>
      <c r="R516">
        <f>Table257911[[#This Row],[RSSI]]</f>
        <v>0</v>
      </c>
    </row>
    <row r="517" spans="4:18" x14ac:dyDescent="0.25">
      <c r="D517" s="1"/>
      <c r="E517" s="1">
        <f>Table146810[[#This Row],[Time]]-TIME(0,0,8)</f>
        <v>-9.2592592592592588E-5</v>
      </c>
      <c r="H517" t="e">
        <f t="shared" si="15"/>
        <v>#VALUE!</v>
      </c>
      <c r="N517" s="1"/>
      <c r="O517" s="1">
        <f>Table257911[[#This Row],[Time]]</f>
        <v>0</v>
      </c>
      <c r="R517">
        <f>Table257911[[#This Row],[RSSI]]</f>
        <v>0</v>
      </c>
    </row>
    <row r="518" spans="4:18" x14ac:dyDescent="0.25">
      <c r="D518" s="1"/>
      <c r="E518" s="1">
        <f>Table146810[[#This Row],[Time]]-TIME(0,0,8)</f>
        <v>-9.2592592592592588E-5</v>
      </c>
      <c r="H518" t="e">
        <f t="shared" si="15"/>
        <v>#VALUE!</v>
      </c>
      <c r="N518" s="1"/>
      <c r="O518" s="1">
        <f>Table257911[[#This Row],[Time]]</f>
        <v>0</v>
      </c>
      <c r="R518">
        <f>Table257911[[#This Row],[RSSI]]</f>
        <v>0</v>
      </c>
    </row>
    <row r="519" spans="4:18" x14ac:dyDescent="0.25">
      <c r="D519" s="1"/>
      <c r="E519" s="1">
        <f>Table146810[[#This Row],[Time]]-TIME(0,0,8)</f>
        <v>-9.2592592592592588E-5</v>
      </c>
      <c r="H519" t="e">
        <f t="shared" si="15"/>
        <v>#VALUE!</v>
      </c>
      <c r="N519" s="1"/>
      <c r="O519" s="1">
        <f>Table257911[[#This Row],[Time]]</f>
        <v>0</v>
      </c>
      <c r="R519">
        <f>Table257911[[#This Row],[RSSI]]</f>
        <v>0</v>
      </c>
    </row>
    <row r="520" spans="4:18" x14ac:dyDescent="0.25">
      <c r="D520" s="1"/>
      <c r="E520" s="1">
        <f>Table146810[[#This Row],[Time]]-TIME(0,0,8)</f>
        <v>-9.2592592592592588E-5</v>
      </c>
      <c r="H520" t="e">
        <f t="shared" si="15"/>
        <v>#VALUE!</v>
      </c>
      <c r="N520" s="1"/>
      <c r="O520" s="1">
        <f>Table257911[[#This Row],[Time]]</f>
        <v>0</v>
      </c>
      <c r="R520">
        <f>Table257911[[#This Row],[RSSI]]</f>
        <v>0</v>
      </c>
    </row>
    <row r="521" spans="4:18" x14ac:dyDescent="0.25">
      <c r="D521" s="1"/>
      <c r="E521" s="1">
        <f>Table146810[[#This Row],[Time]]-TIME(0,0,8)</f>
        <v>-9.2592592592592588E-5</v>
      </c>
      <c r="H521" t="e">
        <f t="shared" si="15"/>
        <v>#VALUE!</v>
      </c>
      <c r="N521" s="1"/>
      <c r="O521" s="1">
        <f>Table257911[[#This Row],[Time]]</f>
        <v>0</v>
      </c>
      <c r="R521">
        <f>Table257911[[#This Row],[RSSI]]</f>
        <v>0</v>
      </c>
    </row>
    <row r="522" spans="4:18" x14ac:dyDescent="0.25">
      <c r="D522" s="1"/>
      <c r="E522" s="1">
        <f>Table146810[[#This Row],[Time]]-TIME(0,0,8)</f>
        <v>-9.2592592592592588E-5</v>
      </c>
      <c r="H522" t="e">
        <f t="shared" si="15"/>
        <v>#VALUE!</v>
      </c>
      <c r="N522" s="1"/>
      <c r="O522" s="1">
        <f>Table257911[[#This Row],[Time]]</f>
        <v>0</v>
      </c>
      <c r="R522">
        <f>Table257911[[#This Row],[RSSI]]</f>
        <v>0</v>
      </c>
    </row>
    <row r="523" spans="4:18" x14ac:dyDescent="0.25">
      <c r="D523" s="1"/>
      <c r="E523" s="1">
        <f>Table146810[[#This Row],[Time]]-TIME(0,0,8)</f>
        <v>-9.2592592592592588E-5</v>
      </c>
      <c r="H523" t="e">
        <f t="shared" si="15"/>
        <v>#VALUE!</v>
      </c>
      <c r="N523" s="1"/>
      <c r="O523" s="1">
        <f>Table257911[[#This Row],[Time]]</f>
        <v>0</v>
      </c>
      <c r="R523">
        <f>Table257911[[#This Row],[RSSI]]</f>
        <v>0</v>
      </c>
    </row>
    <row r="524" spans="4:18" x14ac:dyDescent="0.25">
      <c r="D524" s="1"/>
      <c r="E524" s="1">
        <f>Table146810[[#This Row],[Time]]-TIME(0,0,8)</f>
        <v>-9.2592592592592588E-5</v>
      </c>
      <c r="H524" t="e">
        <f t="shared" si="15"/>
        <v>#VALUE!</v>
      </c>
      <c r="N524" s="1"/>
      <c r="O524" s="1">
        <f>Table257911[[#This Row],[Time]]</f>
        <v>0</v>
      </c>
      <c r="R524">
        <f>Table257911[[#This Row],[RSSI]]</f>
        <v>0</v>
      </c>
    </row>
    <row r="525" spans="4:18" x14ac:dyDescent="0.25">
      <c r="D525" s="1"/>
      <c r="E525" s="1">
        <f>Table146810[[#This Row],[Time]]-TIME(0,0,8)</f>
        <v>-9.2592592592592588E-5</v>
      </c>
      <c r="H525" t="e">
        <f t="shared" si="15"/>
        <v>#VALUE!</v>
      </c>
      <c r="N525" s="1"/>
      <c r="O525" s="1">
        <f>Table257911[[#This Row],[Time]]</f>
        <v>0</v>
      </c>
      <c r="R525">
        <f>Table257911[[#This Row],[RSSI]]</f>
        <v>0</v>
      </c>
    </row>
    <row r="526" spans="4:18" x14ac:dyDescent="0.25">
      <c r="D526" s="1"/>
      <c r="E526" s="1">
        <f>Table146810[[#This Row],[Time]]-TIME(0,0,8)</f>
        <v>-9.2592592592592588E-5</v>
      </c>
      <c r="H526" t="e">
        <f t="shared" si="15"/>
        <v>#VALUE!</v>
      </c>
      <c r="N526" s="1"/>
      <c r="O526" s="1">
        <f>Table257911[[#This Row],[Time]]</f>
        <v>0</v>
      </c>
      <c r="R526">
        <f>Table257911[[#This Row],[RSSI]]</f>
        <v>0</v>
      </c>
    </row>
    <row r="527" spans="4:18" x14ac:dyDescent="0.25">
      <c r="D527" s="1"/>
      <c r="E527" s="1">
        <f>Table146810[[#This Row],[Time]]-TIME(0,0,8)</f>
        <v>-9.2592592592592588E-5</v>
      </c>
      <c r="H527" t="e">
        <f t="shared" si="15"/>
        <v>#VALUE!</v>
      </c>
      <c r="N527" s="1"/>
      <c r="O527" s="1">
        <f>Table257911[[#This Row],[Time]]</f>
        <v>0</v>
      </c>
      <c r="R527">
        <f>Table257911[[#This Row],[RSSI]]</f>
        <v>0</v>
      </c>
    </row>
    <row r="528" spans="4:18" x14ac:dyDescent="0.25">
      <c r="D528" s="1"/>
      <c r="E528" s="1">
        <f>Table146810[[#This Row],[Time]]-TIME(0,0,8)</f>
        <v>-9.2592592592592588E-5</v>
      </c>
      <c r="H528" t="e">
        <f t="shared" si="15"/>
        <v>#VALUE!</v>
      </c>
      <c r="N528" s="1"/>
      <c r="O528" s="1">
        <f>Table257911[[#This Row],[Time]]</f>
        <v>0</v>
      </c>
      <c r="R528">
        <f>Table257911[[#This Row],[RSSI]]</f>
        <v>0</v>
      </c>
    </row>
    <row r="529" spans="4:18" x14ac:dyDescent="0.25">
      <c r="D529" s="1"/>
      <c r="E529" s="1">
        <f>Table146810[[#This Row],[Time]]-TIME(0,0,8)</f>
        <v>-9.2592592592592588E-5</v>
      </c>
      <c r="H529" t="e">
        <f t="shared" si="15"/>
        <v>#VALUE!</v>
      </c>
      <c r="N529" s="1"/>
      <c r="O529" s="1">
        <f>Table257911[[#This Row],[Time]]</f>
        <v>0</v>
      </c>
      <c r="R529">
        <f>Table257911[[#This Row],[RSSI]]</f>
        <v>0</v>
      </c>
    </row>
    <row r="530" spans="4:18" x14ac:dyDescent="0.25">
      <c r="D530" s="1"/>
      <c r="E530" s="1">
        <f>Table146810[[#This Row],[Time]]-TIME(0,0,8)</f>
        <v>-9.2592592592592588E-5</v>
      </c>
      <c r="H530" t="e">
        <f t="shared" si="15"/>
        <v>#VALUE!</v>
      </c>
      <c r="N530" s="1"/>
      <c r="O530" s="1">
        <f>Table257911[[#This Row],[Time]]</f>
        <v>0</v>
      </c>
      <c r="R530">
        <f>Table257911[[#This Row],[RSSI]]</f>
        <v>0</v>
      </c>
    </row>
    <row r="531" spans="4:18" x14ac:dyDescent="0.25">
      <c r="D531" s="1"/>
      <c r="E531" s="1">
        <f>Table146810[[#This Row],[Time]]-TIME(0,0,8)</f>
        <v>-9.2592592592592588E-5</v>
      </c>
      <c r="H531" t="e">
        <f t="shared" si="15"/>
        <v>#VALUE!</v>
      </c>
      <c r="N531" s="1"/>
      <c r="O531" s="1">
        <f>Table257911[[#This Row],[Time]]</f>
        <v>0</v>
      </c>
      <c r="R531">
        <f>Table257911[[#This Row],[RSSI]]</f>
        <v>0</v>
      </c>
    </row>
    <row r="532" spans="4:18" x14ac:dyDescent="0.25">
      <c r="D532" s="1"/>
      <c r="E532" s="1">
        <f>Table146810[[#This Row],[Time]]-TIME(0,0,8)</f>
        <v>-9.2592592592592588E-5</v>
      </c>
      <c r="H532" t="e">
        <f t="shared" si="15"/>
        <v>#VALUE!</v>
      </c>
      <c r="N532" s="1"/>
      <c r="O532" s="1">
        <f>Table257911[[#This Row],[Time]]</f>
        <v>0</v>
      </c>
      <c r="R532">
        <f>Table257911[[#This Row],[RSSI]]</f>
        <v>0</v>
      </c>
    </row>
    <row r="533" spans="4:18" x14ac:dyDescent="0.25">
      <c r="D533" s="1"/>
      <c r="E533" s="1">
        <f>Table146810[[#This Row],[Time]]-TIME(0,0,8)</f>
        <v>-9.2592592592592588E-5</v>
      </c>
      <c r="H533" t="e">
        <f t="shared" si="15"/>
        <v>#VALUE!</v>
      </c>
      <c r="N533" s="1"/>
      <c r="O533" s="1">
        <f>Table257911[[#This Row],[Time]]</f>
        <v>0</v>
      </c>
      <c r="R533">
        <f>Table257911[[#This Row],[RSSI]]</f>
        <v>0</v>
      </c>
    </row>
    <row r="534" spans="4:18" x14ac:dyDescent="0.25">
      <c r="D534" s="1"/>
      <c r="E534" s="1">
        <f>Table146810[[#This Row],[Time]]-TIME(0,0,8)</f>
        <v>-9.2592592592592588E-5</v>
      </c>
      <c r="H534" t="e">
        <f t="shared" ref="H534:H597" si="16">VALUE(LEFT(G534,LEN(G534)-1))</f>
        <v>#VALUE!</v>
      </c>
      <c r="N534" s="1"/>
      <c r="O534" s="1">
        <f>Table257911[[#This Row],[Time]]</f>
        <v>0</v>
      </c>
      <c r="R534">
        <f>Table257911[[#This Row],[RSSI]]</f>
        <v>0</v>
      </c>
    </row>
    <row r="535" spans="4:18" x14ac:dyDescent="0.25">
      <c r="D535" s="1"/>
      <c r="E535" s="1">
        <f>Table146810[[#This Row],[Time]]-TIME(0,0,8)</f>
        <v>-9.2592592592592588E-5</v>
      </c>
      <c r="H535" t="e">
        <f t="shared" si="16"/>
        <v>#VALUE!</v>
      </c>
      <c r="N535" s="1"/>
      <c r="O535" s="1">
        <f>Table257911[[#This Row],[Time]]</f>
        <v>0</v>
      </c>
      <c r="R535">
        <f>Table257911[[#This Row],[RSSI]]</f>
        <v>0</v>
      </c>
    </row>
    <row r="536" spans="4:18" x14ac:dyDescent="0.25">
      <c r="D536" s="1"/>
      <c r="E536" s="1">
        <f>Table146810[[#This Row],[Time]]-TIME(0,0,8)</f>
        <v>-9.2592592592592588E-5</v>
      </c>
      <c r="H536" t="e">
        <f t="shared" si="16"/>
        <v>#VALUE!</v>
      </c>
      <c r="N536" s="1"/>
      <c r="O536" s="1">
        <f>Table257911[[#This Row],[Time]]</f>
        <v>0</v>
      </c>
      <c r="R536">
        <f>Table257911[[#This Row],[RSSI]]</f>
        <v>0</v>
      </c>
    </row>
    <row r="537" spans="4:18" x14ac:dyDescent="0.25">
      <c r="D537" s="1"/>
      <c r="E537" s="1">
        <f>Table146810[[#This Row],[Time]]-TIME(0,0,8)</f>
        <v>-9.2592592592592588E-5</v>
      </c>
      <c r="H537" t="e">
        <f t="shared" si="16"/>
        <v>#VALUE!</v>
      </c>
      <c r="N537" s="1"/>
      <c r="O537" s="1">
        <f>Table257911[[#This Row],[Time]]</f>
        <v>0</v>
      </c>
      <c r="R537">
        <f>Table257911[[#This Row],[RSSI]]</f>
        <v>0</v>
      </c>
    </row>
    <row r="538" spans="4:18" x14ac:dyDescent="0.25">
      <c r="D538" s="1"/>
      <c r="E538" s="1">
        <f>Table146810[[#This Row],[Time]]-TIME(0,0,8)</f>
        <v>-9.2592592592592588E-5</v>
      </c>
      <c r="H538" t="e">
        <f t="shared" si="16"/>
        <v>#VALUE!</v>
      </c>
      <c r="N538" s="1"/>
      <c r="O538" s="1">
        <f>Table257911[[#This Row],[Time]]</f>
        <v>0</v>
      </c>
      <c r="R538">
        <f>Table257911[[#This Row],[RSSI]]</f>
        <v>0</v>
      </c>
    </row>
    <row r="539" spans="4:18" x14ac:dyDescent="0.25">
      <c r="D539" s="1"/>
      <c r="E539" s="1">
        <f>Table146810[[#This Row],[Time]]-TIME(0,0,8)</f>
        <v>-9.2592592592592588E-5</v>
      </c>
      <c r="H539" t="e">
        <f t="shared" si="16"/>
        <v>#VALUE!</v>
      </c>
      <c r="N539" s="1"/>
      <c r="O539" s="1">
        <f>Table257911[[#This Row],[Time]]</f>
        <v>0</v>
      </c>
      <c r="R539">
        <f>Table257911[[#This Row],[RSSI]]</f>
        <v>0</v>
      </c>
    </row>
    <row r="540" spans="4:18" x14ac:dyDescent="0.25">
      <c r="D540" s="1"/>
      <c r="E540" s="1">
        <f>Table146810[[#This Row],[Time]]-TIME(0,0,8)</f>
        <v>-9.2592592592592588E-5</v>
      </c>
      <c r="H540" t="e">
        <f t="shared" si="16"/>
        <v>#VALUE!</v>
      </c>
      <c r="N540" s="1"/>
      <c r="O540" s="1">
        <f>Table257911[[#This Row],[Time]]</f>
        <v>0</v>
      </c>
      <c r="R540">
        <f>Table257911[[#This Row],[RSSI]]</f>
        <v>0</v>
      </c>
    </row>
    <row r="541" spans="4:18" x14ac:dyDescent="0.25">
      <c r="D541" s="1"/>
      <c r="E541" s="1">
        <f>Table146810[[#This Row],[Time]]-TIME(0,0,8)</f>
        <v>-9.2592592592592588E-5</v>
      </c>
      <c r="H541" t="e">
        <f t="shared" si="16"/>
        <v>#VALUE!</v>
      </c>
      <c r="N541" s="1"/>
      <c r="O541" s="1">
        <f>Table257911[[#This Row],[Time]]</f>
        <v>0</v>
      </c>
      <c r="R541">
        <f>Table257911[[#This Row],[RSSI]]</f>
        <v>0</v>
      </c>
    </row>
    <row r="542" spans="4:18" x14ac:dyDescent="0.25">
      <c r="D542" s="1"/>
      <c r="E542" s="1">
        <f>Table146810[[#This Row],[Time]]-TIME(0,0,8)</f>
        <v>-9.2592592592592588E-5</v>
      </c>
      <c r="H542" t="e">
        <f t="shared" si="16"/>
        <v>#VALUE!</v>
      </c>
      <c r="N542" s="1"/>
      <c r="O542" s="1">
        <f>Table257911[[#This Row],[Time]]</f>
        <v>0</v>
      </c>
      <c r="R542">
        <f>Table257911[[#This Row],[RSSI]]</f>
        <v>0</v>
      </c>
    </row>
    <row r="543" spans="4:18" x14ac:dyDescent="0.25">
      <c r="D543" s="1"/>
      <c r="E543" s="1">
        <f>Table146810[[#This Row],[Time]]-TIME(0,0,8)</f>
        <v>-9.2592592592592588E-5</v>
      </c>
      <c r="H543" t="e">
        <f t="shared" si="16"/>
        <v>#VALUE!</v>
      </c>
      <c r="N543" s="1"/>
      <c r="O543" s="1">
        <f>Table257911[[#This Row],[Time]]</f>
        <v>0</v>
      </c>
      <c r="R543">
        <f>Table257911[[#This Row],[RSSI]]</f>
        <v>0</v>
      </c>
    </row>
    <row r="544" spans="4:18" x14ac:dyDescent="0.25">
      <c r="D544" s="1"/>
      <c r="E544" s="1">
        <f>Table146810[[#This Row],[Time]]-TIME(0,0,8)</f>
        <v>-9.2592592592592588E-5</v>
      </c>
      <c r="H544" t="e">
        <f t="shared" si="16"/>
        <v>#VALUE!</v>
      </c>
      <c r="N544" s="1"/>
      <c r="O544" s="1">
        <f>Table257911[[#This Row],[Time]]</f>
        <v>0</v>
      </c>
      <c r="R544">
        <f>Table257911[[#This Row],[RSSI]]</f>
        <v>0</v>
      </c>
    </row>
    <row r="545" spans="4:18" x14ac:dyDescent="0.25">
      <c r="D545" s="1"/>
      <c r="E545" s="1">
        <f>Table146810[[#This Row],[Time]]-TIME(0,0,8)</f>
        <v>-9.2592592592592588E-5</v>
      </c>
      <c r="H545" t="e">
        <f t="shared" si="16"/>
        <v>#VALUE!</v>
      </c>
      <c r="N545" s="1"/>
      <c r="O545" s="1">
        <f>Table257911[[#This Row],[Time]]</f>
        <v>0</v>
      </c>
      <c r="R545">
        <f>Table257911[[#This Row],[RSSI]]</f>
        <v>0</v>
      </c>
    </row>
    <row r="546" spans="4:18" x14ac:dyDescent="0.25">
      <c r="D546" s="1"/>
      <c r="E546" s="1">
        <f>Table146810[[#This Row],[Time]]-TIME(0,0,8)</f>
        <v>-9.2592592592592588E-5</v>
      </c>
      <c r="H546" t="e">
        <f t="shared" si="16"/>
        <v>#VALUE!</v>
      </c>
      <c r="N546" s="1"/>
      <c r="O546" s="1">
        <f>Table257911[[#This Row],[Time]]</f>
        <v>0</v>
      </c>
      <c r="R546">
        <f>Table257911[[#This Row],[RSSI]]</f>
        <v>0</v>
      </c>
    </row>
    <row r="547" spans="4:18" x14ac:dyDescent="0.25">
      <c r="D547" s="1"/>
      <c r="E547" s="1">
        <f>Table146810[[#This Row],[Time]]-TIME(0,0,8)</f>
        <v>-9.2592592592592588E-5</v>
      </c>
      <c r="H547" t="e">
        <f t="shared" si="16"/>
        <v>#VALUE!</v>
      </c>
      <c r="N547" s="1"/>
      <c r="O547" s="1">
        <f>Table257911[[#This Row],[Time]]</f>
        <v>0</v>
      </c>
      <c r="R547">
        <f>Table257911[[#This Row],[RSSI]]</f>
        <v>0</v>
      </c>
    </row>
    <row r="548" spans="4:18" x14ac:dyDescent="0.25">
      <c r="D548" s="1"/>
      <c r="E548" s="1">
        <f>Table146810[[#This Row],[Time]]-TIME(0,0,8)</f>
        <v>-9.2592592592592588E-5</v>
      </c>
      <c r="H548" t="e">
        <f t="shared" si="16"/>
        <v>#VALUE!</v>
      </c>
      <c r="N548" s="1"/>
      <c r="O548" s="1">
        <f>Table257911[[#This Row],[Time]]</f>
        <v>0</v>
      </c>
      <c r="R548">
        <f>Table257911[[#This Row],[RSSI]]</f>
        <v>0</v>
      </c>
    </row>
    <row r="549" spans="4:18" x14ac:dyDescent="0.25">
      <c r="D549" s="1"/>
      <c r="E549" s="1">
        <f>Table146810[[#This Row],[Time]]-TIME(0,0,8)</f>
        <v>-9.2592592592592588E-5</v>
      </c>
      <c r="H549" t="e">
        <f t="shared" si="16"/>
        <v>#VALUE!</v>
      </c>
      <c r="N549" s="1"/>
      <c r="O549" s="1">
        <f>Table257911[[#This Row],[Time]]</f>
        <v>0</v>
      </c>
      <c r="R549">
        <f>Table257911[[#This Row],[RSSI]]</f>
        <v>0</v>
      </c>
    </row>
    <row r="550" spans="4:18" x14ac:dyDescent="0.25">
      <c r="D550" s="1"/>
      <c r="E550" s="1">
        <f>Table146810[[#This Row],[Time]]-TIME(0,0,8)</f>
        <v>-9.2592592592592588E-5</v>
      </c>
      <c r="H550" t="e">
        <f t="shared" si="16"/>
        <v>#VALUE!</v>
      </c>
      <c r="N550" s="1"/>
      <c r="O550" s="1">
        <f>Table257911[[#This Row],[Time]]</f>
        <v>0</v>
      </c>
      <c r="R550">
        <f>Table257911[[#This Row],[RSSI]]</f>
        <v>0</v>
      </c>
    </row>
    <row r="551" spans="4:18" x14ac:dyDescent="0.25">
      <c r="D551" s="1"/>
      <c r="E551" s="1">
        <f>Table146810[[#This Row],[Time]]-TIME(0,0,8)</f>
        <v>-9.2592592592592588E-5</v>
      </c>
      <c r="H551" t="e">
        <f t="shared" si="16"/>
        <v>#VALUE!</v>
      </c>
      <c r="N551" s="1"/>
      <c r="O551" s="1">
        <f>Table257911[[#This Row],[Time]]</f>
        <v>0</v>
      </c>
      <c r="R551">
        <f>Table257911[[#This Row],[RSSI]]</f>
        <v>0</v>
      </c>
    </row>
    <row r="552" spans="4:18" x14ac:dyDescent="0.25">
      <c r="D552" s="1"/>
      <c r="E552" s="1">
        <f>Table146810[[#This Row],[Time]]-TIME(0,0,8)</f>
        <v>-9.2592592592592588E-5</v>
      </c>
      <c r="H552" t="e">
        <f t="shared" si="16"/>
        <v>#VALUE!</v>
      </c>
      <c r="N552" s="1"/>
      <c r="O552" s="1">
        <f>Table257911[[#This Row],[Time]]</f>
        <v>0</v>
      </c>
      <c r="R552">
        <f>Table257911[[#This Row],[RSSI]]</f>
        <v>0</v>
      </c>
    </row>
    <row r="553" spans="4:18" x14ac:dyDescent="0.25">
      <c r="D553" s="1"/>
      <c r="E553" s="1">
        <f>Table146810[[#This Row],[Time]]-TIME(0,0,8)</f>
        <v>-9.2592592592592588E-5</v>
      </c>
      <c r="H553" t="e">
        <f t="shared" si="16"/>
        <v>#VALUE!</v>
      </c>
      <c r="N553" s="1"/>
      <c r="O553" s="1">
        <f>Table257911[[#This Row],[Time]]</f>
        <v>0</v>
      </c>
      <c r="R553">
        <f>Table257911[[#This Row],[RSSI]]</f>
        <v>0</v>
      </c>
    </row>
    <row r="554" spans="4:18" x14ac:dyDescent="0.25">
      <c r="D554" s="1"/>
      <c r="E554" s="1">
        <f>Table146810[[#This Row],[Time]]-TIME(0,0,8)</f>
        <v>-9.2592592592592588E-5</v>
      </c>
      <c r="H554" t="e">
        <f t="shared" si="16"/>
        <v>#VALUE!</v>
      </c>
      <c r="N554" s="1"/>
      <c r="O554" s="1">
        <f>Table257911[[#This Row],[Time]]</f>
        <v>0</v>
      </c>
      <c r="R554">
        <f>Table257911[[#This Row],[RSSI]]</f>
        <v>0</v>
      </c>
    </row>
    <row r="555" spans="4:18" x14ac:dyDescent="0.25">
      <c r="D555" s="1"/>
      <c r="E555" s="1">
        <f>Table146810[[#This Row],[Time]]-TIME(0,0,8)</f>
        <v>-9.2592592592592588E-5</v>
      </c>
      <c r="H555" t="e">
        <f t="shared" si="16"/>
        <v>#VALUE!</v>
      </c>
      <c r="N555" s="1"/>
      <c r="O555" s="1">
        <f>Table257911[[#This Row],[Time]]</f>
        <v>0</v>
      </c>
      <c r="R555">
        <f>Table257911[[#This Row],[RSSI]]</f>
        <v>0</v>
      </c>
    </row>
    <row r="556" spans="4:18" x14ac:dyDescent="0.25">
      <c r="D556" s="1"/>
      <c r="E556" s="1">
        <f>Table146810[[#This Row],[Time]]-TIME(0,0,8)</f>
        <v>-9.2592592592592588E-5</v>
      </c>
      <c r="H556" t="e">
        <f t="shared" si="16"/>
        <v>#VALUE!</v>
      </c>
      <c r="N556" s="1"/>
      <c r="O556" s="1">
        <f>Table257911[[#This Row],[Time]]</f>
        <v>0</v>
      </c>
      <c r="R556">
        <f>Table257911[[#This Row],[RSSI]]</f>
        <v>0</v>
      </c>
    </row>
    <row r="557" spans="4:18" x14ac:dyDescent="0.25">
      <c r="D557" s="1"/>
      <c r="E557" s="1">
        <f>Table146810[[#This Row],[Time]]-TIME(0,0,8)</f>
        <v>-9.2592592592592588E-5</v>
      </c>
      <c r="H557" t="e">
        <f t="shared" si="16"/>
        <v>#VALUE!</v>
      </c>
      <c r="N557" s="1"/>
      <c r="O557" s="1">
        <f>Table257911[[#This Row],[Time]]</f>
        <v>0</v>
      </c>
      <c r="R557">
        <f>Table257911[[#This Row],[RSSI]]</f>
        <v>0</v>
      </c>
    </row>
    <row r="558" spans="4:18" x14ac:dyDescent="0.25">
      <c r="D558" s="1"/>
      <c r="E558" s="1">
        <f>Table146810[[#This Row],[Time]]-TIME(0,0,8)</f>
        <v>-9.2592592592592588E-5</v>
      </c>
      <c r="H558" t="e">
        <f t="shared" si="16"/>
        <v>#VALUE!</v>
      </c>
      <c r="N558" s="1"/>
      <c r="O558" s="1">
        <f>Table257911[[#This Row],[Time]]</f>
        <v>0</v>
      </c>
      <c r="R558">
        <f>Table257911[[#This Row],[RSSI]]</f>
        <v>0</v>
      </c>
    </row>
    <row r="559" spans="4:18" x14ac:dyDescent="0.25">
      <c r="D559" s="1"/>
      <c r="E559" s="1">
        <f>Table146810[[#This Row],[Time]]-TIME(0,0,8)</f>
        <v>-9.2592592592592588E-5</v>
      </c>
      <c r="H559" t="e">
        <f t="shared" si="16"/>
        <v>#VALUE!</v>
      </c>
      <c r="N559" s="1"/>
      <c r="O559" s="1">
        <f>Table257911[[#This Row],[Time]]</f>
        <v>0</v>
      </c>
      <c r="R559">
        <f>Table257911[[#This Row],[RSSI]]</f>
        <v>0</v>
      </c>
    </row>
    <row r="560" spans="4:18" x14ac:dyDescent="0.25">
      <c r="D560" s="1"/>
      <c r="E560" s="1">
        <f>Table146810[[#This Row],[Time]]-TIME(0,0,8)</f>
        <v>-9.2592592592592588E-5</v>
      </c>
      <c r="H560" t="e">
        <f t="shared" si="16"/>
        <v>#VALUE!</v>
      </c>
      <c r="N560" s="1"/>
      <c r="O560" s="1">
        <f>Table257911[[#This Row],[Time]]</f>
        <v>0</v>
      </c>
      <c r="R560">
        <f>Table257911[[#This Row],[RSSI]]</f>
        <v>0</v>
      </c>
    </row>
    <row r="561" spans="4:18" x14ac:dyDescent="0.25">
      <c r="D561" s="1"/>
      <c r="E561" s="1">
        <f>Table146810[[#This Row],[Time]]-TIME(0,0,8)</f>
        <v>-9.2592592592592588E-5</v>
      </c>
      <c r="H561" t="e">
        <f t="shared" si="16"/>
        <v>#VALUE!</v>
      </c>
      <c r="N561" s="1"/>
      <c r="O561" s="1">
        <f>Table257911[[#This Row],[Time]]</f>
        <v>0</v>
      </c>
      <c r="R561">
        <f>Table257911[[#This Row],[RSSI]]</f>
        <v>0</v>
      </c>
    </row>
    <row r="562" spans="4:18" x14ac:dyDescent="0.25">
      <c r="D562" s="1"/>
      <c r="E562" s="1">
        <f>Table146810[[#This Row],[Time]]-TIME(0,0,8)</f>
        <v>-9.2592592592592588E-5</v>
      </c>
      <c r="H562" t="e">
        <f t="shared" si="16"/>
        <v>#VALUE!</v>
      </c>
      <c r="N562" s="1"/>
      <c r="O562" s="1">
        <f>Table257911[[#This Row],[Time]]</f>
        <v>0</v>
      </c>
      <c r="R562">
        <f>Table257911[[#This Row],[RSSI]]</f>
        <v>0</v>
      </c>
    </row>
    <row r="563" spans="4:18" x14ac:dyDescent="0.25">
      <c r="D563" s="1"/>
      <c r="E563" s="1">
        <f>Table146810[[#This Row],[Time]]-TIME(0,0,8)</f>
        <v>-9.2592592592592588E-5</v>
      </c>
      <c r="H563" t="e">
        <f t="shared" si="16"/>
        <v>#VALUE!</v>
      </c>
      <c r="N563" s="1"/>
      <c r="O563" s="1">
        <f>Table257911[[#This Row],[Time]]</f>
        <v>0</v>
      </c>
      <c r="R563">
        <f>Table257911[[#This Row],[RSSI]]</f>
        <v>0</v>
      </c>
    </row>
    <row r="564" spans="4:18" x14ac:dyDescent="0.25">
      <c r="D564" s="1"/>
      <c r="E564" s="1">
        <f>Table146810[[#This Row],[Time]]-TIME(0,0,8)</f>
        <v>-9.2592592592592588E-5</v>
      </c>
      <c r="H564" t="e">
        <f t="shared" si="16"/>
        <v>#VALUE!</v>
      </c>
      <c r="N564" s="1"/>
      <c r="O564" s="1">
        <f>Table257911[[#This Row],[Time]]</f>
        <v>0</v>
      </c>
      <c r="R564">
        <f>Table257911[[#This Row],[RSSI]]</f>
        <v>0</v>
      </c>
    </row>
    <row r="565" spans="4:18" x14ac:dyDescent="0.25">
      <c r="D565" s="1"/>
      <c r="E565" s="1">
        <f>Table146810[[#This Row],[Time]]-TIME(0,0,8)</f>
        <v>-9.2592592592592588E-5</v>
      </c>
      <c r="H565" t="e">
        <f t="shared" si="16"/>
        <v>#VALUE!</v>
      </c>
      <c r="N565" s="1"/>
      <c r="O565" s="1">
        <f>Table257911[[#This Row],[Time]]</f>
        <v>0</v>
      </c>
      <c r="R565">
        <f>Table257911[[#This Row],[RSSI]]</f>
        <v>0</v>
      </c>
    </row>
    <row r="566" spans="4:18" x14ac:dyDescent="0.25">
      <c r="D566" s="1"/>
      <c r="E566" s="1">
        <f>Table146810[[#This Row],[Time]]-TIME(0,0,8)</f>
        <v>-9.2592592592592588E-5</v>
      </c>
      <c r="H566" t="e">
        <f t="shared" si="16"/>
        <v>#VALUE!</v>
      </c>
      <c r="N566" s="1"/>
      <c r="O566" s="1">
        <f>Table257911[[#This Row],[Time]]</f>
        <v>0</v>
      </c>
      <c r="R566">
        <f>Table257911[[#This Row],[RSSI]]</f>
        <v>0</v>
      </c>
    </row>
    <row r="567" spans="4:18" x14ac:dyDescent="0.25">
      <c r="D567" s="1"/>
      <c r="E567" s="1">
        <f>Table146810[[#This Row],[Time]]-TIME(0,0,8)</f>
        <v>-9.2592592592592588E-5</v>
      </c>
      <c r="H567" t="e">
        <f t="shared" si="16"/>
        <v>#VALUE!</v>
      </c>
      <c r="N567" s="1"/>
      <c r="O567" s="1">
        <f>Table257911[[#This Row],[Time]]</f>
        <v>0</v>
      </c>
      <c r="R567">
        <f>Table257911[[#This Row],[RSSI]]</f>
        <v>0</v>
      </c>
    </row>
    <row r="568" spans="4:18" x14ac:dyDescent="0.25">
      <c r="D568" s="1"/>
      <c r="E568" s="1">
        <f>Table146810[[#This Row],[Time]]-TIME(0,0,8)</f>
        <v>-9.2592592592592588E-5</v>
      </c>
      <c r="H568" t="e">
        <f t="shared" si="16"/>
        <v>#VALUE!</v>
      </c>
      <c r="N568" s="1"/>
      <c r="O568" s="1">
        <f>Table257911[[#This Row],[Time]]</f>
        <v>0</v>
      </c>
      <c r="R568">
        <f>Table257911[[#This Row],[RSSI]]</f>
        <v>0</v>
      </c>
    </row>
    <row r="569" spans="4:18" x14ac:dyDescent="0.25">
      <c r="D569" s="1"/>
      <c r="E569" s="1">
        <f>Table146810[[#This Row],[Time]]-TIME(0,0,8)</f>
        <v>-9.2592592592592588E-5</v>
      </c>
      <c r="H569" t="e">
        <f t="shared" si="16"/>
        <v>#VALUE!</v>
      </c>
      <c r="N569" s="1"/>
      <c r="O569" s="1">
        <f>Table257911[[#This Row],[Time]]</f>
        <v>0</v>
      </c>
      <c r="R569">
        <f>Table257911[[#This Row],[RSSI]]</f>
        <v>0</v>
      </c>
    </row>
    <row r="570" spans="4:18" x14ac:dyDescent="0.25">
      <c r="D570" s="1"/>
      <c r="E570" s="1">
        <f>Table146810[[#This Row],[Time]]-TIME(0,0,8)</f>
        <v>-9.2592592592592588E-5</v>
      </c>
      <c r="H570" t="e">
        <f t="shared" si="16"/>
        <v>#VALUE!</v>
      </c>
      <c r="N570" s="1"/>
      <c r="O570" s="1">
        <f>Table257911[[#This Row],[Time]]</f>
        <v>0</v>
      </c>
      <c r="R570">
        <f>Table257911[[#This Row],[RSSI]]</f>
        <v>0</v>
      </c>
    </row>
    <row r="571" spans="4:18" x14ac:dyDescent="0.25">
      <c r="D571" s="1"/>
      <c r="E571" s="1">
        <f>Table146810[[#This Row],[Time]]-TIME(0,0,8)</f>
        <v>-9.2592592592592588E-5</v>
      </c>
      <c r="H571" t="e">
        <f t="shared" si="16"/>
        <v>#VALUE!</v>
      </c>
      <c r="N571" s="1"/>
      <c r="O571" s="1">
        <f>Table257911[[#This Row],[Time]]</f>
        <v>0</v>
      </c>
      <c r="R571">
        <f>Table257911[[#This Row],[RSSI]]</f>
        <v>0</v>
      </c>
    </row>
    <row r="572" spans="4:18" x14ac:dyDescent="0.25">
      <c r="D572" s="1"/>
      <c r="E572" s="1">
        <f>Table146810[[#This Row],[Time]]-TIME(0,0,8)</f>
        <v>-9.2592592592592588E-5</v>
      </c>
      <c r="H572" t="e">
        <f t="shared" si="16"/>
        <v>#VALUE!</v>
      </c>
      <c r="N572" s="1"/>
      <c r="O572" s="1">
        <f>Table257911[[#This Row],[Time]]</f>
        <v>0</v>
      </c>
      <c r="R572">
        <f>Table257911[[#This Row],[RSSI]]</f>
        <v>0</v>
      </c>
    </row>
    <row r="573" spans="4:18" x14ac:dyDescent="0.25">
      <c r="D573" s="1"/>
      <c r="E573" s="1">
        <f>Table146810[[#This Row],[Time]]-TIME(0,0,8)</f>
        <v>-9.2592592592592588E-5</v>
      </c>
      <c r="H573" t="e">
        <f t="shared" si="16"/>
        <v>#VALUE!</v>
      </c>
      <c r="N573" s="1"/>
      <c r="O573" s="1">
        <f>Table257911[[#This Row],[Time]]</f>
        <v>0</v>
      </c>
      <c r="R573">
        <f>Table257911[[#This Row],[RSSI]]</f>
        <v>0</v>
      </c>
    </row>
    <row r="574" spans="4:18" x14ac:dyDescent="0.25">
      <c r="D574" s="1"/>
      <c r="E574" s="1">
        <f>Table146810[[#This Row],[Time]]-TIME(0,0,8)</f>
        <v>-9.2592592592592588E-5</v>
      </c>
      <c r="H574" t="e">
        <f t="shared" si="16"/>
        <v>#VALUE!</v>
      </c>
      <c r="N574" s="1"/>
      <c r="O574" s="1">
        <f>Table257911[[#This Row],[Time]]</f>
        <v>0</v>
      </c>
      <c r="R574">
        <f>Table257911[[#This Row],[RSSI]]</f>
        <v>0</v>
      </c>
    </row>
    <row r="575" spans="4:18" x14ac:dyDescent="0.25">
      <c r="D575" s="1"/>
      <c r="E575" s="1">
        <f>Table146810[[#This Row],[Time]]-TIME(0,0,8)</f>
        <v>-9.2592592592592588E-5</v>
      </c>
      <c r="H575" t="e">
        <f t="shared" si="16"/>
        <v>#VALUE!</v>
      </c>
      <c r="N575" s="1"/>
      <c r="O575" s="1">
        <f>Table257911[[#This Row],[Time]]</f>
        <v>0</v>
      </c>
      <c r="R575">
        <f>Table257911[[#This Row],[RSSI]]</f>
        <v>0</v>
      </c>
    </row>
    <row r="576" spans="4:18" x14ac:dyDescent="0.25">
      <c r="D576" s="1"/>
      <c r="E576" s="1">
        <f>Table146810[[#This Row],[Time]]-TIME(0,0,8)</f>
        <v>-9.2592592592592588E-5</v>
      </c>
      <c r="H576" t="e">
        <f t="shared" si="16"/>
        <v>#VALUE!</v>
      </c>
      <c r="N576" s="1"/>
      <c r="O576" s="1">
        <f>Table257911[[#This Row],[Time]]</f>
        <v>0</v>
      </c>
      <c r="R576">
        <f>Table257911[[#This Row],[RSSI]]</f>
        <v>0</v>
      </c>
    </row>
    <row r="577" spans="4:18" x14ac:dyDescent="0.25">
      <c r="D577" s="1"/>
      <c r="E577" s="1">
        <f>Table146810[[#This Row],[Time]]-TIME(0,0,8)</f>
        <v>-9.2592592592592588E-5</v>
      </c>
      <c r="H577" t="e">
        <f t="shared" si="16"/>
        <v>#VALUE!</v>
      </c>
      <c r="N577" s="1"/>
      <c r="O577" s="1">
        <f>Table257911[[#This Row],[Time]]</f>
        <v>0</v>
      </c>
      <c r="R577">
        <f>Table257911[[#This Row],[RSSI]]</f>
        <v>0</v>
      </c>
    </row>
    <row r="578" spans="4:18" x14ac:dyDescent="0.25">
      <c r="D578" s="1"/>
      <c r="E578" s="1">
        <f>Table146810[[#This Row],[Time]]-TIME(0,0,8)</f>
        <v>-9.2592592592592588E-5</v>
      </c>
      <c r="H578" t="e">
        <f t="shared" si="16"/>
        <v>#VALUE!</v>
      </c>
      <c r="N578" s="1"/>
      <c r="O578" s="1">
        <f>Table257911[[#This Row],[Time]]</f>
        <v>0</v>
      </c>
      <c r="R578">
        <f>Table257911[[#This Row],[RSSI]]</f>
        <v>0</v>
      </c>
    </row>
    <row r="579" spans="4:18" x14ac:dyDescent="0.25">
      <c r="D579" s="1"/>
      <c r="E579" s="1">
        <f>Table146810[[#This Row],[Time]]-TIME(0,0,8)</f>
        <v>-9.2592592592592588E-5</v>
      </c>
      <c r="H579" t="e">
        <f t="shared" si="16"/>
        <v>#VALUE!</v>
      </c>
      <c r="N579" s="1"/>
      <c r="O579" s="1">
        <f>Table257911[[#This Row],[Time]]</f>
        <v>0</v>
      </c>
      <c r="R579">
        <f>Table257911[[#This Row],[RSSI]]</f>
        <v>0</v>
      </c>
    </row>
    <row r="580" spans="4:18" x14ac:dyDescent="0.25">
      <c r="D580" s="1"/>
      <c r="E580" s="1">
        <f>Table146810[[#This Row],[Time]]-TIME(0,0,8)</f>
        <v>-9.2592592592592588E-5</v>
      </c>
      <c r="H580" t="e">
        <f t="shared" si="16"/>
        <v>#VALUE!</v>
      </c>
      <c r="N580" s="1"/>
      <c r="O580" s="1">
        <f>Table257911[[#This Row],[Time]]</f>
        <v>0</v>
      </c>
      <c r="R580">
        <f>Table257911[[#This Row],[RSSI]]</f>
        <v>0</v>
      </c>
    </row>
    <row r="581" spans="4:18" x14ac:dyDescent="0.25">
      <c r="D581" s="1"/>
      <c r="E581" s="1">
        <f>Table146810[[#This Row],[Time]]-TIME(0,0,8)</f>
        <v>-9.2592592592592588E-5</v>
      </c>
      <c r="H581" t="e">
        <f t="shared" si="16"/>
        <v>#VALUE!</v>
      </c>
      <c r="N581" s="1"/>
      <c r="O581" s="1">
        <f>Table257911[[#This Row],[Time]]</f>
        <v>0</v>
      </c>
      <c r="R581">
        <f>Table257911[[#This Row],[RSSI]]</f>
        <v>0</v>
      </c>
    </row>
    <row r="582" spans="4:18" x14ac:dyDescent="0.25">
      <c r="D582" s="1"/>
      <c r="E582" s="1">
        <f>Table146810[[#This Row],[Time]]-TIME(0,0,8)</f>
        <v>-9.2592592592592588E-5</v>
      </c>
      <c r="H582" t="e">
        <f t="shared" si="16"/>
        <v>#VALUE!</v>
      </c>
      <c r="N582" s="1"/>
      <c r="O582" s="1">
        <f>Table257911[[#This Row],[Time]]</f>
        <v>0</v>
      </c>
      <c r="R582">
        <f>Table257911[[#This Row],[RSSI]]</f>
        <v>0</v>
      </c>
    </row>
    <row r="583" spans="4:18" x14ac:dyDescent="0.25">
      <c r="D583" s="1"/>
      <c r="E583" s="1">
        <f>Table146810[[#This Row],[Time]]-TIME(0,0,8)</f>
        <v>-9.2592592592592588E-5</v>
      </c>
      <c r="H583" t="e">
        <f t="shared" si="16"/>
        <v>#VALUE!</v>
      </c>
      <c r="N583" s="1"/>
      <c r="O583" s="1">
        <f>Table257911[[#This Row],[Time]]</f>
        <v>0</v>
      </c>
      <c r="R583">
        <f>Table257911[[#This Row],[RSSI]]</f>
        <v>0</v>
      </c>
    </row>
    <row r="584" spans="4:18" x14ac:dyDescent="0.25">
      <c r="D584" s="1"/>
      <c r="E584" s="1">
        <f>Table146810[[#This Row],[Time]]-TIME(0,0,8)</f>
        <v>-9.2592592592592588E-5</v>
      </c>
      <c r="H584" t="e">
        <f t="shared" si="16"/>
        <v>#VALUE!</v>
      </c>
      <c r="N584" s="1"/>
      <c r="O584" s="1">
        <f>Table257911[[#This Row],[Time]]</f>
        <v>0</v>
      </c>
      <c r="R584">
        <f>Table257911[[#This Row],[RSSI]]</f>
        <v>0</v>
      </c>
    </row>
    <row r="585" spans="4:18" x14ac:dyDescent="0.25">
      <c r="D585" s="1"/>
      <c r="E585" s="1">
        <f>Table146810[[#This Row],[Time]]-TIME(0,0,8)</f>
        <v>-9.2592592592592588E-5</v>
      </c>
      <c r="H585" t="e">
        <f t="shared" si="16"/>
        <v>#VALUE!</v>
      </c>
      <c r="N585" s="1"/>
      <c r="O585" s="1">
        <f>Table257911[[#This Row],[Time]]</f>
        <v>0</v>
      </c>
      <c r="R585">
        <f>Table257911[[#This Row],[RSSI]]</f>
        <v>0</v>
      </c>
    </row>
    <row r="586" spans="4:18" x14ac:dyDescent="0.25">
      <c r="D586" s="1"/>
      <c r="E586" s="1">
        <f>Table146810[[#This Row],[Time]]-TIME(0,0,8)</f>
        <v>-9.2592592592592588E-5</v>
      </c>
      <c r="H586" t="e">
        <f t="shared" si="16"/>
        <v>#VALUE!</v>
      </c>
      <c r="N586" s="1"/>
      <c r="O586" s="1">
        <f>Table257911[[#This Row],[Time]]</f>
        <v>0</v>
      </c>
      <c r="R586">
        <f>Table257911[[#This Row],[RSSI]]</f>
        <v>0</v>
      </c>
    </row>
    <row r="587" spans="4:18" x14ac:dyDescent="0.25">
      <c r="D587" s="1"/>
      <c r="E587" s="1">
        <f>Table146810[[#This Row],[Time]]-TIME(0,0,8)</f>
        <v>-9.2592592592592588E-5</v>
      </c>
      <c r="H587" t="e">
        <f t="shared" si="16"/>
        <v>#VALUE!</v>
      </c>
      <c r="N587" s="1"/>
      <c r="O587" s="1">
        <f>Table257911[[#This Row],[Time]]</f>
        <v>0</v>
      </c>
      <c r="R587">
        <f>Table257911[[#This Row],[RSSI]]</f>
        <v>0</v>
      </c>
    </row>
    <row r="588" spans="4:18" x14ac:dyDescent="0.25">
      <c r="D588" s="1"/>
      <c r="E588" s="1">
        <f>Table146810[[#This Row],[Time]]-TIME(0,0,8)</f>
        <v>-9.2592592592592588E-5</v>
      </c>
      <c r="H588" t="e">
        <f t="shared" si="16"/>
        <v>#VALUE!</v>
      </c>
      <c r="N588" s="1"/>
      <c r="O588" s="1">
        <f>Table257911[[#This Row],[Time]]</f>
        <v>0</v>
      </c>
      <c r="R588">
        <f>Table257911[[#This Row],[RSSI]]</f>
        <v>0</v>
      </c>
    </row>
    <row r="589" spans="4:18" x14ac:dyDescent="0.25">
      <c r="D589" s="1"/>
      <c r="E589" s="1">
        <f>Table146810[[#This Row],[Time]]-TIME(0,0,8)</f>
        <v>-9.2592592592592588E-5</v>
      </c>
      <c r="H589" t="e">
        <f t="shared" si="16"/>
        <v>#VALUE!</v>
      </c>
      <c r="N589" s="1"/>
      <c r="O589" s="1">
        <f>Table257911[[#This Row],[Time]]</f>
        <v>0</v>
      </c>
      <c r="R589">
        <f>Table257911[[#This Row],[RSSI]]</f>
        <v>0</v>
      </c>
    </row>
    <row r="590" spans="4:18" x14ac:dyDescent="0.25">
      <c r="D590" s="1"/>
      <c r="E590" s="1">
        <f>Table146810[[#This Row],[Time]]-TIME(0,0,8)</f>
        <v>-9.2592592592592588E-5</v>
      </c>
      <c r="H590" t="e">
        <f t="shared" si="16"/>
        <v>#VALUE!</v>
      </c>
      <c r="N590" s="1"/>
      <c r="O590" s="1">
        <f>Table257911[[#This Row],[Time]]</f>
        <v>0</v>
      </c>
      <c r="R590">
        <f>Table257911[[#This Row],[RSSI]]</f>
        <v>0</v>
      </c>
    </row>
    <row r="591" spans="4:18" x14ac:dyDescent="0.25">
      <c r="D591" s="1"/>
      <c r="E591" s="1">
        <f>Table146810[[#This Row],[Time]]-TIME(0,0,8)</f>
        <v>-9.2592592592592588E-5</v>
      </c>
      <c r="H591" t="e">
        <f t="shared" si="16"/>
        <v>#VALUE!</v>
      </c>
      <c r="N591" s="1"/>
      <c r="O591" s="1">
        <f>Table257911[[#This Row],[Time]]</f>
        <v>0</v>
      </c>
      <c r="R591">
        <f>Table257911[[#This Row],[RSSI]]</f>
        <v>0</v>
      </c>
    </row>
    <row r="592" spans="4:18" x14ac:dyDescent="0.25">
      <c r="D592" s="1"/>
      <c r="E592" s="1">
        <f>Table146810[[#This Row],[Time]]-TIME(0,0,8)</f>
        <v>-9.2592592592592588E-5</v>
      </c>
      <c r="H592" t="e">
        <f t="shared" si="16"/>
        <v>#VALUE!</v>
      </c>
      <c r="N592" s="1"/>
      <c r="O592" s="1">
        <f>Table257911[[#This Row],[Time]]</f>
        <v>0</v>
      </c>
      <c r="R592">
        <f>Table257911[[#This Row],[RSSI]]</f>
        <v>0</v>
      </c>
    </row>
    <row r="593" spans="4:18" x14ac:dyDescent="0.25">
      <c r="D593" s="1"/>
      <c r="E593" s="1">
        <f>Table146810[[#This Row],[Time]]-TIME(0,0,8)</f>
        <v>-9.2592592592592588E-5</v>
      </c>
      <c r="H593" t="e">
        <f t="shared" si="16"/>
        <v>#VALUE!</v>
      </c>
      <c r="N593" s="1"/>
      <c r="O593" s="1">
        <f>Table257911[[#This Row],[Time]]</f>
        <v>0</v>
      </c>
      <c r="R593">
        <f>Table257911[[#This Row],[RSSI]]</f>
        <v>0</v>
      </c>
    </row>
    <row r="594" spans="4:18" x14ac:dyDescent="0.25">
      <c r="D594" s="1"/>
      <c r="E594" s="1">
        <f>Table146810[[#This Row],[Time]]-TIME(0,0,8)</f>
        <v>-9.2592592592592588E-5</v>
      </c>
      <c r="H594" t="e">
        <f t="shared" si="16"/>
        <v>#VALUE!</v>
      </c>
      <c r="N594" s="1"/>
      <c r="O594" s="1">
        <f>Table257911[[#This Row],[Time]]</f>
        <v>0</v>
      </c>
      <c r="R594">
        <f>Table257911[[#This Row],[RSSI]]</f>
        <v>0</v>
      </c>
    </row>
    <row r="595" spans="4:18" x14ac:dyDescent="0.25">
      <c r="D595" s="1"/>
      <c r="E595" s="1">
        <f>Table146810[[#This Row],[Time]]-TIME(0,0,8)</f>
        <v>-9.2592592592592588E-5</v>
      </c>
      <c r="H595" t="e">
        <f t="shared" si="16"/>
        <v>#VALUE!</v>
      </c>
      <c r="N595" s="1"/>
      <c r="O595" s="1">
        <f>Table257911[[#This Row],[Time]]</f>
        <v>0</v>
      </c>
      <c r="R595">
        <f>Table257911[[#This Row],[RSSI]]</f>
        <v>0</v>
      </c>
    </row>
    <row r="596" spans="4:18" x14ac:dyDescent="0.25">
      <c r="D596" s="1"/>
      <c r="E596" s="1">
        <f>Table146810[[#This Row],[Time]]-TIME(0,0,8)</f>
        <v>-9.2592592592592588E-5</v>
      </c>
      <c r="H596" t="e">
        <f t="shared" si="16"/>
        <v>#VALUE!</v>
      </c>
      <c r="N596" s="1"/>
      <c r="O596" s="1">
        <f>Table257911[[#This Row],[Time]]</f>
        <v>0</v>
      </c>
      <c r="R596">
        <f>Table257911[[#This Row],[RSSI]]</f>
        <v>0</v>
      </c>
    </row>
    <row r="597" spans="4:18" x14ac:dyDescent="0.25">
      <c r="D597" s="1"/>
      <c r="E597" s="1">
        <f>Table146810[[#This Row],[Time]]-TIME(0,0,8)</f>
        <v>-9.2592592592592588E-5</v>
      </c>
      <c r="H597" t="e">
        <f t="shared" si="16"/>
        <v>#VALUE!</v>
      </c>
      <c r="N597" s="1"/>
      <c r="O597" s="1">
        <f>Table257911[[#This Row],[Time]]</f>
        <v>0</v>
      </c>
      <c r="R597">
        <f>Table257911[[#This Row],[RSSI]]</f>
        <v>0</v>
      </c>
    </row>
    <row r="598" spans="4:18" x14ac:dyDescent="0.25">
      <c r="D598" s="1"/>
      <c r="E598" s="1">
        <f>Table146810[[#This Row],[Time]]-TIME(0,0,8)</f>
        <v>-9.2592592592592588E-5</v>
      </c>
      <c r="H598" t="e">
        <f t="shared" ref="H598:H661" si="17">VALUE(LEFT(G598,LEN(G598)-1))</f>
        <v>#VALUE!</v>
      </c>
      <c r="N598" s="1"/>
      <c r="O598" s="1">
        <f>Table257911[[#This Row],[Time]]</f>
        <v>0</v>
      </c>
      <c r="R598">
        <f>Table257911[[#This Row],[RSSI]]</f>
        <v>0</v>
      </c>
    </row>
    <row r="599" spans="4:18" x14ac:dyDescent="0.25">
      <c r="D599" s="1"/>
      <c r="E599" s="1">
        <f>Table146810[[#This Row],[Time]]-TIME(0,0,8)</f>
        <v>-9.2592592592592588E-5</v>
      </c>
      <c r="H599" t="e">
        <f t="shared" si="17"/>
        <v>#VALUE!</v>
      </c>
      <c r="N599" s="1"/>
      <c r="O599" s="1">
        <f>Table257911[[#This Row],[Time]]</f>
        <v>0</v>
      </c>
      <c r="R599">
        <f>Table257911[[#This Row],[RSSI]]</f>
        <v>0</v>
      </c>
    </row>
    <row r="600" spans="4:18" x14ac:dyDescent="0.25">
      <c r="D600" s="1"/>
      <c r="E600" s="1">
        <f>Table146810[[#This Row],[Time]]-TIME(0,0,8)</f>
        <v>-9.2592592592592588E-5</v>
      </c>
      <c r="H600" t="e">
        <f t="shared" si="17"/>
        <v>#VALUE!</v>
      </c>
      <c r="N600" s="1"/>
      <c r="O600" s="1">
        <f>Table257911[[#This Row],[Time]]</f>
        <v>0</v>
      </c>
      <c r="R600">
        <f>Table257911[[#This Row],[RSSI]]</f>
        <v>0</v>
      </c>
    </row>
    <row r="601" spans="4:18" x14ac:dyDescent="0.25">
      <c r="D601" s="1"/>
      <c r="E601" s="1">
        <f>Table146810[[#This Row],[Time]]-TIME(0,0,8)</f>
        <v>-9.2592592592592588E-5</v>
      </c>
      <c r="H601" t="e">
        <f t="shared" si="17"/>
        <v>#VALUE!</v>
      </c>
      <c r="N601" s="1"/>
      <c r="O601" s="1">
        <f>Table257911[[#This Row],[Time]]</f>
        <v>0</v>
      </c>
      <c r="R601">
        <f>Table257911[[#This Row],[RSSI]]</f>
        <v>0</v>
      </c>
    </row>
    <row r="602" spans="4:18" x14ac:dyDescent="0.25">
      <c r="D602" s="1"/>
      <c r="E602" s="1">
        <f>Table146810[[#This Row],[Time]]-TIME(0,0,8)</f>
        <v>-9.2592592592592588E-5</v>
      </c>
      <c r="H602" t="e">
        <f t="shared" si="17"/>
        <v>#VALUE!</v>
      </c>
      <c r="N602" s="1"/>
      <c r="O602" s="1">
        <f>Table257911[[#This Row],[Time]]</f>
        <v>0</v>
      </c>
      <c r="R602">
        <f>Table257911[[#This Row],[RSSI]]</f>
        <v>0</v>
      </c>
    </row>
    <row r="603" spans="4:18" x14ac:dyDescent="0.25">
      <c r="D603" s="1"/>
      <c r="E603" s="1">
        <f>Table146810[[#This Row],[Time]]-TIME(0,0,8)</f>
        <v>-9.2592592592592588E-5</v>
      </c>
      <c r="H603" t="e">
        <f t="shared" si="17"/>
        <v>#VALUE!</v>
      </c>
      <c r="N603" s="1"/>
      <c r="O603" s="1">
        <f>Table257911[[#This Row],[Time]]</f>
        <v>0</v>
      </c>
      <c r="R603">
        <f>Table257911[[#This Row],[RSSI]]</f>
        <v>0</v>
      </c>
    </row>
    <row r="604" spans="4:18" x14ac:dyDescent="0.25">
      <c r="D604" s="1"/>
      <c r="E604" s="1">
        <f>Table146810[[#This Row],[Time]]-TIME(0,0,8)</f>
        <v>-9.2592592592592588E-5</v>
      </c>
      <c r="H604" t="e">
        <f t="shared" si="17"/>
        <v>#VALUE!</v>
      </c>
      <c r="N604" s="1"/>
      <c r="O604" s="1">
        <f>Table257911[[#This Row],[Time]]</f>
        <v>0</v>
      </c>
      <c r="R604">
        <f>Table257911[[#This Row],[RSSI]]</f>
        <v>0</v>
      </c>
    </row>
    <row r="605" spans="4:18" x14ac:dyDescent="0.25">
      <c r="D605" s="1"/>
      <c r="E605" s="1">
        <f>Table146810[[#This Row],[Time]]-TIME(0,0,8)</f>
        <v>-9.2592592592592588E-5</v>
      </c>
      <c r="H605" t="e">
        <f t="shared" si="17"/>
        <v>#VALUE!</v>
      </c>
      <c r="N605" s="1"/>
      <c r="O605" s="1">
        <f>Table257911[[#This Row],[Time]]</f>
        <v>0</v>
      </c>
      <c r="R605">
        <f>Table257911[[#This Row],[RSSI]]</f>
        <v>0</v>
      </c>
    </row>
    <row r="606" spans="4:18" x14ac:dyDescent="0.25">
      <c r="D606" s="1"/>
      <c r="E606" s="1">
        <f>Table146810[[#This Row],[Time]]-TIME(0,0,8)</f>
        <v>-9.2592592592592588E-5</v>
      </c>
      <c r="H606" t="e">
        <f t="shared" si="17"/>
        <v>#VALUE!</v>
      </c>
      <c r="N606" s="1"/>
      <c r="O606" s="1">
        <f>Table257911[[#This Row],[Time]]</f>
        <v>0</v>
      </c>
      <c r="R606">
        <f>Table257911[[#This Row],[RSSI]]</f>
        <v>0</v>
      </c>
    </row>
    <row r="607" spans="4:18" x14ac:dyDescent="0.25">
      <c r="D607" s="1"/>
      <c r="E607" s="1">
        <f>Table146810[[#This Row],[Time]]-TIME(0,0,8)</f>
        <v>-9.2592592592592588E-5</v>
      </c>
      <c r="H607" t="e">
        <f t="shared" si="17"/>
        <v>#VALUE!</v>
      </c>
      <c r="N607" s="1"/>
      <c r="O607" s="1">
        <f>Table257911[[#This Row],[Time]]</f>
        <v>0</v>
      </c>
      <c r="R607">
        <f>Table257911[[#This Row],[RSSI]]</f>
        <v>0</v>
      </c>
    </row>
    <row r="608" spans="4:18" x14ac:dyDescent="0.25">
      <c r="D608" s="1"/>
      <c r="E608" s="1">
        <f>Table146810[[#This Row],[Time]]-TIME(0,0,8)</f>
        <v>-9.2592592592592588E-5</v>
      </c>
      <c r="H608" t="e">
        <f t="shared" si="17"/>
        <v>#VALUE!</v>
      </c>
      <c r="N608" s="1"/>
      <c r="O608" s="1">
        <f>Table257911[[#This Row],[Time]]</f>
        <v>0</v>
      </c>
      <c r="R608">
        <f>Table257911[[#This Row],[RSSI]]</f>
        <v>0</v>
      </c>
    </row>
    <row r="609" spans="4:18" x14ac:dyDescent="0.25">
      <c r="D609" s="1"/>
      <c r="E609" s="1">
        <f>Table146810[[#This Row],[Time]]-TIME(0,0,8)</f>
        <v>-9.2592592592592588E-5</v>
      </c>
      <c r="H609" t="e">
        <f t="shared" si="17"/>
        <v>#VALUE!</v>
      </c>
      <c r="N609" s="1"/>
      <c r="O609" s="1">
        <f>Table257911[[#This Row],[Time]]</f>
        <v>0</v>
      </c>
      <c r="R609">
        <f>Table257911[[#This Row],[RSSI]]</f>
        <v>0</v>
      </c>
    </row>
    <row r="610" spans="4:18" x14ac:dyDescent="0.25">
      <c r="D610" s="1"/>
      <c r="E610" s="1">
        <f>Table146810[[#This Row],[Time]]-TIME(0,0,8)</f>
        <v>-9.2592592592592588E-5</v>
      </c>
      <c r="H610" t="e">
        <f t="shared" si="17"/>
        <v>#VALUE!</v>
      </c>
      <c r="N610" s="1"/>
      <c r="O610" s="1">
        <f>Table257911[[#This Row],[Time]]</f>
        <v>0</v>
      </c>
      <c r="R610">
        <f>Table257911[[#This Row],[RSSI]]</f>
        <v>0</v>
      </c>
    </row>
    <row r="611" spans="4:18" x14ac:dyDescent="0.25">
      <c r="D611" s="1"/>
      <c r="E611" s="1">
        <f>Table146810[[#This Row],[Time]]-TIME(0,0,8)</f>
        <v>-9.2592592592592588E-5</v>
      </c>
      <c r="H611" t="e">
        <f t="shared" si="17"/>
        <v>#VALUE!</v>
      </c>
      <c r="N611" s="1"/>
      <c r="O611" s="1">
        <f>Table257911[[#This Row],[Time]]</f>
        <v>0</v>
      </c>
      <c r="R611">
        <f>Table257911[[#This Row],[RSSI]]</f>
        <v>0</v>
      </c>
    </row>
    <row r="612" spans="4:18" x14ac:dyDescent="0.25">
      <c r="D612" s="1"/>
      <c r="E612" s="1">
        <f>Table146810[[#This Row],[Time]]-TIME(0,0,8)</f>
        <v>-9.2592592592592588E-5</v>
      </c>
      <c r="H612" t="e">
        <f t="shared" si="17"/>
        <v>#VALUE!</v>
      </c>
      <c r="N612" s="1"/>
      <c r="O612" s="1">
        <f>Table257911[[#This Row],[Time]]</f>
        <v>0</v>
      </c>
      <c r="R612">
        <f>Table257911[[#This Row],[RSSI]]</f>
        <v>0</v>
      </c>
    </row>
    <row r="613" spans="4:18" x14ac:dyDescent="0.25">
      <c r="D613" s="1"/>
      <c r="E613" s="1">
        <f>Table146810[[#This Row],[Time]]-TIME(0,0,8)</f>
        <v>-9.2592592592592588E-5</v>
      </c>
      <c r="H613" t="e">
        <f t="shared" si="17"/>
        <v>#VALUE!</v>
      </c>
      <c r="N613" s="1"/>
      <c r="O613" s="1">
        <f>Table257911[[#This Row],[Time]]</f>
        <v>0</v>
      </c>
      <c r="R613">
        <f>Table257911[[#This Row],[RSSI]]</f>
        <v>0</v>
      </c>
    </row>
    <row r="614" spans="4:18" x14ac:dyDescent="0.25">
      <c r="D614" s="1"/>
      <c r="E614" s="1">
        <f>Table146810[[#This Row],[Time]]-TIME(0,0,8)</f>
        <v>-9.2592592592592588E-5</v>
      </c>
      <c r="H614" t="e">
        <f t="shared" si="17"/>
        <v>#VALUE!</v>
      </c>
      <c r="N614" s="1"/>
      <c r="O614" s="1">
        <f>Table257911[[#This Row],[Time]]</f>
        <v>0</v>
      </c>
      <c r="R614">
        <f>Table257911[[#This Row],[RSSI]]</f>
        <v>0</v>
      </c>
    </row>
    <row r="615" spans="4:18" x14ac:dyDescent="0.25">
      <c r="D615" s="1"/>
      <c r="E615" s="1">
        <f>Table146810[[#This Row],[Time]]-TIME(0,0,8)</f>
        <v>-9.2592592592592588E-5</v>
      </c>
      <c r="H615" t="e">
        <f t="shared" si="17"/>
        <v>#VALUE!</v>
      </c>
      <c r="N615" s="1"/>
      <c r="O615" s="1">
        <f>Table257911[[#This Row],[Time]]</f>
        <v>0</v>
      </c>
      <c r="R615">
        <f>Table257911[[#This Row],[RSSI]]</f>
        <v>0</v>
      </c>
    </row>
    <row r="616" spans="4:18" x14ac:dyDescent="0.25">
      <c r="D616" s="1"/>
      <c r="E616" s="1">
        <f>Table146810[[#This Row],[Time]]-TIME(0,0,8)</f>
        <v>-9.2592592592592588E-5</v>
      </c>
      <c r="H616" t="e">
        <f t="shared" si="17"/>
        <v>#VALUE!</v>
      </c>
      <c r="N616" s="1"/>
      <c r="O616" s="1">
        <f>Table257911[[#This Row],[Time]]</f>
        <v>0</v>
      </c>
      <c r="R616">
        <f>Table257911[[#This Row],[RSSI]]</f>
        <v>0</v>
      </c>
    </row>
    <row r="617" spans="4:18" x14ac:dyDescent="0.25">
      <c r="D617" s="1"/>
      <c r="E617" s="1">
        <f>Table146810[[#This Row],[Time]]-TIME(0,0,8)</f>
        <v>-9.2592592592592588E-5</v>
      </c>
      <c r="H617" t="e">
        <f t="shared" si="17"/>
        <v>#VALUE!</v>
      </c>
      <c r="N617" s="1"/>
      <c r="O617" s="1">
        <f>Table257911[[#This Row],[Time]]</f>
        <v>0</v>
      </c>
      <c r="R617">
        <f>Table257911[[#This Row],[RSSI]]</f>
        <v>0</v>
      </c>
    </row>
    <row r="618" spans="4:18" x14ac:dyDescent="0.25">
      <c r="D618" s="1"/>
      <c r="E618" s="1">
        <f>Table146810[[#This Row],[Time]]-TIME(0,0,8)</f>
        <v>-9.2592592592592588E-5</v>
      </c>
      <c r="H618" t="e">
        <f t="shared" si="17"/>
        <v>#VALUE!</v>
      </c>
      <c r="N618" s="1"/>
      <c r="O618" s="1">
        <f>Table257911[[#This Row],[Time]]</f>
        <v>0</v>
      </c>
      <c r="R618">
        <f>Table257911[[#This Row],[RSSI]]</f>
        <v>0</v>
      </c>
    </row>
    <row r="619" spans="4:18" x14ac:dyDescent="0.25">
      <c r="D619" s="1"/>
      <c r="E619" s="1">
        <f>Table146810[[#This Row],[Time]]-TIME(0,0,8)</f>
        <v>-9.2592592592592588E-5</v>
      </c>
      <c r="H619" t="e">
        <f t="shared" si="17"/>
        <v>#VALUE!</v>
      </c>
      <c r="N619" s="1"/>
      <c r="O619" s="1">
        <f>Table257911[[#This Row],[Time]]</f>
        <v>0</v>
      </c>
      <c r="R619">
        <f>Table257911[[#This Row],[RSSI]]</f>
        <v>0</v>
      </c>
    </row>
    <row r="620" spans="4:18" x14ac:dyDescent="0.25">
      <c r="D620" s="1"/>
      <c r="E620" s="1">
        <f>Table146810[[#This Row],[Time]]-TIME(0,0,8)</f>
        <v>-9.2592592592592588E-5</v>
      </c>
      <c r="H620" t="e">
        <f t="shared" si="17"/>
        <v>#VALUE!</v>
      </c>
      <c r="N620" s="1"/>
      <c r="O620" s="1">
        <f>Table257911[[#This Row],[Time]]</f>
        <v>0</v>
      </c>
      <c r="R620">
        <f>Table257911[[#This Row],[RSSI]]</f>
        <v>0</v>
      </c>
    </row>
    <row r="621" spans="4:18" x14ac:dyDescent="0.25">
      <c r="D621" s="1"/>
      <c r="E621" s="1">
        <f>Table146810[[#This Row],[Time]]-TIME(0,0,8)</f>
        <v>-9.2592592592592588E-5</v>
      </c>
      <c r="H621" t="e">
        <f t="shared" si="17"/>
        <v>#VALUE!</v>
      </c>
      <c r="N621" s="1"/>
      <c r="O621" s="1">
        <f>Table257911[[#This Row],[Time]]</f>
        <v>0</v>
      </c>
      <c r="R621">
        <f>Table257911[[#This Row],[RSSI]]</f>
        <v>0</v>
      </c>
    </row>
    <row r="622" spans="4:18" x14ac:dyDescent="0.25">
      <c r="D622" s="1"/>
      <c r="E622" s="1">
        <f>Table146810[[#This Row],[Time]]-TIME(0,0,8)</f>
        <v>-9.2592592592592588E-5</v>
      </c>
      <c r="H622" t="e">
        <f t="shared" si="17"/>
        <v>#VALUE!</v>
      </c>
      <c r="N622" s="1"/>
      <c r="O622" s="1">
        <f>Table257911[[#This Row],[Time]]</f>
        <v>0</v>
      </c>
      <c r="R622">
        <f>Table257911[[#This Row],[RSSI]]</f>
        <v>0</v>
      </c>
    </row>
    <row r="623" spans="4:18" x14ac:dyDescent="0.25">
      <c r="D623" s="1"/>
      <c r="E623" s="1">
        <f>Table146810[[#This Row],[Time]]-TIME(0,0,8)</f>
        <v>-9.2592592592592588E-5</v>
      </c>
      <c r="H623" t="e">
        <f t="shared" si="17"/>
        <v>#VALUE!</v>
      </c>
      <c r="N623" s="1"/>
      <c r="O623" s="1">
        <f>Table257911[[#This Row],[Time]]</f>
        <v>0</v>
      </c>
      <c r="R623">
        <f>Table257911[[#This Row],[RSSI]]</f>
        <v>0</v>
      </c>
    </row>
    <row r="624" spans="4:18" x14ac:dyDescent="0.25">
      <c r="D624" s="1"/>
      <c r="E624" s="1">
        <f>Table146810[[#This Row],[Time]]-TIME(0,0,8)</f>
        <v>-9.2592592592592588E-5</v>
      </c>
      <c r="H624" t="e">
        <f t="shared" si="17"/>
        <v>#VALUE!</v>
      </c>
      <c r="N624" s="1"/>
      <c r="O624" s="1">
        <f>Table257911[[#This Row],[Time]]</f>
        <v>0</v>
      </c>
      <c r="R624">
        <f>Table257911[[#This Row],[RSSI]]</f>
        <v>0</v>
      </c>
    </row>
    <row r="625" spans="4:18" x14ac:dyDescent="0.25">
      <c r="D625" s="1"/>
      <c r="E625" s="1">
        <f>Table146810[[#This Row],[Time]]-TIME(0,0,8)</f>
        <v>-9.2592592592592588E-5</v>
      </c>
      <c r="H625" t="e">
        <f t="shared" si="17"/>
        <v>#VALUE!</v>
      </c>
      <c r="N625" s="1"/>
      <c r="O625" s="1">
        <f>Table257911[[#This Row],[Time]]</f>
        <v>0</v>
      </c>
      <c r="R625">
        <f>Table257911[[#This Row],[RSSI]]</f>
        <v>0</v>
      </c>
    </row>
    <row r="626" spans="4:18" x14ac:dyDescent="0.25">
      <c r="D626" s="1"/>
      <c r="E626" s="1">
        <f>Table146810[[#This Row],[Time]]-TIME(0,0,8)</f>
        <v>-9.2592592592592588E-5</v>
      </c>
      <c r="H626" t="e">
        <f t="shared" si="17"/>
        <v>#VALUE!</v>
      </c>
      <c r="N626" s="1"/>
      <c r="O626" s="1">
        <f>Table257911[[#This Row],[Time]]</f>
        <v>0</v>
      </c>
      <c r="R626">
        <f>Table257911[[#This Row],[RSSI]]</f>
        <v>0</v>
      </c>
    </row>
    <row r="627" spans="4:18" x14ac:dyDescent="0.25">
      <c r="D627" s="1"/>
      <c r="E627" s="1">
        <f>Table146810[[#This Row],[Time]]-TIME(0,0,8)</f>
        <v>-9.2592592592592588E-5</v>
      </c>
      <c r="H627" t="e">
        <f t="shared" si="17"/>
        <v>#VALUE!</v>
      </c>
      <c r="N627" s="1"/>
      <c r="O627" s="1">
        <f>Table257911[[#This Row],[Time]]</f>
        <v>0</v>
      </c>
      <c r="R627">
        <f>Table257911[[#This Row],[RSSI]]</f>
        <v>0</v>
      </c>
    </row>
    <row r="628" spans="4:18" x14ac:dyDescent="0.25">
      <c r="D628" s="1"/>
      <c r="E628" s="1">
        <f>Table146810[[#This Row],[Time]]-TIME(0,0,8)</f>
        <v>-9.2592592592592588E-5</v>
      </c>
      <c r="H628" t="e">
        <f t="shared" si="17"/>
        <v>#VALUE!</v>
      </c>
      <c r="N628" s="1"/>
      <c r="O628" s="1">
        <f>Table257911[[#This Row],[Time]]</f>
        <v>0</v>
      </c>
      <c r="R628">
        <f>Table257911[[#This Row],[RSSI]]</f>
        <v>0</v>
      </c>
    </row>
    <row r="629" spans="4:18" x14ac:dyDescent="0.25">
      <c r="D629" s="1"/>
      <c r="E629" s="1">
        <f>Table146810[[#This Row],[Time]]-TIME(0,0,8)</f>
        <v>-9.2592592592592588E-5</v>
      </c>
      <c r="H629" t="e">
        <f t="shared" si="17"/>
        <v>#VALUE!</v>
      </c>
      <c r="N629" s="1"/>
      <c r="O629" s="1">
        <f>Table257911[[#This Row],[Time]]</f>
        <v>0</v>
      </c>
      <c r="R629">
        <f>Table257911[[#This Row],[RSSI]]</f>
        <v>0</v>
      </c>
    </row>
    <row r="630" spans="4:18" x14ac:dyDescent="0.25">
      <c r="D630" s="1"/>
      <c r="E630" s="1">
        <f>Table146810[[#This Row],[Time]]-TIME(0,0,8)</f>
        <v>-9.2592592592592588E-5</v>
      </c>
      <c r="H630" t="e">
        <f t="shared" si="17"/>
        <v>#VALUE!</v>
      </c>
      <c r="N630" s="1"/>
      <c r="O630" s="1">
        <f>Table257911[[#This Row],[Time]]</f>
        <v>0</v>
      </c>
      <c r="R630">
        <f>Table257911[[#This Row],[RSSI]]</f>
        <v>0</v>
      </c>
    </row>
    <row r="631" spans="4:18" x14ac:dyDescent="0.25">
      <c r="D631" s="1"/>
      <c r="E631" s="1">
        <f>Table146810[[#This Row],[Time]]-TIME(0,0,8)</f>
        <v>-9.2592592592592588E-5</v>
      </c>
      <c r="H631" t="e">
        <f t="shared" si="17"/>
        <v>#VALUE!</v>
      </c>
      <c r="N631" s="1"/>
      <c r="O631" s="1">
        <f>Table257911[[#This Row],[Time]]</f>
        <v>0</v>
      </c>
      <c r="R631">
        <f>Table257911[[#This Row],[RSSI]]</f>
        <v>0</v>
      </c>
    </row>
    <row r="632" spans="4:18" x14ac:dyDescent="0.25">
      <c r="D632" s="1"/>
      <c r="E632" s="1">
        <f>Table146810[[#This Row],[Time]]-TIME(0,0,8)</f>
        <v>-9.2592592592592588E-5</v>
      </c>
      <c r="H632" t="e">
        <f t="shared" si="17"/>
        <v>#VALUE!</v>
      </c>
      <c r="N632" s="1"/>
      <c r="O632" s="1">
        <f>Table257911[[#This Row],[Time]]</f>
        <v>0</v>
      </c>
      <c r="R632">
        <f>Table257911[[#This Row],[RSSI]]</f>
        <v>0</v>
      </c>
    </row>
    <row r="633" spans="4:18" x14ac:dyDescent="0.25">
      <c r="D633" s="1"/>
      <c r="E633" s="1">
        <f>Table146810[[#This Row],[Time]]-TIME(0,0,8)</f>
        <v>-9.2592592592592588E-5</v>
      </c>
      <c r="H633" t="e">
        <f t="shared" si="17"/>
        <v>#VALUE!</v>
      </c>
      <c r="N633" s="1"/>
      <c r="O633" s="1">
        <f>Table257911[[#This Row],[Time]]</f>
        <v>0</v>
      </c>
      <c r="R633">
        <f>Table257911[[#This Row],[RSSI]]</f>
        <v>0</v>
      </c>
    </row>
    <row r="634" spans="4:18" x14ac:dyDescent="0.25">
      <c r="D634" s="1"/>
      <c r="E634" s="1">
        <f>Table146810[[#This Row],[Time]]-TIME(0,0,8)</f>
        <v>-9.2592592592592588E-5</v>
      </c>
      <c r="H634" t="e">
        <f t="shared" si="17"/>
        <v>#VALUE!</v>
      </c>
      <c r="N634" s="1"/>
      <c r="O634" s="1">
        <f>Table257911[[#This Row],[Time]]</f>
        <v>0</v>
      </c>
      <c r="R634">
        <f>Table257911[[#This Row],[RSSI]]</f>
        <v>0</v>
      </c>
    </row>
    <row r="635" spans="4:18" x14ac:dyDescent="0.25">
      <c r="D635" s="1"/>
      <c r="E635" s="1">
        <f>Table146810[[#This Row],[Time]]-TIME(0,0,8)</f>
        <v>-9.2592592592592588E-5</v>
      </c>
      <c r="H635" t="e">
        <f t="shared" si="17"/>
        <v>#VALUE!</v>
      </c>
      <c r="N635" s="1"/>
      <c r="O635" s="1">
        <f>Table257911[[#This Row],[Time]]</f>
        <v>0</v>
      </c>
      <c r="R635">
        <f>Table257911[[#This Row],[RSSI]]</f>
        <v>0</v>
      </c>
    </row>
    <row r="636" spans="4:18" x14ac:dyDescent="0.25">
      <c r="D636" s="1"/>
      <c r="E636" s="1">
        <f>Table146810[[#This Row],[Time]]-TIME(0,0,8)</f>
        <v>-9.2592592592592588E-5</v>
      </c>
      <c r="H636" t="e">
        <f t="shared" si="17"/>
        <v>#VALUE!</v>
      </c>
      <c r="N636" s="1"/>
      <c r="O636" s="1">
        <f>Table257911[[#This Row],[Time]]</f>
        <v>0</v>
      </c>
      <c r="R636">
        <f>Table257911[[#This Row],[RSSI]]</f>
        <v>0</v>
      </c>
    </row>
    <row r="637" spans="4:18" x14ac:dyDescent="0.25">
      <c r="D637" s="1"/>
      <c r="E637" s="1">
        <f>Table146810[[#This Row],[Time]]-TIME(0,0,8)</f>
        <v>-9.2592592592592588E-5</v>
      </c>
      <c r="H637" t="e">
        <f t="shared" si="17"/>
        <v>#VALUE!</v>
      </c>
      <c r="N637" s="1"/>
      <c r="O637" s="1">
        <f>Table257911[[#This Row],[Time]]</f>
        <v>0</v>
      </c>
      <c r="R637">
        <f>Table257911[[#This Row],[RSSI]]</f>
        <v>0</v>
      </c>
    </row>
    <row r="638" spans="4:18" x14ac:dyDescent="0.25">
      <c r="D638" s="1"/>
      <c r="E638" s="1">
        <f>Table146810[[#This Row],[Time]]-TIME(0,0,8)</f>
        <v>-9.2592592592592588E-5</v>
      </c>
      <c r="H638" t="e">
        <f t="shared" si="17"/>
        <v>#VALUE!</v>
      </c>
      <c r="N638" s="1"/>
      <c r="O638" s="1">
        <f>Table257911[[#This Row],[Time]]</f>
        <v>0</v>
      </c>
      <c r="R638">
        <f>Table257911[[#This Row],[RSSI]]</f>
        <v>0</v>
      </c>
    </row>
    <row r="639" spans="4:18" x14ac:dyDescent="0.25">
      <c r="D639" s="1"/>
      <c r="E639" s="1">
        <f>Table146810[[#This Row],[Time]]-TIME(0,0,8)</f>
        <v>-9.2592592592592588E-5</v>
      </c>
      <c r="H639" t="e">
        <f t="shared" si="17"/>
        <v>#VALUE!</v>
      </c>
      <c r="N639" s="1"/>
      <c r="O639" s="1">
        <f>Table257911[[#This Row],[Time]]</f>
        <v>0</v>
      </c>
      <c r="R639">
        <f>Table257911[[#This Row],[RSSI]]</f>
        <v>0</v>
      </c>
    </row>
    <row r="640" spans="4:18" x14ac:dyDescent="0.25">
      <c r="D640" s="1"/>
      <c r="E640" s="1">
        <f>Table146810[[#This Row],[Time]]-TIME(0,0,8)</f>
        <v>-9.2592592592592588E-5</v>
      </c>
      <c r="H640" t="e">
        <f t="shared" si="17"/>
        <v>#VALUE!</v>
      </c>
      <c r="N640" s="1"/>
      <c r="O640" s="1">
        <f>Table257911[[#This Row],[Time]]</f>
        <v>0</v>
      </c>
      <c r="R640">
        <f>Table257911[[#This Row],[RSSI]]</f>
        <v>0</v>
      </c>
    </row>
    <row r="641" spans="4:18" x14ac:dyDescent="0.25">
      <c r="D641" s="1"/>
      <c r="E641" s="1">
        <f>Table146810[[#This Row],[Time]]-TIME(0,0,8)</f>
        <v>-9.2592592592592588E-5</v>
      </c>
      <c r="H641" t="e">
        <f t="shared" si="17"/>
        <v>#VALUE!</v>
      </c>
      <c r="N641" s="1"/>
      <c r="O641" s="1">
        <f>Table257911[[#This Row],[Time]]</f>
        <v>0</v>
      </c>
      <c r="R641">
        <f>Table257911[[#This Row],[RSSI]]</f>
        <v>0</v>
      </c>
    </row>
    <row r="642" spans="4:18" x14ac:dyDescent="0.25">
      <c r="D642" s="1"/>
      <c r="E642" s="1">
        <f>Table146810[[#This Row],[Time]]-TIME(0,0,8)</f>
        <v>-9.2592592592592588E-5</v>
      </c>
      <c r="H642" t="e">
        <f t="shared" si="17"/>
        <v>#VALUE!</v>
      </c>
      <c r="N642" s="1"/>
      <c r="O642" s="1">
        <f>Table257911[[#This Row],[Time]]</f>
        <v>0</v>
      </c>
      <c r="R642">
        <f>Table257911[[#This Row],[RSSI]]</f>
        <v>0</v>
      </c>
    </row>
    <row r="643" spans="4:18" x14ac:dyDescent="0.25">
      <c r="D643" s="1"/>
      <c r="E643" s="1">
        <f>Table146810[[#This Row],[Time]]-TIME(0,0,8)</f>
        <v>-9.2592592592592588E-5</v>
      </c>
      <c r="H643" t="e">
        <f t="shared" si="17"/>
        <v>#VALUE!</v>
      </c>
      <c r="N643" s="1"/>
      <c r="O643" s="1">
        <f>Table257911[[#This Row],[Time]]</f>
        <v>0</v>
      </c>
      <c r="R643">
        <f>Table257911[[#This Row],[RSSI]]</f>
        <v>0</v>
      </c>
    </row>
    <row r="644" spans="4:18" x14ac:dyDescent="0.25">
      <c r="D644" s="1"/>
      <c r="E644" s="1">
        <f>Table146810[[#This Row],[Time]]-TIME(0,0,8)</f>
        <v>-9.2592592592592588E-5</v>
      </c>
      <c r="H644" t="e">
        <f t="shared" si="17"/>
        <v>#VALUE!</v>
      </c>
      <c r="N644" s="1"/>
      <c r="O644" s="1">
        <f>Table257911[[#This Row],[Time]]</f>
        <v>0</v>
      </c>
      <c r="R644">
        <f>Table257911[[#This Row],[RSSI]]</f>
        <v>0</v>
      </c>
    </row>
    <row r="645" spans="4:18" x14ac:dyDescent="0.25">
      <c r="D645" s="1"/>
      <c r="E645" s="1">
        <f>Table146810[[#This Row],[Time]]-TIME(0,0,8)</f>
        <v>-9.2592592592592588E-5</v>
      </c>
      <c r="H645" t="e">
        <f t="shared" si="17"/>
        <v>#VALUE!</v>
      </c>
      <c r="N645" s="1"/>
      <c r="O645" s="1">
        <f>Table257911[[#This Row],[Time]]</f>
        <v>0</v>
      </c>
      <c r="R645">
        <f>Table257911[[#This Row],[RSSI]]</f>
        <v>0</v>
      </c>
    </row>
    <row r="646" spans="4:18" x14ac:dyDescent="0.25">
      <c r="D646" s="1"/>
      <c r="E646" s="1">
        <f>Table146810[[#This Row],[Time]]-TIME(0,0,8)</f>
        <v>-9.2592592592592588E-5</v>
      </c>
      <c r="H646" t="e">
        <f t="shared" si="17"/>
        <v>#VALUE!</v>
      </c>
      <c r="N646" s="1"/>
      <c r="O646" s="1">
        <f>Table257911[[#This Row],[Time]]</f>
        <v>0</v>
      </c>
      <c r="R646">
        <f>Table257911[[#This Row],[RSSI]]</f>
        <v>0</v>
      </c>
    </row>
    <row r="647" spans="4:18" x14ac:dyDescent="0.25">
      <c r="D647" s="1"/>
      <c r="E647" s="1">
        <f>Table146810[[#This Row],[Time]]-TIME(0,0,8)</f>
        <v>-9.2592592592592588E-5</v>
      </c>
      <c r="H647" t="e">
        <f t="shared" si="17"/>
        <v>#VALUE!</v>
      </c>
      <c r="N647" s="1"/>
      <c r="O647" s="1">
        <f>Table257911[[#This Row],[Time]]</f>
        <v>0</v>
      </c>
      <c r="R647">
        <f>Table257911[[#This Row],[RSSI]]</f>
        <v>0</v>
      </c>
    </row>
    <row r="648" spans="4:18" x14ac:dyDescent="0.25">
      <c r="D648" s="1"/>
      <c r="E648" s="1">
        <f>Table146810[[#This Row],[Time]]-TIME(0,0,8)</f>
        <v>-9.2592592592592588E-5</v>
      </c>
      <c r="H648" t="e">
        <f t="shared" si="17"/>
        <v>#VALUE!</v>
      </c>
      <c r="N648" s="1"/>
      <c r="O648" s="1">
        <f>Table257911[[#This Row],[Time]]</f>
        <v>0</v>
      </c>
      <c r="R648">
        <f>Table257911[[#This Row],[RSSI]]</f>
        <v>0</v>
      </c>
    </row>
    <row r="649" spans="4:18" x14ac:dyDescent="0.25">
      <c r="D649" s="1"/>
      <c r="E649" s="1">
        <f>Table146810[[#This Row],[Time]]-TIME(0,0,8)</f>
        <v>-9.2592592592592588E-5</v>
      </c>
      <c r="H649" t="e">
        <f t="shared" si="17"/>
        <v>#VALUE!</v>
      </c>
      <c r="N649" s="1"/>
      <c r="O649" s="1">
        <f>Table257911[[#This Row],[Time]]</f>
        <v>0</v>
      </c>
      <c r="R649">
        <f>Table257911[[#This Row],[RSSI]]</f>
        <v>0</v>
      </c>
    </row>
    <row r="650" spans="4:18" x14ac:dyDescent="0.25">
      <c r="D650" s="1"/>
      <c r="E650" s="1">
        <f>Table146810[[#This Row],[Time]]-TIME(0,0,8)</f>
        <v>-9.2592592592592588E-5</v>
      </c>
      <c r="H650" t="e">
        <f t="shared" si="17"/>
        <v>#VALUE!</v>
      </c>
      <c r="N650" s="1"/>
      <c r="O650" s="1">
        <f>Table257911[[#This Row],[Time]]</f>
        <v>0</v>
      </c>
      <c r="R650">
        <f>Table257911[[#This Row],[RSSI]]</f>
        <v>0</v>
      </c>
    </row>
    <row r="651" spans="4:18" x14ac:dyDescent="0.25">
      <c r="D651" s="1"/>
      <c r="E651" s="1">
        <f>Table146810[[#This Row],[Time]]-TIME(0,0,8)</f>
        <v>-9.2592592592592588E-5</v>
      </c>
      <c r="H651" t="e">
        <f t="shared" si="17"/>
        <v>#VALUE!</v>
      </c>
      <c r="N651" s="1"/>
      <c r="O651" s="1">
        <f>Table257911[[#This Row],[Time]]</f>
        <v>0</v>
      </c>
      <c r="R651">
        <f>Table257911[[#This Row],[RSSI]]</f>
        <v>0</v>
      </c>
    </row>
    <row r="652" spans="4:18" x14ac:dyDescent="0.25">
      <c r="D652" s="1"/>
      <c r="E652" s="1">
        <f>Table146810[[#This Row],[Time]]-TIME(0,0,8)</f>
        <v>-9.2592592592592588E-5</v>
      </c>
      <c r="H652" t="e">
        <f t="shared" si="17"/>
        <v>#VALUE!</v>
      </c>
      <c r="N652" s="1"/>
      <c r="O652" s="1">
        <f>Table257911[[#This Row],[Time]]</f>
        <v>0</v>
      </c>
      <c r="R652">
        <f>Table257911[[#This Row],[RSSI]]</f>
        <v>0</v>
      </c>
    </row>
    <row r="653" spans="4:18" x14ac:dyDescent="0.25">
      <c r="D653" s="1"/>
      <c r="E653" s="1">
        <f>Table146810[[#This Row],[Time]]-TIME(0,0,8)</f>
        <v>-9.2592592592592588E-5</v>
      </c>
      <c r="H653" t="e">
        <f t="shared" si="17"/>
        <v>#VALUE!</v>
      </c>
      <c r="N653" s="1"/>
      <c r="O653" s="1">
        <f>Table257911[[#This Row],[Time]]</f>
        <v>0</v>
      </c>
      <c r="R653">
        <f>Table257911[[#This Row],[RSSI]]</f>
        <v>0</v>
      </c>
    </row>
    <row r="654" spans="4:18" x14ac:dyDescent="0.25">
      <c r="D654" s="1"/>
      <c r="E654" s="1">
        <f>Table146810[[#This Row],[Time]]-TIME(0,0,8)</f>
        <v>-9.2592592592592588E-5</v>
      </c>
      <c r="H654" t="e">
        <f t="shared" si="17"/>
        <v>#VALUE!</v>
      </c>
      <c r="N654" s="1"/>
      <c r="O654" s="1">
        <f>Table257911[[#This Row],[Time]]</f>
        <v>0</v>
      </c>
      <c r="R654">
        <f>Table257911[[#This Row],[RSSI]]</f>
        <v>0</v>
      </c>
    </row>
    <row r="655" spans="4:18" x14ac:dyDescent="0.25">
      <c r="D655" s="1"/>
      <c r="E655" s="1">
        <f>Table146810[[#This Row],[Time]]-TIME(0,0,8)</f>
        <v>-9.2592592592592588E-5</v>
      </c>
      <c r="H655" t="e">
        <f t="shared" si="17"/>
        <v>#VALUE!</v>
      </c>
      <c r="N655" s="1"/>
      <c r="O655" s="1">
        <f>Table257911[[#This Row],[Time]]</f>
        <v>0</v>
      </c>
      <c r="R655">
        <f>Table257911[[#This Row],[RSSI]]</f>
        <v>0</v>
      </c>
    </row>
    <row r="656" spans="4:18" x14ac:dyDescent="0.25">
      <c r="D656" s="1"/>
      <c r="E656" s="1">
        <f>Table146810[[#This Row],[Time]]-TIME(0,0,8)</f>
        <v>-9.2592592592592588E-5</v>
      </c>
      <c r="H656" t="e">
        <f t="shared" si="17"/>
        <v>#VALUE!</v>
      </c>
      <c r="N656" s="1"/>
      <c r="O656" s="1">
        <f>Table257911[[#This Row],[Time]]</f>
        <v>0</v>
      </c>
      <c r="R656">
        <f>Table257911[[#This Row],[RSSI]]</f>
        <v>0</v>
      </c>
    </row>
    <row r="657" spans="4:18" x14ac:dyDescent="0.25">
      <c r="D657" s="1"/>
      <c r="E657" s="1">
        <f>Table146810[[#This Row],[Time]]-TIME(0,0,8)</f>
        <v>-9.2592592592592588E-5</v>
      </c>
      <c r="H657" t="e">
        <f t="shared" si="17"/>
        <v>#VALUE!</v>
      </c>
      <c r="N657" s="1"/>
      <c r="O657" s="1">
        <f>Table257911[[#This Row],[Time]]</f>
        <v>0</v>
      </c>
      <c r="R657">
        <f>Table257911[[#This Row],[RSSI]]</f>
        <v>0</v>
      </c>
    </row>
    <row r="658" spans="4:18" x14ac:dyDescent="0.25">
      <c r="D658" s="1"/>
      <c r="E658" s="1">
        <f>Table146810[[#This Row],[Time]]-TIME(0,0,8)</f>
        <v>-9.2592592592592588E-5</v>
      </c>
      <c r="H658" t="e">
        <f t="shared" si="17"/>
        <v>#VALUE!</v>
      </c>
      <c r="N658" s="1"/>
      <c r="O658" s="1">
        <f>Table257911[[#This Row],[Time]]</f>
        <v>0</v>
      </c>
      <c r="R658">
        <f>Table257911[[#This Row],[RSSI]]</f>
        <v>0</v>
      </c>
    </row>
    <row r="659" spans="4:18" x14ac:dyDescent="0.25">
      <c r="D659" s="1"/>
      <c r="E659" s="1">
        <f>Table146810[[#This Row],[Time]]-TIME(0,0,8)</f>
        <v>-9.2592592592592588E-5</v>
      </c>
      <c r="H659" t="e">
        <f t="shared" si="17"/>
        <v>#VALUE!</v>
      </c>
      <c r="N659" s="1"/>
      <c r="O659" s="1">
        <f>Table257911[[#This Row],[Time]]</f>
        <v>0</v>
      </c>
      <c r="R659">
        <f>Table257911[[#This Row],[RSSI]]</f>
        <v>0</v>
      </c>
    </row>
    <row r="660" spans="4:18" x14ac:dyDescent="0.25">
      <c r="D660" s="1"/>
      <c r="E660" s="1">
        <f>Table146810[[#This Row],[Time]]-TIME(0,0,8)</f>
        <v>-9.2592592592592588E-5</v>
      </c>
      <c r="H660" t="e">
        <f t="shared" si="17"/>
        <v>#VALUE!</v>
      </c>
      <c r="N660" s="1"/>
      <c r="O660" s="1">
        <f>Table257911[[#This Row],[Time]]</f>
        <v>0</v>
      </c>
      <c r="R660">
        <f>Table257911[[#This Row],[RSSI]]</f>
        <v>0</v>
      </c>
    </row>
    <row r="661" spans="4:18" x14ac:dyDescent="0.25">
      <c r="D661" s="1"/>
      <c r="E661" s="1">
        <f>Table146810[[#This Row],[Time]]-TIME(0,0,8)</f>
        <v>-9.2592592592592588E-5</v>
      </c>
      <c r="H661" t="e">
        <f t="shared" si="17"/>
        <v>#VALUE!</v>
      </c>
      <c r="N661" s="1"/>
      <c r="O661" s="1">
        <f>Table257911[[#This Row],[Time]]</f>
        <v>0</v>
      </c>
      <c r="R661">
        <f>Table257911[[#This Row],[RSSI]]</f>
        <v>0</v>
      </c>
    </row>
    <row r="662" spans="4:18" x14ac:dyDescent="0.25">
      <c r="D662" s="1"/>
      <c r="E662" s="1">
        <f>Table146810[[#This Row],[Time]]-TIME(0,0,8)</f>
        <v>-9.2592592592592588E-5</v>
      </c>
      <c r="H662" t="e">
        <f t="shared" ref="H662:H667" si="18">VALUE(LEFT(G662,LEN(G662)-1))</f>
        <v>#VALUE!</v>
      </c>
      <c r="N662" s="1"/>
      <c r="O662" s="1">
        <f>Table257911[[#This Row],[Time]]</f>
        <v>0</v>
      </c>
      <c r="R662">
        <f>Table257911[[#This Row],[RSSI]]</f>
        <v>0</v>
      </c>
    </row>
    <row r="663" spans="4:18" x14ac:dyDescent="0.25">
      <c r="D663" s="1"/>
      <c r="E663" s="1">
        <f>Table146810[[#This Row],[Time]]-TIME(0,0,8)</f>
        <v>-9.2592592592592588E-5</v>
      </c>
      <c r="H663" t="e">
        <f t="shared" si="18"/>
        <v>#VALUE!</v>
      </c>
      <c r="N663" s="1"/>
      <c r="O663" s="1">
        <f>Table257911[[#This Row],[Time]]</f>
        <v>0</v>
      </c>
      <c r="R663">
        <f>Table257911[[#This Row],[RSSI]]</f>
        <v>0</v>
      </c>
    </row>
    <row r="664" spans="4:18" x14ac:dyDescent="0.25">
      <c r="D664" s="1"/>
      <c r="E664" s="1">
        <f>Table146810[[#This Row],[Time]]-TIME(0,0,8)</f>
        <v>-9.2592592592592588E-5</v>
      </c>
      <c r="H664" t="e">
        <f t="shared" si="18"/>
        <v>#VALUE!</v>
      </c>
      <c r="N664" s="1"/>
      <c r="O664" s="1">
        <f>Table257911[[#This Row],[Time]]</f>
        <v>0</v>
      </c>
      <c r="R664">
        <f>Table257911[[#This Row],[RSSI]]</f>
        <v>0</v>
      </c>
    </row>
    <row r="665" spans="4:18" x14ac:dyDescent="0.25">
      <c r="D665" s="1"/>
      <c r="E665" s="1">
        <f>Table146810[[#This Row],[Time]]-TIME(0,0,8)</f>
        <v>-9.2592592592592588E-5</v>
      </c>
      <c r="H665" t="e">
        <f t="shared" si="18"/>
        <v>#VALUE!</v>
      </c>
      <c r="N665" s="1"/>
      <c r="O665" s="1">
        <f>Table257911[[#This Row],[Time]]</f>
        <v>0</v>
      </c>
      <c r="R665">
        <f>Table257911[[#This Row],[RSSI]]</f>
        <v>0</v>
      </c>
    </row>
    <row r="666" spans="4:18" x14ac:dyDescent="0.25">
      <c r="D666" s="1"/>
      <c r="E666" s="1">
        <f>Table146810[[#This Row],[Time]]-TIME(0,0,8)</f>
        <v>-9.2592592592592588E-5</v>
      </c>
      <c r="H666" t="e">
        <f t="shared" si="18"/>
        <v>#VALUE!</v>
      </c>
      <c r="N666" s="1"/>
      <c r="O666" s="1">
        <f>Table257911[[#This Row],[Time]]</f>
        <v>0</v>
      </c>
      <c r="R666">
        <f>Table257911[[#This Row],[RSSI]]</f>
        <v>0</v>
      </c>
    </row>
    <row r="667" spans="4:18" x14ac:dyDescent="0.25">
      <c r="D667" s="1"/>
      <c r="E667" s="1">
        <f>Table146810[[#This Row],[Time]]-TIME(0,0,8)</f>
        <v>-9.2592592592592588E-5</v>
      </c>
      <c r="H667" t="e">
        <f t="shared" si="18"/>
        <v>#VALUE!</v>
      </c>
      <c r="N667" s="1"/>
      <c r="O667" s="1">
        <f>Table257911[[#This Row],[Time]]</f>
        <v>0</v>
      </c>
      <c r="R667">
        <f>Table257911[[#This Row],[RSSI]]</f>
        <v>0</v>
      </c>
    </row>
  </sheetData>
  <mergeCells count="2">
    <mergeCell ref="W2:Z2"/>
    <mergeCell ref="AA2:AD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1E69-296D-41B4-A787-CF39938D2188}">
  <dimension ref="B1:AD667"/>
  <sheetViews>
    <sheetView topLeftCell="R1" workbookViewId="0">
      <selection activeCell="AD42" sqref="AD42"/>
    </sheetView>
  </sheetViews>
  <sheetFormatPr defaultRowHeight="15" x14ac:dyDescent="0.25"/>
  <cols>
    <col min="2" max="2" width="13" customWidth="1"/>
    <col min="3" max="3" width="22.85546875" bestFit="1" customWidth="1"/>
    <col min="5" max="5" width="17.140625" bestFit="1" customWidth="1"/>
    <col min="8" max="8" width="17.140625" bestFit="1" customWidth="1"/>
    <col min="12" max="12" width="13" customWidth="1"/>
    <col min="13" max="13" width="22.85546875" bestFit="1" customWidth="1"/>
    <col min="15" max="15" width="17.140625" bestFit="1" customWidth="1"/>
    <col min="18" max="18" width="17.140625" bestFit="1" customWidth="1"/>
    <col min="23" max="23" width="10.85546875" bestFit="1" customWidth="1"/>
    <col min="27" max="27" width="10.85546875" bestFit="1" customWidth="1"/>
  </cols>
  <sheetData>
    <row r="1" spans="2:30" ht="15.75" thickBot="1" x14ac:dyDescent="0.3"/>
    <row r="2" spans="2:30" ht="15.75" thickBot="1" x14ac:dyDescent="0.3">
      <c r="B2" t="s">
        <v>0</v>
      </c>
      <c r="E2" s="16">
        <v>-9</v>
      </c>
      <c r="L2" t="s">
        <v>8</v>
      </c>
      <c r="O2" s="16" t="s">
        <v>36</v>
      </c>
      <c r="V2" s="12" t="s">
        <v>21</v>
      </c>
      <c r="W2" s="18" t="s">
        <v>23</v>
      </c>
      <c r="X2" s="19"/>
      <c r="Y2" s="19"/>
      <c r="Z2" s="20"/>
      <c r="AA2" s="18" t="s">
        <v>22</v>
      </c>
      <c r="AB2" s="19"/>
      <c r="AC2" s="19"/>
      <c r="AD2" s="20"/>
    </row>
    <row r="3" spans="2:30" ht="15.75" thickBot="1" x14ac:dyDescent="0.3">
      <c r="B3" t="s">
        <v>7</v>
      </c>
      <c r="C3" t="s">
        <v>35</v>
      </c>
      <c r="D3" t="s">
        <v>2</v>
      </c>
      <c r="E3" t="s">
        <v>32</v>
      </c>
      <c r="F3" t="s">
        <v>3</v>
      </c>
      <c r="G3" t="s">
        <v>4</v>
      </c>
      <c r="H3" t="s">
        <v>33</v>
      </c>
      <c r="I3" t="s">
        <v>5</v>
      </c>
      <c r="L3" t="s">
        <v>7</v>
      </c>
      <c r="M3" t="s">
        <v>35</v>
      </c>
      <c r="N3" t="s">
        <v>2</v>
      </c>
      <c r="O3" t="s">
        <v>32</v>
      </c>
      <c r="P3" t="s">
        <v>3</v>
      </c>
      <c r="Q3" t="s">
        <v>4</v>
      </c>
      <c r="R3" t="s">
        <v>33</v>
      </c>
      <c r="S3" t="s">
        <v>5</v>
      </c>
      <c r="V3" s="12" t="s">
        <v>1</v>
      </c>
      <c r="W3" s="13" t="s">
        <v>25</v>
      </c>
      <c r="X3" s="14" t="s">
        <v>26</v>
      </c>
      <c r="Y3" s="14" t="s">
        <v>4</v>
      </c>
      <c r="Z3" s="15" t="s">
        <v>5</v>
      </c>
      <c r="AA3" s="13" t="s">
        <v>25</v>
      </c>
      <c r="AB3" s="14" t="s">
        <v>26</v>
      </c>
      <c r="AC3" s="14" t="s">
        <v>4</v>
      </c>
      <c r="AD3" s="15" t="s">
        <v>5</v>
      </c>
    </row>
    <row r="4" spans="2:30" x14ac:dyDescent="0.25">
      <c r="C4">
        <f>MINUTE(Table14681012[[#This Row],[Corrected time]])</f>
        <v>33</v>
      </c>
      <c r="D4" s="1">
        <v>0.73145015046296291</v>
      </c>
      <c r="E4" s="1">
        <f>Table14681012[[#This Row],[Time]]-TIME(0,0,9)</f>
        <v>0.73134598379629623</v>
      </c>
      <c r="F4" t="s">
        <v>9</v>
      </c>
      <c r="G4" t="s">
        <v>12</v>
      </c>
      <c r="H4">
        <f t="shared" ref="H4:H21" si="0">VALUE(LEFT(G4,LEN(G4)-1))</f>
        <v>-123</v>
      </c>
      <c r="I4">
        <v>-18.8</v>
      </c>
      <c r="M4">
        <f>MINUTE(Table25791113[[#This Row],[Corrected time]])</f>
        <v>49</v>
      </c>
      <c r="N4" s="1">
        <v>0.61781461805555549</v>
      </c>
      <c r="O4" s="1">
        <f>Table25791113[[#This Row],[Time]]-TIME(0,0,3)</f>
        <v>0.61777989583333326</v>
      </c>
      <c r="P4" t="s">
        <v>9</v>
      </c>
      <c r="Q4">
        <v>-123</v>
      </c>
      <c r="R4">
        <f>Table25791113[[#This Row],[RSSI]]</f>
        <v>-123</v>
      </c>
      <c r="S4">
        <v>-18.5</v>
      </c>
      <c r="V4" s="10">
        <v>480</v>
      </c>
      <c r="W4" s="4">
        <f>COUNTIFS(Table14681012[Range(nm)], $V4, Table14681012[Type], "ACK")/COUNTIFS(Table14681012[Range(nm)], $V4)</f>
        <v>1</v>
      </c>
      <c r="X4" s="5">
        <f>COUNTIFS(Table14681012[Range(nm)], $V4, Table14681012[Type], "SUT Rx Error")/COUNTIFS(Table14681012[Range(nm)], $V4)</f>
        <v>0</v>
      </c>
      <c r="Y4">
        <f>AVERAGEIF(Table14681012[Range(nm)], V4, Table14681012[Corrected RSSI])</f>
        <v>-123.16666666666667</v>
      </c>
      <c r="Z4" s="3">
        <f>AVERAGEIF(Table14681012[Range(nm)], V4, Table14681012[SNR])</f>
        <v>-18.93055555555555</v>
      </c>
      <c r="AA4" s="4">
        <f>COUNTIFS(Table25791113[Range(nm)], V4, Table25791113[Type], "ACK")/COUNTIFS(Table25791113[Range(nm)], V4)</f>
        <v>1</v>
      </c>
      <c r="AB4" s="5">
        <f>COUNTIFS(Table25791113[Range(nm)], $V4, Table25791113[Type], "SUT Rx Error")/COUNTIFS(Table25791113[Range(nm)], $V4)</f>
        <v>0</v>
      </c>
      <c r="AC4">
        <f>AVERAGEIF(Table25791113[Range(nm)], V4, Table25791113[Corrected RSSI])</f>
        <v>-123.19444444444444</v>
      </c>
      <c r="AD4" s="3">
        <f>AVERAGEIF(Table25791113[Range(nm)], V4, Table25791113[SNR])</f>
        <v>-18.819444444444443</v>
      </c>
    </row>
    <row r="5" spans="2:30" x14ac:dyDescent="0.25">
      <c r="C5">
        <f>MINUTE(Table14681012[[#This Row],[Corrected time]])</f>
        <v>33</v>
      </c>
      <c r="D5" s="1">
        <v>0.73146938657407412</v>
      </c>
      <c r="E5" s="1">
        <f>Table14681012[[#This Row],[Time]]-TIME(0,0,9)</f>
        <v>0.73136521990740744</v>
      </c>
      <c r="F5" t="s">
        <v>9</v>
      </c>
      <c r="G5" t="s">
        <v>12</v>
      </c>
      <c r="H5">
        <f t="shared" si="0"/>
        <v>-123</v>
      </c>
      <c r="I5">
        <v>-18.8</v>
      </c>
      <c r="M5">
        <f>MINUTE(Table25791113[[#This Row],[Corrected time]])</f>
        <v>49</v>
      </c>
      <c r="N5" s="1">
        <v>0.61783386574074073</v>
      </c>
      <c r="O5" s="1">
        <f>Table25791113[[#This Row],[Time]]-TIME(0,0,3)</f>
        <v>0.6177991435185185</v>
      </c>
      <c r="P5" t="s">
        <v>9</v>
      </c>
      <c r="Q5">
        <v>-123</v>
      </c>
      <c r="R5">
        <f>Table25791113[[#This Row],[RSSI]]</f>
        <v>-123</v>
      </c>
      <c r="S5">
        <v>-19.3</v>
      </c>
      <c r="V5" s="10">
        <f>V4+2</f>
        <v>482</v>
      </c>
      <c r="W5" s="4">
        <f>COUNTIFS(Table14681012[Range(nm)], V5, Table14681012[Type], "ACK")/COUNTIFS(Table14681012[Range(nm)], V5)</f>
        <v>0.97222222222222221</v>
      </c>
      <c r="X5" s="5">
        <f>COUNTIFS(Table14681012[Range(nm)], $V5, Table14681012[Type], "SUT Rx Error")/COUNTIFS(Table14681012[Range(nm)], $V5)</f>
        <v>2.7777777777777776E-2</v>
      </c>
      <c r="Y5">
        <f>AVERAGEIF(Table14681012[Range(nm)], V5, Table14681012[Corrected RSSI])</f>
        <v>-123.30555555555556</v>
      </c>
      <c r="Z5" s="3">
        <f>AVERAGEIF(Table14681012[Range(nm)], V5, Table14681012[SNR])</f>
        <v>-19.030555555555551</v>
      </c>
      <c r="AA5" s="4">
        <f>COUNTIFS(Table25791113[Range(nm)], V5, Table25791113[Type], "ACK")/COUNTIFS(Table25791113[Range(nm)], V5)</f>
        <v>0.97222222222222221</v>
      </c>
      <c r="AB5" s="5">
        <f>COUNTIFS(Table25791113[Range(nm)], $V5, Table25791113[Type], "SUT Rx Error")/COUNTIFS(Table25791113[Range(nm)], $V5)</f>
        <v>0</v>
      </c>
      <c r="AC5">
        <f>AVERAGEIF(Table25791113[Range(nm)], V5, Table25791113[Corrected RSSI])</f>
        <v>-123.27777777777777</v>
      </c>
      <c r="AD5" s="3">
        <f>AVERAGEIF(Table25791113[Range(nm)], V5, Table25791113[SNR])</f>
        <v>-18.924999999999997</v>
      </c>
    </row>
    <row r="6" spans="2:30" x14ac:dyDescent="0.25">
      <c r="C6">
        <f>MINUTE(Table14681012[[#This Row],[Corrected time]])</f>
        <v>33</v>
      </c>
      <c r="D6" s="1">
        <v>0.73148864583333328</v>
      </c>
      <c r="E6" s="1">
        <f>Table14681012[[#This Row],[Time]]-TIME(0,0,9)</f>
        <v>0.7313844791666666</v>
      </c>
      <c r="F6" t="s">
        <v>9</v>
      </c>
      <c r="G6" t="s">
        <v>12</v>
      </c>
      <c r="H6">
        <f t="shared" si="0"/>
        <v>-123</v>
      </c>
      <c r="I6">
        <v>-19</v>
      </c>
      <c r="M6">
        <f>MINUTE(Table25791113[[#This Row],[Corrected time]])</f>
        <v>49</v>
      </c>
      <c r="N6" s="1">
        <v>0.61785311342592586</v>
      </c>
      <c r="O6" s="1">
        <f>Table25791113[[#This Row],[Time]]-TIME(0,0,3)</f>
        <v>0.61781839120370363</v>
      </c>
      <c r="P6" t="s">
        <v>9</v>
      </c>
      <c r="Q6">
        <v>-123</v>
      </c>
      <c r="R6">
        <f>Table25791113[[#This Row],[RSSI]]</f>
        <v>-123</v>
      </c>
      <c r="S6">
        <v>-19.8</v>
      </c>
      <c r="V6" s="10">
        <f t="shared" ref="V6:V34" si="1">V5+2</f>
        <v>484</v>
      </c>
      <c r="W6" s="4">
        <f>COUNTIFS(Table14681012[Range(nm)], V6, Table14681012[Type], "ACK")/COUNTIFS(Table14681012[Range(nm)], V6)</f>
        <v>0.97297297297297303</v>
      </c>
      <c r="X6" s="5">
        <f>COUNTIFS(Table14681012[Range(nm)], $V6, Table14681012[Type], "SUT Rx Error")/COUNTIFS(Table14681012[Range(nm)], $V6)</f>
        <v>0</v>
      </c>
      <c r="Y6">
        <f>AVERAGEIF(Table14681012[Range(nm)], V6, Table14681012[Corrected RSSI])</f>
        <v>-123.29729729729729</v>
      </c>
      <c r="Z6" s="3">
        <f>AVERAGEIF(Table14681012[Range(nm)], V6, Table14681012[SNR])</f>
        <v>-18.940540540540532</v>
      </c>
      <c r="AA6" s="4">
        <f>COUNTIFS(Table25791113[Range(nm)], V6, Table25791113[Type], "ACK")/COUNTIFS(Table25791113[Range(nm)], V6)</f>
        <v>0.97222222222222221</v>
      </c>
      <c r="AB6" s="5">
        <f>COUNTIFS(Table25791113[Range(nm)], $V6, Table25791113[Type], "SUT Rx Error")/COUNTIFS(Table25791113[Range(nm)], $V6)</f>
        <v>0</v>
      </c>
      <c r="AC6">
        <f>AVERAGEIF(Table25791113[Range(nm)], V6, Table25791113[Corrected RSSI])</f>
        <v>-123.25</v>
      </c>
      <c r="AD6" s="3">
        <f>AVERAGEIF(Table25791113[Range(nm)], V6, Table25791113[SNR])</f>
        <v>-18.969444444444441</v>
      </c>
    </row>
    <row r="7" spans="2:30" x14ac:dyDescent="0.25">
      <c r="C7">
        <f>MINUTE(Table14681012[[#This Row],[Corrected time]])</f>
        <v>33</v>
      </c>
      <c r="D7" s="1">
        <v>0.73150789351851853</v>
      </c>
      <c r="E7" s="1">
        <f>Table14681012[[#This Row],[Time]]-TIME(0,0,9)</f>
        <v>0.73140372685185184</v>
      </c>
      <c r="F7" t="s">
        <v>9</v>
      </c>
      <c r="G7" t="s">
        <v>12</v>
      </c>
      <c r="H7">
        <f t="shared" si="0"/>
        <v>-123</v>
      </c>
      <c r="I7">
        <v>-19</v>
      </c>
      <c r="M7">
        <f>MINUTE(Table25791113[[#This Row],[Corrected time]])</f>
        <v>49</v>
      </c>
      <c r="N7" s="1">
        <v>0.61787234953703707</v>
      </c>
      <c r="O7" s="1">
        <f>Table25791113[[#This Row],[Time]]-TIME(0,0,3)</f>
        <v>0.61783762731481484</v>
      </c>
      <c r="P7" t="s">
        <v>9</v>
      </c>
      <c r="Q7">
        <v>-123</v>
      </c>
      <c r="R7">
        <f>Table25791113[[#This Row],[RSSI]]</f>
        <v>-123</v>
      </c>
      <c r="S7">
        <v>-18.5</v>
      </c>
      <c r="V7" s="10">
        <f t="shared" si="1"/>
        <v>486</v>
      </c>
      <c r="W7" s="4">
        <f>COUNTIFS(Table14681012[Range(nm)], V7, Table14681012[Type], "ACK")/COUNTIFS(Table14681012[Range(nm)], V7)</f>
        <v>0.94444444444444442</v>
      </c>
      <c r="X7" s="5">
        <f>COUNTIFS(Table14681012[Range(nm)], $V7, Table14681012[Type], "SUT Rx Error")/COUNTIFS(Table14681012[Range(nm)], $V7)</f>
        <v>0</v>
      </c>
      <c r="Y7">
        <f>AVERAGEIF(Table14681012[Range(nm)], V7, Table14681012[Corrected RSSI])</f>
        <v>-123.33333333333333</v>
      </c>
      <c r="Z7" s="3">
        <f>AVERAGEIF(Table14681012[Range(nm)], V7, Table14681012[SNR])</f>
        <v>-19.149999999999991</v>
      </c>
      <c r="AA7" s="4">
        <f>COUNTIFS(Table25791113[Range(nm)], V7, Table25791113[Type], "ACK")/COUNTIFS(Table25791113[Range(nm)], V7)</f>
        <v>1</v>
      </c>
      <c r="AB7" s="5">
        <f>COUNTIFS(Table25791113[Range(nm)], $V7, Table25791113[Type], "SUT Rx Error")/COUNTIFS(Table25791113[Range(nm)], $V7)</f>
        <v>0</v>
      </c>
      <c r="AC7">
        <f>AVERAGEIF(Table25791113[Range(nm)], V7, Table25791113[Corrected RSSI])</f>
        <v>-123.38888888888889</v>
      </c>
      <c r="AD7" s="3">
        <f>AVERAGEIF(Table25791113[Range(nm)], V7, Table25791113[SNR])</f>
        <v>-19.099999999999998</v>
      </c>
    </row>
    <row r="8" spans="2:30" x14ac:dyDescent="0.25">
      <c r="C8">
        <f>MINUTE(Table14681012[[#This Row],[Corrected time]])</f>
        <v>33</v>
      </c>
      <c r="D8" s="1">
        <v>0.73152714120370366</v>
      </c>
      <c r="E8" s="1">
        <f>Table14681012[[#This Row],[Time]]-TIME(0,0,9)</f>
        <v>0.73142297453703697</v>
      </c>
      <c r="F8" t="s">
        <v>9</v>
      </c>
      <c r="G8" t="s">
        <v>12</v>
      </c>
      <c r="H8">
        <f t="shared" si="0"/>
        <v>-123</v>
      </c>
      <c r="I8">
        <v>-18.3</v>
      </c>
      <c r="M8">
        <f>MINUTE(Table25791113[[#This Row],[Corrected time]])</f>
        <v>49</v>
      </c>
      <c r="N8" s="1">
        <v>0.61789162037037038</v>
      </c>
      <c r="O8" s="1">
        <f>Table25791113[[#This Row],[Time]]-TIME(0,0,3)</f>
        <v>0.61785689814814815</v>
      </c>
      <c r="P8" t="s">
        <v>9</v>
      </c>
      <c r="Q8">
        <v>-123</v>
      </c>
      <c r="R8">
        <f>Table25791113[[#This Row],[RSSI]]</f>
        <v>-123</v>
      </c>
      <c r="S8">
        <v>-19.3</v>
      </c>
      <c r="V8" s="10">
        <f t="shared" si="1"/>
        <v>488</v>
      </c>
      <c r="W8" s="4">
        <f>COUNTIFS(Table14681012[Range(nm)], V8, Table14681012[Type], "ACK")/COUNTIFS(Table14681012[Range(nm)], V8)</f>
        <v>0.94444444444444442</v>
      </c>
      <c r="X8" s="5">
        <f>COUNTIFS(Table14681012[Range(nm)], $V8, Table14681012[Type], "SUT Rx Error")/COUNTIFS(Table14681012[Range(nm)], $V8)</f>
        <v>0</v>
      </c>
      <c r="Y8">
        <f>AVERAGEIF(Table14681012[Range(nm)], V8, Table14681012[Corrected RSSI])</f>
        <v>-123.22222222222223</v>
      </c>
      <c r="Z8" s="3">
        <f>AVERAGEIF(Table14681012[Range(nm)], V8, Table14681012[SNR])</f>
        <v>-19.027777777777775</v>
      </c>
      <c r="AA8" s="4">
        <f>COUNTIFS(Table25791113[Range(nm)], V8, Table25791113[Type], "ACK")/COUNTIFS(Table25791113[Range(nm)], V8)</f>
        <v>0.97222222222222221</v>
      </c>
      <c r="AB8" s="5">
        <f>COUNTIFS(Table25791113[Range(nm)], $V8, Table25791113[Type], "SUT Rx Error")/COUNTIFS(Table25791113[Range(nm)], $V8)</f>
        <v>0</v>
      </c>
      <c r="AC8">
        <f>AVERAGEIF(Table25791113[Range(nm)], V8, Table25791113[Corrected RSSI])</f>
        <v>-123.27777777777777</v>
      </c>
      <c r="AD8" s="3">
        <f>AVERAGEIF(Table25791113[Range(nm)], V8, Table25791113[SNR])</f>
        <v>-18.852777777777774</v>
      </c>
    </row>
    <row r="9" spans="2:30" x14ac:dyDescent="0.25">
      <c r="C9">
        <f>MINUTE(Table14681012[[#This Row],[Corrected time]])</f>
        <v>33</v>
      </c>
      <c r="D9" s="1">
        <v>0.73154637731481487</v>
      </c>
      <c r="E9" s="1">
        <f>Table14681012[[#This Row],[Time]]-TIME(0,0,9)</f>
        <v>0.73144221064814818</v>
      </c>
      <c r="F9" t="s">
        <v>9</v>
      </c>
      <c r="G9" t="s">
        <v>12</v>
      </c>
      <c r="H9">
        <f t="shared" si="0"/>
        <v>-123</v>
      </c>
      <c r="I9">
        <v>-18.5</v>
      </c>
      <c r="M9">
        <f>MINUTE(Table25791113[[#This Row],[Corrected time]])</f>
        <v>49</v>
      </c>
      <c r="N9" s="1">
        <v>0.61791085648148147</v>
      </c>
      <c r="O9" s="1">
        <f>Table25791113[[#This Row],[Time]]-TIME(0,0,3)</f>
        <v>0.61787613425925925</v>
      </c>
      <c r="P9" t="s">
        <v>9</v>
      </c>
      <c r="Q9">
        <v>-123</v>
      </c>
      <c r="R9">
        <f>Table25791113[[#This Row],[RSSI]]</f>
        <v>-123</v>
      </c>
      <c r="S9">
        <v>-18.3</v>
      </c>
      <c r="V9" s="10">
        <f t="shared" si="1"/>
        <v>490</v>
      </c>
      <c r="W9" s="4">
        <f>COUNTIFS(Table14681012[Range(nm)], V9, Table14681012[Type], "ACK")/COUNTIFS(Table14681012[Range(nm)], V9)</f>
        <v>0.97222222222222221</v>
      </c>
      <c r="X9" s="5">
        <f>COUNTIFS(Table14681012[Range(nm)], $V9, Table14681012[Type], "SUT Rx Error")/COUNTIFS(Table14681012[Range(nm)], $V9)</f>
        <v>0</v>
      </c>
      <c r="Y9">
        <f>AVERAGEIF(Table14681012[Range(nm)], V9, Table14681012[Corrected RSSI])</f>
        <v>-123.38888888888889</v>
      </c>
      <c r="Z9" s="3">
        <f>AVERAGEIF(Table14681012[Range(nm)], V9, Table14681012[SNR])</f>
        <v>-18.99444444444444</v>
      </c>
      <c r="AA9" s="4">
        <f>COUNTIFS(Table25791113[Range(nm)], V9, Table25791113[Type], "ACK")/COUNTIFS(Table25791113[Range(nm)], V9)</f>
        <v>0.97222222222222221</v>
      </c>
      <c r="AB9" s="5">
        <f>COUNTIFS(Table25791113[Range(nm)], $V9, Table25791113[Type], "SUT Rx Error")/COUNTIFS(Table25791113[Range(nm)], $V9)</f>
        <v>0</v>
      </c>
      <c r="AC9">
        <f>AVERAGEIF(Table25791113[Range(nm)], V9, Table25791113[Corrected RSSI])</f>
        <v>-123.41666666666667</v>
      </c>
      <c r="AD9" s="3">
        <f>AVERAGEIF(Table25791113[Range(nm)], V9, Table25791113[SNR])</f>
        <v>-19.083333333333329</v>
      </c>
    </row>
    <row r="10" spans="2:30" x14ac:dyDescent="0.25">
      <c r="C10">
        <f>MINUTE(Table14681012[[#This Row],[Corrected time]])</f>
        <v>33</v>
      </c>
      <c r="D10" s="1">
        <v>0.73156563657407403</v>
      </c>
      <c r="E10" s="1">
        <f>Table14681012[[#This Row],[Time]]-TIME(0,0,9)</f>
        <v>0.73146146990740735</v>
      </c>
      <c r="F10" t="s">
        <v>9</v>
      </c>
      <c r="G10" t="s">
        <v>19</v>
      </c>
      <c r="H10">
        <f t="shared" si="0"/>
        <v>-124</v>
      </c>
      <c r="I10">
        <v>-19</v>
      </c>
      <c r="M10">
        <f>MINUTE(Table25791113[[#This Row],[Corrected time]])</f>
        <v>49</v>
      </c>
      <c r="N10" s="1">
        <v>0.61793011574074075</v>
      </c>
      <c r="O10" s="1">
        <f>Table25791113[[#This Row],[Time]]-TIME(0,0,3)</f>
        <v>0.61789539351851852</v>
      </c>
      <c r="P10" t="s">
        <v>9</v>
      </c>
      <c r="Q10">
        <v>-123</v>
      </c>
      <c r="R10">
        <f>Table25791113[[#This Row],[RSSI]]</f>
        <v>-123</v>
      </c>
      <c r="S10">
        <v>-19</v>
      </c>
      <c r="V10" s="10">
        <f t="shared" si="1"/>
        <v>492</v>
      </c>
      <c r="W10" s="4">
        <f>COUNTIFS(Table14681012[Range(nm)], V10, Table14681012[Type], "ACK")/COUNTIFS(Table14681012[Range(nm)], V10)</f>
        <v>0.94444444444444442</v>
      </c>
      <c r="X10" s="5">
        <f>COUNTIFS(Table14681012[Range(nm)], $V10, Table14681012[Type], "SUT Rx Error")/COUNTIFS(Table14681012[Range(nm)], $V10)</f>
        <v>0</v>
      </c>
      <c r="Y10">
        <f>AVERAGEIF(Table14681012[Range(nm)], V10, Table14681012[Corrected RSSI])</f>
        <v>-123.25</v>
      </c>
      <c r="Z10" s="3">
        <f>AVERAGEIF(Table14681012[Range(nm)], V10, Table14681012[SNR])</f>
        <v>-18.972222222222214</v>
      </c>
      <c r="AA10" s="4">
        <f>COUNTIFS(Table25791113[Range(nm)], V10, Table25791113[Type], "ACK")/COUNTIFS(Table25791113[Range(nm)], V10)</f>
        <v>0.97222222222222221</v>
      </c>
      <c r="AB10" s="5">
        <f>COUNTIFS(Table25791113[Range(nm)], $V10, Table25791113[Type], "SUT Rx Error")/COUNTIFS(Table25791113[Range(nm)], $V10)</f>
        <v>0</v>
      </c>
      <c r="AC10">
        <f>AVERAGEIF(Table25791113[Range(nm)], V10, Table25791113[Corrected RSSI])</f>
        <v>-123.30555555555556</v>
      </c>
      <c r="AD10" s="3">
        <f>AVERAGEIF(Table25791113[Range(nm)], V10, Table25791113[SNR])</f>
        <v>-19.080555555555556</v>
      </c>
    </row>
    <row r="11" spans="2:30" x14ac:dyDescent="0.25">
      <c r="C11">
        <f>MINUTE(Table14681012[[#This Row],[Corrected time]])</f>
        <v>33</v>
      </c>
      <c r="D11" s="1">
        <v>0.73158487268518513</v>
      </c>
      <c r="E11" s="1">
        <f>Table14681012[[#This Row],[Time]]-TIME(0,0,9)</f>
        <v>0.73148070601851845</v>
      </c>
      <c r="F11" t="s">
        <v>9</v>
      </c>
      <c r="G11" t="s">
        <v>12</v>
      </c>
      <c r="H11">
        <f t="shared" si="0"/>
        <v>-123</v>
      </c>
      <c r="I11">
        <v>-18.8</v>
      </c>
      <c r="M11">
        <f>MINUTE(Table25791113[[#This Row],[Corrected time]])</f>
        <v>49</v>
      </c>
      <c r="N11" s="1">
        <v>0.6179493402777777</v>
      </c>
      <c r="O11" s="1">
        <f>Table25791113[[#This Row],[Time]]-TIME(0,0,3)</f>
        <v>0.61791461805555548</v>
      </c>
      <c r="P11" t="s">
        <v>9</v>
      </c>
      <c r="Q11">
        <v>-124</v>
      </c>
      <c r="R11">
        <f>Table25791113[[#This Row],[RSSI]]</f>
        <v>-124</v>
      </c>
      <c r="S11">
        <v>-19.5</v>
      </c>
      <c r="V11" s="10">
        <f t="shared" si="1"/>
        <v>494</v>
      </c>
      <c r="W11" s="4">
        <f>COUNTIFS(Table14681012[Range(nm)], V11, Table14681012[Type], "ACK")/COUNTIFS(Table14681012[Range(nm)], V11)</f>
        <v>0.88888888888888884</v>
      </c>
      <c r="X11" s="5">
        <f>COUNTIFS(Table14681012[Range(nm)], $V11, Table14681012[Type], "SUT Rx Error")/COUNTIFS(Table14681012[Range(nm)], $V11)</f>
        <v>0</v>
      </c>
      <c r="Y11">
        <f>AVERAGEIF(Table14681012[Range(nm)], V11, Table14681012[Corrected RSSI])</f>
        <v>-123.33333333333333</v>
      </c>
      <c r="Z11" s="3">
        <f>AVERAGEIF(Table14681012[Range(nm)], V11, Table14681012[SNR])</f>
        <v>-18.894444444444446</v>
      </c>
      <c r="AA11" s="4">
        <f>COUNTIFS(Table25791113[Range(nm)], V11, Table25791113[Type], "ACK")/COUNTIFS(Table25791113[Range(nm)], V11)</f>
        <v>0.97222222222222221</v>
      </c>
      <c r="AB11" s="5">
        <f>COUNTIFS(Table25791113[Range(nm)], $V11, Table25791113[Type], "SUT Rx Error")/COUNTIFS(Table25791113[Range(nm)], $V11)</f>
        <v>0</v>
      </c>
      <c r="AC11">
        <f>AVERAGEIF(Table25791113[Range(nm)], V11, Table25791113[Corrected RSSI])</f>
        <v>-123.33333333333333</v>
      </c>
      <c r="AD11" s="3">
        <f>AVERAGEIF(Table25791113[Range(nm)], V11, Table25791113[SNR])</f>
        <v>-19.177777777777774</v>
      </c>
    </row>
    <row r="12" spans="2:30" x14ac:dyDescent="0.25">
      <c r="C12">
        <f>MINUTE(Table14681012[[#This Row],[Corrected time]])</f>
        <v>33</v>
      </c>
      <c r="D12" s="1">
        <v>0.73160413194444451</v>
      </c>
      <c r="E12" s="1">
        <f>Table14681012[[#This Row],[Time]]-TIME(0,0,9)</f>
        <v>0.73149996527777783</v>
      </c>
      <c r="F12" t="s">
        <v>9</v>
      </c>
      <c r="G12" t="s">
        <v>12</v>
      </c>
      <c r="H12">
        <f t="shared" si="0"/>
        <v>-123</v>
      </c>
      <c r="I12">
        <v>-18.5</v>
      </c>
      <c r="M12">
        <f>MINUTE(Table25791113[[#This Row],[Corrected time]])</f>
        <v>49</v>
      </c>
      <c r="N12" s="1">
        <v>0.61796861111111112</v>
      </c>
      <c r="O12" s="1">
        <f>Table25791113[[#This Row],[Time]]-TIME(0,0,3)</f>
        <v>0.61793388888888889</v>
      </c>
      <c r="P12" t="s">
        <v>9</v>
      </c>
      <c r="Q12">
        <v>-123</v>
      </c>
      <c r="R12">
        <f>Table25791113[[#This Row],[RSSI]]</f>
        <v>-123</v>
      </c>
      <c r="S12">
        <v>-17.8</v>
      </c>
      <c r="V12" s="10">
        <f t="shared" si="1"/>
        <v>496</v>
      </c>
      <c r="W12" s="4">
        <f>COUNTIFS(Table14681012[Range(nm)], V12, Table14681012[Type], "ACK")/COUNTIFS(Table14681012[Range(nm)], V12)</f>
        <v>0.97222222222222221</v>
      </c>
      <c r="X12" s="5">
        <f>COUNTIFS(Table14681012[Range(nm)], $V12, Table14681012[Type], "SUT Rx Error")/COUNTIFS(Table14681012[Range(nm)], $V12)</f>
        <v>0</v>
      </c>
      <c r="Y12">
        <f>AVERAGEIF(Table14681012[Range(nm)], V12, Table14681012[Corrected RSSI])</f>
        <v>-123.30555555555556</v>
      </c>
      <c r="Z12" s="3">
        <f>AVERAGEIF(Table14681012[Range(nm)], V12, Table14681012[SNR])</f>
        <v>-18.849999999999998</v>
      </c>
      <c r="AA12" s="4">
        <f>COUNTIFS(Table25791113[Range(nm)], V12, Table25791113[Type], "ACK")/COUNTIFS(Table25791113[Range(nm)], V12)</f>
        <v>0.94444444444444442</v>
      </c>
      <c r="AB12" s="5">
        <f>COUNTIFS(Table25791113[Range(nm)], $V12, Table25791113[Type], "SUT Rx Error")/COUNTIFS(Table25791113[Range(nm)], $V12)</f>
        <v>0</v>
      </c>
      <c r="AC12">
        <f>AVERAGEIF(Table25791113[Range(nm)], V12, Table25791113[Corrected RSSI])</f>
        <v>-123.47222222222223</v>
      </c>
      <c r="AD12" s="3">
        <f>AVERAGEIF(Table25791113[Range(nm)], V12, Table25791113[SNR])</f>
        <v>-18.938888888888886</v>
      </c>
    </row>
    <row r="13" spans="2:30" x14ac:dyDescent="0.25">
      <c r="C13">
        <f>MINUTE(Table14681012[[#This Row],[Corrected time]])</f>
        <v>33</v>
      </c>
      <c r="D13" s="1">
        <v>0.73162337962962964</v>
      </c>
      <c r="E13" s="1">
        <f>Table14681012[[#This Row],[Time]]-TIME(0,0,9)</f>
        <v>0.73151921296296296</v>
      </c>
      <c r="F13" t="s">
        <v>9</v>
      </c>
      <c r="G13" t="s">
        <v>12</v>
      </c>
      <c r="H13">
        <f t="shared" si="0"/>
        <v>-123</v>
      </c>
      <c r="I13">
        <v>-18.5</v>
      </c>
      <c r="M13">
        <f>MINUTE(Table25791113[[#This Row],[Corrected time]])</f>
        <v>49</v>
      </c>
      <c r="N13" s="1">
        <v>0.61798784722222222</v>
      </c>
      <c r="O13" s="1">
        <f>Table25791113[[#This Row],[Time]]-TIME(0,0,3)</f>
        <v>0.61795312499999999</v>
      </c>
      <c r="P13" t="s">
        <v>9</v>
      </c>
      <c r="Q13">
        <v>-122</v>
      </c>
      <c r="R13">
        <f>Table25791113[[#This Row],[RSSI]]</f>
        <v>-122</v>
      </c>
      <c r="S13">
        <v>-20</v>
      </c>
      <c r="V13" s="10">
        <f t="shared" si="1"/>
        <v>498</v>
      </c>
      <c r="W13" s="4">
        <f>COUNTIFS(Table14681012[Range(nm)], V13, Table14681012[Type], "ACK")/COUNTIFS(Table14681012[Range(nm)], V13)</f>
        <v>0.97222222222222221</v>
      </c>
      <c r="X13" s="5">
        <f>COUNTIFS(Table14681012[Range(nm)], $V13, Table14681012[Type], "SUT Rx Error")/COUNTIFS(Table14681012[Range(nm)], $V13)</f>
        <v>0</v>
      </c>
      <c r="Y13">
        <f>AVERAGEIF(Table14681012[Range(nm)], V13, Table14681012[Corrected RSSI])</f>
        <v>-123.27777777777777</v>
      </c>
      <c r="Z13" s="3">
        <f>AVERAGEIF(Table14681012[Range(nm)], V13, Table14681012[SNR])</f>
        <v>-18.969444444444441</v>
      </c>
      <c r="AA13" s="4">
        <f>COUNTIFS(Table25791113[Range(nm)], V13, Table25791113[Type], "ACK")/COUNTIFS(Table25791113[Range(nm)], V13)</f>
        <v>0.94444444444444442</v>
      </c>
      <c r="AB13" s="5">
        <f>COUNTIFS(Table25791113[Range(nm)], $V13, Table25791113[Type], "SUT Rx Error")/COUNTIFS(Table25791113[Range(nm)], $V13)</f>
        <v>0</v>
      </c>
      <c r="AC13">
        <f>AVERAGEIF(Table25791113[Range(nm)], V13, Table25791113[Corrected RSSI])</f>
        <v>-123.30555555555556</v>
      </c>
      <c r="AD13" s="3">
        <f>AVERAGEIF(Table25791113[Range(nm)], V13, Table25791113[SNR])</f>
        <v>-18.858333333333331</v>
      </c>
    </row>
    <row r="14" spans="2:30" x14ac:dyDescent="0.25">
      <c r="C14">
        <f>MINUTE(Table14681012[[#This Row],[Corrected time]])</f>
        <v>33</v>
      </c>
      <c r="D14" s="1">
        <v>0.73164262731481489</v>
      </c>
      <c r="E14" s="1">
        <f>Table14681012[[#This Row],[Time]]-TIME(0,0,9)</f>
        <v>0.7315384606481482</v>
      </c>
      <c r="F14" t="s">
        <v>9</v>
      </c>
      <c r="G14" t="s">
        <v>12</v>
      </c>
      <c r="H14">
        <f t="shared" si="0"/>
        <v>-123</v>
      </c>
      <c r="I14">
        <v>-18.8</v>
      </c>
      <c r="M14">
        <f>MINUTE(Table25791113[[#This Row],[Corrected time]])</f>
        <v>49</v>
      </c>
      <c r="N14" s="1">
        <v>0.61800709490740746</v>
      </c>
      <c r="O14" s="1">
        <f>Table25791113[[#This Row],[Time]]-TIME(0,0,3)</f>
        <v>0.61797237268518523</v>
      </c>
      <c r="P14" t="s">
        <v>9</v>
      </c>
      <c r="Q14">
        <v>-123</v>
      </c>
      <c r="R14">
        <f>Table25791113[[#This Row],[RSSI]]</f>
        <v>-123</v>
      </c>
      <c r="S14">
        <v>-18.5</v>
      </c>
      <c r="V14" s="10">
        <f t="shared" si="1"/>
        <v>500</v>
      </c>
      <c r="W14" s="4">
        <f>COUNTIFS(Table14681012[Range(nm)], V14, Table14681012[Type], "ACK")/COUNTIFS(Table14681012[Range(nm)], V14)</f>
        <v>0.94444444444444442</v>
      </c>
      <c r="X14" s="5">
        <f>COUNTIFS(Table14681012[Range(nm)], $V14, Table14681012[Type], "SUT Rx Error")/COUNTIFS(Table14681012[Range(nm)], $V14)</f>
        <v>2.7777777777777776E-2</v>
      </c>
      <c r="Y14">
        <f>AVERAGEIF(Table14681012[Range(nm)], V14, Table14681012[Corrected RSSI])</f>
        <v>-125.08333333333333</v>
      </c>
      <c r="Z14" s="3">
        <f>AVERAGEIF(Table14681012[Range(nm)], V14, Table14681012[SNR])</f>
        <v>-20.700000000000003</v>
      </c>
      <c r="AA14" s="4">
        <f>COUNTIFS(Table25791113[Range(nm)], V14, Table25791113[Type], "ACK")/COUNTIFS(Table25791113[Range(nm)], V14)</f>
        <v>0.80555555555555558</v>
      </c>
      <c r="AB14" s="5">
        <f>COUNTIFS(Table25791113[Range(nm)], $V14, Table25791113[Type], "SUT Rx Error")/COUNTIFS(Table25791113[Range(nm)], $V14)</f>
        <v>0</v>
      </c>
      <c r="AC14">
        <f>AVERAGEIF(Table25791113[Range(nm)], V14, Table25791113[Corrected RSSI])</f>
        <v>-124.75</v>
      </c>
      <c r="AD14" s="3">
        <f>AVERAGEIF(Table25791113[Range(nm)], V14, Table25791113[SNR])</f>
        <v>-20.522222222222222</v>
      </c>
    </row>
    <row r="15" spans="2:30" x14ac:dyDescent="0.25">
      <c r="C15">
        <f>MINUTE(Table14681012[[#This Row],[Corrected time]])</f>
        <v>33</v>
      </c>
      <c r="D15" s="1">
        <v>0.73166187500000002</v>
      </c>
      <c r="E15" s="1">
        <f>Table14681012[[#This Row],[Time]]-TIME(0,0,9)</f>
        <v>0.73155770833333333</v>
      </c>
      <c r="F15" t="s">
        <v>9</v>
      </c>
      <c r="G15" t="s">
        <v>19</v>
      </c>
      <c r="H15">
        <f t="shared" si="0"/>
        <v>-124</v>
      </c>
      <c r="I15">
        <v>-18.8</v>
      </c>
      <c r="M15">
        <f>MINUTE(Table25791113[[#This Row],[Corrected time]])</f>
        <v>49</v>
      </c>
      <c r="N15" s="1">
        <v>0.61802634259259259</v>
      </c>
      <c r="O15" s="1">
        <f>Table25791113[[#This Row],[Time]]-TIME(0,0,3)</f>
        <v>0.61799162037037036</v>
      </c>
      <c r="P15" t="s">
        <v>9</v>
      </c>
      <c r="Q15">
        <v>-123</v>
      </c>
      <c r="R15">
        <f>Table25791113[[#This Row],[RSSI]]</f>
        <v>-123</v>
      </c>
      <c r="S15">
        <v>-18.8</v>
      </c>
      <c r="V15" s="10">
        <f t="shared" si="1"/>
        <v>502</v>
      </c>
      <c r="W15" s="4">
        <f>COUNTIFS(Table14681012[Range(nm)], V15, Table14681012[Type], "ACK")/COUNTIFS(Table14681012[Range(nm)], V15)</f>
        <v>5.5555555555555552E-2</v>
      </c>
      <c r="X15" s="5">
        <f>COUNTIFS(Table14681012[Range(nm)], $V15, Table14681012[Type], "SUT Rx Error")/COUNTIFS(Table14681012[Range(nm)], $V15)</f>
        <v>5.5555555555555552E-2</v>
      </c>
      <c r="Y15">
        <f>AVERAGEIF(Table14681012[Range(nm)], V15, Table14681012[Corrected RSSI])</f>
        <v>-127.06944444444444</v>
      </c>
      <c r="Z15" s="3">
        <f>AVERAGEIF(Table14681012[Range(nm)], V15, Table14681012[SNR])</f>
        <v>-22.402777777777779</v>
      </c>
      <c r="AA15" s="4">
        <f>COUNTIFS(Table25791113[Range(nm)], V15, Table25791113[Type], "ACK")/COUNTIFS(Table25791113[Range(nm)], V15)</f>
        <v>0.13043478260869565</v>
      </c>
      <c r="AB15" s="5">
        <f>COUNTIFS(Table25791113[Range(nm)], $V15, Table25791113[Type], "SUT Rx Error")/COUNTIFS(Table25791113[Range(nm)], $V15)</f>
        <v>0</v>
      </c>
      <c r="AC15">
        <f>AVERAGEIF(Table25791113[Range(nm)], V15, Table25791113[Corrected RSSI])</f>
        <v>-125.95652173913044</v>
      </c>
      <c r="AD15" s="3">
        <f>AVERAGEIF(Table25791113[Range(nm)], V15, Table25791113[SNR])</f>
        <v>-22.034782608695647</v>
      </c>
    </row>
    <row r="16" spans="2:30" x14ac:dyDescent="0.25">
      <c r="C16">
        <f>MINUTE(Table14681012[[#This Row],[Corrected time]])</f>
        <v>33</v>
      </c>
      <c r="D16" s="1">
        <v>0.73168112268518526</v>
      </c>
      <c r="E16" s="1">
        <f>Table14681012[[#This Row],[Time]]-TIME(0,0,9)</f>
        <v>0.73157695601851858</v>
      </c>
      <c r="F16" t="s">
        <v>9</v>
      </c>
      <c r="G16" t="s">
        <v>12</v>
      </c>
      <c r="H16">
        <f t="shared" si="0"/>
        <v>-123</v>
      </c>
      <c r="I16">
        <v>-19.5</v>
      </c>
      <c r="M16">
        <f>MINUTE(Table25791113[[#This Row],[Corrected time]])</f>
        <v>49</v>
      </c>
      <c r="N16" s="17">
        <v>0.61804560185185187</v>
      </c>
      <c r="O16" s="1">
        <f>Table25791113[[#This Row],[Time]]-TIME(0,0,3)</f>
        <v>0.61801087962962964</v>
      </c>
      <c r="P16" t="s">
        <v>9</v>
      </c>
      <c r="Q16">
        <v>-123</v>
      </c>
      <c r="R16">
        <f>Table25791113[[#This Row],[RSSI]]</f>
        <v>-123</v>
      </c>
      <c r="S16">
        <v>-18.3</v>
      </c>
      <c r="V16" s="10">
        <f t="shared" si="1"/>
        <v>504</v>
      </c>
      <c r="W16" s="4">
        <f>COUNTIFS(Table14681012[Range(nm)], V16, Table14681012[Type], "ACK")/COUNTIFS(Table14681012[Range(nm)], V16)</f>
        <v>0</v>
      </c>
      <c r="X16" s="5">
        <f>COUNTIFS(Table14681012[Range(nm)], $V16, Table14681012[Type], "SUT Rx Error")/COUNTIFS(Table14681012[Range(nm)], $V16)</f>
        <v>0</v>
      </c>
      <c r="Y16">
        <f>AVERAGEIF(Table14681012[Range(nm)], V16, Table14681012[Corrected RSSI])</f>
        <v>-127</v>
      </c>
      <c r="Z16" s="3">
        <f>AVERAGEIF(Table14681012[Range(nm)], V16, Table14681012[SNR])</f>
        <v>-22.5</v>
      </c>
      <c r="AA16" s="4" t="e">
        <f>COUNTIFS(Table25791113[Range(nm)], V16, Table25791113[Type], "ACK")/COUNTIFS(Table25791113[Range(nm)], V16)</f>
        <v>#DIV/0!</v>
      </c>
      <c r="AB16" s="5" t="e">
        <f>COUNTIFS(Table25791113[Range(nm)], $V16, Table25791113[Type], "SUT Rx Error")/COUNTIFS(Table25791113[Range(nm)], $V16)</f>
        <v>#DIV/0!</v>
      </c>
      <c r="AC16" t="e">
        <f>AVERAGEIF(Table25791113[Range(nm)], V16, Table25791113[Corrected RSSI])</f>
        <v>#DIV/0!</v>
      </c>
      <c r="AD16" s="3" t="e">
        <f>AVERAGEIF(Table25791113[Range(nm)], V16, Table25791113[SNR])</f>
        <v>#DIV/0!</v>
      </c>
    </row>
    <row r="17" spans="2:30" x14ac:dyDescent="0.25">
      <c r="C17">
        <f>MINUTE(Table14681012[[#This Row],[Corrected time]])</f>
        <v>33</v>
      </c>
      <c r="D17" s="1">
        <v>0.73170037037037028</v>
      </c>
      <c r="E17" s="1">
        <f>Table14681012[[#This Row],[Time]]-TIME(0,0,9)</f>
        <v>0.7315962037037036</v>
      </c>
      <c r="F17" t="s">
        <v>9</v>
      </c>
      <c r="G17" t="s">
        <v>19</v>
      </c>
      <c r="H17">
        <f t="shared" si="0"/>
        <v>-124</v>
      </c>
      <c r="I17">
        <v>-18.8</v>
      </c>
      <c r="M17">
        <f>MINUTE(Table25791113[[#This Row],[Corrected time]])</f>
        <v>49</v>
      </c>
      <c r="N17" s="1">
        <v>0.61806483796296297</v>
      </c>
      <c r="O17" s="1">
        <f>Table25791113[[#This Row],[Time]]-TIME(0,0,3)</f>
        <v>0.61803011574074074</v>
      </c>
      <c r="P17" t="s">
        <v>9</v>
      </c>
      <c r="Q17">
        <v>-123</v>
      </c>
      <c r="R17">
        <f>Table25791113[[#This Row],[RSSI]]</f>
        <v>-123</v>
      </c>
      <c r="S17">
        <v>-20.3</v>
      </c>
      <c r="V17" s="10">
        <f t="shared" si="1"/>
        <v>506</v>
      </c>
      <c r="W17" s="4">
        <f>COUNTIFS(Table14681012[Range(nm)], V17, Table14681012[Type], "ACK")/COUNTIFS(Table14681012[Range(nm)], V17)</f>
        <v>0</v>
      </c>
      <c r="X17" s="5">
        <f>COUNTIFS(Table14681012[Range(nm)], $V17, Table14681012[Type], "SUT Rx Error")/COUNTIFS(Table14681012[Range(nm)], $V17)</f>
        <v>0</v>
      </c>
      <c r="Y17">
        <f>AVERAGEIF(Table14681012[Range(nm)], V17, Table14681012[Corrected RSSI])</f>
        <v>-127</v>
      </c>
      <c r="Z17" s="3">
        <f>AVERAGEIF(Table14681012[Range(nm)], V17, Table14681012[SNR])</f>
        <v>-22.5</v>
      </c>
      <c r="AA17" s="4" t="e">
        <f>COUNTIFS(Table25791113[Range(nm)], V17, Table25791113[Type], "ACK")/COUNTIFS(Table25791113[Range(nm)], V17)</f>
        <v>#DIV/0!</v>
      </c>
      <c r="AB17" s="5" t="e">
        <f>COUNTIFS(Table25791113[Range(nm)], $V17, Table25791113[Type], "SUT Rx Error")/COUNTIFS(Table25791113[Range(nm)], $V17)</f>
        <v>#DIV/0!</v>
      </c>
      <c r="AC17" t="e">
        <f>AVERAGEIF(Table25791113[Range(nm)], V17, Table25791113[Corrected RSSI])</f>
        <v>#DIV/0!</v>
      </c>
      <c r="AD17" s="3" t="e">
        <f>AVERAGEIF(Table25791113[Range(nm)], V17, Table25791113[SNR])</f>
        <v>#DIV/0!</v>
      </c>
    </row>
    <row r="18" spans="2:30" x14ac:dyDescent="0.25">
      <c r="C18">
        <f>MINUTE(Table14681012[[#This Row],[Corrected time]])</f>
        <v>33</v>
      </c>
      <c r="D18" s="1">
        <v>0.73171960648148149</v>
      </c>
      <c r="E18" s="1">
        <f>Table14681012[[#This Row],[Time]]-TIME(0,0,9)</f>
        <v>0.73161543981481481</v>
      </c>
      <c r="F18" t="s">
        <v>9</v>
      </c>
      <c r="G18" t="s">
        <v>12</v>
      </c>
      <c r="H18">
        <f t="shared" si="0"/>
        <v>-123</v>
      </c>
      <c r="I18">
        <v>-19.3</v>
      </c>
      <c r="L18">
        <f>480+2*(Table25791113[[#This Row],[min value (corrected)]]-50)</f>
        <v>478</v>
      </c>
      <c r="M18">
        <f>MINUTE(Table25791113[[#This Row],[Corrected time]])</f>
        <v>49</v>
      </c>
      <c r="N18" s="1">
        <v>0.6180840856481481</v>
      </c>
      <c r="O18" s="1">
        <f>Table25791113[[#This Row],[Time]]-TIME(0,0,3)</f>
        <v>0.61804936342592587</v>
      </c>
      <c r="P18" t="s">
        <v>9</v>
      </c>
      <c r="Q18">
        <v>-124</v>
      </c>
      <c r="R18">
        <f>Table25791113[[#This Row],[RSSI]]</f>
        <v>-124</v>
      </c>
      <c r="S18">
        <v>-19.3</v>
      </c>
      <c r="V18" s="10">
        <f t="shared" si="1"/>
        <v>508</v>
      </c>
      <c r="W18" s="4" t="e">
        <f>COUNTIFS(Table14681012[Range(nm)], V18, Table14681012[Type], "ACK")/COUNTIFS(Table14681012[Range(nm)], V18)</f>
        <v>#DIV/0!</v>
      </c>
      <c r="X18" s="5" t="e">
        <f>COUNTIFS(Table14681012[Range(nm)], $V18, Table14681012[Type], "SUT Rx Error")/COUNTIFS(Table14681012[Range(nm)], $V18)</f>
        <v>#DIV/0!</v>
      </c>
      <c r="Y18" t="e">
        <f>AVERAGEIF(Table14681012[Range(nm)], V18, Table14681012[Corrected RSSI])</f>
        <v>#DIV/0!</v>
      </c>
      <c r="Z18" s="3" t="e">
        <f>AVERAGEIF(Table14681012[Range(nm)], V18, Table14681012[SNR])</f>
        <v>#DIV/0!</v>
      </c>
      <c r="AA18" s="4" t="e">
        <f>COUNTIFS(Table25791113[Range(nm)], V18, Table25791113[Type], "ACK")/COUNTIFS(Table25791113[Range(nm)], V18)</f>
        <v>#DIV/0!</v>
      </c>
      <c r="AB18" s="5" t="e">
        <f>COUNTIFS(Table25791113[Range(nm)], $V18, Table25791113[Type], "SUT Rx Error")/COUNTIFS(Table25791113[Range(nm)], $V18)</f>
        <v>#DIV/0!</v>
      </c>
      <c r="AC18" t="e">
        <f>AVERAGEIF(Table25791113[Range(nm)], V18, Table25791113[Corrected RSSI])</f>
        <v>#DIV/0!</v>
      </c>
      <c r="AD18" s="3" t="e">
        <f>AVERAGEIF(Table25791113[Range(nm)], V18, Table25791113[SNR])</f>
        <v>#DIV/0!</v>
      </c>
    </row>
    <row r="19" spans="2:30" x14ac:dyDescent="0.25">
      <c r="C19">
        <f>MINUTE(Table14681012[[#This Row],[Corrected time]])</f>
        <v>33</v>
      </c>
      <c r="D19" s="1">
        <v>0.73173886574074076</v>
      </c>
      <c r="E19" s="1">
        <f>Table14681012[[#This Row],[Time]]-TIME(0,0,9)</f>
        <v>0.73163469907407408</v>
      </c>
      <c r="F19" t="s">
        <v>9</v>
      </c>
      <c r="G19" t="s">
        <v>12</v>
      </c>
      <c r="H19">
        <f t="shared" si="0"/>
        <v>-123</v>
      </c>
      <c r="I19">
        <v>-19.5</v>
      </c>
      <c r="L19">
        <f>480+2*(Table25791113[[#This Row],[min value (corrected)]]-50)</f>
        <v>480</v>
      </c>
      <c r="M19">
        <f>MINUTE(Table25791113[[#This Row],[Corrected time]])</f>
        <v>50</v>
      </c>
      <c r="N19" s="1">
        <v>0.61810334490740737</v>
      </c>
      <c r="O19" s="2">
        <f>Table25791113[[#This Row],[Time]]-TIME(0,0,3)</f>
        <v>0.61806862268518514</v>
      </c>
      <c r="P19" t="s">
        <v>9</v>
      </c>
      <c r="Q19">
        <v>-123</v>
      </c>
      <c r="R19">
        <f>Table25791113[[#This Row],[RSSI]]</f>
        <v>-123</v>
      </c>
      <c r="S19">
        <v>-18</v>
      </c>
      <c r="V19" s="10">
        <f t="shared" si="1"/>
        <v>510</v>
      </c>
      <c r="W19" s="4" t="e">
        <f>COUNTIFS(Table14681012[Range(nm)], V19, Table14681012[Type], "ACK")/COUNTIFS(Table14681012[Range(nm)], V19)</f>
        <v>#DIV/0!</v>
      </c>
      <c r="X19" s="5" t="e">
        <f>COUNTIFS(Table14681012[Range(nm)], $V19, Table14681012[Type], "SUT Rx Error")/COUNTIFS(Table14681012[Range(nm)], $V19)</f>
        <v>#DIV/0!</v>
      </c>
      <c r="Y19" t="e">
        <f>AVERAGEIF(Table14681012[Range(nm)], V19, Table14681012[Corrected RSSI])</f>
        <v>#DIV/0!</v>
      </c>
      <c r="Z19" s="3" t="e">
        <f>AVERAGEIF(Table14681012[Range(nm)], V19, Table14681012[SNR])</f>
        <v>#DIV/0!</v>
      </c>
      <c r="AA19" s="4" t="e">
        <f>COUNTIFS(Table25791113[Range(nm)], V19, Table25791113[Type], "ACK")/COUNTIFS(Table25791113[Range(nm)], V19)</f>
        <v>#DIV/0!</v>
      </c>
      <c r="AB19" s="5" t="e">
        <f>COUNTIFS(Table25791113[Range(nm)], $V19, Table25791113[Type], "SUT Rx Error")/COUNTIFS(Table25791113[Range(nm)], $V19)</f>
        <v>#DIV/0!</v>
      </c>
      <c r="AC19" t="e">
        <f>AVERAGEIF(Table25791113[Range(nm)], V19, Table25791113[Corrected RSSI])</f>
        <v>#DIV/0!</v>
      </c>
      <c r="AD19" s="3" t="e">
        <f>AVERAGEIF(Table25791113[Range(nm)], V19, Table25791113[SNR])</f>
        <v>#DIV/0!</v>
      </c>
    </row>
    <row r="20" spans="2:30" x14ac:dyDescent="0.25">
      <c r="C20">
        <f>MINUTE(Table14681012[[#This Row],[Corrected time]])</f>
        <v>33</v>
      </c>
      <c r="D20" s="1">
        <v>0.73175811342592589</v>
      </c>
      <c r="E20" s="1">
        <f>Table14681012[[#This Row],[Time]]-TIME(0,0,9)</f>
        <v>0.73165394675925921</v>
      </c>
      <c r="F20" t="s">
        <v>9</v>
      </c>
      <c r="G20" t="s">
        <v>19</v>
      </c>
      <c r="H20">
        <f t="shared" si="0"/>
        <v>-124</v>
      </c>
      <c r="I20">
        <v>-19.3</v>
      </c>
      <c r="L20">
        <f>480+2*(Table25791113[[#This Row],[min value (corrected)]]-50)</f>
        <v>480</v>
      </c>
      <c r="M20">
        <f>MINUTE(Table25791113[[#This Row],[Corrected time]])</f>
        <v>50</v>
      </c>
      <c r="N20" s="1">
        <v>0.61812258101851847</v>
      </c>
      <c r="O20" s="1">
        <f>Table25791113[[#This Row],[Time]]-TIME(0,0,3)</f>
        <v>0.61808785879629624</v>
      </c>
      <c r="P20" t="s">
        <v>9</v>
      </c>
      <c r="Q20">
        <v>-124</v>
      </c>
      <c r="R20">
        <f>Table25791113[[#This Row],[RSSI]]</f>
        <v>-124</v>
      </c>
      <c r="S20">
        <v>-19</v>
      </c>
      <c r="V20" s="10">
        <f t="shared" si="1"/>
        <v>512</v>
      </c>
      <c r="W20" s="4" t="e">
        <f>COUNTIFS(Table14681012[Range(nm)], V20, Table14681012[Type], "ACK")/COUNTIFS(Table14681012[Range(nm)], V20)</f>
        <v>#DIV/0!</v>
      </c>
      <c r="X20" s="5" t="e">
        <f>COUNTIFS(Table14681012[Range(nm)], $V20, Table14681012[Type], "SUT Rx Error")/COUNTIFS(Table14681012[Range(nm)], $V20)</f>
        <v>#DIV/0!</v>
      </c>
      <c r="Y20" t="e">
        <f>AVERAGEIF(Table14681012[Range(nm)], V20, Table14681012[Corrected RSSI])</f>
        <v>#DIV/0!</v>
      </c>
      <c r="Z20" s="3" t="e">
        <f>AVERAGEIF(Table14681012[Range(nm)], V20, Table14681012[SNR])</f>
        <v>#DIV/0!</v>
      </c>
      <c r="AA20" s="4" t="e">
        <f>COUNTIFS(Table25791113[Range(nm)], V20, Table25791113[Type], "ACK")/COUNTIFS(Table25791113[Range(nm)], V20)</f>
        <v>#DIV/0!</v>
      </c>
      <c r="AB20" s="5" t="e">
        <f>COUNTIFS(Table25791113[Range(nm)], $V20, Table25791113[Type], "SUT Rx Error")/COUNTIFS(Table25791113[Range(nm)], $V20)</f>
        <v>#DIV/0!</v>
      </c>
      <c r="AC20" t="e">
        <f>AVERAGEIF(Table25791113[Range(nm)], V20, Table25791113[Corrected RSSI])</f>
        <v>#DIV/0!</v>
      </c>
      <c r="AD20" s="3" t="e">
        <f>AVERAGEIF(Table25791113[Range(nm)], V20, Table25791113[SNR])</f>
        <v>#DIV/0!</v>
      </c>
    </row>
    <row r="21" spans="2:30" x14ac:dyDescent="0.25">
      <c r="B21">
        <f>480+2*(Table14681012[[#This Row],[min value (corrected)]]-34)</f>
        <v>478</v>
      </c>
      <c r="C21">
        <f>MINUTE(Table14681012[[#This Row],[Corrected time]])</f>
        <v>33</v>
      </c>
      <c r="D21" s="1">
        <v>0.73177736111111114</v>
      </c>
      <c r="E21" s="1">
        <f>Table14681012[[#This Row],[Time]]-TIME(0,0,9)</f>
        <v>0.73167319444444445</v>
      </c>
      <c r="F21" t="s">
        <v>9</v>
      </c>
      <c r="G21" t="s">
        <v>19</v>
      </c>
      <c r="H21">
        <f t="shared" si="0"/>
        <v>-124</v>
      </c>
      <c r="I21">
        <v>-19</v>
      </c>
      <c r="L21">
        <f>480+2*(Table25791113[[#This Row],[min value (corrected)]]-50)</f>
        <v>480</v>
      </c>
      <c r="M21">
        <f>MINUTE(Table25791113[[#This Row],[Corrected time]])</f>
        <v>50</v>
      </c>
      <c r="N21" s="1">
        <v>0.61814181712962968</v>
      </c>
      <c r="O21" s="1">
        <f>Table25791113[[#This Row],[Time]]-TIME(0,0,3)</f>
        <v>0.61810709490740745</v>
      </c>
      <c r="P21" t="s">
        <v>9</v>
      </c>
      <c r="Q21">
        <v>-123</v>
      </c>
      <c r="R21">
        <f>Table25791113[[#This Row],[RSSI]]</f>
        <v>-123</v>
      </c>
      <c r="S21">
        <v>-19.5</v>
      </c>
      <c r="V21" s="10">
        <f t="shared" si="1"/>
        <v>514</v>
      </c>
      <c r="W21" s="4" t="e">
        <f>COUNTIFS(Table14681012[Range(nm)], V21, Table14681012[Type], "ACK")/COUNTIFS(Table14681012[Range(nm)], V21)</f>
        <v>#DIV/0!</v>
      </c>
      <c r="X21" s="5" t="e">
        <f>COUNTIFS(Table14681012[Range(nm)], $V21, Table14681012[Type], "SUT Rx Error")/COUNTIFS(Table14681012[Range(nm)], $V21)</f>
        <v>#DIV/0!</v>
      </c>
      <c r="Y21" t="e">
        <f>AVERAGEIF(Table14681012[Range(nm)], V21, Table14681012[Corrected RSSI])</f>
        <v>#DIV/0!</v>
      </c>
      <c r="Z21" s="3" t="e">
        <f>AVERAGEIF(Table14681012[Range(nm)], V21, Table14681012[SNR])</f>
        <v>#DIV/0!</v>
      </c>
      <c r="AA21" s="4" t="e">
        <f>COUNTIFS(Table25791113[Range(nm)], V21, Table25791113[Type], "ACK")/COUNTIFS(Table25791113[Range(nm)], V21)</f>
        <v>#DIV/0!</v>
      </c>
      <c r="AB21" s="5" t="e">
        <f>COUNTIFS(Table25791113[Range(nm)], $V21, Table25791113[Type], "SUT Rx Error")/COUNTIFS(Table25791113[Range(nm)], $V21)</f>
        <v>#DIV/0!</v>
      </c>
      <c r="AC21" t="e">
        <f>AVERAGEIF(Table25791113[Range(nm)], V21, Table25791113[Corrected RSSI])</f>
        <v>#DIV/0!</v>
      </c>
      <c r="AD21" s="3" t="e">
        <f>AVERAGEIF(Table25791113[Range(nm)], V21, Table25791113[SNR])</f>
        <v>#DIV/0!</v>
      </c>
    </row>
    <row r="22" spans="2:30" x14ac:dyDescent="0.25">
      <c r="B22">
        <f>480+2*(Table14681012[[#This Row],[min value (corrected)]]-34)</f>
        <v>478</v>
      </c>
      <c r="C22">
        <f>MINUTE(Table14681012[[#This Row],[Corrected time]])</f>
        <v>33</v>
      </c>
      <c r="D22" s="1">
        <v>0.73179660879629627</v>
      </c>
      <c r="E22" s="1">
        <f>Table14681012[[#This Row],[Time]]-TIME(0,0,9)</f>
        <v>0.73169244212962958</v>
      </c>
      <c r="F22" t="s">
        <v>9</v>
      </c>
      <c r="G22" t="s">
        <v>12</v>
      </c>
      <c r="H22">
        <f t="shared" ref="H22:H85" si="2">VALUE(LEFT(G22,LEN(G22)-1))</f>
        <v>-123</v>
      </c>
      <c r="I22">
        <v>-18.8</v>
      </c>
      <c r="L22">
        <f>480+2*(Table25791113[[#This Row],[min value (corrected)]]-50)</f>
        <v>480</v>
      </c>
      <c r="M22">
        <f>MINUTE(Table25791113[[#This Row],[Corrected time]])</f>
        <v>50</v>
      </c>
      <c r="N22" s="1">
        <v>0.61816107638888884</v>
      </c>
      <c r="O22" s="1">
        <f>Table25791113[[#This Row],[Time]]-TIME(0,0,3)</f>
        <v>0.61812635416666661</v>
      </c>
      <c r="P22" t="s">
        <v>9</v>
      </c>
      <c r="Q22">
        <v>-123</v>
      </c>
      <c r="R22">
        <f>Table25791113[[#This Row],[RSSI]]</f>
        <v>-123</v>
      </c>
      <c r="S22">
        <v>-18.5</v>
      </c>
      <c r="V22" s="10">
        <f t="shared" si="1"/>
        <v>516</v>
      </c>
      <c r="W22" s="4" t="e">
        <f>COUNTIFS(Table14681012[Range(nm)], V22, Table14681012[Type], "ACK")/COUNTIFS(Table14681012[Range(nm)], V22)</f>
        <v>#DIV/0!</v>
      </c>
      <c r="X22" s="5" t="e">
        <f>COUNTIFS(Table14681012[Range(nm)], $V22, Table14681012[Type], "SUT Rx Error")/COUNTIFS(Table14681012[Range(nm)], $V22)</f>
        <v>#DIV/0!</v>
      </c>
      <c r="Y22" t="e">
        <f>AVERAGEIF(Table14681012[Range(nm)], V22, Table14681012[Corrected RSSI])</f>
        <v>#DIV/0!</v>
      </c>
      <c r="Z22" s="3" t="e">
        <f>AVERAGEIF(Table14681012[Range(nm)], V22, Table14681012[SNR])</f>
        <v>#DIV/0!</v>
      </c>
      <c r="AA22" s="4" t="e">
        <f>COUNTIFS(Table25791113[Range(nm)], V22, Table25791113[Type], "ACK")/COUNTIFS(Table25791113[Range(nm)], V22)</f>
        <v>#DIV/0!</v>
      </c>
      <c r="AB22" s="5" t="e">
        <f>COUNTIFS(Table25791113[Range(nm)], $V22, Table25791113[Type], "SUT Rx Error")/COUNTIFS(Table25791113[Range(nm)], $V22)</f>
        <v>#DIV/0!</v>
      </c>
      <c r="AC22" t="e">
        <f>AVERAGEIF(Table25791113[Range(nm)], V22, Table25791113[Corrected RSSI])</f>
        <v>#DIV/0!</v>
      </c>
      <c r="AD22" s="3" t="e">
        <f>AVERAGEIF(Table25791113[Range(nm)], V22, Table25791113[SNR])</f>
        <v>#DIV/0!</v>
      </c>
    </row>
    <row r="23" spans="2:30" x14ac:dyDescent="0.25">
      <c r="B23">
        <f>480+2*(Table14681012[[#This Row],[min value (corrected)]]-34)</f>
        <v>478</v>
      </c>
      <c r="C23">
        <f>MINUTE(Table14681012[[#This Row],[Corrected time]])</f>
        <v>33</v>
      </c>
      <c r="D23" s="1">
        <v>0.73181585648148151</v>
      </c>
      <c r="E23" s="1">
        <f>Table14681012[[#This Row],[Time]]-TIME(0,0,9)</f>
        <v>0.73171168981481483</v>
      </c>
      <c r="F23" t="s">
        <v>9</v>
      </c>
      <c r="G23" t="s">
        <v>12</v>
      </c>
      <c r="H23">
        <f t="shared" si="2"/>
        <v>-123</v>
      </c>
      <c r="I23">
        <v>-18.5</v>
      </c>
      <c r="L23">
        <f>480+2*(Table25791113[[#This Row],[min value (corrected)]]-50)</f>
        <v>480</v>
      </c>
      <c r="M23">
        <f>MINUTE(Table25791113[[#This Row],[Corrected time]])</f>
        <v>50</v>
      </c>
      <c r="N23" s="1">
        <v>0.61818032407407408</v>
      </c>
      <c r="O23" s="1">
        <f>Table25791113[[#This Row],[Time]]-TIME(0,0,3)</f>
        <v>0.61814560185185186</v>
      </c>
      <c r="P23" t="s">
        <v>9</v>
      </c>
      <c r="Q23">
        <v>-123</v>
      </c>
      <c r="R23">
        <f>Table25791113[[#This Row],[RSSI]]</f>
        <v>-123</v>
      </c>
      <c r="S23">
        <v>-19</v>
      </c>
      <c r="V23" s="10">
        <f t="shared" si="1"/>
        <v>518</v>
      </c>
      <c r="W23" s="4" t="e">
        <f>COUNTIFS(Table14681012[Range(nm)], V23, Table14681012[Type], "ACK")/COUNTIFS(Table14681012[Range(nm)], V23)</f>
        <v>#DIV/0!</v>
      </c>
      <c r="X23" s="5" t="e">
        <f>COUNTIFS(Table14681012[Range(nm)], $V23, Table14681012[Type], "SUT Rx Error")/COUNTIFS(Table14681012[Range(nm)], $V23)</f>
        <v>#DIV/0!</v>
      </c>
      <c r="Y23" t="e">
        <f>AVERAGEIF(Table14681012[Range(nm)], V23, Table14681012[Corrected RSSI])</f>
        <v>#DIV/0!</v>
      </c>
      <c r="Z23" s="3" t="e">
        <f>AVERAGEIF(Table14681012[Range(nm)], V23, Table14681012[SNR])</f>
        <v>#DIV/0!</v>
      </c>
      <c r="AA23" s="4" t="e">
        <f>COUNTIFS(Table25791113[Range(nm)], V23, Table25791113[Type], "ACK")/COUNTIFS(Table25791113[Range(nm)], V23)</f>
        <v>#DIV/0!</v>
      </c>
      <c r="AB23" s="5" t="e">
        <f>COUNTIFS(Table25791113[Range(nm)], $V23, Table25791113[Type], "SUT Rx Error")/COUNTIFS(Table25791113[Range(nm)], $V23)</f>
        <v>#DIV/0!</v>
      </c>
      <c r="AC23" t="e">
        <f>AVERAGEIF(Table25791113[Range(nm)], V23, Table25791113[Corrected RSSI])</f>
        <v>#DIV/0!</v>
      </c>
      <c r="AD23" s="3" t="e">
        <f>AVERAGEIF(Table25791113[Range(nm)], V23, Table25791113[SNR])</f>
        <v>#DIV/0!</v>
      </c>
    </row>
    <row r="24" spans="2:30" x14ac:dyDescent="0.25">
      <c r="B24">
        <f>480+2*(Table14681012[[#This Row],[min value (corrected)]]-34)</f>
        <v>478</v>
      </c>
      <c r="C24">
        <f>MINUTE(Table14681012[[#This Row],[Corrected time]])</f>
        <v>33</v>
      </c>
      <c r="D24" s="1">
        <v>0.73183510416666664</v>
      </c>
      <c r="E24" s="1">
        <f>Table14681012[[#This Row],[Time]]-TIME(0,0,9)</f>
        <v>0.73173093749999996</v>
      </c>
      <c r="F24" t="s">
        <v>9</v>
      </c>
      <c r="G24" t="s">
        <v>12</v>
      </c>
      <c r="H24">
        <f t="shared" si="2"/>
        <v>-123</v>
      </c>
      <c r="I24">
        <v>-18.8</v>
      </c>
      <c r="L24">
        <f>480+2*(Table25791113[[#This Row],[min value (corrected)]]-50)</f>
        <v>480</v>
      </c>
      <c r="M24">
        <f>MINUTE(Table25791113[[#This Row],[Corrected time]])</f>
        <v>50</v>
      </c>
      <c r="N24" s="1">
        <v>0.61819958333333336</v>
      </c>
      <c r="O24" s="1">
        <f>Table25791113[[#This Row],[Time]]-TIME(0,0,3)</f>
        <v>0.61816486111111113</v>
      </c>
      <c r="P24" t="s">
        <v>9</v>
      </c>
      <c r="Q24">
        <v>-123</v>
      </c>
      <c r="R24">
        <f>Table25791113[[#This Row],[RSSI]]</f>
        <v>-123</v>
      </c>
      <c r="S24">
        <v>-19</v>
      </c>
      <c r="V24" s="10">
        <f t="shared" si="1"/>
        <v>520</v>
      </c>
      <c r="W24" s="4" t="e">
        <f>COUNTIFS(Table14681012[Range(nm)], V24, Table14681012[Type], "ACK")/COUNTIFS(Table14681012[Range(nm)], V24)</f>
        <v>#DIV/0!</v>
      </c>
      <c r="X24" s="5" t="e">
        <f>COUNTIFS(Table14681012[Range(nm)], $V24, Table14681012[Type], "SUT Rx Error")/COUNTIFS(Table14681012[Range(nm)], $V24)</f>
        <v>#DIV/0!</v>
      </c>
      <c r="Y24" t="e">
        <f>AVERAGEIF(Table14681012[Range(nm)], V24, Table14681012[Corrected RSSI])</f>
        <v>#DIV/0!</v>
      </c>
      <c r="Z24" s="3" t="e">
        <f>AVERAGEIF(Table14681012[Range(nm)], V24, Table14681012[SNR])</f>
        <v>#DIV/0!</v>
      </c>
      <c r="AA24" s="4" t="e">
        <f>COUNTIFS(Table25791113[Range(nm)], V24, Table25791113[Type], "ACK")/COUNTIFS(Table25791113[Range(nm)], V24)</f>
        <v>#DIV/0!</v>
      </c>
      <c r="AB24" s="5" t="e">
        <f>COUNTIFS(Table25791113[Range(nm)], $V24, Table25791113[Type], "SUT Rx Error")/COUNTIFS(Table25791113[Range(nm)], $V24)</f>
        <v>#DIV/0!</v>
      </c>
      <c r="AC24" t="e">
        <f>AVERAGEIF(Table25791113[Range(nm)], V24, Table25791113[Corrected RSSI])</f>
        <v>#DIV/0!</v>
      </c>
      <c r="AD24" s="3" t="e">
        <f>AVERAGEIF(Table25791113[Range(nm)], V24, Table25791113[SNR])</f>
        <v>#DIV/0!</v>
      </c>
    </row>
    <row r="25" spans="2:30" x14ac:dyDescent="0.25">
      <c r="B25">
        <f>480+2*(Table14681012[[#This Row],[min value (corrected)]]-34)</f>
        <v>478</v>
      </c>
      <c r="C25">
        <f>MINUTE(Table14681012[[#This Row],[Corrected time]])</f>
        <v>33</v>
      </c>
      <c r="D25" s="1">
        <v>0.73185434027777774</v>
      </c>
      <c r="E25" s="1">
        <f>Table14681012[[#This Row],[Time]]-TIME(0,0,9)</f>
        <v>0.73175017361111105</v>
      </c>
      <c r="F25" t="s">
        <v>9</v>
      </c>
      <c r="G25" t="s">
        <v>19</v>
      </c>
      <c r="H25">
        <f t="shared" si="2"/>
        <v>-124</v>
      </c>
      <c r="I25">
        <v>-19</v>
      </c>
      <c r="L25">
        <f>480+2*(Table25791113[[#This Row],[min value (corrected)]]-50)</f>
        <v>480</v>
      </c>
      <c r="M25">
        <f>MINUTE(Table25791113[[#This Row],[Corrected time]])</f>
        <v>50</v>
      </c>
      <c r="N25" s="1">
        <v>0.6182188310185186</v>
      </c>
      <c r="O25" s="1">
        <f>Table25791113[[#This Row],[Time]]-TIME(0,0,3)</f>
        <v>0.61818410879629637</v>
      </c>
      <c r="P25" t="s">
        <v>9</v>
      </c>
      <c r="Q25">
        <v>-123</v>
      </c>
      <c r="R25">
        <f>Table25791113[[#This Row],[RSSI]]</f>
        <v>-123</v>
      </c>
      <c r="S25">
        <v>-18.5</v>
      </c>
      <c r="V25" s="10">
        <f t="shared" si="1"/>
        <v>522</v>
      </c>
      <c r="W25" s="4" t="e">
        <f>COUNTIFS(Table14681012[Range(nm)], V25, Table14681012[Type], "ACK")/COUNTIFS(Table14681012[Range(nm)], V25)</f>
        <v>#DIV/0!</v>
      </c>
      <c r="X25" s="5" t="e">
        <f>COUNTIFS(Table14681012[Range(nm)], $V25, Table14681012[Type], "SUT Rx Error")/COUNTIFS(Table14681012[Range(nm)], $V25)</f>
        <v>#DIV/0!</v>
      </c>
      <c r="Y25" t="e">
        <f>AVERAGEIF(Table14681012[Range(nm)], V25, Table14681012[Corrected RSSI])</f>
        <v>#DIV/0!</v>
      </c>
      <c r="Z25" s="3" t="e">
        <f>AVERAGEIF(Table14681012[Range(nm)], V25, Table14681012[SNR])</f>
        <v>#DIV/0!</v>
      </c>
      <c r="AA25" s="4" t="e">
        <f>COUNTIFS(Table25791113[Range(nm)], V25, Table25791113[Type], "ACK")/COUNTIFS(Table25791113[Range(nm)], V25)</f>
        <v>#DIV/0!</v>
      </c>
      <c r="AB25" s="5" t="e">
        <f>COUNTIFS(Table25791113[Range(nm)], $V25, Table25791113[Type], "SUT Rx Error")/COUNTIFS(Table25791113[Range(nm)], $V25)</f>
        <v>#DIV/0!</v>
      </c>
      <c r="AC25" t="e">
        <f>AVERAGEIF(Table25791113[Range(nm)], V25, Table25791113[Corrected RSSI])</f>
        <v>#DIV/0!</v>
      </c>
      <c r="AD25" s="3" t="e">
        <f>AVERAGEIF(Table25791113[Range(nm)], V25, Table25791113[SNR])</f>
        <v>#DIV/0!</v>
      </c>
    </row>
    <row r="26" spans="2:30" x14ac:dyDescent="0.25">
      <c r="B26">
        <f>480+2*(Table14681012[[#This Row],[min value (corrected)]]-34)</f>
        <v>478</v>
      </c>
      <c r="C26">
        <f>MINUTE(Table14681012[[#This Row],[Corrected time]])</f>
        <v>33</v>
      </c>
      <c r="D26" s="1">
        <v>0.73187359953703701</v>
      </c>
      <c r="E26" s="1">
        <f>Table14681012[[#This Row],[Time]]-TIME(0,0,9)</f>
        <v>0.73176943287037033</v>
      </c>
      <c r="F26" t="s">
        <v>9</v>
      </c>
      <c r="G26" t="s">
        <v>12</v>
      </c>
      <c r="H26">
        <f t="shared" si="2"/>
        <v>-123</v>
      </c>
      <c r="I26">
        <v>-19.3</v>
      </c>
      <c r="L26">
        <f>480+2*(Table25791113[[#This Row],[min value (corrected)]]-50)</f>
        <v>480</v>
      </c>
      <c r="M26">
        <f>MINUTE(Table25791113[[#This Row],[Corrected time]])</f>
        <v>50</v>
      </c>
      <c r="N26" s="1">
        <v>0.61823807870370362</v>
      </c>
      <c r="O26" s="1">
        <f>Table25791113[[#This Row],[Time]]-TIME(0,0,3)</f>
        <v>0.61820335648148139</v>
      </c>
      <c r="P26" t="s">
        <v>9</v>
      </c>
      <c r="Q26">
        <v>-124</v>
      </c>
      <c r="R26">
        <f>Table25791113[[#This Row],[RSSI]]</f>
        <v>-124</v>
      </c>
      <c r="S26">
        <v>-19.3</v>
      </c>
      <c r="V26" s="10">
        <f t="shared" si="1"/>
        <v>524</v>
      </c>
      <c r="W26" s="4" t="e">
        <f>COUNTIFS(Table14681012[Range(nm)], V26, Table14681012[Type], "ACK")/COUNTIFS(Table14681012[Range(nm)], V26)</f>
        <v>#DIV/0!</v>
      </c>
      <c r="X26" s="5" t="e">
        <f>COUNTIFS(Table14681012[Range(nm)], $V26, Table14681012[Type], "SUT Rx Error")/COUNTIFS(Table14681012[Range(nm)], $V26)</f>
        <v>#DIV/0!</v>
      </c>
      <c r="Y26" t="e">
        <f>AVERAGEIF(Table14681012[Range(nm)], V26, Table14681012[Corrected RSSI])</f>
        <v>#DIV/0!</v>
      </c>
      <c r="Z26" s="3" t="e">
        <f>AVERAGEIF(Table14681012[Range(nm)], V26, Table14681012[SNR])</f>
        <v>#DIV/0!</v>
      </c>
      <c r="AA26" s="4" t="e">
        <f>COUNTIFS(Table25791113[Range(nm)], V26, Table25791113[Type], "ACK")/COUNTIFS(Table25791113[Range(nm)], V26)</f>
        <v>#DIV/0!</v>
      </c>
      <c r="AB26" s="5" t="e">
        <f>COUNTIFS(Table25791113[Range(nm)], $V26, Table25791113[Type], "SUT Rx Error")/COUNTIFS(Table25791113[Range(nm)], $V26)</f>
        <v>#DIV/0!</v>
      </c>
      <c r="AC26" t="e">
        <f>AVERAGEIF(Table25791113[Range(nm)], V26, Table25791113[Corrected RSSI])</f>
        <v>#DIV/0!</v>
      </c>
      <c r="AD26" s="3" t="e">
        <f>AVERAGEIF(Table25791113[Range(nm)], V26, Table25791113[SNR])</f>
        <v>#DIV/0!</v>
      </c>
    </row>
    <row r="27" spans="2:30" x14ac:dyDescent="0.25">
      <c r="B27">
        <f>480+2*(Table14681012[[#This Row],[min value (corrected)]]-34)</f>
        <v>478</v>
      </c>
      <c r="C27">
        <f>MINUTE(Table14681012[[#This Row],[Corrected time]])</f>
        <v>33</v>
      </c>
      <c r="D27" s="1">
        <v>0.73189284722222225</v>
      </c>
      <c r="E27" s="1">
        <f>Table14681012[[#This Row],[Time]]-TIME(0,0,9)</f>
        <v>0.73178868055555557</v>
      </c>
      <c r="F27" t="s">
        <v>9</v>
      </c>
      <c r="G27" t="s">
        <v>12</v>
      </c>
      <c r="H27">
        <f t="shared" si="2"/>
        <v>-123</v>
      </c>
      <c r="I27">
        <v>-18.8</v>
      </c>
      <c r="L27">
        <f>480+2*(Table25791113[[#This Row],[min value (corrected)]]-50)</f>
        <v>480</v>
      </c>
      <c r="M27">
        <f>MINUTE(Table25791113[[#This Row],[Corrected time]])</f>
        <v>50</v>
      </c>
      <c r="N27" s="1">
        <v>0.61825730324074069</v>
      </c>
      <c r="O27" s="1">
        <f>Table25791113[[#This Row],[Time]]-TIME(0,0,3)</f>
        <v>0.61822258101851846</v>
      </c>
      <c r="P27" t="s">
        <v>9</v>
      </c>
      <c r="Q27">
        <v>-123</v>
      </c>
      <c r="R27">
        <f>Table25791113[[#This Row],[RSSI]]</f>
        <v>-123</v>
      </c>
      <c r="S27">
        <v>-18.5</v>
      </c>
      <c r="V27" s="10">
        <f t="shared" si="1"/>
        <v>526</v>
      </c>
      <c r="W27" s="4" t="e">
        <f>COUNTIFS(Table14681012[Range(nm)], V27, Table14681012[Type], "ACK")/COUNTIFS(Table14681012[Range(nm)], V27)</f>
        <v>#DIV/0!</v>
      </c>
      <c r="X27" s="5" t="e">
        <f>COUNTIFS(Table14681012[Range(nm)], $V27, Table14681012[Type], "SUT Rx Error")/COUNTIFS(Table14681012[Range(nm)], $V27)</f>
        <v>#DIV/0!</v>
      </c>
      <c r="Y27" t="e">
        <f>AVERAGEIF(Table14681012[Range(nm)], V27, Table14681012[Corrected RSSI])</f>
        <v>#DIV/0!</v>
      </c>
      <c r="Z27" s="3" t="e">
        <f>AVERAGEIF(Table14681012[Range(nm)], V27, Table14681012[SNR])</f>
        <v>#DIV/0!</v>
      </c>
      <c r="AA27" s="4" t="e">
        <f>COUNTIFS(Table25791113[Range(nm)], V27, Table25791113[Type], "ACK")/COUNTIFS(Table25791113[Range(nm)], V27)</f>
        <v>#DIV/0!</v>
      </c>
      <c r="AB27" s="5" t="e">
        <f>COUNTIFS(Table25791113[Range(nm)], $V27, Table25791113[Type], "SUT Rx Error")/COUNTIFS(Table25791113[Range(nm)], $V27)</f>
        <v>#DIV/0!</v>
      </c>
      <c r="AC27" t="e">
        <f>AVERAGEIF(Table25791113[Range(nm)], V27, Table25791113[Corrected RSSI])</f>
        <v>#DIV/0!</v>
      </c>
      <c r="AD27" s="3" t="e">
        <f>AVERAGEIF(Table25791113[Range(nm)], V27, Table25791113[SNR])</f>
        <v>#DIV/0!</v>
      </c>
    </row>
    <row r="28" spans="2:30" x14ac:dyDescent="0.25">
      <c r="B28">
        <f>480+2*(Table14681012[[#This Row],[min value (corrected)]]-34)</f>
        <v>478</v>
      </c>
      <c r="C28">
        <f>MINUTE(Table14681012[[#This Row],[Corrected time]])</f>
        <v>33</v>
      </c>
      <c r="D28" s="1">
        <v>0.73191207175925932</v>
      </c>
      <c r="E28" s="1">
        <f>Table14681012[[#This Row],[Time]]-TIME(0,0,9)</f>
        <v>0.73180790509259264</v>
      </c>
      <c r="F28" t="s">
        <v>9</v>
      </c>
      <c r="G28" t="s">
        <v>19</v>
      </c>
      <c r="H28">
        <f t="shared" si="2"/>
        <v>-124</v>
      </c>
      <c r="I28">
        <v>-19</v>
      </c>
      <c r="L28">
        <f>480+2*(Table25791113[[#This Row],[min value (corrected)]]-50)</f>
        <v>480</v>
      </c>
      <c r="M28">
        <f>MINUTE(Table25791113[[#This Row],[Corrected time]])</f>
        <v>50</v>
      </c>
      <c r="N28" s="1">
        <v>0.61827657407407399</v>
      </c>
      <c r="O28" s="1">
        <f>Table25791113[[#This Row],[Time]]-TIME(0,0,3)</f>
        <v>0.61824185185185176</v>
      </c>
      <c r="P28" t="s">
        <v>9</v>
      </c>
      <c r="Q28">
        <v>-123</v>
      </c>
      <c r="R28">
        <f>Table25791113[[#This Row],[RSSI]]</f>
        <v>-123</v>
      </c>
      <c r="S28">
        <v>-18.5</v>
      </c>
      <c r="V28" s="10">
        <f t="shared" si="1"/>
        <v>528</v>
      </c>
      <c r="W28" s="4" t="e">
        <f>COUNTIFS(Table14681012[Range(nm)], V28, Table14681012[Type], "ACK")/COUNTIFS(Table14681012[Range(nm)], V28)</f>
        <v>#DIV/0!</v>
      </c>
      <c r="X28" s="5" t="e">
        <f>COUNTIFS(Table14681012[Range(nm)], $V28, Table14681012[Type], "SUT Rx Error")/COUNTIFS(Table14681012[Range(nm)], $V28)</f>
        <v>#DIV/0!</v>
      </c>
      <c r="Y28" t="e">
        <f>AVERAGEIF(Table14681012[Range(nm)], V28, Table14681012[Corrected RSSI])</f>
        <v>#DIV/0!</v>
      </c>
      <c r="Z28" s="3" t="e">
        <f>AVERAGEIF(Table14681012[Range(nm)], V28, Table14681012[SNR])</f>
        <v>#DIV/0!</v>
      </c>
      <c r="AA28" s="4" t="e">
        <f>COUNTIFS(Table25791113[Range(nm)], V28, Table25791113[Type], "ACK")/COUNTIFS(Table25791113[Range(nm)], V28)</f>
        <v>#DIV/0!</v>
      </c>
      <c r="AB28" s="5" t="e">
        <f>COUNTIFS(Table25791113[Range(nm)], $V28, Table25791113[Type], "SUT Rx Error")/COUNTIFS(Table25791113[Range(nm)], $V28)</f>
        <v>#DIV/0!</v>
      </c>
      <c r="AC28" t="e">
        <f>AVERAGEIF(Table25791113[Range(nm)], V28, Table25791113[Corrected RSSI])</f>
        <v>#DIV/0!</v>
      </c>
      <c r="AD28" s="3" t="e">
        <f>AVERAGEIF(Table25791113[Range(nm)], V28, Table25791113[SNR])</f>
        <v>#DIV/0!</v>
      </c>
    </row>
    <row r="29" spans="2:30" x14ac:dyDescent="0.25">
      <c r="B29">
        <f>480+2*(Table14681012[[#This Row],[min value (corrected)]]-34)</f>
        <v>478</v>
      </c>
      <c r="C29">
        <f>MINUTE(Table14681012[[#This Row],[Corrected time]])</f>
        <v>33</v>
      </c>
      <c r="D29" s="1">
        <v>0.73193134259259263</v>
      </c>
      <c r="E29" s="1">
        <f>Table14681012[[#This Row],[Time]]-TIME(0,0,9)</f>
        <v>0.73182717592592594</v>
      </c>
      <c r="F29" t="s">
        <v>9</v>
      </c>
      <c r="G29" t="s">
        <v>12</v>
      </c>
      <c r="H29">
        <f t="shared" si="2"/>
        <v>-123</v>
      </c>
      <c r="I29">
        <v>-18.8</v>
      </c>
      <c r="L29">
        <f>480+2*(Table25791113[[#This Row],[min value (corrected)]]-50)</f>
        <v>480</v>
      </c>
      <c r="M29">
        <f>MINUTE(Table25791113[[#This Row],[Corrected time]])</f>
        <v>50</v>
      </c>
      <c r="N29" s="1">
        <v>0.61829582175925923</v>
      </c>
      <c r="O29" s="1">
        <f>Table25791113[[#This Row],[Time]]-TIME(0,0,3)</f>
        <v>0.61826109953703701</v>
      </c>
      <c r="P29" t="s">
        <v>9</v>
      </c>
      <c r="Q29">
        <v>-123</v>
      </c>
      <c r="R29">
        <f>Table25791113[[#This Row],[RSSI]]</f>
        <v>-123</v>
      </c>
      <c r="S29">
        <v>-18.8</v>
      </c>
      <c r="V29" s="10">
        <f t="shared" si="1"/>
        <v>530</v>
      </c>
      <c r="W29" s="4" t="e">
        <f>COUNTIFS(Table14681012[Range(nm)], V29, Table14681012[Type], "ACK")/COUNTIFS(Table14681012[Range(nm)], V29)</f>
        <v>#DIV/0!</v>
      </c>
      <c r="X29" s="5" t="e">
        <f>COUNTIFS(Table14681012[Range(nm)], $V29, Table14681012[Type], "SUT Rx Error")/COUNTIFS(Table14681012[Range(nm)], $V29)</f>
        <v>#DIV/0!</v>
      </c>
      <c r="Y29" t="e">
        <f>AVERAGEIF(Table14681012[Range(nm)], V29, Table14681012[Corrected RSSI])</f>
        <v>#DIV/0!</v>
      </c>
      <c r="Z29" s="3" t="e">
        <f>AVERAGEIF(Table14681012[Range(nm)], V29, Table14681012[SNR])</f>
        <v>#DIV/0!</v>
      </c>
      <c r="AA29" s="4" t="e">
        <f>COUNTIFS(Table25791113[Range(nm)], V29, Table25791113[Type], "ACK")/COUNTIFS(Table25791113[Range(nm)], V29)</f>
        <v>#DIV/0!</v>
      </c>
      <c r="AB29" s="5" t="e">
        <f>COUNTIFS(Table25791113[Range(nm)], $V29, Table25791113[Type], "SUT Rx Error")/COUNTIFS(Table25791113[Range(nm)], $V29)</f>
        <v>#DIV/0!</v>
      </c>
      <c r="AC29" t="e">
        <f>AVERAGEIF(Table25791113[Range(nm)], V29, Table25791113[Corrected RSSI])</f>
        <v>#DIV/0!</v>
      </c>
      <c r="AD29" s="3" t="e">
        <f>AVERAGEIF(Table25791113[Range(nm)], V29, Table25791113[SNR])</f>
        <v>#DIV/0!</v>
      </c>
    </row>
    <row r="30" spans="2:30" x14ac:dyDescent="0.25">
      <c r="B30">
        <f>480+2*(Table14681012[[#This Row],[min value (corrected)]]-34)</f>
        <v>478</v>
      </c>
      <c r="C30">
        <f>MINUTE(Table14681012[[#This Row],[Corrected time]])</f>
        <v>33</v>
      </c>
      <c r="D30" s="17">
        <v>0.73195059027777776</v>
      </c>
      <c r="E30" s="1">
        <f>Table14681012[[#This Row],[Time]]-TIME(0,0,9)</f>
        <v>0.73184642361111107</v>
      </c>
      <c r="F30" t="s">
        <v>9</v>
      </c>
      <c r="G30" t="s">
        <v>12</v>
      </c>
      <c r="H30">
        <f t="shared" si="2"/>
        <v>-123</v>
      </c>
      <c r="I30">
        <v>-19</v>
      </c>
      <c r="L30">
        <f>480+2*(Table25791113[[#This Row],[min value (corrected)]]-50)</f>
        <v>480</v>
      </c>
      <c r="M30">
        <f>MINUTE(Table25791113[[#This Row],[Corrected time]])</f>
        <v>50</v>
      </c>
      <c r="N30" s="1">
        <v>0.61831505787037044</v>
      </c>
      <c r="O30" s="1">
        <f>Table25791113[[#This Row],[Time]]-TIME(0,0,3)</f>
        <v>0.61828033564814822</v>
      </c>
      <c r="P30" t="s">
        <v>9</v>
      </c>
      <c r="Q30">
        <v>-123</v>
      </c>
      <c r="R30">
        <f>Table25791113[[#This Row],[RSSI]]</f>
        <v>-123</v>
      </c>
      <c r="S30">
        <v>-18.3</v>
      </c>
      <c r="V30" s="10">
        <f t="shared" si="1"/>
        <v>532</v>
      </c>
      <c r="W30" s="4" t="e">
        <f>COUNTIFS(Table14681012[Range(nm)], V30, Table14681012[Type], "ACK")/COUNTIFS(Table14681012[Range(nm)], V30)</f>
        <v>#DIV/0!</v>
      </c>
      <c r="X30" s="5" t="e">
        <f>COUNTIFS(Table14681012[Range(nm)], $V30, Table14681012[Type], "SUT Rx Error")/COUNTIFS(Table14681012[Range(nm)], $V30)</f>
        <v>#DIV/0!</v>
      </c>
      <c r="Y30" t="e">
        <f>AVERAGEIF(Table14681012[Range(nm)], V30, Table14681012[Corrected RSSI])</f>
        <v>#DIV/0!</v>
      </c>
      <c r="Z30" s="3" t="e">
        <f>AVERAGEIF(Table14681012[Range(nm)], V30, Table14681012[SNR])</f>
        <v>#DIV/0!</v>
      </c>
      <c r="AA30" s="4" t="e">
        <f>COUNTIFS(Table25791113[Range(nm)], V30, Table25791113[Type], "ACK")/COUNTIFS(Table25791113[Range(nm)], V30)</f>
        <v>#DIV/0!</v>
      </c>
      <c r="AB30" s="5" t="e">
        <f>COUNTIFS(Table25791113[Range(nm)], $V30, Table25791113[Type], "SUT Rx Error")/COUNTIFS(Table25791113[Range(nm)], $V30)</f>
        <v>#DIV/0!</v>
      </c>
      <c r="AC30" t="e">
        <f>AVERAGEIF(Table25791113[Range(nm)], V30, Table25791113[Corrected RSSI])</f>
        <v>#DIV/0!</v>
      </c>
      <c r="AD30" s="3" t="e">
        <f>AVERAGEIF(Table25791113[Range(nm)], V30, Table25791113[SNR])</f>
        <v>#DIV/0!</v>
      </c>
    </row>
    <row r="31" spans="2:30" x14ac:dyDescent="0.25">
      <c r="B31">
        <f>480+2*(Table14681012[[#This Row],[min value (corrected)]]-34)</f>
        <v>478</v>
      </c>
      <c r="C31">
        <f>MINUTE(Table14681012[[#This Row],[Corrected time]])</f>
        <v>33</v>
      </c>
      <c r="D31" s="1">
        <v>0.731969837962963</v>
      </c>
      <c r="E31" s="1">
        <f>Table14681012[[#This Row],[Time]]-TIME(0,0,9)</f>
        <v>0.73186567129629632</v>
      </c>
      <c r="F31" t="s">
        <v>9</v>
      </c>
      <c r="G31" t="s">
        <v>12</v>
      </c>
      <c r="H31">
        <f t="shared" si="2"/>
        <v>-123</v>
      </c>
      <c r="I31">
        <v>-18.3</v>
      </c>
      <c r="L31">
        <f>480+2*(Table25791113[[#This Row],[min value (corrected)]]-50)</f>
        <v>480</v>
      </c>
      <c r="M31">
        <f>MINUTE(Table25791113[[#This Row],[Corrected time]])</f>
        <v>50</v>
      </c>
      <c r="N31" s="1">
        <v>0.61833431712962961</v>
      </c>
      <c r="O31" s="1">
        <f>Table25791113[[#This Row],[Time]]-TIME(0,0,3)</f>
        <v>0.61829959490740738</v>
      </c>
      <c r="P31" t="s">
        <v>9</v>
      </c>
      <c r="Q31">
        <v>-124</v>
      </c>
      <c r="R31">
        <f>Table25791113[[#This Row],[RSSI]]</f>
        <v>-124</v>
      </c>
      <c r="S31">
        <v>-18.5</v>
      </c>
      <c r="V31" s="10">
        <f t="shared" si="1"/>
        <v>534</v>
      </c>
      <c r="W31" s="4" t="e">
        <f>COUNTIFS(Table14681012[Range(nm)], V31, Table14681012[Type], "ACK")/COUNTIFS(Table14681012[Range(nm)], V31)</f>
        <v>#DIV/0!</v>
      </c>
      <c r="X31" s="5" t="e">
        <f>COUNTIFS(Table14681012[Range(nm)], $V31, Table14681012[Type], "SUT Rx Error")/COUNTIFS(Table14681012[Range(nm)], $V31)</f>
        <v>#DIV/0!</v>
      </c>
      <c r="Y31" t="e">
        <f>AVERAGEIF(Table14681012[Range(nm)], V31, Table14681012[Corrected RSSI])</f>
        <v>#DIV/0!</v>
      </c>
      <c r="Z31" s="3" t="e">
        <f>AVERAGEIF(Table14681012[Range(nm)], V31, Table14681012[SNR])</f>
        <v>#DIV/0!</v>
      </c>
      <c r="AA31" s="4" t="e">
        <f>COUNTIFS(Table25791113[Range(nm)], V31, Table25791113[Type], "ACK")/COUNTIFS(Table25791113[Range(nm)], V31)</f>
        <v>#DIV/0!</v>
      </c>
      <c r="AB31" s="5" t="e">
        <f>COUNTIFS(Table25791113[Range(nm)], $V31, Table25791113[Type], "SUT Rx Error")/COUNTIFS(Table25791113[Range(nm)], $V31)</f>
        <v>#DIV/0!</v>
      </c>
      <c r="AC31" t="e">
        <f>AVERAGEIF(Table25791113[Range(nm)], V31, Table25791113[Corrected RSSI])</f>
        <v>#DIV/0!</v>
      </c>
      <c r="AD31" s="3" t="e">
        <f>AVERAGEIF(Table25791113[Range(nm)], V31, Table25791113[SNR])</f>
        <v>#DIV/0!</v>
      </c>
    </row>
    <row r="32" spans="2:30" x14ac:dyDescent="0.25">
      <c r="B32">
        <f>480+2*(Table14681012[[#This Row],[min value (corrected)]]-34)</f>
        <v>478</v>
      </c>
      <c r="C32">
        <f>MINUTE(Table14681012[[#This Row],[Corrected time]])</f>
        <v>33</v>
      </c>
      <c r="D32" s="1">
        <v>0.7319890740740741</v>
      </c>
      <c r="E32" s="1">
        <f>Table14681012[[#This Row],[Time]]-TIME(0,0,9)</f>
        <v>0.73188490740740741</v>
      </c>
      <c r="F32" t="s">
        <v>9</v>
      </c>
      <c r="G32" t="s">
        <v>12</v>
      </c>
      <c r="H32">
        <f t="shared" si="2"/>
        <v>-123</v>
      </c>
      <c r="I32">
        <v>-19.3</v>
      </c>
      <c r="L32">
        <f>480+2*(Table25791113[[#This Row],[min value (corrected)]]-50)</f>
        <v>480</v>
      </c>
      <c r="M32">
        <f>MINUTE(Table25791113[[#This Row],[Corrected time]])</f>
        <v>50</v>
      </c>
      <c r="N32" s="1">
        <v>0.61835356481481485</v>
      </c>
      <c r="O32" s="1">
        <f>Table25791113[[#This Row],[Time]]-TIME(0,0,3)</f>
        <v>0.61831884259259262</v>
      </c>
      <c r="P32" t="s">
        <v>9</v>
      </c>
      <c r="Q32">
        <v>-123</v>
      </c>
      <c r="R32">
        <f>Table25791113[[#This Row],[RSSI]]</f>
        <v>-123</v>
      </c>
      <c r="S32">
        <v>-19</v>
      </c>
      <c r="V32" s="10">
        <f t="shared" si="1"/>
        <v>536</v>
      </c>
      <c r="W32" s="4" t="e">
        <f>COUNTIFS(Table14681012[Range(nm)], V32, Table14681012[Type], "ACK")/COUNTIFS(Table14681012[Range(nm)], V32)</f>
        <v>#DIV/0!</v>
      </c>
      <c r="X32" s="5" t="e">
        <f>COUNTIFS(Table14681012[Range(nm)], $V32, Table14681012[Type], "SUT Rx Error")/COUNTIFS(Table14681012[Range(nm)], $V32)</f>
        <v>#DIV/0!</v>
      </c>
      <c r="Y32" t="e">
        <f>AVERAGEIF(Table14681012[Range(nm)], V32, Table14681012[Corrected RSSI])</f>
        <v>#DIV/0!</v>
      </c>
      <c r="Z32" s="3" t="e">
        <f>AVERAGEIF(Table14681012[Range(nm)], V32, Table14681012[SNR])</f>
        <v>#DIV/0!</v>
      </c>
      <c r="AA32" s="4" t="e">
        <f>COUNTIFS(Table25791113[Range(nm)], V32, Table25791113[Type], "ACK")/COUNTIFS(Table25791113[Range(nm)], V32)</f>
        <v>#DIV/0!</v>
      </c>
      <c r="AB32" s="5" t="e">
        <f>COUNTIFS(Table25791113[Range(nm)], $V32, Table25791113[Type], "SUT Rx Error")/COUNTIFS(Table25791113[Range(nm)], $V32)</f>
        <v>#DIV/0!</v>
      </c>
      <c r="AC32" t="e">
        <f>AVERAGEIF(Table25791113[Range(nm)], V32, Table25791113[Corrected RSSI])</f>
        <v>#DIV/0!</v>
      </c>
      <c r="AD32" s="3" t="e">
        <f>AVERAGEIF(Table25791113[Range(nm)], V32, Table25791113[SNR])</f>
        <v>#DIV/0!</v>
      </c>
    </row>
    <row r="33" spans="2:30" x14ac:dyDescent="0.25">
      <c r="B33">
        <f>480+2*(Table14681012[[#This Row],[min value (corrected)]]-34)</f>
        <v>478</v>
      </c>
      <c r="C33">
        <f>MINUTE(Table14681012[[#This Row],[Corrected time]])</f>
        <v>33</v>
      </c>
      <c r="D33" s="1">
        <v>0.73200833333333326</v>
      </c>
      <c r="E33" s="1">
        <f>Table14681012[[#This Row],[Time]]-TIME(0,0,9)</f>
        <v>0.73190416666666658</v>
      </c>
      <c r="F33" t="s">
        <v>9</v>
      </c>
      <c r="G33" t="s">
        <v>12</v>
      </c>
      <c r="H33">
        <f t="shared" si="2"/>
        <v>-123</v>
      </c>
      <c r="I33">
        <v>-19.3</v>
      </c>
      <c r="L33">
        <f>480+2*(Table25791113[[#This Row],[min value (corrected)]]-50)</f>
        <v>480</v>
      </c>
      <c r="M33">
        <f>MINUTE(Table25791113[[#This Row],[Corrected time]])</f>
        <v>50</v>
      </c>
      <c r="N33" s="1">
        <v>0.61837280092592595</v>
      </c>
      <c r="O33" s="1">
        <f>Table25791113[[#This Row],[Time]]-TIME(0,0,3)</f>
        <v>0.61833807870370372</v>
      </c>
      <c r="P33" t="s">
        <v>9</v>
      </c>
      <c r="Q33">
        <v>-123</v>
      </c>
      <c r="R33">
        <f>Table25791113[[#This Row],[RSSI]]</f>
        <v>-123</v>
      </c>
      <c r="S33">
        <v>-18.3</v>
      </c>
      <c r="V33" s="10">
        <f t="shared" si="1"/>
        <v>538</v>
      </c>
      <c r="W33" s="4" t="e">
        <f>COUNTIFS(Table14681012[Range(nm)], V33, Table14681012[Type], "ACK")/COUNTIFS(Table14681012[Range(nm)], V33)</f>
        <v>#DIV/0!</v>
      </c>
      <c r="X33" s="5" t="e">
        <f>COUNTIFS(Table14681012[Range(nm)], $V33, Table14681012[Type], "SUT Rx Error")/COUNTIFS(Table14681012[Range(nm)], $V33)</f>
        <v>#DIV/0!</v>
      </c>
      <c r="Y33" t="e">
        <f>AVERAGEIF(Table14681012[Range(nm)], V33, Table14681012[Corrected RSSI])</f>
        <v>#DIV/0!</v>
      </c>
      <c r="Z33" s="3" t="e">
        <f>AVERAGEIF(Table14681012[Range(nm)], V33, Table14681012[SNR])</f>
        <v>#DIV/0!</v>
      </c>
      <c r="AA33" s="4" t="e">
        <f>COUNTIFS(Table25791113[Range(nm)], V33, Table25791113[Type], "ACK")/COUNTIFS(Table25791113[Range(nm)], V33)</f>
        <v>#DIV/0!</v>
      </c>
      <c r="AB33" s="5" t="e">
        <f>COUNTIFS(Table25791113[Range(nm)], $V33, Table25791113[Type], "SUT Rx Error")/COUNTIFS(Table25791113[Range(nm)], $V33)</f>
        <v>#DIV/0!</v>
      </c>
      <c r="AC33" t="e">
        <f>AVERAGEIF(Table25791113[Range(nm)], V33, Table25791113[Corrected RSSI])</f>
        <v>#DIV/0!</v>
      </c>
      <c r="AD33" s="3" t="e">
        <f>AVERAGEIF(Table25791113[Range(nm)], V33, Table25791113[SNR])</f>
        <v>#DIV/0!</v>
      </c>
    </row>
    <row r="34" spans="2:30" ht="15.75" thickBot="1" x14ac:dyDescent="0.3">
      <c r="B34">
        <f>480+2*(Table14681012[[#This Row],[min value (corrected)]]-34)</f>
        <v>478</v>
      </c>
      <c r="C34">
        <f>MINUTE(Table14681012[[#This Row],[Corrected time]])</f>
        <v>33</v>
      </c>
      <c r="D34" s="1">
        <v>0.73202756944444447</v>
      </c>
      <c r="E34" s="1">
        <f>Table14681012[[#This Row],[Time]]-TIME(0,0,9)</f>
        <v>0.73192340277777779</v>
      </c>
      <c r="F34" t="s">
        <v>9</v>
      </c>
      <c r="G34" t="s">
        <v>12</v>
      </c>
      <c r="H34">
        <f t="shared" si="2"/>
        <v>-123</v>
      </c>
      <c r="I34">
        <v>-18.8</v>
      </c>
      <c r="L34">
        <f>480+2*(Table25791113[[#This Row],[min value (corrected)]]-50)</f>
        <v>480</v>
      </c>
      <c r="M34">
        <f>MINUTE(Table25791113[[#This Row],[Corrected time]])</f>
        <v>50</v>
      </c>
      <c r="N34" s="1">
        <v>0.61839204861111108</v>
      </c>
      <c r="O34" s="1">
        <f>Table25791113[[#This Row],[Time]]-TIME(0,0,3)</f>
        <v>0.61835732638888885</v>
      </c>
      <c r="P34" t="s">
        <v>9</v>
      </c>
      <c r="Q34">
        <v>-124</v>
      </c>
      <c r="R34">
        <f>Table25791113[[#This Row],[RSSI]]</f>
        <v>-124</v>
      </c>
      <c r="S34">
        <v>-19.8</v>
      </c>
      <c r="V34" s="10">
        <f t="shared" si="1"/>
        <v>540</v>
      </c>
      <c r="W34" s="6" t="e">
        <f>COUNTIFS(Table14681012[Range(nm)], V34, Table14681012[Type], "ACK")/COUNTIFS(Table14681012[Range(nm)], V34)</f>
        <v>#DIV/0!</v>
      </c>
      <c r="X34" s="7" t="e">
        <f>COUNTIFS(Table14681012[Range(nm)], $V34, Table14681012[Type], "SUT Rx Error")/COUNTIFS(Table14681012[Range(nm)], $V34)</f>
        <v>#DIV/0!</v>
      </c>
      <c r="Y34" t="e">
        <f>AVERAGEIF(Table14681012[Range(nm)], V34, Table14681012[Corrected RSSI])</f>
        <v>#DIV/0!</v>
      </c>
      <c r="Z34" s="9" t="e">
        <f>AVERAGEIF(Table14681012[Range(nm)], V34, Table14681012[SNR])</f>
        <v>#DIV/0!</v>
      </c>
      <c r="AA34" s="6" t="e">
        <f>COUNTIFS(Table25791113[Range(nm)], V34, Table25791113[Type], "ACK")/COUNTIFS(Table25791113[Range(nm)], V34)</f>
        <v>#DIV/0!</v>
      </c>
      <c r="AB34" s="7" t="e">
        <f>COUNTIFS(Table25791113[Range(nm)], $V34, Table25791113[Type], "SUT Rx Error")/COUNTIFS(Table25791113[Range(nm)], $V34)</f>
        <v>#DIV/0!</v>
      </c>
      <c r="AC34" t="e">
        <f>AVERAGEIF(Table25791113[Range(nm)], V34, Table25791113[Corrected RSSI])</f>
        <v>#DIV/0!</v>
      </c>
      <c r="AD34" s="3" t="e">
        <f>AVERAGEIF(Table25791113[Range(nm)], V34, Table25791113[SNR])</f>
        <v>#DIV/0!</v>
      </c>
    </row>
    <row r="35" spans="2:30" x14ac:dyDescent="0.25">
      <c r="B35">
        <f>480+2*(Table14681012[[#This Row],[min value (corrected)]]-34)</f>
        <v>480</v>
      </c>
      <c r="C35">
        <f>MINUTE(Table14681012[[#This Row],[Corrected time]])</f>
        <v>34</v>
      </c>
      <c r="D35" s="1">
        <v>0.73204682870370363</v>
      </c>
      <c r="E35" s="1">
        <f>Table14681012[[#This Row],[Time]]-TIME(0,0,9)</f>
        <v>0.73194266203703695</v>
      </c>
      <c r="F35" t="s">
        <v>9</v>
      </c>
      <c r="G35" t="s">
        <v>12</v>
      </c>
      <c r="H35">
        <f t="shared" si="2"/>
        <v>-123</v>
      </c>
      <c r="I35">
        <v>-19.5</v>
      </c>
      <c r="L35">
        <f>480+2*(Table25791113[[#This Row],[min value (corrected)]]-50)</f>
        <v>480</v>
      </c>
      <c r="M35">
        <f>MINUTE(Table25791113[[#This Row],[Corrected time]])</f>
        <v>50</v>
      </c>
      <c r="N35" s="1">
        <v>0.61841130787037035</v>
      </c>
      <c r="O35" s="1">
        <f>Table25791113[[#This Row],[Time]]-TIME(0,0,3)</f>
        <v>0.61837658564814812</v>
      </c>
      <c r="P35" t="s">
        <v>9</v>
      </c>
      <c r="Q35">
        <v>-124</v>
      </c>
      <c r="R35">
        <f>Table25791113[[#This Row],[RSSI]]</f>
        <v>-124</v>
      </c>
      <c r="S35">
        <v>-18.8</v>
      </c>
    </row>
    <row r="36" spans="2:30" x14ac:dyDescent="0.25">
      <c r="B36">
        <f>480+2*(Table14681012[[#This Row],[min value (corrected)]]-34)</f>
        <v>480</v>
      </c>
      <c r="C36">
        <f>MINUTE(Table14681012[[#This Row],[Corrected time]])</f>
        <v>34</v>
      </c>
      <c r="D36" s="1">
        <v>0.73206607638888888</v>
      </c>
      <c r="E36" s="2">
        <f>Table14681012[[#This Row],[Time]]-TIME(0,0,9)</f>
        <v>0.73196190972222219</v>
      </c>
      <c r="F36" t="s">
        <v>9</v>
      </c>
      <c r="G36" t="s">
        <v>12</v>
      </c>
      <c r="H36">
        <f t="shared" si="2"/>
        <v>-123</v>
      </c>
      <c r="I36">
        <v>-18.5</v>
      </c>
      <c r="L36">
        <f>480+2*(Table25791113[[#This Row],[min value (corrected)]]-50)</f>
        <v>480</v>
      </c>
      <c r="M36">
        <f>MINUTE(Table25791113[[#This Row],[Corrected time]])</f>
        <v>50</v>
      </c>
      <c r="N36" s="1">
        <v>0.61843055555555559</v>
      </c>
      <c r="O36" s="1">
        <f>Table25791113[[#This Row],[Time]]-TIME(0,0,3)</f>
        <v>0.61839583333333337</v>
      </c>
      <c r="P36" t="s">
        <v>9</v>
      </c>
      <c r="Q36">
        <v>-123</v>
      </c>
      <c r="R36">
        <f>Table25791113[[#This Row],[RSSI]]</f>
        <v>-123</v>
      </c>
      <c r="S36">
        <v>-18.3</v>
      </c>
    </row>
    <row r="37" spans="2:30" x14ac:dyDescent="0.25">
      <c r="B37">
        <f>480+2*(Table14681012[[#This Row],[min value (corrected)]]-34)</f>
        <v>480</v>
      </c>
      <c r="C37">
        <f>MINUTE(Table14681012[[#This Row],[Corrected time]])</f>
        <v>34</v>
      </c>
      <c r="D37" s="1">
        <v>0.73208532407407401</v>
      </c>
      <c r="E37" s="1">
        <f>Table14681012[[#This Row],[Time]]-TIME(0,0,9)</f>
        <v>0.73198115740740732</v>
      </c>
      <c r="F37" t="s">
        <v>9</v>
      </c>
      <c r="G37" t="s">
        <v>12</v>
      </c>
      <c r="H37">
        <f t="shared" si="2"/>
        <v>-123</v>
      </c>
      <c r="I37">
        <v>-18.8</v>
      </c>
      <c r="L37">
        <f>480+2*(Table25791113[[#This Row],[min value (corrected)]]-50)</f>
        <v>480</v>
      </c>
      <c r="M37">
        <f>MINUTE(Table25791113[[#This Row],[Corrected time]])</f>
        <v>50</v>
      </c>
      <c r="N37" s="1">
        <v>0.61844979166666669</v>
      </c>
      <c r="O37" s="1">
        <f>Table25791113[[#This Row],[Time]]-TIME(0,0,3)</f>
        <v>0.61841506944444447</v>
      </c>
      <c r="P37" t="s">
        <v>9</v>
      </c>
      <c r="Q37">
        <v>-123</v>
      </c>
      <c r="R37">
        <f>Table25791113[[#This Row],[RSSI]]</f>
        <v>-123</v>
      </c>
      <c r="S37">
        <v>-18.5</v>
      </c>
    </row>
    <row r="38" spans="2:30" x14ac:dyDescent="0.25">
      <c r="B38">
        <f>480+2*(Table14681012[[#This Row],[min value (corrected)]]-34)</f>
        <v>480</v>
      </c>
      <c r="C38">
        <f>MINUTE(Table14681012[[#This Row],[Corrected time]])</f>
        <v>34</v>
      </c>
      <c r="D38" s="1">
        <v>0.73210457175925925</v>
      </c>
      <c r="E38" s="1">
        <f>Table14681012[[#This Row],[Time]]-TIME(0,0,9)</f>
        <v>0.73200040509259257</v>
      </c>
      <c r="F38" t="s">
        <v>9</v>
      </c>
      <c r="G38" t="s">
        <v>12</v>
      </c>
      <c r="H38">
        <f t="shared" si="2"/>
        <v>-123</v>
      </c>
      <c r="I38">
        <v>-18.8</v>
      </c>
      <c r="L38">
        <f>480+2*(Table25791113[[#This Row],[min value (corrected)]]-50)</f>
        <v>480</v>
      </c>
      <c r="M38">
        <f>MINUTE(Table25791113[[#This Row],[Corrected time]])</f>
        <v>50</v>
      </c>
      <c r="N38" s="1">
        <v>0.61846905092592597</v>
      </c>
      <c r="O38" s="1">
        <f>Table25791113[[#This Row],[Time]]-TIME(0,0,3)</f>
        <v>0.61843432870370374</v>
      </c>
      <c r="P38" t="s">
        <v>9</v>
      </c>
      <c r="Q38">
        <v>-123</v>
      </c>
      <c r="R38">
        <f>Table25791113[[#This Row],[RSSI]]</f>
        <v>-123</v>
      </c>
      <c r="S38">
        <v>-19.8</v>
      </c>
    </row>
    <row r="39" spans="2:30" x14ac:dyDescent="0.25">
      <c r="B39">
        <f>480+2*(Table14681012[[#This Row],[min value (corrected)]]-34)</f>
        <v>480</v>
      </c>
      <c r="C39">
        <f>MINUTE(Table14681012[[#This Row],[Corrected time]])</f>
        <v>34</v>
      </c>
      <c r="D39" s="1">
        <v>0.73212381944444449</v>
      </c>
      <c r="E39" s="1">
        <f>Table14681012[[#This Row],[Time]]-TIME(0,0,9)</f>
        <v>0.73201965277777781</v>
      </c>
      <c r="F39" t="s">
        <v>9</v>
      </c>
      <c r="G39" t="s">
        <v>12</v>
      </c>
      <c r="H39">
        <f t="shared" si="2"/>
        <v>-123</v>
      </c>
      <c r="I39">
        <v>-18.3</v>
      </c>
      <c r="L39">
        <f>480+2*(Table25791113[[#This Row],[min value (corrected)]]-50)</f>
        <v>480</v>
      </c>
      <c r="M39">
        <f>MINUTE(Table25791113[[#This Row],[Corrected time]])</f>
        <v>50</v>
      </c>
      <c r="N39" s="1">
        <v>0.61848828703703707</v>
      </c>
      <c r="O39" s="1">
        <f>Table25791113[[#This Row],[Time]]-TIME(0,0,3)</f>
        <v>0.61845356481481484</v>
      </c>
      <c r="P39" t="s">
        <v>9</v>
      </c>
      <c r="Q39">
        <v>-123</v>
      </c>
      <c r="R39">
        <f>Table25791113[[#This Row],[RSSI]]</f>
        <v>-123</v>
      </c>
      <c r="S39">
        <v>-18.5</v>
      </c>
    </row>
    <row r="40" spans="2:30" x14ac:dyDescent="0.25">
      <c r="B40">
        <f>480+2*(Table14681012[[#This Row],[min value (corrected)]]-34)</f>
        <v>480</v>
      </c>
      <c r="C40">
        <f>MINUTE(Table14681012[[#This Row],[Corrected time]])</f>
        <v>34</v>
      </c>
      <c r="D40" s="1">
        <v>0.73214305555555559</v>
      </c>
      <c r="E40" s="1">
        <f>Table14681012[[#This Row],[Time]]-TIME(0,0,9)</f>
        <v>0.73203888888888891</v>
      </c>
      <c r="F40" t="s">
        <v>9</v>
      </c>
      <c r="G40" t="s">
        <v>19</v>
      </c>
      <c r="H40">
        <f t="shared" si="2"/>
        <v>-124</v>
      </c>
      <c r="I40">
        <v>-19</v>
      </c>
      <c r="L40">
        <f>480+2*(Table25791113[[#This Row],[min value (corrected)]]-50)</f>
        <v>480</v>
      </c>
      <c r="M40">
        <f>MINUTE(Table25791113[[#This Row],[Corrected time]])</f>
        <v>50</v>
      </c>
      <c r="N40" s="1">
        <v>0.61850754629629634</v>
      </c>
      <c r="O40" s="1">
        <f>Table25791113[[#This Row],[Time]]-TIME(0,0,3)</f>
        <v>0.61847282407407411</v>
      </c>
      <c r="P40" t="s">
        <v>9</v>
      </c>
      <c r="Q40">
        <v>-123</v>
      </c>
      <c r="R40">
        <f>Table25791113[[#This Row],[RSSI]]</f>
        <v>-123</v>
      </c>
      <c r="S40">
        <v>-18.5</v>
      </c>
    </row>
    <row r="41" spans="2:30" x14ac:dyDescent="0.25">
      <c r="B41">
        <f>480+2*(Table14681012[[#This Row],[min value (corrected)]]-34)</f>
        <v>480</v>
      </c>
      <c r="C41">
        <f>MINUTE(Table14681012[[#This Row],[Corrected time]])</f>
        <v>34</v>
      </c>
      <c r="D41" s="1">
        <v>0.73216231481481486</v>
      </c>
      <c r="E41" s="1">
        <f>Table14681012[[#This Row],[Time]]-TIME(0,0,9)</f>
        <v>0.73205814814814818</v>
      </c>
      <c r="F41" t="s">
        <v>9</v>
      </c>
      <c r="G41" t="s">
        <v>12</v>
      </c>
      <c r="H41">
        <f t="shared" si="2"/>
        <v>-123</v>
      </c>
      <c r="I41">
        <v>-19</v>
      </c>
      <c r="L41">
        <f>480+2*(Table25791113[[#This Row],[min value (corrected)]]-50)</f>
        <v>480</v>
      </c>
      <c r="M41">
        <f>MINUTE(Table25791113[[#This Row],[Corrected time]])</f>
        <v>50</v>
      </c>
      <c r="N41" s="1">
        <v>0.61852679398148147</v>
      </c>
      <c r="O41" s="1">
        <f>Table25791113[[#This Row],[Time]]-TIME(0,0,3)</f>
        <v>0.61849207175925924</v>
      </c>
      <c r="P41" t="s">
        <v>9</v>
      </c>
      <c r="Q41">
        <v>-123</v>
      </c>
      <c r="R41">
        <f>Table25791113[[#This Row],[RSSI]]</f>
        <v>-123</v>
      </c>
      <c r="S41">
        <v>-19</v>
      </c>
    </row>
    <row r="42" spans="2:30" x14ac:dyDescent="0.25">
      <c r="B42">
        <f>480+2*(Table14681012[[#This Row],[min value (corrected)]]-34)</f>
        <v>480</v>
      </c>
      <c r="C42">
        <f>MINUTE(Table14681012[[#This Row],[Corrected time]])</f>
        <v>34</v>
      </c>
      <c r="D42" s="1">
        <v>0.73218155092592585</v>
      </c>
      <c r="E42" s="1">
        <f>Table14681012[[#This Row],[Time]]-TIME(0,0,9)</f>
        <v>0.73207738425925917</v>
      </c>
      <c r="F42" t="s">
        <v>9</v>
      </c>
      <c r="G42" t="s">
        <v>12</v>
      </c>
      <c r="H42">
        <f t="shared" si="2"/>
        <v>-123</v>
      </c>
      <c r="I42">
        <v>-18.5</v>
      </c>
      <c r="L42">
        <f>480+2*(Table25791113[[#This Row],[min value (corrected)]]-50)</f>
        <v>480</v>
      </c>
      <c r="M42">
        <f>MINUTE(Table25791113[[#This Row],[Corrected time]])</f>
        <v>50</v>
      </c>
      <c r="N42" s="1">
        <v>0.61854603009259257</v>
      </c>
      <c r="O42" s="1">
        <f>Table25791113[[#This Row],[Time]]-TIME(0,0,3)</f>
        <v>0.61851130787037034</v>
      </c>
      <c r="P42" t="s">
        <v>9</v>
      </c>
      <c r="Q42">
        <v>-123</v>
      </c>
      <c r="R42">
        <f>Table25791113[[#This Row],[RSSI]]</f>
        <v>-123</v>
      </c>
      <c r="S42">
        <v>-20</v>
      </c>
    </row>
    <row r="43" spans="2:30" x14ac:dyDescent="0.25">
      <c r="B43">
        <f>480+2*(Table14681012[[#This Row],[min value (corrected)]]-34)</f>
        <v>480</v>
      </c>
      <c r="C43">
        <f>MINUTE(Table14681012[[#This Row],[Corrected time]])</f>
        <v>34</v>
      </c>
      <c r="D43" s="1">
        <v>0.73220081018518524</v>
      </c>
      <c r="E43" s="1">
        <f>Table14681012[[#This Row],[Time]]-TIME(0,0,9)</f>
        <v>0.73209664351851855</v>
      </c>
      <c r="F43" t="s">
        <v>9</v>
      </c>
      <c r="G43" t="s">
        <v>12</v>
      </c>
      <c r="H43">
        <f t="shared" si="2"/>
        <v>-123</v>
      </c>
      <c r="I43">
        <v>-18.8</v>
      </c>
      <c r="L43">
        <f>480+2*(Table25791113[[#This Row],[min value (corrected)]]-50)</f>
        <v>480</v>
      </c>
      <c r="M43">
        <f>MINUTE(Table25791113[[#This Row],[Corrected time]])</f>
        <v>50</v>
      </c>
      <c r="N43" s="1">
        <v>0.61856528935185184</v>
      </c>
      <c r="O43" s="1">
        <f>Table25791113[[#This Row],[Time]]-TIME(0,0,3)</f>
        <v>0.61853056712962962</v>
      </c>
      <c r="P43" t="s">
        <v>9</v>
      </c>
      <c r="Q43">
        <v>-123</v>
      </c>
      <c r="R43">
        <f>Table25791113[[#This Row],[RSSI]]</f>
        <v>-123</v>
      </c>
      <c r="S43">
        <v>-19.3</v>
      </c>
    </row>
    <row r="44" spans="2:30" x14ac:dyDescent="0.25">
      <c r="B44">
        <f>480+2*(Table14681012[[#This Row],[min value (corrected)]]-34)</f>
        <v>480</v>
      </c>
      <c r="C44">
        <f>MINUTE(Table14681012[[#This Row],[Corrected time]])</f>
        <v>34</v>
      </c>
      <c r="D44" s="1">
        <v>0.73222005787037037</v>
      </c>
      <c r="E44" s="1">
        <f>Table14681012[[#This Row],[Time]]-TIME(0,0,9)</f>
        <v>0.73211589120370368</v>
      </c>
      <c r="F44" t="s">
        <v>9</v>
      </c>
      <c r="G44" t="s">
        <v>12</v>
      </c>
      <c r="H44">
        <f t="shared" si="2"/>
        <v>-123</v>
      </c>
      <c r="I44">
        <v>-19</v>
      </c>
      <c r="L44">
        <f>480+2*(Table25791113[[#This Row],[min value (corrected)]]-50)</f>
        <v>480</v>
      </c>
      <c r="M44">
        <f>MINUTE(Table25791113[[#This Row],[Corrected time]])</f>
        <v>50</v>
      </c>
      <c r="N44" s="1">
        <v>0.61858452546296294</v>
      </c>
      <c r="O44" s="1">
        <f>Table25791113[[#This Row],[Time]]-TIME(0,0,3)</f>
        <v>0.61854980324074071</v>
      </c>
      <c r="P44" t="s">
        <v>9</v>
      </c>
      <c r="Q44">
        <v>-123</v>
      </c>
      <c r="R44">
        <f>Table25791113[[#This Row],[RSSI]]</f>
        <v>-123</v>
      </c>
      <c r="S44">
        <v>-18</v>
      </c>
    </row>
    <row r="45" spans="2:30" x14ac:dyDescent="0.25">
      <c r="B45">
        <f>480+2*(Table14681012[[#This Row],[min value (corrected)]]-34)</f>
        <v>480</v>
      </c>
      <c r="C45">
        <f>MINUTE(Table14681012[[#This Row],[Corrected time]])</f>
        <v>34</v>
      </c>
      <c r="D45" s="1">
        <v>0.73223930555555561</v>
      </c>
      <c r="E45" s="1">
        <f>Table14681012[[#This Row],[Time]]-TIME(0,0,9)</f>
        <v>0.73213513888888893</v>
      </c>
      <c r="F45" t="s">
        <v>9</v>
      </c>
      <c r="G45" t="s">
        <v>19</v>
      </c>
      <c r="H45">
        <f t="shared" si="2"/>
        <v>-124</v>
      </c>
      <c r="I45">
        <v>-19</v>
      </c>
      <c r="L45">
        <f>480+2*(Table25791113[[#This Row],[min value (corrected)]]-50)</f>
        <v>480</v>
      </c>
      <c r="M45">
        <f>MINUTE(Table25791113[[#This Row],[Corrected time]])</f>
        <v>50</v>
      </c>
      <c r="N45" s="1">
        <v>0.61860377314814818</v>
      </c>
      <c r="O45" s="1">
        <f>Table25791113[[#This Row],[Time]]-TIME(0,0,3)</f>
        <v>0.61856905092592596</v>
      </c>
      <c r="P45" t="s">
        <v>9</v>
      </c>
      <c r="Q45">
        <v>-123</v>
      </c>
      <c r="R45">
        <f>Table25791113[[#This Row],[RSSI]]</f>
        <v>-123</v>
      </c>
      <c r="S45">
        <v>-18.3</v>
      </c>
    </row>
    <row r="46" spans="2:30" x14ac:dyDescent="0.25">
      <c r="B46">
        <f>480+2*(Table14681012[[#This Row],[min value (corrected)]]-34)</f>
        <v>480</v>
      </c>
      <c r="C46">
        <f>MINUTE(Table14681012[[#This Row],[Corrected time]])</f>
        <v>34</v>
      </c>
      <c r="D46" s="1">
        <v>0.73225855324074074</v>
      </c>
      <c r="E46" s="1">
        <f>Table14681012[[#This Row],[Time]]-TIME(0,0,9)</f>
        <v>0.73215438657407406</v>
      </c>
      <c r="F46" t="s">
        <v>9</v>
      </c>
      <c r="G46" t="s">
        <v>12</v>
      </c>
      <c r="H46">
        <f t="shared" si="2"/>
        <v>-123</v>
      </c>
      <c r="I46">
        <v>-19.5</v>
      </c>
      <c r="L46">
        <f>480+2*(Table25791113[[#This Row],[min value (corrected)]]-50)</f>
        <v>480</v>
      </c>
      <c r="M46">
        <f>MINUTE(Table25791113[[#This Row],[Corrected time]])</f>
        <v>50</v>
      </c>
      <c r="N46" s="1">
        <v>0.61862302083333331</v>
      </c>
      <c r="O46" s="1">
        <f>Table25791113[[#This Row],[Time]]-TIME(0,0,3)</f>
        <v>0.61858829861111109</v>
      </c>
      <c r="P46" t="s">
        <v>9</v>
      </c>
      <c r="Q46">
        <v>-124</v>
      </c>
      <c r="R46">
        <f>Table25791113[[#This Row],[RSSI]]</f>
        <v>-124</v>
      </c>
      <c r="S46">
        <v>-19.5</v>
      </c>
    </row>
    <row r="47" spans="2:30" x14ac:dyDescent="0.25">
      <c r="B47">
        <f>480+2*(Table14681012[[#This Row],[min value (corrected)]]-34)</f>
        <v>480</v>
      </c>
      <c r="C47">
        <f>MINUTE(Table14681012[[#This Row],[Corrected time]])</f>
        <v>34</v>
      </c>
      <c r="D47" s="1">
        <v>0.73227778935185184</v>
      </c>
      <c r="E47" s="1">
        <f>Table14681012[[#This Row],[Time]]-TIME(0,0,9)</f>
        <v>0.73217362268518515</v>
      </c>
      <c r="F47" t="s">
        <v>9</v>
      </c>
      <c r="G47" t="s">
        <v>12</v>
      </c>
      <c r="H47">
        <f t="shared" si="2"/>
        <v>-123</v>
      </c>
      <c r="I47">
        <v>-18.3</v>
      </c>
      <c r="L47">
        <f>480+2*(Table25791113[[#This Row],[min value (corrected)]]-50)</f>
        <v>480</v>
      </c>
      <c r="M47">
        <f>MINUTE(Table25791113[[#This Row],[Corrected time]])</f>
        <v>50</v>
      </c>
      <c r="N47" s="1">
        <v>0.61864226851851856</v>
      </c>
      <c r="O47" s="1">
        <f>Table25791113[[#This Row],[Time]]-TIME(0,0,3)</f>
        <v>0.61860754629629633</v>
      </c>
      <c r="P47" t="s">
        <v>9</v>
      </c>
      <c r="Q47">
        <v>-123</v>
      </c>
      <c r="R47">
        <f>Table25791113[[#This Row],[RSSI]]</f>
        <v>-123</v>
      </c>
      <c r="S47">
        <v>-18.5</v>
      </c>
    </row>
    <row r="48" spans="2:30" x14ac:dyDescent="0.25">
      <c r="B48">
        <f>480+2*(Table14681012[[#This Row],[min value (corrected)]]-34)</f>
        <v>480</v>
      </c>
      <c r="C48">
        <f>MINUTE(Table14681012[[#This Row],[Corrected time]])</f>
        <v>34</v>
      </c>
      <c r="D48" s="1">
        <v>0.73229704861111111</v>
      </c>
      <c r="E48" s="1">
        <f>Table14681012[[#This Row],[Time]]-TIME(0,0,9)</f>
        <v>0.73219288194444443</v>
      </c>
      <c r="F48" t="s">
        <v>9</v>
      </c>
      <c r="G48" t="s">
        <v>12</v>
      </c>
      <c r="H48">
        <f t="shared" si="2"/>
        <v>-123</v>
      </c>
      <c r="I48">
        <v>-18.5</v>
      </c>
      <c r="L48">
        <f>480+2*(Table25791113[[#This Row],[min value (corrected)]]-50)</f>
        <v>480</v>
      </c>
      <c r="M48">
        <f>MINUTE(Table25791113[[#This Row],[Corrected time]])</f>
        <v>50</v>
      </c>
      <c r="N48" s="1">
        <v>0.61866151620370369</v>
      </c>
      <c r="O48" s="1">
        <f>Table25791113[[#This Row],[Time]]-TIME(0,0,3)</f>
        <v>0.61862679398148146</v>
      </c>
      <c r="P48" t="s">
        <v>9</v>
      </c>
      <c r="Q48">
        <v>-123</v>
      </c>
      <c r="R48">
        <f>Table25791113[[#This Row],[RSSI]]</f>
        <v>-123</v>
      </c>
      <c r="S48">
        <v>-19.8</v>
      </c>
    </row>
    <row r="49" spans="2:19" x14ac:dyDescent="0.25">
      <c r="B49">
        <f>480+2*(Table14681012[[#This Row],[min value (corrected)]]-34)</f>
        <v>480</v>
      </c>
      <c r="C49">
        <f>MINUTE(Table14681012[[#This Row],[Corrected time]])</f>
        <v>34</v>
      </c>
      <c r="D49" s="1">
        <v>0.73231629629629624</v>
      </c>
      <c r="E49" s="1">
        <f>Table14681012[[#This Row],[Time]]-TIME(0,0,9)</f>
        <v>0.73221212962962956</v>
      </c>
      <c r="F49" t="s">
        <v>9</v>
      </c>
      <c r="G49" t="s">
        <v>12</v>
      </c>
      <c r="H49">
        <f t="shared" si="2"/>
        <v>-123</v>
      </c>
      <c r="I49">
        <v>-19.5</v>
      </c>
      <c r="L49">
        <f>480+2*(Table25791113[[#This Row],[min value (corrected)]]-50)</f>
        <v>480</v>
      </c>
      <c r="M49">
        <f>MINUTE(Table25791113[[#This Row],[Corrected time]])</f>
        <v>50</v>
      </c>
      <c r="N49" s="1">
        <v>0.61868076388888882</v>
      </c>
      <c r="O49" s="1">
        <f>Table25791113[[#This Row],[Time]]-TIME(0,0,3)</f>
        <v>0.61864604166666659</v>
      </c>
      <c r="P49" t="s">
        <v>9</v>
      </c>
      <c r="Q49">
        <v>-123</v>
      </c>
      <c r="R49">
        <f>Table25791113[[#This Row],[RSSI]]</f>
        <v>-123</v>
      </c>
      <c r="S49">
        <v>-18.3</v>
      </c>
    </row>
    <row r="50" spans="2:19" x14ac:dyDescent="0.25">
      <c r="B50">
        <f>480+2*(Table14681012[[#This Row],[min value (corrected)]]-34)</f>
        <v>480</v>
      </c>
      <c r="C50">
        <f>MINUTE(Table14681012[[#This Row],[Corrected time]])</f>
        <v>34</v>
      </c>
      <c r="D50" s="1">
        <v>0.73233553240740745</v>
      </c>
      <c r="E50" s="1">
        <f>Table14681012[[#This Row],[Time]]-TIME(0,0,9)</f>
        <v>0.73223136574074077</v>
      </c>
      <c r="F50" t="s">
        <v>9</v>
      </c>
      <c r="G50" t="s">
        <v>11</v>
      </c>
      <c r="H50">
        <f t="shared" si="2"/>
        <v>-122</v>
      </c>
      <c r="I50">
        <v>-19</v>
      </c>
      <c r="L50">
        <f>480+2*(Table25791113[[#This Row],[min value (corrected)]]-50)</f>
        <v>480</v>
      </c>
      <c r="M50">
        <f>MINUTE(Table25791113[[#This Row],[Corrected time]])</f>
        <v>50</v>
      </c>
      <c r="N50" s="1">
        <v>0.61870001157407406</v>
      </c>
      <c r="O50" s="1">
        <f>Table25791113[[#This Row],[Time]]-TIME(0,0,3)</f>
        <v>0.61866528935185183</v>
      </c>
      <c r="P50" t="s">
        <v>9</v>
      </c>
      <c r="Q50">
        <v>-124</v>
      </c>
      <c r="R50">
        <f>Table25791113[[#This Row],[RSSI]]</f>
        <v>-124</v>
      </c>
      <c r="S50">
        <v>-19.5</v>
      </c>
    </row>
    <row r="51" spans="2:19" x14ac:dyDescent="0.25">
      <c r="B51">
        <f>480+2*(Table14681012[[#This Row],[min value (corrected)]]-34)</f>
        <v>480</v>
      </c>
      <c r="C51">
        <f>MINUTE(Table14681012[[#This Row],[Corrected time]])</f>
        <v>34</v>
      </c>
      <c r="D51" s="1">
        <v>0.73235479166666662</v>
      </c>
      <c r="E51" s="1">
        <f>Table14681012[[#This Row],[Time]]-TIME(0,0,9)</f>
        <v>0.73225062499999993</v>
      </c>
      <c r="F51" t="s">
        <v>9</v>
      </c>
      <c r="G51" t="s">
        <v>12</v>
      </c>
      <c r="H51">
        <f t="shared" si="2"/>
        <v>-123</v>
      </c>
      <c r="I51">
        <v>-18.5</v>
      </c>
      <c r="L51">
        <f>480+2*(Table25791113[[#This Row],[min value (corrected)]]-50)</f>
        <v>480</v>
      </c>
      <c r="M51">
        <f>MINUTE(Table25791113[[#This Row],[Corrected time]])</f>
        <v>50</v>
      </c>
      <c r="N51" s="1">
        <v>0.61871925925925919</v>
      </c>
      <c r="O51" s="1">
        <f>Table25791113[[#This Row],[Time]]-TIME(0,0,3)</f>
        <v>0.61868453703703696</v>
      </c>
      <c r="P51" t="s">
        <v>9</v>
      </c>
      <c r="Q51">
        <v>-123</v>
      </c>
      <c r="R51">
        <f>Table25791113[[#This Row],[RSSI]]</f>
        <v>-123</v>
      </c>
      <c r="S51">
        <v>-18.5</v>
      </c>
    </row>
    <row r="52" spans="2:19" x14ac:dyDescent="0.25">
      <c r="B52">
        <f>480+2*(Table14681012[[#This Row],[min value (corrected)]]-34)</f>
        <v>480</v>
      </c>
      <c r="C52">
        <f>MINUTE(Table14681012[[#This Row],[Corrected time]])</f>
        <v>34</v>
      </c>
      <c r="D52" s="1">
        <v>0.73237403935185186</v>
      </c>
      <c r="E52" s="1">
        <f>Table14681012[[#This Row],[Time]]-TIME(0,0,9)</f>
        <v>0.73226987268518517</v>
      </c>
      <c r="F52" t="s">
        <v>9</v>
      </c>
      <c r="G52" t="s">
        <v>12</v>
      </c>
      <c r="H52">
        <f t="shared" si="2"/>
        <v>-123</v>
      </c>
      <c r="I52">
        <v>-19</v>
      </c>
      <c r="L52">
        <f>480+2*(Table25791113[[#This Row],[min value (corrected)]]-50)</f>
        <v>480</v>
      </c>
      <c r="M52">
        <f>MINUTE(Table25791113[[#This Row],[Corrected time]])</f>
        <v>50</v>
      </c>
      <c r="N52" s="1">
        <v>0.61873850694444443</v>
      </c>
      <c r="O52" s="1">
        <f>Table25791113[[#This Row],[Time]]-TIME(0,0,3)</f>
        <v>0.61870378472222221</v>
      </c>
      <c r="P52" t="s">
        <v>9</v>
      </c>
      <c r="Q52">
        <v>-123</v>
      </c>
      <c r="R52">
        <f>Table25791113[[#This Row],[RSSI]]</f>
        <v>-123</v>
      </c>
      <c r="S52">
        <v>-18.3</v>
      </c>
    </row>
    <row r="53" spans="2:19" x14ac:dyDescent="0.25">
      <c r="B53">
        <f>480+2*(Table14681012[[#This Row],[min value (corrected)]]-34)</f>
        <v>480</v>
      </c>
      <c r="C53">
        <f>MINUTE(Table14681012[[#This Row],[Corrected time]])</f>
        <v>34</v>
      </c>
      <c r="D53" s="1">
        <v>0.73239328703703699</v>
      </c>
      <c r="E53" s="1">
        <f>Table14681012[[#This Row],[Time]]-TIME(0,0,9)</f>
        <v>0.73228912037037031</v>
      </c>
      <c r="F53" t="s">
        <v>9</v>
      </c>
      <c r="G53" t="s">
        <v>19</v>
      </c>
      <c r="H53">
        <f t="shared" si="2"/>
        <v>-124</v>
      </c>
      <c r="I53">
        <v>-19.3</v>
      </c>
      <c r="L53">
        <f>480+2*(Table25791113[[#This Row],[min value (corrected)]]-50)</f>
        <v>480</v>
      </c>
      <c r="M53">
        <f>MINUTE(Table25791113[[#This Row],[Corrected time]])</f>
        <v>50</v>
      </c>
      <c r="N53" s="1">
        <v>0.61875775462962956</v>
      </c>
      <c r="O53" s="1">
        <f>Table25791113[[#This Row],[Time]]-TIME(0,0,3)</f>
        <v>0.61872303240740734</v>
      </c>
      <c r="P53" t="s">
        <v>9</v>
      </c>
      <c r="Q53">
        <v>-123</v>
      </c>
      <c r="R53">
        <f>Table25791113[[#This Row],[RSSI]]</f>
        <v>-123</v>
      </c>
      <c r="S53">
        <v>-18.3</v>
      </c>
    </row>
    <row r="54" spans="2:19" x14ac:dyDescent="0.25">
      <c r="B54">
        <f>480+2*(Table14681012[[#This Row],[min value (corrected)]]-34)</f>
        <v>480</v>
      </c>
      <c r="C54">
        <f>MINUTE(Table14681012[[#This Row],[Corrected time]])</f>
        <v>34</v>
      </c>
      <c r="D54" s="1">
        <v>0.7324125231481482</v>
      </c>
      <c r="E54" s="1">
        <f>Table14681012[[#This Row],[Time]]-TIME(0,0,9)</f>
        <v>0.73230835648148151</v>
      </c>
      <c r="F54" t="s">
        <v>9</v>
      </c>
      <c r="G54" t="s">
        <v>12</v>
      </c>
      <c r="H54">
        <f t="shared" si="2"/>
        <v>-123</v>
      </c>
      <c r="I54">
        <v>-19.5</v>
      </c>
      <c r="L54">
        <f>480+2*(Table25791113[[#This Row],[min value (corrected)]]-50)</f>
        <v>480</v>
      </c>
      <c r="M54">
        <f>MINUTE(Table25791113[[#This Row],[Corrected time]])</f>
        <v>50</v>
      </c>
      <c r="N54" s="1">
        <v>0.61877700231481481</v>
      </c>
      <c r="O54" s="1">
        <f>Table25791113[[#This Row],[Time]]-TIME(0,0,3)</f>
        <v>0.61874228009259258</v>
      </c>
      <c r="P54" t="s">
        <v>9</v>
      </c>
      <c r="Q54">
        <v>-123</v>
      </c>
      <c r="R54">
        <f>Table25791113[[#This Row],[RSSI]]</f>
        <v>-123</v>
      </c>
      <c r="S54">
        <v>-19.3</v>
      </c>
    </row>
    <row r="55" spans="2:19" x14ac:dyDescent="0.25">
      <c r="B55">
        <f>480+2*(Table14681012[[#This Row],[min value (corrected)]]-34)</f>
        <v>480</v>
      </c>
      <c r="C55">
        <f>MINUTE(Table14681012[[#This Row],[Corrected time]])</f>
        <v>34</v>
      </c>
      <c r="D55" s="1">
        <v>0.73243178240740736</v>
      </c>
      <c r="E55" s="1">
        <f>Table14681012[[#This Row],[Time]]-TIME(0,0,9)</f>
        <v>0.73232761574074068</v>
      </c>
      <c r="F55" t="s">
        <v>9</v>
      </c>
      <c r="G55" t="s">
        <v>12</v>
      </c>
      <c r="H55">
        <f t="shared" si="2"/>
        <v>-123</v>
      </c>
      <c r="I55">
        <v>-18.8</v>
      </c>
      <c r="L55">
        <f>480+2*(Table25791113[[#This Row],[min value (corrected)]]-50)</f>
        <v>482</v>
      </c>
      <c r="M55">
        <f>MINUTE(Table25791113[[#This Row],[Corrected time]])</f>
        <v>51</v>
      </c>
      <c r="N55" s="1">
        <v>0.61879624999999994</v>
      </c>
      <c r="O55" s="1">
        <f>Table25791113[[#This Row],[Time]]-TIME(0,0,3)</f>
        <v>0.61876152777777771</v>
      </c>
      <c r="P55" t="s">
        <v>9</v>
      </c>
      <c r="Q55">
        <v>-124</v>
      </c>
      <c r="R55">
        <f>Table25791113[[#This Row],[RSSI]]</f>
        <v>-124</v>
      </c>
      <c r="S55">
        <v>-19.8</v>
      </c>
    </row>
    <row r="56" spans="2:19" x14ac:dyDescent="0.25">
      <c r="B56">
        <f>480+2*(Table14681012[[#This Row],[min value (corrected)]]-34)</f>
        <v>480</v>
      </c>
      <c r="C56">
        <f>MINUTE(Table14681012[[#This Row],[Corrected time]])</f>
        <v>34</v>
      </c>
      <c r="D56" s="1">
        <v>0.7324510300925926</v>
      </c>
      <c r="E56" s="1">
        <f>Table14681012[[#This Row],[Time]]-TIME(0,0,9)</f>
        <v>0.73234686342592592</v>
      </c>
      <c r="F56" t="s">
        <v>9</v>
      </c>
      <c r="G56" t="s">
        <v>19</v>
      </c>
      <c r="H56">
        <f t="shared" si="2"/>
        <v>-124</v>
      </c>
      <c r="I56">
        <v>-19</v>
      </c>
      <c r="L56">
        <f>480+2*(Table25791113[[#This Row],[min value (corrected)]]-50)</f>
        <v>482</v>
      </c>
      <c r="M56">
        <f>MINUTE(Table25791113[[#This Row],[Corrected time]])</f>
        <v>51</v>
      </c>
      <c r="N56" s="1">
        <v>0.61881548611111115</v>
      </c>
      <c r="O56" s="1">
        <f>Table25791113[[#This Row],[Time]]-TIME(0,0,3)</f>
        <v>0.61878076388888892</v>
      </c>
      <c r="P56" t="s">
        <v>9</v>
      </c>
      <c r="Q56">
        <v>-124</v>
      </c>
      <c r="R56">
        <f>Table25791113[[#This Row],[RSSI]]</f>
        <v>-124</v>
      </c>
      <c r="S56">
        <v>-19.3</v>
      </c>
    </row>
    <row r="57" spans="2:19" x14ac:dyDescent="0.25">
      <c r="B57">
        <f>480+2*(Table14681012[[#This Row],[min value (corrected)]]-34)</f>
        <v>480</v>
      </c>
      <c r="C57">
        <f>MINUTE(Table14681012[[#This Row],[Corrected time]])</f>
        <v>34</v>
      </c>
      <c r="D57" s="1">
        <v>0.73247027777777773</v>
      </c>
      <c r="E57" s="1">
        <f>Table14681012[[#This Row],[Time]]-TIME(0,0,9)</f>
        <v>0.73236611111111105</v>
      </c>
      <c r="F57" t="s">
        <v>9</v>
      </c>
      <c r="G57" t="s">
        <v>12</v>
      </c>
      <c r="H57">
        <f t="shared" si="2"/>
        <v>-123</v>
      </c>
      <c r="I57">
        <v>-18.5</v>
      </c>
      <c r="L57">
        <f>480+2*(Table25791113[[#This Row],[min value (corrected)]]-50)</f>
        <v>482</v>
      </c>
      <c r="M57">
        <f>MINUTE(Table25791113[[#This Row],[Corrected time]])</f>
        <v>51</v>
      </c>
      <c r="N57" s="1">
        <v>0.61883474537037042</v>
      </c>
      <c r="O57" s="1">
        <f>Table25791113[[#This Row],[Time]]-TIME(0,0,3)</f>
        <v>0.61880002314814819</v>
      </c>
      <c r="P57" t="s">
        <v>9</v>
      </c>
      <c r="Q57">
        <v>-124</v>
      </c>
      <c r="R57">
        <f>Table25791113[[#This Row],[RSSI]]</f>
        <v>-124</v>
      </c>
      <c r="S57">
        <v>-20</v>
      </c>
    </row>
    <row r="58" spans="2:19" x14ac:dyDescent="0.25">
      <c r="B58">
        <f>480+2*(Table14681012[[#This Row],[min value (corrected)]]-34)</f>
        <v>480</v>
      </c>
      <c r="C58">
        <f>MINUTE(Table14681012[[#This Row],[Corrected time]])</f>
        <v>34</v>
      </c>
      <c r="D58" s="1">
        <v>0.73248952546296298</v>
      </c>
      <c r="E58" s="1">
        <f>Table14681012[[#This Row],[Time]]-TIME(0,0,9)</f>
        <v>0.73238535879629629</v>
      </c>
      <c r="F58" t="s">
        <v>9</v>
      </c>
      <c r="G58" t="s">
        <v>12</v>
      </c>
      <c r="H58">
        <f t="shared" si="2"/>
        <v>-123</v>
      </c>
      <c r="I58">
        <v>-18.3</v>
      </c>
      <c r="L58">
        <f>480+2*(Table25791113[[#This Row],[min value (corrected)]]-50)</f>
        <v>482</v>
      </c>
      <c r="M58">
        <f>MINUTE(Table25791113[[#This Row],[Corrected time]])</f>
        <v>51</v>
      </c>
      <c r="N58" s="1">
        <v>0.61885399305555555</v>
      </c>
      <c r="O58" s="1">
        <f>Table25791113[[#This Row],[Time]]-TIME(0,0,3)</f>
        <v>0.61881927083333332</v>
      </c>
      <c r="P58" t="s">
        <v>9</v>
      </c>
      <c r="Q58">
        <v>-124</v>
      </c>
      <c r="R58">
        <f>Table25791113[[#This Row],[RSSI]]</f>
        <v>-124</v>
      </c>
      <c r="S58">
        <v>-20.5</v>
      </c>
    </row>
    <row r="59" spans="2:19" x14ac:dyDescent="0.25">
      <c r="B59">
        <f>480+2*(Table14681012[[#This Row],[min value (corrected)]]-34)</f>
        <v>480</v>
      </c>
      <c r="C59">
        <f>MINUTE(Table14681012[[#This Row],[Corrected time]])</f>
        <v>34</v>
      </c>
      <c r="D59" s="1">
        <v>0.73250876157407407</v>
      </c>
      <c r="E59" s="1">
        <f>Table14681012[[#This Row],[Time]]-TIME(0,0,9)</f>
        <v>0.73240459490740739</v>
      </c>
      <c r="F59" t="s">
        <v>9</v>
      </c>
      <c r="G59" t="s">
        <v>12</v>
      </c>
      <c r="H59">
        <f t="shared" si="2"/>
        <v>-123</v>
      </c>
      <c r="I59">
        <v>-20</v>
      </c>
      <c r="L59">
        <f>480+2*(Table25791113[[#This Row],[min value (corrected)]]-50)</f>
        <v>482</v>
      </c>
      <c r="M59">
        <f>MINUTE(Table25791113[[#This Row],[Corrected time]])</f>
        <v>51</v>
      </c>
      <c r="N59" s="1">
        <v>0.61887322916666665</v>
      </c>
      <c r="O59" s="1">
        <f>Table25791113[[#This Row],[Time]]-TIME(0,0,3)</f>
        <v>0.61883850694444442</v>
      </c>
      <c r="P59" t="s">
        <v>9</v>
      </c>
      <c r="Q59">
        <v>-124</v>
      </c>
      <c r="R59">
        <f>Table25791113[[#This Row],[RSSI]]</f>
        <v>-124</v>
      </c>
      <c r="S59">
        <v>-20</v>
      </c>
    </row>
    <row r="60" spans="2:19" x14ac:dyDescent="0.25">
      <c r="B60">
        <f>480+2*(Table14681012[[#This Row],[min value (corrected)]]-34)</f>
        <v>480</v>
      </c>
      <c r="C60">
        <f>MINUTE(Table14681012[[#This Row],[Corrected time]])</f>
        <v>34</v>
      </c>
      <c r="D60" s="1">
        <v>0.73252800925925921</v>
      </c>
      <c r="E60" s="1">
        <f>Table14681012[[#This Row],[Time]]-TIME(0,0,9)</f>
        <v>0.73242384259259252</v>
      </c>
      <c r="F60" t="s">
        <v>9</v>
      </c>
      <c r="G60" t="s">
        <v>12</v>
      </c>
      <c r="H60">
        <f t="shared" si="2"/>
        <v>-123</v>
      </c>
      <c r="I60">
        <v>-19.3</v>
      </c>
      <c r="L60">
        <f>480+2*(Table25791113[[#This Row],[min value (corrected)]]-50)</f>
        <v>482</v>
      </c>
      <c r="M60">
        <f>MINUTE(Table25791113[[#This Row],[Corrected time]])</f>
        <v>51</v>
      </c>
      <c r="N60" s="1">
        <v>0.61889248842592592</v>
      </c>
      <c r="O60" s="1">
        <f>Table25791113[[#This Row],[Time]]-TIME(0,0,3)</f>
        <v>0.6188577662037037</v>
      </c>
      <c r="P60" t="s">
        <v>18</v>
      </c>
      <c r="Q60">
        <f>Q59</f>
        <v>-124</v>
      </c>
      <c r="R60">
        <f>Table25791113[[#This Row],[RSSI]]</f>
        <v>-124</v>
      </c>
      <c r="S60">
        <f>S59</f>
        <v>-20</v>
      </c>
    </row>
    <row r="61" spans="2:19" x14ac:dyDescent="0.25">
      <c r="B61">
        <f>480+2*(Table14681012[[#This Row],[min value (corrected)]]-34)</f>
        <v>480</v>
      </c>
      <c r="C61">
        <f>MINUTE(Table14681012[[#This Row],[Corrected time]])</f>
        <v>34</v>
      </c>
      <c r="D61" s="1">
        <v>0.73254726851851859</v>
      </c>
      <c r="E61" s="1">
        <f>Table14681012[[#This Row],[Time]]-TIME(0,0,9)</f>
        <v>0.73244310185185191</v>
      </c>
      <c r="F61" t="s">
        <v>9</v>
      </c>
      <c r="G61" t="s">
        <v>12</v>
      </c>
      <c r="H61">
        <f t="shared" si="2"/>
        <v>-123</v>
      </c>
      <c r="I61">
        <v>-18.3</v>
      </c>
      <c r="L61">
        <f>480+2*(Table25791113[[#This Row],[min value (corrected)]]-50)</f>
        <v>482</v>
      </c>
      <c r="M61">
        <f>MINUTE(Table25791113[[#This Row],[Corrected time]])</f>
        <v>51</v>
      </c>
      <c r="N61" s="1">
        <v>0.61891173611111117</v>
      </c>
      <c r="O61" s="1">
        <f>Table25791113[[#This Row],[Time]]-TIME(0,0,3)</f>
        <v>0.61887701388888894</v>
      </c>
      <c r="P61" t="s">
        <v>9</v>
      </c>
      <c r="Q61">
        <v>-123</v>
      </c>
      <c r="R61">
        <f>Table25791113[[#This Row],[RSSI]]</f>
        <v>-123</v>
      </c>
      <c r="S61">
        <v>-18.3</v>
      </c>
    </row>
    <row r="62" spans="2:19" x14ac:dyDescent="0.25">
      <c r="B62">
        <f>480+2*(Table14681012[[#This Row],[min value (corrected)]]-34)</f>
        <v>480</v>
      </c>
      <c r="C62">
        <f>MINUTE(Table14681012[[#This Row],[Corrected time]])</f>
        <v>34</v>
      </c>
      <c r="D62" s="1">
        <v>0.73256651620370372</v>
      </c>
      <c r="E62" s="1">
        <f>Table14681012[[#This Row],[Time]]-TIME(0,0,9)</f>
        <v>0.73246234953703704</v>
      </c>
      <c r="F62" t="s">
        <v>9</v>
      </c>
      <c r="G62" t="s">
        <v>12</v>
      </c>
      <c r="H62">
        <f t="shared" si="2"/>
        <v>-123</v>
      </c>
      <c r="I62">
        <v>-18.5</v>
      </c>
      <c r="L62">
        <f>480+2*(Table25791113[[#This Row],[min value (corrected)]]-50)</f>
        <v>482</v>
      </c>
      <c r="M62">
        <f>MINUTE(Table25791113[[#This Row],[Corrected time]])</f>
        <v>51</v>
      </c>
      <c r="N62" s="1">
        <v>0.6189309837962963</v>
      </c>
      <c r="O62" s="1">
        <f>Table25791113[[#This Row],[Time]]-TIME(0,0,3)</f>
        <v>0.61889626157407407</v>
      </c>
      <c r="P62" t="s">
        <v>9</v>
      </c>
      <c r="Q62">
        <v>-123</v>
      </c>
      <c r="R62">
        <f>Table25791113[[#This Row],[RSSI]]</f>
        <v>-123</v>
      </c>
      <c r="S62">
        <v>-19</v>
      </c>
    </row>
    <row r="63" spans="2:19" x14ac:dyDescent="0.25">
      <c r="B63">
        <f>480+2*(Table14681012[[#This Row],[min value (corrected)]]-34)</f>
        <v>480</v>
      </c>
      <c r="C63">
        <f>MINUTE(Table14681012[[#This Row],[Corrected time]])</f>
        <v>34</v>
      </c>
      <c r="D63" s="1">
        <v>0.73258576388888896</v>
      </c>
      <c r="E63" s="1">
        <f>Table14681012[[#This Row],[Time]]-TIME(0,0,9)</f>
        <v>0.73248159722222228</v>
      </c>
      <c r="F63" t="s">
        <v>9</v>
      </c>
      <c r="G63" t="s">
        <v>12</v>
      </c>
      <c r="H63">
        <f t="shared" si="2"/>
        <v>-123</v>
      </c>
      <c r="I63">
        <v>-18.5</v>
      </c>
      <c r="L63">
        <f>480+2*(Table25791113[[#This Row],[min value (corrected)]]-50)</f>
        <v>482</v>
      </c>
      <c r="M63">
        <f>MINUTE(Table25791113[[#This Row],[Corrected time]])</f>
        <v>51</v>
      </c>
      <c r="N63" s="1">
        <v>0.61895023148148154</v>
      </c>
      <c r="O63" s="1">
        <f>Table25791113[[#This Row],[Time]]-TIME(0,0,3)</f>
        <v>0.61891550925925931</v>
      </c>
      <c r="P63" t="s">
        <v>9</v>
      </c>
      <c r="Q63">
        <v>-123</v>
      </c>
      <c r="R63">
        <f>Table25791113[[#This Row],[RSSI]]</f>
        <v>-123</v>
      </c>
      <c r="S63">
        <v>-18.3</v>
      </c>
    </row>
    <row r="64" spans="2:19" x14ac:dyDescent="0.25">
      <c r="B64">
        <f>480+2*(Table14681012[[#This Row],[min value (corrected)]]-34)</f>
        <v>480</v>
      </c>
      <c r="C64">
        <f>MINUTE(Table14681012[[#This Row],[Corrected time]])</f>
        <v>34</v>
      </c>
      <c r="D64" s="1">
        <v>0.73260501157407398</v>
      </c>
      <c r="E64" s="1">
        <f>Table14681012[[#This Row],[Time]]-TIME(0,0,9)</f>
        <v>0.7325008449074073</v>
      </c>
      <c r="F64" t="s">
        <v>9</v>
      </c>
      <c r="G64" t="s">
        <v>12</v>
      </c>
      <c r="H64">
        <f t="shared" si="2"/>
        <v>-123</v>
      </c>
      <c r="I64">
        <v>-18.8</v>
      </c>
      <c r="L64">
        <f>480+2*(Table25791113[[#This Row],[min value (corrected)]]-50)</f>
        <v>482</v>
      </c>
      <c r="M64">
        <f>MINUTE(Table25791113[[#This Row],[Corrected time]])</f>
        <v>51</v>
      </c>
      <c r="N64" s="1">
        <v>0.61896947916666667</v>
      </c>
      <c r="O64" s="1">
        <f>Table25791113[[#This Row],[Time]]-TIME(0,0,3)</f>
        <v>0.61893475694444444</v>
      </c>
      <c r="P64" t="s">
        <v>9</v>
      </c>
      <c r="Q64">
        <v>-123</v>
      </c>
      <c r="R64">
        <f>Table25791113[[#This Row],[RSSI]]</f>
        <v>-123</v>
      </c>
      <c r="S64">
        <v>-19.3</v>
      </c>
    </row>
    <row r="65" spans="2:19" x14ac:dyDescent="0.25">
      <c r="B65">
        <f>480+2*(Table14681012[[#This Row],[min value (corrected)]]-34)</f>
        <v>480</v>
      </c>
      <c r="C65">
        <f>MINUTE(Table14681012[[#This Row],[Corrected time]])</f>
        <v>34</v>
      </c>
      <c r="D65" s="1">
        <v>0.73262425925925923</v>
      </c>
      <c r="E65" s="1">
        <f>Table14681012[[#This Row],[Time]]-TIME(0,0,9)</f>
        <v>0.73252009259259254</v>
      </c>
      <c r="F65" t="s">
        <v>9</v>
      </c>
      <c r="G65" t="s">
        <v>12</v>
      </c>
      <c r="H65">
        <f t="shared" si="2"/>
        <v>-123</v>
      </c>
      <c r="I65">
        <v>-18.3</v>
      </c>
      <c r="L65">
        <f>480+2*(Table25791113[[#This Row],[min value (corrected)]]-50)</f>
        <v>482</v>
      </c>
      <c r="M65">
        <f>MINUTE(Table25791113[[#This Row],[Corrected time]])</f>
        <v>51</v>
      </c>
      <c r="N65" s="1">
        <v>0.6189887268518518</v>
      </c>
      <c r="O65" s="1">
        <f>Table25791113[[#This Row],[Time]]-TIME(0,0,3)</f>
        <v>0.61895400462962957</v>
      </c>
      <c r="P65" t="s">
        <v>9</v>
      </c>
      <c r="Q65">
        <v>-123</v>
      </c>
      <c r="R65">
        <f>Table25791113[[#This Row],[RSSI]]</f>
        <v>-123</v>
      </c>
      <c r="S65">
        <v>-18</v>
      </c>
    </row>
    <row r="66" spans="2:19" x14ac:dyDescent="0.25">
      <c r="B66">
        <f>480+2*(Table14681012[[#This Row],[min value (corrected)]]-34)</f>
        <v>480</v>
      </c>
      <c r="C66">
        <f>MINUTE(Table14681012[[#This Row],[Corrected time]])</f>
        <v>34</v>
      </c>
      <c r="D66" s="1">
        <v>0.73264350694444447</v>
      </c>
      <c r="E66" s="1">
        <f>Table14681012[[#This Row],[Time]]-TIME(0,0,9)</f>
        <v>0.73253934027777778</v>
      </c>
      <c r="F66" t="s">
        <v>9</v>
      </c>
      <c r="G66" t="s">
        <v>12</v>
      </c>
      <c r="H66">
        <f t="shared" si="2"/>
        <v>-123</v>
      </c>
      <c r="I66">
        <v>-18.5</v>
      </c>
      <c r="L66">
        <f>480+2*(Table25791113[[#This Row],[min value (corrected)]]-50)</f>
        <v>482</v>
      </c>
      <c r="M66">
        <f>MINUTE(Table25791113[[#This Row],[Corrected time]])</f>
        <v>51</v>
      </c>
      <c r="N66" s="1">
        <v>0.61900797453703704</v>
      </c>
      <c r="O66" s="1">
        <f>Table25791113[[#This Row],[Time]]-TIME(0,0,3)</f>
        <v>0.61897325231481481</v>
      </c>
      <c r="P66" t="s">
        <v>9</v>
      </c>
      <c r="Q66">
        <v>-123</v>
      </c>
      <c r="R66">
        <f>Table25791113[[#This Row],[RSSI]]</f>
        <v>-123</v>
      </c>
      <c r="S66">
        <v>-17.5</v>
      </c>
    </row>
    <row r="67" spans="2:19" x14ac:dyDescent="0.25">
      <c r="B67">
        <f>480+2*(Table14681012[[#This Row],[min value (corrected)]]-34)</f>
        <v>480</v>
      </c>
      <c r="C67">
        <f>MINUTE(Table14681012[[#This Row],[Corrected time]])</f>
        <v>34</v>
      </c>
      <c r="D67" s="1">
        <v>0.73266273148148142</v>
      </c>
      <c r="E67" s="1">
        <f>Table14681012[[#This Row],[Time]]-TIME(0,0,9)</f>
        <v>0.73255856481481474</v>
      </c>
      <c r="F67" t="s">
        <v>9</v>
      </c>
      <c r="G67" t="s">
        <v>12</v>
      </c>
      <c r="H67">
        <f t="shared" si="2"/>
        <v>-123</v>
      </c>
      <c r="I67">
        <v>-18.8</v>
      </c>
      <c r="L67">
        <f>480+2*(Table25791113[[#This Row],[min value (corrected)]]-50)</f>
        <v>482</v>
      </c>
      <c r="M67">
        <f>MINUTE(Table25791113[[#This Row],[Corrected time]])</f>
        <v>51</v>
      </c>
      <c r="N67" s="1">
        <v>0.61902722222222217</v>
      </c>
      <c r="O67" s="1">
        <f>Table25791113[[#This Row],[Time]]-TIME(0,0,3)</f>
        <v>0.61899249999999995</v>
      </c>
      <c r="P67" t="s">
        <v>9</v>
      </c>
      <c r="Q67">
        <v>-124</v>
      </c>
      <c r="R67">
        <f>Table25791113[[#This Row],[RSSI]]</f>
        <v>-124</v>
      </c>
      <c r="S67">
        <v>-18.5</v>
      </c>
    </row>
    <row r="68" spans="2:19" x14ac:dyDescent="0.25">
      <c r="B68">
        <f>480+2*(Table14681012[[#This Row],[min value (corrected)]]-34)</f>
        <v>480</v>
      </c>
      <c r="C68">
        <f>MINUTE(Table14681012[[#This Row],[Corrected time]])</f>
        <v>34</v>
      </c>
      <c r="D68" s="1">
        <v>0.73268199074074081</v>
      </c>
      <c r="E68" s="1">
        <f>Table14681012[[#This Row],[Time]]-TIME(0,0,9)</f>
        <v>0.73257782407407412</v>
      </c>
      <c r="F68" t="s">
        <v>9</v>
      </c>
      <c r="G68" t="s">
        <v>12</v>
      </c>
      <c r="H68">
        <f t="shared" si="2"/>
        <v>-123</v>
      </c>
      <c r="I68">
        <v>-19.3</v>
      </c>
      <c r="L68">
        <f>480+2*(Table25791113[[#This Row],[min value (corrected)]]-50)</f>
        <v>482</v>
      </c>
      <c r="M68">
        <f>MINUTE(Table25791113[[#This Row],[Corrected time]])</f>
        <v>51</v>
      </c>
      <c r="N68" s="1">
        <v>0.61904646990740742</v>
      </c>
      <c r="O68" s="1">
        <f>Table25791113[[#This Row],[Time]]-TIME(0,0,3)</f>
        <v>0.61901174768518519</v>
      </c>
      <c r="P68" t="s">
        <v>9</v>
      </c>
      <c r="Q68">
        <v>-123</v>
      </c>
      <c r="R68">
        <f>Table25791113[[#This Row],[RSSI]]</f>
        <v>-123</v>
      </c>
      <c r="S68">
        <v>-18.3</v>
      </c>
    </row>
    <row r="69" spans="2:19" x14ac:dyDescent="0.25">
      <c r="B69">
        <f>480+2*(Table14681012[[#This Row],[min value (corrected)]]-34)</f>
        <v>480</v>
      </c>
      <c r="C69">
        <f>MINUTE(Table14681012[[#This Row],[Corrected time]])</f>
        <v>34</v>
      </c>
      <c r="D69" s="1">
        <v>0.73270123842592594</v>
      </c>
      <c r="E69" s="1">
        <f>Table14681012[[#This Row],[Time]]-TIME(0,0,9)</f>
        <v>0.73259707175925926</v>
      </c>
      <c r="F69" t="s">
        <v>9</v>
      </c>
      <c r="G69" t="s">
        <v>19</v>
      </c>
      <c r="H69">
        <f t="shared" si="2"/>
        <v>-124</v>
      </c>
      <c r="I69">
        <v>-20.3</v>
      </c>
      <c r="L69">
        <f>480+2*(Table25791113[[#This Row],[min value (corrected)]]-50)</f>
        <v>482</v>
      </c>
      <c r="M69">
        <f>MINUTE(Table25791113[[#This Row],[Corrected time]])</f>
        <v>51</v>
      </c>
      <c r="N69" s="1">
        <v>0.61906571759259255</v>
      </c>
      <c r="O69" s="1">
        <f>Table25791113[[#This Row],[Time]]-TIME(0,0,3)</f>
        <v>0.61903099537037032</v>
      </c>
      <c r="P69" t="s">
        <v>9</v>
      </c>
      <c r="Q69">
        <v>-123</v>
      </c>
      <c r="R69">
        <f>Table25791113[[#This Row],[RSSI]]</f>
        <v>-123</v>
      </c>
      <c r="S69">
        <v>-18.5</v>
      </c>
    </row>
    <row r="70" spans="2:19" x14ac:dyDescent="0.25">
      <c r="B70">
        <f>480+2*(Table14681012[[#This Row],[min value (corrected)]]-34)</f>
        <v>480</v>
      </c>
      <c r="C70">
        <f>MINUTE(Table14681012[[#This Row],[Corrected time]])</f>
        <v>34</v>
      </c>
      <c r="D70" s="1">
        <v>0.73272048611111118</v>
      </c>
      <c r="E70" s="1">
        <f>Table14681012[[#This Row],[Time]]-TIME(0,0,9)</f>
        <v>0.7326163194444445</v>
      </c>
      <c r="F70" t="s">
        <v>9</v>
      </c>
      <c r="G70" t="s">
        <v>28</v>
      </c>
      <c r="H70">
        <f t="shared" si="2"/>
        <v>-125</v>
      </c>
      <c r="I70">
        <v>-20</v>
      </c>
      <c r="L70">
        <f>480+2*(Table25791113[[#This Row],[min value (corrected)]]-50)</f>
        <v>482</v>
      </c>
      <c r="M70">
        <f>MINUTE(Table25791113[[#This Row],[Corrected time]])</f>
        <v>51</v>
      </c>
      <c r="N70" s="1">
        <v>0.61908496527777779</v>
      </c>
      <c r="O70" s="1">
        <f>Table25791113[[#This Row],[Time]]-TIME(0,0,3)</f>
        <v>0.61905024305555556</v>
      </c>
      <c r="P70" t="s">
        <v>9</v>
      </c>
      <c r="Q70">
        <v>-123</v>
      </c>
      <c r="R70">
        <f>Table25791113[[#This Row],[RSSI]]</f>
        <v>-123</v>
      </c>
      <c r="S70">
        <v>-18.5</v>
      </c>
    </row>
    <row r="71" spans="2:19" x14ac:dyDescent="0.25">
      <c r="B71">
        <f>480+2*(Table14681012[[#This Row],[min value (corrected)]]-34)</f>
        <v>482</v>
      </c>
      <c r="C71">
        <f>MINUTE(Table14681012[[#This Row],[Corrected time]])</f>
        <v>35</v>
      </c>
      <c r="D71" s="1">
        <v>0.73273973379629631</v>
      </c>
      <c r="E71" s="1">
        <f>Table14681012[[#This Row],[Time]]-TIME(0,0,9)</f>
        <v>0.73263556712962963</v>
      </c>
      <c r="F71" t="s">
        <v>9</v>
      </c>
      <c r="G71" t="s">
        <v>19</v>
      </c>
      <c r="H71">
        <f t="shared" si="2"/>
        <v>-124</v>
      </c>
      <c r="I71">
        <v>-20.3</v>
      </c>
      <c r="L71">
        <f>480+2*(Table25791113[[#This Row],[min value (corrected)]]-50)</f>
        <v>482</v>
      </c>
      <c r="M71">
        <f>MINUTE(Table25791113[[#This Row],[Corrected time]])</f>
        <v>51</v>
      </c>
      <c r="N71" s="1">
        <v>0.61910421296296292</v>
      </c>
      <c r="O71" s="1">
        <f>Table25791113[[#This Row],[Time]]-TIME(0,0,3)</f>
        <v>0.61906949074074069</v>
      </c>
      <c r="P71" t="s">
        <v>9</v>
      </c>
      <c r="Q71">
        <v>-124</v>
      </c>
      <c r="R71">
        <f>Table25791113[[#This Row],[RSSI]]</f>
        <v>-124</v>
      </c>
      <c r="S71">
        <v>-19</v>
      </c>
    </row>
    <row r="72" spans="2:19" x14ac:dyDescent="0.25">
      <c r="B72">
        <f>480+2*(Table14681012[[#This Row],[min value (corrected)]]-34)</f>
        <v>482</v>
      </c>
      <c r="C72">
        <f>MINUTE(Table14681012[[#This Row],[Corrected time]])</f>
        <v>35</v>
      </c>
      <c r="D72" s="1">
        <v>0.73275899305555559</v>
      </c>
      <c r="E72" s="1">
        <f>Table14681012[[#This Row],[Time]]-TIME(0,0,9)</f>
        <v>0.7326548263888889</v>
      </c>
      <c r="F72" t="s">
        <v>9</v>
      </c>
      <c r="G72" t="s">
        <v>19</v>
      </c>
      <c r="H72">
        <f t="shared" si="2"/>
        <v>-124</v>
      </c>
      <c r="I72">
        <v>-19.8</v>
      </c>
      <c r="L72">
        <f>480+2*(Table25791113[[#This Row],[min value (corrected)]]-50)</f>
        <v>482</v>
      </c>
      <c r="M72">
        <f>MINUTE(Table25791113[[#This Row],[Corrected time]])</f>
        <v>51</v>
      </c>
      <c r="N72" s="1">
        <v>0.61912346064814816</v>
      </c>
      <c r="O72" s="1">
        <f>Table25791113[[#This Row],[Time]]-TIME(0,0,3)</f>
        <v>0.61908873842592593</v>
      </c>
      <c r="P72" t="s">
        <v>9</v>
      </c>
      <c r="Q72">
        <v>-123</v>
      </c>
      <c r="R72">
        <f>Table25791113[[#This Row],[RSSI]]</f>
        <v>-123</v>
      </c>
      <c r="S72">
        <v>-18</v>
      </c>
    </row>
    <row r="73" spans="2:19" x14ac:dyDescent="0.25">
      <c r="B73">
        <f>480+2*(Table14681012[[#This Row],[min value (corrected)]]-34)</f>
        <v>482</v>
      </c>
      <c r="C73">
        <f>MINUTE(Table14681012[[#This Row],[Corrected time]])</f>
        <v>35</v>
      </c>
      <c r="D73" s="1">
        <v>0.73277824074074072</v>
      </c>
      <c r="E73" s="1">
        <f>Table14681012[[#This Row],[Time]]-TIME(0,0,9)</f>
        <v>0.73267407407407403</v>
      </c>
      <c r="F73" t="s">
        <v>9</v>
      </c>
      <c r="G73" t="s">
        <v>19</v>
      </c>
      <c r="H73">
        <f t="shared" si="2"/>
        <v>-124</v>
      </c>
      <c r="I73">
        <v>-19.8</v>
      </c>
      <c r="L73">
        <f>480+2*(Table25791113[[#This Row],[min value (corrected)]]-50)</f>
        <v>482</v>
      </c>
      <c r="M73">
        <f>MINUTE(Table25791113[[#This Row],[Corrected time]])</f>
        <v>51</v>
      </c>
      <c r="N73" s="1">
        <v>0.61914270833333329</v>
      </c>
      <c r="O73" s="1">
        <f>Table25791113[[#This Row],[Time]]-TIME(0,0,3)</f>
        <v>0.61910798611111106</v>
      </c>
      <c r="P73" t="s">
        <v>9</v>
      </c>
      <c r="Q73">
        <v>-123</v>
      </c>
      <c r="R73">
        <f>Table25791113[[#This Row],[RSSI]]</f>
        <v>-123</v>
      </c>
      <c r="S73">
        <v>-19.3</v>
      </c>
    </row>
    <row r="74" spans="2:19" x14ac:dyDescent="0.25">
      <c r="B74">
        <f>480+2*(Table14681012[[#This Row],[min value (corrected)]]-34)</f>
        <v>482</v>
      </c>
      <c r="C74">
        <f>MINUTE(Table14681012[[#This Row],[Corrected time]])</f>
        <v>35</v>
      </c>
      <c r="D74" s="1">
        <v>0.73279747685185181</v>
      </c>
      <c r="E74" s="1">
        <f>Table14681012[[#This Row],[Time]]-TIME(0,0,9)</f>
        <v>0.73269331018518513</v>
      </c>
      <c r="F74" t="s">
        <v>27</v>
      </c>
      <c r="G74" t="str">
        <f>G73</f>
        <v>-124.0,</v>
      </c>
      <c r="H74">
        <f t="shared" si="2"/>
        <v>-124</v>
      </c>
      <c r="I74">
        <f>I73</f>
        <v>-19.8</v>
      </c>
      <c r="L74">
        <f>480+2*(Table25791113[[#This Row],[min value (corrected)]]-50)</f>
        <v>482</v>
      </c>
      <c r="M74">
        <f>MINUTE(Table25791113[[#This Row],[Corrected time]])</f>
        <v>51</v>
      </c>
      <c r="N74" s="1">
        <v>0.61916195601851853</v>
      </c>
      <c r="O74" s="1">
        <f>Table25791113[[#This Row],[Time]]-TIME(0,0,3)</f>
        <v>0.61912723379629631</v>
      </c>
      <c r="P74" t="s">
        <v>9</v>
      </c>
      <c r="Q74">
        <v>-123</v>
      </c>
      <c r="R74">
        <f>Table25791113[[#This Row],[RSSI]]</f>
        <v>-123</v>
      </c>
      <c r="S74">
        <v>-19</v>
      </c>
    </row>
    <row r="75" spans="2:19" x14ac:dyDescent="0.25">
      <c r="B75">
        <f>480+2*(Table14681012[[#This Row],[min value (corrected)]]-34)</f>
        <v>482</v>
      </c>
      <c r="C75">
        <f>MINUTE(Table14681012[[#This Row],[Corrected time]])</f>
        <v>35</v>
      </c>
      <c r="D75" s="1">
        <v>0.73279747685185181</v>
      </c>
      <c r="E75" s="1">
        <f>Table14681012[[#This Row],[Time]]-TIME(0,0,9)</f>
        <v>0.73269331018518513</v>
      </c>
      <c r="F75" t="s">
        <v>9</v>
      </c>
      <c r="G75" t="s">
        <v>19</v>
      </c>
      <c r="H75">
        <f t="shared" si="2"/>
        <v>-124</v>
      </c>
      <c r="I75">
        <v>-19</v>
      </c>
      <c r="L75">
        <f>480+2*(Table25791113[[#This Row],[min value (corrected)]]-50)</f>
        <v>482</v>
      </c>
      <c r="M75">
        <f>MINUTE(Table25791113[[#This Row],[Corrected time]])</f>
        <v>51</v>
      </c>
      <c r="N75" s="1">
        <v>0.61918120370370366</v>
      </c>
      <c r="O75" s="1">
        <f>Table25791113[[#This Row],[Time]]-TIME(0,0,3)</f>
        <v>0.61914648148148144</v>
      </c>
      <c r="P75" t="s">
        <v>9</v>
      </c>
      <c r="Q75">
        <v>-123</v>
      </c>
      <c r="R75">
        <f>Table25791113[[#This Row],[RSSI]]</f>
        <v>-123</v>
      </c>
      <c r="S75">
        <v>-19.5</v>
      </c>
    </row>
    <row r="76" spans="2:19" x14ac:dyDescent="0.25">
      <c r="B76">
        <f>480+2*(Table14681012[[#This Row],[min value (corrected)]]-34)</f>
        <v>482</v>
      </c>
      <c r="C76">
        <f>MINUTE(Table14681012[[#This Row],[Corrected time]])</f>
        <v>35</v>
      </c>
      <c r="D76" s="1">
        <v>0.73283597222222219</v>
      </c>
      <c r="E76" s="1">
        <f>Table14681012[[#This Row],[Time]]-TIME(0,0,9)</f>
        <v>0.7327318055555555</v>
      </c>
      <c r="F76" t="s">
        <v>9</v>
      </c>
      <c r="G76" t="s">
        <v>12</v>
      </c>
      <c r="H76">
        <f t="shared" si="2"/>
        <v>-123</v>
      </c>
      <c r="I76">
        <v>-18.5</v>
      </c>
      <c r="L76">
        <f>480+2*(Table25791113[[#This Row],[min value (corrected)]]-50)</f>
        <v>482</v>
      </c>
      <c r="M76">
        <f>MINUTE(Table25791113[[#This Row],[Corrected time]])</f>
        <v>51</v>
      </c>
      <c r="N76" s="1">
        <v>0.61920045138888891</v>
      </c>
      <c r="O76" s="1">
        <f>Table25791113[[#This Row],[Time]]-TIME(0,0,3)</f>
        <v>0.61916572916666668</v>
      </c>
      <c r="P76" t="s">
        <v>9</v>
      </c>
      <c r="Q76">
        <v>-123</v>
      </c>
      <c r="R76">
        <f>Table25791113[[#This Row],[RSSI]]</f>
        <v>-123</v>
      </c>
      <c r="S76">
        <v>-19</v>
      </c>
    </row>
    <row r="77" spans="2:19" x14ac:dyDescent="0.25">
      <c r="B77">
        <f>480+2*(Table14681012[[#This Row],[min value (corrected)]]-34)</f>
        <v>482</v>
      </c>
      <c r="C77">
        <f>MINUTE(Table14681012[[#This Row],[Corrected time]])</f>
        <v>35</v>
      </c>
      <c r="D77" s="1">
        <v>0.73285521990740743</v>
      </c>
      <c r="E77" s="1">
        <f>Table14681012[[#This Row],[Time]]-TIME(0,0,9)</f>
        <v>0.73275105324074075</v>
      </c>
      <c r="F77" t="s">
        <v>9</v>
      </c>
      <c r="G77" t="s">
        <v>12</v>
      </c>
      <c r="H77">
        <f t="shared" si="2"/>
        <v>-123</v>
      </c>
      <c r="I77">
        <v>-18.5</v>
      </c>
      <c r="L77">
        <f>480+2*(Table25791113[[#This Row],[min value (corrected)]]-50)</f>
        <v>482</v>
      </c>
      <c r="M77">
        <f>MINUTE(Table25791113[[#This Row],[Corrected time]])</f>
        <v>51</v>
      </c>
      <c r="N77" s="1">
        <v>0.61921969907407415</v>
      </c>
      <c r="O77" s="1">
        <f>Table25791113[[#This Row],[Time]]-TIME(0,0,3)</f>
        <v>0.61918497685185192</v>
      </c>
      <c r="P77" t="s">
        <v>9</v>
      </c>
      <c r="Q77">
        <v>-123</v>
      </c>
      <c r="R77">
        <f>Table25791113[[#This Row],[RSSI]]</f>
        <v>-123</v>
      </c>
      <c r="S77">
        <v>-18.3</v>
      </c>
    </row>
    <row r="78" spans="2:19" x14ac:dyDescent="0.25">
      <c r="B78">
        <f>480+2*(Table14681012[[#This Row],[min value (corrected)]]-34)</f>
        <v>482</v>
      </c>
      <c r="C78">
        <f>MINUTE(Table14681012[[#This Row],[Corrected time]])</f>
        <v>35</v>
      </c>
      <c r="D78" s="1">
        <v>0.73287446759259256</v>
      </c>
      <c r="E78" s="1">
        <f>Table14681012[[#This Row],[Time]]-TIME(0,0,9)</f>
        <v>0.73277030092592588</v>
      </c>
      <c r="F78" t="s">
        <v>9</v>
      </c>
      <c r="G78" t="s">
        <v>12</v>
      </c>
      <c r="H78">
        <f t="shared" si="2"/>
        <v>-123</v>
      </c>
      <c r="I78">
        <v>-19</v>
      </c>
      <c r="L78">
        <f>480+2*(Table25791113[[#This Row],[min value (corrected)]]-50)</f>
        <v>482</v>
      </c>
      <c r="M78">
        <f>MINUTE(Table25791113[[#This Row],[Corrected time]])</f>
        <v>51</v>
      </c>
      <c r="N78" s="1">
        <v>0.61923894675925928</v>
      </c>
      <c r="O78" s="1">
        <f>Table25791113[[#This Row],[Time]]-TIME(0,0,3)</f>
        <v>0.61920422453703705</v>
      </c>
      <c r="P78" t="s">
        <v>9</v>
      </c>
      <c r="Q78">
        <v>-123</v>
      </c>
      <c r="R78">
        <f>Table25791113[[#This Row],[RSSI]]</f>
        <v>-123</v>
      </c>
      <c r="S78">
        <v>-18.8</v>
      </c>
    </row>
    <row r="79" spans="2:19" x14ac:dyDescent="0.25">
      <c r="B79">
        <f>480+2*(Table14681012[[#This Row],[min value (corrected)]]-34)</f>
        <v>482</v>
      </c>
      <c r="C79">
        <f>MINUTE(Table14681012[[#This Row],[Corrected time]])</f>
        <v>35</v>
      </c>
      <c r="D79" s="1">
        <v>0.7328937152777778</v>
      </c>
      <c r="E79" s="1">
        <f>Table14681012[[#This Row],[Time]]-TIME(0,0,9)</f>
        <v>0.73278954861111112</v>
      </c>
      <c r="F79" t="s">
        <v>9</v>
      </c>
      <c r="G79" t="s">
        <v>12</v>
      </c>
      <c r="H79">
        <f t="shared" si="2"/>
        <v>-123</v>
      </c>
      <c r="I79">
        <v>-19.5</v>
      </c>
      <c r="L79">
        <f>480+2*(Table25791113[[#This Row],[min value (corrected)]]-50)</f>
        <v>482</v>
      </c>
      <c r="M79">
        <f>MINUTE(Table25791113[[#This Row],[Corrected time]])</f>
        <v>51</v>
      </c>
      <c r="N79" s="1">
        <v>0.61925819444444452</v>
      </c>
      <c r="O79" s="1">
        <f>Table25791113[[#This Row],[Time]]-TIME(0,0,3)</f>
        <v>0.61922347222222229</v>
      </c>
      <c r="P79" t="s">
        <v>9</v>
      </c>
      <c r="Q79">
        <v>-123</v>
      </c>
      <c r="R79">
        <f>Table25791113[[#This Row],[RSSI]]</f>
        <v>-123</v>
      </c>
      <c r="S79">
        <v>-18.8</v>
      </c>
    </row>
    <row r="80" spans="2:19" x14ac:dyDescent="0.25">
      <c r="B80">
        <f>480+2*(Table14681012[[#This Row],[min value (corrected)]]-34)</f>
        <v>482</v>
      </c>
      <c r="C80">
        <f>MINUTE(Table14681012[[#This Row],[Corrected time]])</f>
        <v>35</v>
      </c>
      <c r="D80" s="1">
        <v>0.73291297453703697</v>
      </c>
      <c r="E80" s="1">
        <f>Table14681012[[#This Row],[Time]]-TIME(0,0,9)</f>
        <v>0.73280880787037028</v>
      </c>
      <c r="F80" t="s">
        <v>9</v>
      </c>
      <c r="G80" t="s">
        <v>12</v>
      </c>
      <c r="H80">
        <f t="shared" si="2"/>
        <v>-123</v>
      </c>
      <c r="I80">
        <v>-18.3</v>
      </c>
      <c r="L80">
        <f>480+2*(Table25791113[[#This Row],[min value (corrected)]]-50)</f>
        <v>482</v>
      </c>
      <c r="M80">
        <f>MINUTE(Table25791113[[#This Row],[Corrected time]])</f>
        <v>51</v>
      </c>
      <c r="N80" s="1">
        <v>0.61927744212962965</v>
      </c>
      <c r="O80" s="1">
        <f>Table25791113[[#This Row],[Time]]-TIME(0,0,3)</f>
        <v>0.61924271990740742</v>
      </c>
      <c r="P80" t="s">
        <v>9</v>
      </c>
      <c r="Q80">
        <v>-123</v>
      </c>
      <c r="R80">
        <f>Table25791113[[#This Row],[RSSI]]</f>
        <v>-123</v>
      </c>
      <c r="S80">
        <v>-18.3</v>
      </c>
    </row>
    <row r="81" spans="2:19" x14ac:dyDescent="0.25">
      <c r="B81">
        <f>480+2*(Table14681012[[#This Row],[min value (corrected)]]-34)</f>
        <v>482</v>
      </c>
      <c r="C81">
        <f>MINUTE(Table14681012[[#This Row],[Corrected time]])</f>
        <v>35</v>
      </c>
      <c r="D81" s="1">
        <v>0.73293221064814817</v>
      </c>
      <c r="E81" s="1">
        <f>Table14681012[[#This Row],[Time]]-TIME(0,0,9)</f>
        <v>0.73282804398148149</v>
      </c>
      <c r="F81" t="s">
        <v>9</v>
      </c>
      <c r="G81" t="s">
        <v>12</v>
      </c>
      <c r="H81">
        <f t="shared" si="2"/>
        <v>-123</v>
      </c>
      <c r="I81">
        <v>-19.3</v>
      </c>
      <c r="L81">
        <f>480+2*(Table25791113[[#This Row],[min value (corrected)]]-50)</f>
        <v>482</v>
      </c>
      <c r="M81">
        <f>MINUTE(Table25791113[[#This Row],[Corrected time]])</f>
        <v>51</v>
      </c>
      <c r="N81" s="1">
        <v>0.61929668981481478</v>
      </c>
      <c r="O81" s="1">
        <f>Table25791113[[#This Row],[Time]]-TIME(0,0,3)</f>
        <v>0.61926196759259255</v>
      </c>
      <c r="P81" t="s">
        <v>9</v>
      </c>
      <c r="Q81">
        <v>-124</v>
      </c>
      <c r="R81">
        <f>Table25791113[[#This Row],[RSSI]]</f>
        <v>-124</v>
      </c>
      <c r="S81">
        <v>-19.3</v>
      </c>
    </row>
    <row r="82" spans="2:19" x14ac:dyDescent="0.25">
      <c r="B82">
        <f>480+2*(Table14681012[[#This Row],[min value (corrected)]]-34)</f>
        <v>482</v>
      </c>
      <c r="C82">
        <f>MINUTE(Table14681012[[#This Row],[Corrected time]])</f>
        <v>35</v>
      </c>
      <c r="D82" s="1">
        <v>0.73295146990740734</v>
      </c>
      <c r="E82" s="1">
        <f>Table14681012[[#This Row],[Time]]-TIME(0,0,9)</f>
        <v>0.73284730324074066</v>
      </c>
      <c r="F82" t="s">
        <v>9</v>
      </c>
      <c r="G82" t="s">
        <v>12</v>
      </c>
      <c r="H82">
        <f t="shared" si="2"/>
        <v>-123</v>
      </c>
      <c r="I82">
        <v>-19</v>
      </c>
      <c r="L82">
        <f>480+2*(Table25791113[[#This Row],[min value (corrected)]]-50)</f>
        <v>482</v>
      </c>
      <c r="M82">
        <f>MINUTE(Table25791113[[#This Row],[Corrected time]])</f>
        <v>51</v>
      </c>
      <c r="N82" s="1">
        <v>0.61931593749999991</v>
      </c>
      <c r="O82" s="1">
        <f>Table25791113[[#This Row],[Time]]-TIME(0,0,3)</f>
        <v>0.61928121527777769</v>
      </c>
      <c r="P82" t="s">
        <v>9</v>
      </c>
      <c r="Q82">
        <v>-123</v>
      </c>
      <c r="R82">
        <f>Table25791113[[#This Row],[RSSI]]</f>
        <v>-123</v>
      </c>
      <c r="S82">
        <v>-19.5</v>
      </c>
    </row>
    <row r="83" spans="2:19" x14ac:dyDescent="0.25">
      <c r="B83">
        <f>480+2*(Table14681012[[#This Row],[min value (corrected)]]-34)</f>
        <v>482</v>
      </c>
      <c r="C83">
        <f>MINUTE(Table14681012[[#This Row],[Corrected time]])</f>
        <v>35</v>
      </c>
      <c r="D83" s="1">
        <v>0.73297070601851855</v>
      </c>
      <c r="E83" s="1">
        <f>Table14681012[[#This Row],[Time]]-TIME(0,0,9)</f>
        <v>0.73286653935185186</v>
      </c>
      <c r="F83" t="s">
        <v>9</v>
      </c>
      <c r="G83" t="s">
        <v>12</v>
      </c>
      <c r="H83">
        <f t="shared" si="2"/>
        <v>-123</v>
      </c>
      <c r="I83">
        <v>-19</v>
      </c>
      <c r="L83">
        <f>480+2*(Table25791113[[#This Row],[min value (corrected)]]-50)</f>
        <v>482</v>
      </c>
      <c r="M83">
        <f>MINUTE(Table25791113[[#This Row],[Corrected time]])</f>
        <v>51</v>
      </c>
      <c r="N83" s="1">
        <v>0.61933518518518516</v>
      </c>
      <c r="O83" s="1">
        <f>Table25791113[[#This Row],[Time]]-TIME(0,0,3)</f>
        <v>0.61930046296296293</v>
      </c>
      <c r="P83" t="s">
        <v>9</v>
      </c>
      <c r="Q83">
        <v>-124</v>
      </c>
      <c r="R83">
        <f>Table25791113[[#This Row],[RSSI]]</f>
        <v>-124</v>
      </c>
      <c r="S83">
        <v>-18.3</v>
      </c>
    </row>
    <row r="84" spans="2:19" x14ac:dyDescent="0.25">
      <c r="B84">
        <f>480+2*(Table14681012[[#This Row],[min value (corrected)]]-34)</f>
        <v>482</v>
      </c>
      <c r="C84">
        <f>MINUTE(Table14681012[[#This Row],[Corrected time]])</f>
        <v>35</v>
      </c>
      <c r="D84" s="1">
        <v>0.73298995370370368</v>
      </c>
      <c r="E84" s="1">
        <f>Table14681012[[#This Row],[Time]]-TIME(0,0,9)</f>
        <v>0.732885787037037</v>
      </c>
      <c r="F84" t="s">
        <v>9</v>
      </c>
      <c r="G84" t="s">
        <v>19</v>
      </c>
      <c r="H84">
        <f t="shared" si="2"/>
        <v>-124</v>
      </c>
      <c r="I84">
        <v>-18.8</v>
      </c>
      <c r="L84">
        <f>480+2*(Table25791113[[#This Row],[min value (corrected)]]-50)</f>
        <v>482</v>
      </c>
      <c r="M84">
        <f>MINUTE(Table25791113[[#This Row],[Corrected time]])</f>
        <v>51</v>
      </c>
      <c r="N84" s="1">
        <v>0.6193544328703704</v>
      </c>
      <c r="O84" s="1">
        <f>Table25791113[[#This Row],[Time]]-TIME(0,0,3)</f>
        <v>0.61931971064814817</v>
      </c>
      <c r="P84" t="s">
        <v>9</v>
      </c>
      <c r="Q84">
        <v>-123</v>
      </c>
      <c r="R84">
        <f>Table25791113[[#This Row],[RSSI]]</f>
        <v>-123</v>
      </c>
      <c r="S84">
        <v>-18.5</v>
      </c>
    </row>
    <row r="85" spans="2:19" x14ac:dyDescent="0.25">
      <c r="B85">
        <f>480+2*(Table14681012[[#This Row],[min value (corrected)]]-34)</f>
        <v>482</v>
      </c>
      <c r="C85">
        <f>MINUTE(Table14681012[[#This Row],[Corrected time]])</f>
        <v>35</v>
      </c>
      <c r="D85" s="1">
        <v>0.73300921296296295</v>
      </c>
      <c r="E85" s="1">
        <f>Table14681012[[#This Row],[Time]]-TIME(0,0,9)</f>
        <v>0.73290504629629627</v>
      </c>
      <c r="F85" t="s">
        <v>9</v>
      </c>
      <c r="G85" t="s">
        <v>12</v>
      </c>
      <c r="H85">
        <f t="shared" si="2"/>
        <v>-123</v>
      </c>
      <c r="I85">
        <v>-19</v>
      </c>
      <c r="L85">
        <f>480+2*(Table25791113[[#This Row],[min value (corrected)]]-50)</f>
        <v>482</v>
      </c>
      <c r="M85">
        <f>MINUTE(Table25791113[[#This Row],[Corrected time]])</f>
        <v>51</v>
      </c>
      <c r="N85" s="1">
        <v>0.6193736689814815</v>
      </c>
      <c r="O85" s="1">
        <f>Table25791113[[#This Row],[Time]]-TIME(0,0,3)</f>
        <v>0.61933894675925927</v>
      </c>
      <c r="P85" t="s">
        <v>9</v>
      </c>
      <c r="Q85">
        <v>-123</v>
      </c>
      <c r="R85">
        <f>Table25791113[[#This Row],[RSSI]]</f>
        <v>-123</v>
      </c>
      <c r="S85">
        <v>-19.3</v>
      </c>
    </row>
    <row r="86" spans="2:19" x14ac:dyDescent="0.25">
      <c r="B86">
        <f>480+2*(Table14681012[[#This Row],[min value (corrected)]]-34)</f>
        <v>482</v>
      </c>
      <c r="C86">
        <f>MINUTE(Table14681012[[#This Row],[Corrected time]])</f>
        <v>35</v>
      </c>
      <c r="D86" s="1">
        <v>0.73302846064814819</v>
      </c>
      <c r="E86" s="1">
        <f>Table14681012[[#This Row],[Time]]-TIME(0,0,9)</f>
        <v>0.73292429398148151</v>
      </c>
      <c r="F86" t="s">
        <v>9</v>
      </c>
      <c r="G86" t="s">
        <v>12</v>
      </c>
      <c r="H86">
        <f t="shared" ref="H86:H149" si="3">VALUE(LEFT(G86,LEN(G86)-1))</f>
        <v>-123</v>
      </c>
      <c r="I86">
        <v>-19.3</v>
      </c>
      <c r="L86">
        <f>480+2*(Table25791113[[#This Row],[min value (corrected)]]-50)</f>
        <v>482</v>
      </c>
      <c r="M86">
        <f>MINUTE(Table25791113[[#This Row],[Corrected time]])</f>
        <v>51</v>
      </c>
      <c r="N86" s="1">
        <v>0.61939292824074077</v>
      </c>
      <c r="O86" s="1">
        <f>Table25791113[[#This Row],[Time]]-TIME(0,0,3)</f>
        <v>0.61935820601851854</v>
      </c>
      <c r="P86" t="s">
        <v>9</v>
      </c>
      <c r="Q86">
        <v>-123</v>
      </c>
      <c r="R86">
        <f>Table25791113[[#This Row],[RSSI]]</f>
        <v>-123</v>
      </c>
      <c r="S86">
        <v>-18.8</v>
      </c>
    </row>
    <row r="87" spans="2:19" x14ac:dyDescent="0.25">
      <c r="B87">
        <f>480+2*(Table14681012[[#This Row],[min value (corrected)]]-34)</f>
        <v>482</v>
      </c>
      <c r="C87">
        <f>MINUTE(Table14681012[[#This Row],[Corrected time]])</f>
        <v>35</v>
      </c>
      <c r="D87" s="1">
        <v>0.73304769675925929</v>
      </c>
      <c r="E87" s="1">
        <f>Table14681012[[#This Row],[Time]]-TIME(0,0,9)</f>
        <v>0.73294353009259261</v>
      </c>
      <c r="F87" t="s">
        <v>9</v>
      </c>
      <c r="G87" t="s">
        <v>19</v>
      </c>
      <c r="H87">
        <f t="shared" si="3"/>
        <v>-124</v>
      </c>
      <c r="I87">
        <v>-19</v>
      </c>
      <c r="L87">
        <f>480+2*(Table25791113[[#This Row],[min value (corrected)]]-50)</f>
        <v>482</v>
      </c>
      <c r="M87">
        <f>MINUTE(Table25791113[[#This Row],[Corrected time]])</f>
        <v>51</v>
      </c>
      <c r="N87" s="1">
        <v>0.6194121759259259</v>
      </c>
      <c r="O87" s="1">
        <f>Table25791113[[#This Row],[Time]]-TIME(0,0,3)</f>
        <v>0.61937745370370367</v>
      </c>
      <c r="P87" t="s">
        <v>9</v>
      </c>
      <c r="Q87">
        <v>-123</v>
      </c>
      <c r="R87">
        <f>Table25791113[[#This Row],[RSSI]]</f>
        <v>-123</v>
      </c>
      <c r="S87">
        <v>-19</v>
      </c>
    </row>
    <row r="88" spans="2:19" x14ac:dyDescent="0.25">
      <c r="B88">
        <f>480+2*(Table14681012[[#This Row],[min value (corrected)]]-34)</f>
        <v>482</v>
      </c>
      <c r="C88">
        <f>MINUTE(Table14681012[[#This Row],[Corrected time]])</f>
        <v>35</v>
      </c>
      <c r="D88" s="1">
        <v>0.73306694444444442</v>
      </c>
      <c r="E88" s="1">
        <f>Table14681012[[#This Row],[Time]]-TIME(0,0,9)</f>
        <v>0.73296277777777774</v>
      </c>
      <c r="F88" t="s">
        <v>9</v>
      </c>
      <c r="G88" t="s">
        <v>19</v>
      </c>
      <c r="H88">
        <f t="shared" si="3"/>
        <v>-124</v>
      </c>
      <c r="I88">
        <v>-18.8</v>
      </c>
      <c r="L88">
        <f>480+2*(Table25791113[[#This Row],[min value (corrected)]]-50)</f>
        <v>482</v>
      </c>
      <c r="M88">
        <f>MINUTE(Table25791113[[#This Row],[Corrected time]])</f>
        <v>51</v>
      </c>
      <c r="N88" s="1">
        <v>0.61943142361111114</v>
      </c>
      <c r="O88" s="1">
        <f>Table25791113[[#This Row],[Time]]-TIME(0,0,3)</f>
        <v>0.61939670138888892</v>
      </c>
      <c r="P88" t="s">
        <v>9</v>
      </c>
      <c r="Q88">
        <v>-123</v>
      </c>
      <c r="R88">
        <f>Table25791113[[#This Row],[RSSI]]</f>
        <v>-123</v>
      </c>
      <c r="S88">
        <v>-18.5</v>
      </c>
    </row>
    <row r="89" spans="2:19" x14ac:dyDescent="0.25">
      <c r="B89">
        <f>480+2*(Table14681012[[#This Row],[min value (corrected)]]-34)</f>
        <v>482</v>
      </c>
      <c r="C89">
        <f>MINUTE(Table14681012[[#This Row],[Corrected time]])</f>
        <v>35</v>
      </c>
      <c r="D89" s="1">
        <v>0.73308619212962955</v>
      </c>
      <c r="E89" s="1">
        <f>Table14681012[[#This Row],[Time]]-TIME(0,0,9)</f>
        <v>0.73298202546296287</v>
      </c>
      <c r="F89" t="s">
        <v>9</v>
      </c>
      <c r="G89" t="s">
        <v>12</v>
      </c>
      <c r="H89">
        <f t="shared" si="3"/>
        <v>-123</v>
      </c>
      <c r="I89">
        <v>-18.5</v>
      </c>
      <c r="L89">
        <f>480+2*(Table25791113[[#This Row],[min value (corrected)]]-50)</f>
        <v>482</v>
      </c>
      <c r="M89">
        <f>MINUTE(Table25791113[[#This Row],[Corrected time]])</f>
        <v>51</v>
      </c>
      <c r="N89" s="1">
        <v>0.61945067129629627</v>
      </c>
      <c r="O89" s="1">
        <f>Table25791113[[#This Row],[Time]]-TIME(0,0,3)</f>
        <v>0.61941594907407405</v>
      </c>
      <c r="P89" t="s">
        <v>9</v>
      </c>
      <c r="Q89">
        <v>-123</v>
      </c>
      <c r="R89">
        <f>Table25791113[[#This Row],[RSSI]]</f>
        <v>-123</v>
      </c>
      <c r="S89">
        <v>-18.8</v>
      </c>
    </row>
    <row r="90" spans="2:19" x14ac:dyDescent="0.25">
      <c r="B90">
        <f>480+2*(Table14681012[[#This Row],[min value (corrected)]]-34)</f>
        <v>482</v>
      </c>
      <c r="C90">
        <f>MINUTE(Table14681012[[#This Row],[Corrected time]])</f>
        <v>35</v>
      </c>
      <c r="D90" s="1">
        <v>0.7331054398148148</v>
      </c>
      <c r="E90" s="1">
        <f>Table14681012[[#This Row],[Time]]-TIME(0,0,9)</f>
        <v>0.73300127314814811</v>
      </c>
      <c r="F90" t="s">
        <v>9</v>
      </c>
      <c r="G90" t="s">
        <v>12</v>
      </c>
      <c r="H90">
        <f t="shared" si="3"/>
        <v>-123</v>
      </c>
      <c r="I90">
        <v>-18.8</v>
      </c>
      <c r="L90">
        <f>480+2*(Table25791113[[#This Row],[min value (corrected)]]-50)</f>
        <v>482</v>
      </c>
      <c r="M90">
        <f>MINUTE(Table25791113[[#This Row],[Corrected time]])</f>
        <v>51</v>
      </c>
      <c r="N90" s="1">
        <v>0.61946990740740737</v>
      </c>
      <c r="O90" s="1">
        <f>Table25791113[[#This Row],[Time]]-TIME(0,0,3)</f>
        <v>0.61943518518518514</v>
      </c>
      <c r="P90" t="s">
        <v>9</v>
      </c>
      <c r="Q90">
        <v>-123</v>
      </c>
      <c r="R90">
        <f>Table25791113[[#This Row],[RSSI]]</f>
        <v>-123</v>
      </c>
      <c r="S90">
        <v>-19.5</v>
      </c>
    </row>
    <row r="91" spans="2:19" x14ac:dyDescent="0.25">
      <c r="B91">
        <f>480+2*(Table14681012[[#This Row],[min value (corrected)]]-34)</f>
        <v>482</v>
      </c>
      <c r="C91">
        <f>MINUTE(Table14681012[[#This Row],[Corrected time]])</f>
        <v>35</v>
      </c>
      <c r="D91" s="1">
        <v>0.73312467592592589</v>
      </c>
      <c r="E91" s="1">
        <f>Table14681012[[#This Row],[Time]]-TIME(0,0,9)</f>
        <v>0.73302050925925921</v>
      </c>
      <c r="F91" t="s">
        <v>9</v>
      </c>
      <c r="G91" t="s">
        <v>12</v>
      </c>
      <c r="H91">
        <f t="shared" si="3"/>
        <v>-123</v>
      </c>
      <c r="I91">
        <v>-18.3</v>
      </c>
      <c r="L91">
        <f>480+2*(Table25791113[[#This Row],[min value (corrected)]]-50)</f>
        <v>484</v>
      </c>
      <c r="M91">
        <f>MINUTE(Table25791113[[#This Row],[Corrected time]])</f>
        <v>52</v>
      </c>
      <c r="N91" s="1">
        <v>0.61948916666666665</v>
      </c>
      <c r="O91" s="1">
        <f>Table25791113[[#This Row],[Time]]-TIME(0,0,3)</f>
        <v>0.61945444444444442</v>
      </c>
      <c r="P91" t="s">
        <v>9</v>
      </c>
      <c r="Q91">
        <v>-124</v>
      </c>
      <c r="R91">
        <f>Table25791113[[#This Row],[RSSI]]</f>
        <v>-124</v>
      </c>
      <c r="S91">
        <v>-19.5</v>
      </c>
    </row>
    <row r="92" spans="2:19" x14ac:dyDescent="0.25">
      <c r="B92">
        <f>480+2*(Table14681012[[#This Row],[min value (corrected)]]-34)</f>
        <v>482</v>
      </c>
      <c r="C92">
        <f>MINUTE(Table14681012[[#This Row],[Corrected time]])</f>
        <v>35</v>
      </c>
      <c r="D92" s="1">
        <v>0.73314393518518517</v>
      </c>
      <c r="E92" s="1">
        <f>Table14681012[[#This Row],[Time]]-TIME(0,0,9)</f>
        <v>0.73303976851851849</v>
      </c>
      <c r="F92" t="s">
        <v>9</v>
      </c>
      <c r="G92" t="s">
        <v>12</v>
      </c>
      <c r="H92">
        <f t="shared" si="3"/>
        <v>-123</v>
      </c>
      <c r="I92">
        <v>-18.5</v>
      </c>
      <c r="L92">
        <f>480+2*(Table25791113[[#This Row],[min value (corrected)]]-50)</f>
        <v>484</v>
      </c>
      <c r="M92">
        <f>MINUTE(Table25791113[[#This Row],[Corrected time]])</f>
        <v>52</v>
      </c>
      <c r="N92" s="1">
        <v>0.61950841435185189</v>
      </c>
      <c r="O92" s="1">
        <f>Table25791113[[#This Row],[Time]]-TIME(0,0,3)</f>
        <v>0.61947369212962966</v>
      </c>
      <c r="P92" t="s">
        <v>13</v>
      </c>
      <c r="Q92">
        <f>Q91</f>
        <v>-124</v>
      </c>
      <c r="R92">
        <f>Table25791113[[#This Row],[RSSI]]</f>
        <v>-124</v>
      </c>
      <c r="S92">
        <f>S91</f>
        <v>-19.5</v>
      </c>
    </row>
    <row r="93" spans="2:19" x14ac:dyDescent="0.25">
      <c r="B93">
        <f>480+2*(Table14681012[[#This Row],[min value (corrected)]]-34)</f>
        <v>482</v>
      </c>
      <c r="C93">
        <f>MINUTE(Table14681012[[#This Row],[Corrected time]])</f>
        <v>35</v>
      </c>
      <c r="D93" s="1">
        <v>0.73316318287037041</v>
      </c>
      <c r="E93" s="1">
        <f>Table14681012[[#This Row],[Time]]-TIME(0,0,9)</f>
        <v>0.73305901620370373</v>
      </c>
      <c r="F93" t="s">
        <v>9</v>
      </c>
      <c r="G93" t="s">
        <v>12</v>
      </c>
      <c r="H93">
        <f t="shared" si="3"/>
        <v>-123</v>
      </c>
      <c r="I93">
        <v>-18.8</v>
      </c>
      <c r="L93">
        <f>480+2*(Table25791113[[#This Row],[min value (corrected)]]-50)</f>
        <v>484</v>
      </c>
      <c r="M93">
        <f>MINUTE(Table25791113[[#This Row],[Corrected time]])</f>
        <v>52</v>
      </c>
      <c r="N93" s="1">
        <v>0.61952765046296299</v>
      </c>
      <c r="O93" s="1">
        <f>Table25791113[[#This Row],[Time]]-TIME(0,0,3)</f>
        <v>0.61949292824074076</v>
      </c>
      <c r="P93" t="s">
        <v>9</v>
      </c>
      <c r="Q93">
        <v>-124</v>
      </c>
      <c r="R93">
        <f>Table25791113[[#This Row],[RSSI]]</f>
        <v>-124</v>
      </c>
      <c r="S93">
        <v>-19.5</v>
      </c>
    </row>
    <row r="94" spans="2:19" x14ac:dyDescent="0.25">
      <c r="B94">
        <f>480+2*(Table14681012[[#This Row],[min value (corrected)]]-34)</f>
        <v>482</v>
      </c>
      <c r="C94">
        <f>MINUTE(Table14681012[[#This Row],[Corrected time]])</f>
        <v>35</v>
      </c>
      <c r="D94" s="1">
        <v>0.73318243055555554</v>
      </c>
      <c r="E94" s="1">
        <f>Table14681012[[#This Row],[Time]]-TIME(0,0,9)</f>
        <v>0.73307826388888886</v>
      </c>
      <c r="F94" t="s">
        <v>9</v>
      </c>
      <c r="G94" t="s">
        <v>12</v>
      </c>
      <c r="H94">
        <f t="shared" si="3"/>
        <v>-123</v>
      </c>
      <c r="I94">
        <v>-19</v>
      </c>
      <c r="L94">
        <f>480+2*(Table25791113[[#This Row],[min value (corrected)]]-50)</f>
        <v>484</v>
      </c>
      <c r="M94">
        <f>MINUTE(Table25791113[[#This Row],[Corrected time]])</f>
        <v>52</v>
      </c>
      <c r="N94" s="1">
        <v>0.61954690972222226</v>
      </c>
      <c r="O94" s="1">
        <f>Table25791113[[#This Row],[Time]]-TIME(0,0,3)</f>
        <v>0.61951218750000003</v>
      </c>
      <c r="P94" t="s">
        <v>9</v>
      </c>
      <c r="Q94">
        <v>-124</v>
      </c>
      <c r="R94">
        <f>Table25791113[[#This Row],[RSSI]]</f>
        <v>-124</v>
      </c>
      <c r="S94">
        <v>-20.8</v>
      </c>
    </row>
    <row r="95" spans="2:19" x14ac:dyDescent="0.25">
      <c r="B95">
        <f>480+2*(Table14681012[[#This Row],[min value (corrected)]]-34)</f>
        <v>482</v>
      </c>
      <c r="C95">
        <f>MINUTE(Table14681012[[#This Row],[Corrected time]])</f>
        <v>35</v>
      </c>
      <c r="D95" s="1">
        <v>0.73320167824074078</v>
      </c>
      <c r="E95" s="1">
        <f>Table14681012[[#This Row],[Time]]-TIME(0,0,9)</f>
        <v>0.7330975115740741</v>
      </c>
      <c r="F95" t="s">
        <v>9</v>
      </c>
      <c r="G95" t="s">
        <v>12</v>
      </c>
      <c r="H95">
        <f t="shared" si="3"/>
        <v>-123</v>
      </c>
      <c r="I95">
        <v>-18.8</v>
      </c>
      <c r="L95">
        <f>480+2*(Table25791113[[#This Row],[min value (corrected)]]-50)</f>
        <v>484</v>
      </c>
      <c r="M95">
        <f>MINUTE(Table25791113[[#This Row],[Corrected time]])</f>
        <v>52</v>
      </c>
      <c r="N95" s="1">
        <v>0.61956615740740739</v>
      </c>
      <c r="O95" s="1">
        <f>Table25791113[[#This Row],[Time]]-TIME(0,0,3)</f>
        <v>0.61953143518518516</v>
      </c>
      <c r="P95" t="s">
        <v>9</v>
      </c>
      <c r="Q95">
        <v>-124</v>
      </c>
      <c r="R95">
        <f>Table25791113[[#This Row],[RSSI]]</f>
        <v>-124</v>
      </c>
      <c r="S95">
        <v>-19.3</v>
      </c>
    </row>
    <row r="96" spans="2:19" x14ac:dyDescent="0.25">
      <c r="B96">
        <f>480+2*(Table14681012[[#This Row],[min value (corrected)]]-34)</f>
        <v>482</v>
      </c>
      <c r="C96">
        <f>MINUTE(Table14681012[[#This Row],[Corrected time]])</f>
        <v>35</v>
      </c>
      <c r="D96" s="1">
        <v>0.73322092592592591</v>
      </c>
      <c r="E96" s="1">
        <f>Table14681012[[#This Row],[Time]]-TIME(0,0,9)</f>
        <v>0.73311675925925923</v>
      </c>
      <c r="F96" t="s">
        <v>9</v>
      </c>
      <c r="G96" t="s">
        <v>12</v>
      </c>
      <c r="H96">
        <f t="shared" si="3"/>
        <v>-123</v>
      </c>
      <c r="I96">
        <v>-18.8</v>
      </c>
      <c r="L96">
        <f>480+2*(Table25791113[[#This Row],[min value (corrected)]]-50)</f>
        <v>484</v>
      </c>
      <c r="M96">
        <f>MINUTE(Table25791113[[#This Row],[Corrected time]])</f>
        <v>52</v>
      </c>
      <c r="N96" s="1">
        <v>0.61958540509259252</v>
      </c>
      <c r="O96" s="1">
        <f>Table25791113[[#This Row],[Time]]-TIME(0,0,3)</f>
        <v>0.6195506828703703</v>
      </c>
      <c r="P96" t="s">
        <v>9</v>
      </c>
      <c r="Q96">
        <v>-124</v>
      </c>
      <c r="R96">
        <f>Table25791113[[#This Row],[RSSI]]</f>
        <v>-124</v>
      </c>
      <c r="S96">
        <v>-20.5</v>
      </c>
    </row>
    <row r="97" spans="2:19" x14ac:dyDescent="0.25">
      <c r="B97">
        <f>480+2*(Table14681012[[#This Row],[min value (corrected)]]-34)</f>
        <v>482</v>
      </c>
      <c r="C97">
        <f>MINUTE(Table14681012[[#This Row],[Corrected time]])</f>
        <v>35</v>
      </c>
      <c r="D97" s="1">
        <v>0.73324017361111116</v>
      </c>
      <c r="E97" s="1">
        <f>Table14681012[[#This Row],[Time]]-TIME(0,0,9)</f>
        <v>0.73313600694444447</v>
      </c>
      <c r="F97" t="s">
        <v>9</v>
      </c>
      <c r="G97" t="s">
        <v>12</v>
      </c>
      <c r="H97">
        <f t="shared" si="3"/>
        <v>-123</v>
      </c>
      <c r="I97">
        <v>-19</v>
      </c>
      <c r="L97">
        <f>480+2*(Table25791113[[#This Row],[min value (corrected)]]-50)</f>
        <v>484</v>
      </c>
      <c r="M97">
        <f>MINUTE(Table25791113[[#This Row],[Corrected time]])</f>
        <v>52</v>
      </c>
      <c r="N97" s="1">
        <v>0.61960465277777776</v>
      </c>
      <c r="O97" s="1">
        <f>Table25791113[[#This Row],[Time]]-TIME(0,0,3)</f>
        <v>0.61956993055555554</v>
      </c>
      <c r="P97" t="s">
        <v>9</v>
      </c>
      <c r="Q97">
        <v>-123</v>
      </c>
      <c r="R97">
        <f>Table25791113[[#This Row],[RSSI]]</f>
        <v>-123</v>
      </c>
      <c r="S97">
        <v>-19.3</v>
      </c>
    </row>
    <row r="98" spans="2:19" x14ac:dyDescent="0.25">
      <c r="B98">
        <f>480+2*(Table14681012[[#This Row],[min value (corrected)]]-34)</f>
        <v>482</v>
      </c>
      <c r="C98">
        <f>MINUTE(Table14681012[[#This Row],[Corrected time]])</f>
        <v>35</v>
      </c>
      <c r="D98" s="1">
        <v>0.73325942129629629</v>
      </c>
      <c r="E98" s="1">
        <f>Table14681012[[#This Row],[Time]]-TIME(0,0,9)</f>
        <v>0.7331552546296296</v>
      </c>
      <c r="F98" t="s">
        <v>9</v>
      </c>
      <c r="G98" t="s">
        <v>12</v>
      </c>
      <c r="H98">
        <f t="shared" si="3"/>
        <v>-123</v>
      </c>
      <c r="I98">
        <v>-18.5</v>
      </c>
      <c r="L98">
        <f>480+2*(Table25791113[[#This Row],[min value (corrected)]]-50)</f>
        <v>484</v>
      </c>
      <c r="M98">
        <f>MINUTE(Table25791113[[#This Row],[Corrected time]])</f>
        <v>52</v>
      </c>
      <c r="N98" s="1">
        <v>0.6196239004629629</v>
      </c>
      <c r="O98" s="1">
        <f>Table25791113[[#This Row],[Time]]-TIME(0,0,3)</f>
        <v>0.61958917824074067</v>
      </c>
      <c r="P98" t="s">
        <v>9</v>
      </c>
      <c r="Q98">
        <v>-123</v>
      </c>
      <c r="R98">
        <f>Table25791113[[#This Row],[RSSI]]</f>
        <v>-123</v>
      </c>
      <c r="S98">
        <v>-18</v>
      </c>
    </row>
    <row r="99" spans="2:19" x14ac:dyDescent="0.25">
      <c r="B99">
        <f>480+2*(Table14681012[[#This Row],[min value (corrected)]]-34)</f>
        <v>482</v>
      </c>
      <c r="C99">
        <f>MINUTE(Table14681012[[#This Row],[Corrected time]])</f>
        <v>35</v>
      </c>
      <c r="D99" s="1">
        <v>0.73327865740740739</v>
      </c>
      <c r="E99" s="1">
        <f>Table14681012[[#This Row],[Time]]-TIME(0,0,9)</f>
        <v>0.7331744907407407</v>
      </c>
      <c r="F99" t="s">
        <v>9</v>
      </c>
      <c r="G99" t="s">
        <v>12</v>
      </c>
      <c r="H99">
        <f t="shared" si="3"/>
        <v>-123</v>
      </c>
      <c r="I99">
        <v>-19.3</v>
      </c>
      <c r="L99">
        <f>480+2*(Table25791113[[#This Row],[min value (corrected)]]-50)</f>
        <v>484</v>
      </c>
      <c r="M99">
        <f>MINUTE(Table25791113[[#This Row],[Corrected time]])</f>
        <v>52</v>
      </c>
      <c r="N99" s="1">
        <v>0.61964314814814814</v>
      </c>
      <c r="O99" s="1">
        <f>Table25791113[[#This Row],[Time]]-TIME(0,0,3)</f>
        <v>0.61960842592592591</v>
      </c>
      <c r="P99" t="s">
        <v>9</v>
      </c>
      <c r="Q99">
        <v>-123</v>
      </c>
      <c r="R99">
        <f>Table25791113[[#This Row],[RSSI]]</f>
        <v>-123</v>
      </c>
      <c r="S99">
        <v>-18.8</v>
      </c>
    </row>
    <row r="100" spans="2:19" x14ac:dyDescent="0.25">
      <c r="B100">
        <f>480+2*(Table14681012[[#This Row],[min value (corrected)]]-34)</f>
        <v>482</v>
      </c>
      <c r="C100">
        <f>MINUTE(Table14681012[[#This Row],[Corrected time]])</f>
        <v>35</v>
      </c>
      <c r="D100" s="1">
        <v>0.73329791666666666</v>
      </c>
      <c r="E100" s="1">
        <f>Table14681012[[#This Row],[Time]]-TIME(0,0,9)</f>
        <v>0.73319374999999998</v>
      </c>
      <c r="F100" t="s">
        <v>9</v>
      </c>
      <c r="G100" t="s">
        <v>19</v>
      </c>
      <c r="H100">
        <f t="shared" si="3"/>
        <v>-124</v>
      </c>
      <c r="I100">
        <v>-19</v>
      </c>
      <c r="L100">
        <f>480+2*(Table25791113[[#This Row],[min value (corrected)]]-50)</f>
        <v>484</v>
      </c>
      <c r="M100">
        <f>MINUTE(Table25791113[[#This Row],[Corrected time]])</f>
        <v>52</v>
      </c>
      <c r="N100" s="1">
        <v>0.61966239583333327</v>
      </c>
      <c r="O100" s="1">
        <f>Table25791113[[#This Row],[Time]]-TIME(0,0,3)</f>
        <v>0.61962767361111104</v>
      </c>
      <c r="P100" t="s">
        <v>9</v>
      </c>
      <c r="Q100">
        <v>-123</v>
      </c>
      <c r="R100">
        <f>Table25791113[[#This Row],[RSSI]]</f>
        <v>-123</v>
      </c>
      <c r="S100">
        <v>-19</v>
      </c>
    </row>
    <row r="101" spans="2:19" x14ac:dyDescent="0.25">
      <c r="B101">
        <f>480+2*(Table14681012[[#This Row],[min value (corrected)]]-34)</f>
        <v>482</v>
      </c>
      <c r="C101">
        <f>MINUTE(Table14681012[[#This Row],[Corrected time]])</f>
        <v>35</v>
      </c>
      <c r="D101" s="1">
        <v>0.7333171643518519</v>
      </c>
      <c r="E101" s="1">
        <f>Table14681012[[#This Row],[Time]]-TIME(0,0,9)</f>
        <v>0.73321299768518522</v>
      </c>
      <c r="F101" t="s">
        <v>9</v>
      </c>
      <c r="G101" t="s">
        <v>12</v>
      </c>
      <c r="H101">
        <f t="shared" si="3"/>
        <v>-123</v>
      </c>
      <c r="I101">
        <v>-19.8</v>
      </c>
      <c r="L101">
        <f>480+2*(Table25791113[[#This Row],[min value (corrected)]]-50)</f>
        <v>484</v>
      </c>
      <c r="M101">
        <f>MINUTE(Table25791113[[#This Row],[Corrected time]])</f>
        <v>52</v>
      </c>
      <c r="N101" s="1">
        <v>0.61968164351851851</v>
      </c>
      <c r="O101" s="1">
        <f>Table25791113[[#This Row],[Time]]-TIME(0,0,3)</f>
        <v>0.61964692129629628</v>
      </c>
      <c r="P101" t="s">
        <v>9</v>
      </c>
      <c r="Q101">
        <v>-123</v>
      </c>
      <c r="R101">
        <f>Table25791113[[#This Row],[RSSI]]</f>
        <v>-123</v>
      </c>
      <c r="S101">
        <v>-19</v>
      </c>
    </row>
    <row r="102" spans="2:19" x14ac:dyDescent="0.25">
      <c r="B102">
        <f>480+2*(Table14681012[[#This Row],[min value (corrected)]]-34)</f>
        <v>482</v>
      </c>
      <c r="C102">
        <f>MINUTE(Table14681012[[#This Row],[Corrected time]])</f>
        <v>35</v>
      </c>
      <c r="D102" s="1">
        <v>0.73333641203703703</v>
      </c>
      <c r="E102" s="1">
        <f>Table14681012[[#This Row],[Time]]-TIME(0,0,9)</f>
        <v>0.73323224537037035</v>
      </c>
      <c r="F102" t="s">
        <v>9</v>
      </c>
      <c r="G102" t="s">
        <v>12</v>
      </c>
      <c r="H102">
        <f t="shared" si="3"/>
        <v>-123</v>
      </c>
      <c r="I102">
        <v>-18.5</v>
      </c>
      <c r="L102">
        <f>480+2*(Table25791113[[#This Row],[min value (corrected)]]-50)</f>
        <v>484</v>
      </c>
      <c r="M102">
        <f>MINUTE(Table25791113[[#This Row],[Corrected time]])</f>
        <v>52</v>
      </c>
      <c r="N102" s="1">
        <v>0.61970089120370364</v>
      </c>
      <c r="O102" s="1">
        <f>Table25791113[[#This Row],[Time]]-TIME(0,0,3)</f>
        <v>0.61966616898148141</v>
      </c>
      <c r="P102" t="s">
        <v>9</v>
      </c>
      <c r="Q102">
        <v>-123</v>
      </c>
      <c r="R102">
        <f>Table25791113[[#This Row],[RSSI]]</f>
        <v>-123</v>
      </c>
      <c r="S102">
        <v>-18.8</v>
      </c>
    </row>
    <row r="103" spans="2:19" x14ac:dyDescent="0.25">
      <c r="B103">
        <f>480+2*(Table14681012[[#This Row],[min value (corrected)]]-34)</f>
        <v>482</v>
      </c>
      <c r="C103">
        <f>MINUTE(Table14681012[[#This Row],[Corrected time]])</f>
        <v>35</v>
      </c>
      <c r="D103" s="1">
        <v>0.73335565972222216</v>
      </c>
      <c r="E103" s="1">
        <f>Table14681012[[#This Row],[Time]]-TIME(0,0,9)</f>
        <v>0.73325149305555548</v>
      </c>
      <c r="F103" t="s">
        <v>9</v>
      </c>
      <c r="G103" t="s">
        <v>12</v>
      </c>
      <c r="H103">
        <f t="shared" si="3"/>
        <v>-123</v>
      </c>
      <c r="I103">
        <v>-18.8</v>
      </c>
      <c r="L103">
        <f>480+2*(Table25791113[[#This Row],[min value (corrected)]]-50)</f>
        <v>484</v>
      </c>
      <c r="M103">
        <f>MINUTE(Table25791113[[#This Row],[Corrected time]])</f>
        <v>52</v>
      </c>
      <c r="N103" s="1">
        <v>0.61972013888888888</v>
      </c>
      <c r="O103" s="1">
        <f>Table25791113[[#This Row],[Time]]-TIME(0,0,3)</f>
        <v>0.61968541666666666</v>
      </c>
      <c r="P103" t="s">
        <v>9</v>
      </c>
      <c r="Q103">
        <v>-123</v>
      </c>
      <c r="R103">
        <f>Table25791113[[#This Row],[RSSI]]</f>
        <v>-123</v>
      </c>
      <c r="S103">
        <v>-18.3</v>
      </c>
    </row>
    <row r="104" spans="2:19" x14ac:dyDescent="0.25">
      <c r="B104">
        <f>480+2*(Table14681012[[#This Row],[min value (corrected)]]-34)</f>
        <v>482</v>
      </c>
      <c r="C104">
        <f>MINUTE(Table14681012[[#This Row],[Corrected time]])</f>
        <v>35</v>
      </c>
      <c r="D104" s="1">
        <v>0.73337490740740741</v>
      </c>
      <c r="E104" s="1">
        <f>Table14681012[[#This Row],[Time]]-TIME(0,0,9)</f>
        <v>0.73327074074074072</v>
      </c>
      <c r="F104" t="s">
        <v>9</v>
      </c>
      <c r="G104" t="s">
        <v>12</v>
      </c>
      <c r="H104">
        <f t="shared" si="3"/>
        <v>-123</v>
      </c>
      <c r="I104">
        <v>-18</v>
      </c>
      <c r="L104">
        <f>480+2*(Table25791113[[#This Row],[min value (corrected)]]-50)</f>
        <v>484</v>
      </c>
      <c r="M104">
        <f>MINUTE(Table25791113[[#This Row],[Corrected time]])</f>
        <v>52</v>
      </c>
      <c r="N104" s="1">
        <v>0.61973938657407412</v>
      </c>
      <c r="O104" s="1">
        <f>Table25791113[[#This Row],[Time]]-TIME(0,0,3)</f>
        <v>0.6197046643518519</v>
      </c>
      <c r="P104" t="s">
        <v>9</v>
      </c>
      <c r="Q104">
        <v>-123</v>
      </c>
      <c r="R104">
        <f>Table25791113[[#This Row],[RSSI]]</f>
        <v>-123</v>
      </c>
      <c r="S104">
        <v>-17.8</v>
      </c>
    </row>
    <row r="105" spans="2:19" x14ac:dyDescent="0.25">
      <c r="B105">
        <f>480+2*(Table14681012[[#This Row],[min value (corrected)]]-34)</f>
        <v>482</v>
      </c>
      <c r="C105">
        <f>MINUTE(Table14681012[[#This Row],[Corrected time]])</f>
        <v>35</v>
      </c>
      <c r="D105" s="1">
        <v>0.7333941435185185</v>
      </c>
      <c r="E105" s="1">
        <f>Table14681012[[#This Row],[Time]]-TIME(0,0,9)</f>
        <v>0.73328997685185182</v>
      </c>
      <c r="F105" t="s">
        <v>9</v>
      </c>
      <c r="G105" t="s">
        <v>19</v>
      </c>
      <c r="H105">
        <f t="shared" si="3"/>
        <v>-124</v>
      </c>
      <c r="I105">
        <v>-19.5</v>
      </c>
      <c r="L105">
        <f>480+2*(Table25791113[[#This Row],[min value (corrected)]]-50)</f>
        <v>484</v>
      </c>
      <c r="M105">
        <f>MINUTE(Table25791113[[#This Row],[Corrected time]])</f>
        <v>52</v>
      </c>
      <c r="N105" s="1">
        <v>0.61975863425925926</v>
      </c>
      <c r="O105" s="1">
        <f>Table25791113[[#This Row],[Time]]-TIME(0,0,3)</f>
        <v>0.61972391203703703</v>
      </c>
      <c r="P105" t="s">
        <v>9</v>
      </c>
      <c r="Q105">
        <v>-123</v>
      </c>
      <c r="R105">
        <f>Table25791113[[#This Row],[RSSI]]</f>
        <v>-123</v>
      </c>
      <c r="S105">
        <v>-18.5</v>
      </c>
    </row>
    <row r="106" spans="2:19" x14ac:dyDescent="0.25">
      <c r="B106">
        <f>480+2*(Table14681012[[#This Row],[min value (corrected)]]-34)</f>
        <v>482</v>
      </c>
      <c r="C106">
        <f>MINUTE(Table14681012[[#This Row],[Corrected time]])</f>
        <v>35</v>
      </c>
      <c r="D106" s="1">
        <v>0.73341340277777778</v>
      </c>
      <c r="E106" s="1">
        <f>Table14681012[[#This Row],[Time]]-TIME(0,0,9)</f>
        <v>0.7333092361111111</v>
      </c>
      <c r="F106" t="s">
        <v>9</v>
      </c>
      <c r="G106" t="s">
        <v>19</v>
      </c>
      <c r="H106">
        <f t="shared" si="3"/>
        <v>-124</v>
      </c>
      <c r="I106">
        <v>-20.5</v>
      </c>
      <c r="L106">
        <f>480+2*(Table25791113[[#This Row],[min value (corrected)]]-50)</f>
        <v>484</v>
      </c>
      <c r="M106">
        <f>MINUTE(Table25791113[[#This Row],[Corrected time]])</f>
        <v>52</v>
      </c>
      <c r="N106" s="1">
        <v>0.6197778819444445</v>
      </c>
      <c r="O106" s="1">
        <f>Table25791113[[#This Row],[Time]]-TIME(0,0,3)</f>
        <v>0.61974315972222227</v>
      </c>
      <c r="P106" t="s">
        <v>9</v>
      </c>
      <c r="Q106">
        <v>-123</v>
      </c>
      <c r="R106">
        <f>Table25791113[[#This Row],[RSSI]]</f>
        <v>-123</v>
      </c>
      <c r="S106">
        <v>-18</v>
      </c>
    </row>
    <row r="107" spans="2:19" x14ac:dyDescent="0.25">
      <c r="B107">
        <f>480+2*(Table14681012[[#This Row],[min value (corrected)]]-34)</f>
        <v>484</v>
      </c>
      <c r="C107">
        <f>MINUTE(Table14681012[[#This Row],[Corrected time]])</f>
        <v>36</v>
      </c>
      <c r="D107" s="1">
        <v>0.73343265046296291</v>
      </c>
      <c r="E107" s="1">
        <f>Table14681012[[#This Row],[Time]]-TIME(0,0,9)</f>
        <v>0.73332848379629623</v>
      </c>
      <c r="F107" t="s">
        <v>9</v>
      </c>
      <c r="G107" t="s">
        <v>19</v>
      </c>
      <c r="H107">
        <f t="shared" si="3"/>
        <v>-124</v>
      </c>
      <c r="I107">
        <v>-19.8</v>
      </c>
      <c r="L107">
        <f>480+2*(Table25791113[[#This Row],[min value (corrected)]]-50)</f>
        <v>484</v>
      </c>
      <c r="M107">
        <f>MINUTE(Table25791113[[#This Row],[Corrected time]])</f>
        <v>52</v>
      </c>
      <c r="N107" s="1">
        <v>0.61979711805555548</v>
      </c>
      <c r="O107" s="1">
        <f>Table25791113[[#This Row],[Time]]-TIME(0,0,3)</f>
        <v>0.61976239583333326</v>
      </c>
      <c r="P107" t="s">
        <v>9</v>
      </c>
      <c r="Q107">
        <v>-123</v>
      </c>
      <c r="R107">
        <f>Table25791113[[#This Row],[RSSI]]</f>
        <v>-123</v>
      </c>
      <c r="S107">
        <v>-18.8</v>
      </c>
    </row>
    <row r="108" spans="2:19" x14ac:dyDescent="0.25">
      <c r="B108">
        <f>480+2*(Table14681012[[#This Row],[min value (corrected)]]-34)</f>
        <v>484</v>
      </c>
      <c r="C108">
        <f>MINUTE(Table14681012[[#This Row],[Corrected time]])</f>
        <v>36</v>
      </c>
      <c r="D108" s="1">
        <v>0.73345189814814815</v>
      </c>
      <c r="E108" s="1">
        <f>Table14681012[[#This Row],[Time]]-TIME(0,0,9)</f>
        <v>0.73334773148148147</v>
      </c>
      <c r="F108" t="s">
        <v>9</v>
      </c>
      <c r="G108" t="s">
        <v>19</v>
      </c>
      <c r="H108">
        <f t="shared" si="3"/>
        <v>-124</v>
      </c>
      <c r="I108">
        <v>-20</v>
      </c>
      <c r="L108">
        <f>480+2*(Table25791113[[#This Row],[min value (corrected)]]-50)</f>
        <v>484</v>
      </c>
      <c r="M108">
        <f>MINUTE(Table25791113[[#This Row],[Corrected time]])</f>
        <v>52</v>
      </c>
      <c r="N108" s="1">
        <v>0.61981637731481487</v>
      </c>
      <c r="O108" s="1">
        <f>Table25791113[[#This Row],[Time]]-TIME(0,0,3)</f>
        <v>0.61978165509259264</v>
      </c>
      <c r="P108" t="s">
        <v>9</v>
      </c>
      <c r="Q108">
        <v>-123</v>
      </c>
      <c r="R108">
        <f>Table25791113[[#This Row],[RSSI]]</f>
        <v>-123</v>
      </c>
      <c r="S108">
        <v>-19.5</v>
      </c>
    </row>
    <row r="109" spans="2:19" x14ac:dyDescent="0.25">
      <c r="B109">
        <f>480+2*(Table14681012[[#This Row],[min value (corrected)]]-34)</f>
        <v>484</v>
      </c>
      <c r="C109">
        <f>MINUTE(Table14681012[[#This Row],[Corrected time]])</f>
        <v>36</v>
      </c>
      <c r="D109" s="1">
        <v>0.73347114583333328</v>
      </c>
      <c r="E109" s="1">
        <f>Table14681012[[#This Row],[Time]]-TIME(0,0,9)</f>
        <v>0.7333669791666666</v>
      </c>
      <c r="F109" t="s">
        <v>9</v>
      </c>
      <c r="G109" t="s">
        <v>19</v>
      </c>
      <c r="H109">
        <f t="shared" si="3"/>
        <v>-124</v>
      </c>
      <c r="I109">
        <v>-20</v>
      </c>
      <c r="L109">
        <f>480+2*(Table25791113[[#This Row],[min value (corrected)]]-50)</f>
        <v>484</v>
      </c>
      <c r="M109">
        <f>MINUTE(Table25791113[[#This Row],[Corrected time]])</f>
        <v>52</v>
      </c>
      <c r="N109" s="1">
        <v>0.619835625</v>
      </c>
      <c r="O109" s="1">
        <f>Table25791113[[#This Row],[Time]]-TIME(0,0,3)</f>
        <v>0.61980090277777777</v>
      </c>
      <c r="P109" t="s">
        <v>9</v>
      </c>
      <c r="Q109">
        <v>-123</v>
      </c>
      <c r="R109">
        <f>Table25791113[[#This Row],[RSSI]]</f>
        <v>-123</v>
      </c>
      <c r="S109">
        <v>-19.3</v>
      </c>
    </row>
    <row r="110" spans="2:19" x14ac:dyDescent="0.25">
      <c r="B110">
        <f>480+2*(Table14681012[[#This Row],[min value (corrected)]]-34)</f>
        <v>484</v>
      </c>
      <c r="C110">
        <f>MINUTE(Table14681012[[#This Row],[Corrected time]])</f>
        <v>36</v>
      </c>
      <c r="D110" s="1">
        <v>0.73349039351851852</v>
      </c>
      <c r="E110" s="1">
        <f>Table14681012[[#This Row],[Time]]-TIME(0,0,9)</f>
        <v>0.73338622685185184</v>
      </c>
      <c r="F110" t="s">
        <v>9</v>
      </c>
      <c r="G110" t="s">
        <v>19</v>
      </c>
      <c r="H110">
        <f t="shared" si="3"/>
        <v>-124</v>
      </c>
      <c r="I110">
        <v>-20</v>
      </c>
      <c r="L110">
        <f>480+2*(Table25791113[[#This Row],[min value (corrected)]]-50)</f>
        <v>484</v>
      </c>
      <c r="M110">
        <f>MINUTE(Table25791113[[#This Row],[Corrected time]])</f>
        <v>52</v>
      </c>
      <c r="N110" s="1">
        <v>0.61985487268518524</v>
      </c>
      <c r="O110" s="1">
        <f>Table25791113[[#This Row],[Time]]-TIME(0,0,3)</f>
        <v>0.61982015046296302</v>
      </c>
      <c r="P110" t="s">
        <v>9</v>
      </c>
      <c r="Q110">
        <v>-123</v>
      </c>
      <c r="R110">
        <f>Table25791113[[#This Row],[RSSI]]</f>
        <v>-123</v>
      </c>
      <c r="S110">
        <v>-19</v>
      </c>
    </row>
    <row r="111" spans="2:19" x14ac:dyDescent="0.25">
      <c r="B111">
        <f>480+2*(Table14681012[[#This Row],[min value (corrected)]]-34)</f>
        <v>484</v>
      </c>
      <c r="C111">
        <f>MINUTE(Table14681012[[#This Row],[Corrected time]])</f>
        <v>36</v>
      </c>
      <c r="D111" s="1">
        <v>0.73350964120370366</v>
      </c>
      <c r="E111" s="1">
        <f>Table14681012[[#This Row],[Time]]-TIME(0,0,9)</f>
        <v>0.73340547453703697</v>
      </c>
      <c r="F111" t="s">
        <v>9</v>
      </c>
      <c r="G111" t="s">
        <v>12</v>
      </c>
      <c r="H111">
        <f t="shared" si="3"/>
        <v>-123</v>
      </c>
      <c r="I111">
        <v>-18.3</v>
      </c>
      <c r="L111">
        <f>480+2*(Table25791113[[#This Row],[min value (corrected)]]-50)</f>
        <v>484</v>
      </c>
      <c r="M111">
        <f>MINUTE(Table25791113[[#This Row],[Corrected time]])</f>
        <v>52</v>
      </c>
      <c r="N111" s="1">
        <v>0.61987412037037037</v>
      </c>
      <c r="O111" s="1">
        <f>Table25791113[[#This Row],[Time]]-TIME(0,0,3)</f>
        <v>0.61983939814814815</v>
      </c>
      <c r="P111" t="s">
        <v>9</v>
      </c>
      <c r="Q111">
        <v>-123</v>
      </c>
      <c r="R111">
        <f>Table25791113[[#This Row],[RSSI]]</f>
        <v>-123</v>
      </c>
      <c r="S111">
        <v>-19.3</v>
      </c>
    </row>
    <row r="112" spans="2:19" x14ac:dyDescent="0.25">
      <c r="B112">
        <f>480+2*(Table14681012[[#This Row],[min value (corrected)]]-34)</f>
        <v>484</v>
      </c>
      <c r="C112">
        <f>MINUTE(Table14681012[[#This Row],[Corrected time]])</f>
        <v>36</v>
      </c>
      <c r="D112" s="1">
        <v>0.73352887731481475</v>
      </c>
      <c r="E112" s="1">
        <f>Table14681012[[#This Row],[Time]]-TIME(0,0,9)</f>
        <v>0.73342471064814807</v>
      </c>
      <c r="F112" t="s">
        <v>9</v>
      </c>
      <c r="G112" t="s">
        <v>12</v>
      </c>
      <c r="H112">
        <f t="shared" si="3"/>
        <v>-123</v>
      </c>
      <c r="I112">
        <v>-18.3</v>
      </c>
      <c r="L112">
        <f>480+2*(Table25791113[[#This Row],[min value (corrected)]]-50)</f>
        <v>484</v>
      </c>
      <c r="M112">
        <f>MINUTE(Table25791113[[#This Row],[Corrected time]])</f>
        <v>52</v>
      </c>
      <c r="N112" s="1">
        <v>0.6198933680555555</v>
      </c>
      <c r="O112" s="1">
        <f>Table25791113[[#This Row],[Time]]-TIME(0,0,3)</f>
        <v>0.61985864583333328</v>
      </c>
      <c r="P112" t="s">
        <v>9</v>
      </c>
      <c r="Q112">
        <v>-123</v>
      </c>
      <c r="R112">
        <f>Table25791113[[#This Row],[RSSI]]</f>
        <v>-123</v>
      </c>
      <c r="S112">
        <v>-18.8</v>
      </c>
    </row>
    <row r="113" spans="2:19" x14ac:dyDescent="0.25">
      <c r="B113">
        <f>480+2*(Table14681012[[#This Row],[min value (corrected)]]-34)</f>
        <v>484</v>
      </c>
      <c r="C113">
        <f>MINUTE(Table14681012[[#This Row],[Corrected time]])</f>
        <v>36</v>
      </c>
      <c r="D113" s="1">
        <v>0.73354813657407414</v>
      </c>
      <c r="E113" s="1">
        <f>Table14681012[[#This Row],[Time]]-TIME(0,0,9)</f>
        <v>0.73344396990740746</v>
      </c>
      <c r="F113" t="s">
        <v>9</v>
      </c>
      <c r="G113" t="s">
        <v>12</v>
      </c>
      <c r="H113">
        <f t="shared" si="3"/>
        <v>-123</v>
      </c>
      <c r="I113">
        <v>-18.5</v>
      </c>
      <c r="L113">
        <f>480+2*(Table25791113[[#This Row],[min value (corrected)]]-50)</f>
        <v>484</v>
      </c>
      <c r="M113">
        <f>MINUTE(Table25791113[[#This Row],[Corrected time]])</f>
        <v>52</v>
      </c>
      <c r="N113" s="1">
        <v>0.61991261574074075</v>
      </c>
      <c r="O113" s="1">
        <f>Table25791113[[#This Row],[Time]]-TIME(0,0,3)</f>
        <v>0.61987789351851852</v>
      </c>
      <c r="P113" t="s">
        <v>9</v>
      </c>
      <c r="Q113">
        <v>-124</v>
      </c>
      <c r="R113">
        <f>Table25791113[[#This Row],[RSSI]]</f>
        <v>-124</v>
      </c>
      <c r="S113">
        <v>-19</v>
      </c>
    </row>
    <row r="114" spans="2:19" x14ac:dyDescent="0.25">
      <c r="B114">
        <f>480+2*(Table14681012[[#This Row],[min value (corrected)]]-34)</f>
        <v>484</v>
      </c>
      <c r="C114">
        <f>MINUTE(Table14681012[[#This Row],[Corrected time]])</f>
        <v>36</v>
      </c>
      <c r="D114" s="1">
        <v>0.73356738425925927</v>
      </c>
      <c r="E114" s="1">
        <f>Table14681012[[#This Row],[Time]]-TIME(0,0,9)</f>
        <v>0.73346321759259259</v>
      </c>
      <c r="F114" t="s">
        <v>9</v>
      </c>
      <c r="G114" t="s">
        <v>12</v>
      </c>
      <c r="H114">
        <f t="shared" si="3"/>
        <v>-123</v>
      </c>
      <c r="I114">
        <v>-18.5</v>
      </c>
      <c r="L114">
        <f>480+2*(Table25791113[[#This Row],[min value (corrected)]]-50)</f>
        <v>484</v>
      </c>
      <c r="M114">
        <f>MINUTE(Table25791113[[#This Row],[Corrected time]])</f>
        <v>52</v>
      </c>
      <c r="N114" s="1">
        <v>0.61993185185185185</v>
      </c>
      <c r="O114" s="1">
        <f>Table25791113[[#This Row],[Time]]-TIME(0,0,3)</f>
        <v>0.61989712962962962</v>
      </c>
      <c r="P114" t="s">
        <v>9</v>
      </c>
      <c r="Q114">
        <v>-123</v>
      </c>
      <c r="R114">
        <f>Table25791113[[#This Row],[RSSI]]</f>
        <v>-123</v>
      </c>
      <c r="S114">
        <v>-18.8</v>
      </c>
    </row>
    <row r="115" spans="2:19" x14ac:dyDescent="0.25">
      <c r="B115">
        <f>480+2*(Table14681012[[#This Row],[min value (corrected)]]-34)</f>
        <v>484</v>
      </c>
      <c r="C115">
        <f>MINUTE(Table14681012[[#This Row],[Corrected time]])</f>
        <v>36</v>
      </c>
      <c r="D115" s="1">
        <v>0.73358663194444451</v>
      </c>
      <c r="E115" s="1">
        <f>Table14681012[[#This Row],[Time]]-TIME(0,0,9)</f>
        <v>0.73348246527777783</v>
      </c>
      <c r="F115" t="s">
        <v>9</v>
      </c>
      <c r="G115" t="s">
        <v>19</v>
      </c>
      <c r="H115">
        <f t="shared" si="3"/>
        <v>-124</v>
      </c>
      <c r="I115">
        <v>-18.8</v>
      </c>
      <c r="L115">
        <f>480+2*(Table25791113[[#This Row],[min value (corrected)]]-50)</f>
        <v>484</v>
      </c>
      <c r="M115">
        <f>MINUTE(Table25791113[[#This Row],[Corrected time]])</f>
        <v>52</v>
      </c>
      <c r="N115" s="1">
        <v>0.61995109953703709</v>
      </c>
      <c r="O115" s="1">
        <f>Table25791113[[#This Row],[Time]]-TIME(0,0,3)</f>
        <v>0.61991637731481486</v>
      </c>
      <c r="P115" t="s">
        <v>9</v>
      </c>
      <c r="Q115">
        <v>-123</v>
      </c>
      <c r="R115">
        <f>Table25791113[[#This Row],[RSSI]]</f>
        <v>-123</v>
      </c>
      <c r="S115">
        <v>-18.5</v>
      </c>
    </row>
    <row r="116" spans="2:19" x14ac:dyDescent="0.25">
      <c r="B116">
        <f>480+2*(Table14681012[[#This Row],[min value (corrected)]]-34)</f>
        <v>484</v>
      </c>
      <c r="C116">
        <f>MINUTE(Table14681012[[#This Row],[Corrected time]])</f>
        <v>36</v>
      </c>
      <c r="D116" s="1">
        <v>0.73360587962962964</v>
      </c>
      <c r="E116" s="1">
        <f>Table14681012[[#This Row],[Time]]-TIME(0,0,9)</f>
        <v>0.73350171296296296</v>
      </c>
      <c r="F116" t="s">
        <v>9</v>
      </c>
      <c r="G116" t="s">
        <v>12</v>
      </c>
      <c r="H116">
        <f t="shared" si="3"/>
        <v>-123</v>
      </c>
      <c r="I116">
        <v>-18.5</v>
      </c>
      <c r="L116">
        <f>480+2*(Table25791113[[#This Row],[min value (corrected)]]-50)</f>
        <v>484</v>
      </c>
      <c r="M116">
        <f>MINUTE(Table25791113[[#This Row],[Corrected time]])</f>
        <v>52</v>
      </c>
      <c r="N116" s="1">
        <v>0.61997035879629625</v>
      </c>
      <c r="O116" s="1">
        <f>Table25791113[[#This Row],[Time]]-TIME(0,0,3)</f>
        <v>0.61993563657407402</v>
      </c>
      <c r="P116" t="s">
        <v>9</v>
      </c>
      <c r="Q116">
        <v>-123</v>
      </c>
      <c r="R116">
        <f>Table25791113[[#This Row],[RSSI]]</f>
        <v>-123</v>
      </c>
      <c r="S116">
        <v>-18.5</v>
      </c>
    </row>
    <row r="117" spans="2:19" x14ac:dyDescent="0.25">
      <c r="B117">
        <f>480+2*(Table14681012[[#This Row],[min value (corrected)]]-34)</f>
        <v>484</v>
      </c>
      <c r="C117">
        <f>MINUTE(Table14681012[[#This Row],[Corrected time]])</f>
        <v>36</v>
      </c>
      <c r="D117" s="1">
        <v>0.73362512731481488</v>
      </c>
      <c r="E117" s="1">
        <f>Table14681012[[#This Row],[Time]]-TIME(0,0,9)</f>
        <v>0.7335209606481482</v>
      </c>
      <c r="F117" t="s">
        <v>9</v>
      </c>
      <c r="G117" t="s">
        <v>12</v>
      </c>
      <c r="H117">
        <f t="shared" si="3"/>
        <v>-123</v>
      </c>
      <c r="I117">
        <v>-18.3</v>
      </c>
      <c r="L117">
        <f>480+2*(Table25791113[[#This Row],[min value (corrected)]]-50)</f>
        <v>484</v>
      </c>
      <c r="M117">
        <f>MINUTE(Table25791113[[#This Row],[Corrected time]])</f>
        <v>52</v>
      </c>
      <c r="N117" s="1">
        <v>0.61998960648148149</v>
      </c>
      <c r="O117" s="1">
        <f>Table25791113[[#This Row],[Time]]-TIME(0,0,3)</f>
        <v>0.61995488425925926</v>
      </c>
      <c r="P117" t="s">
        <v>9</v>
      </c>
      <c r="Q117">
        <v>-123</v>
      </c>
      <c r="R117">
        <f>Table25791113[[#This Row],[RSSI]]</f>
        <v>-123</v>
      </c>
      <c r="S117">
        <v>-19</v>
      </c>
    </row>
    <row r="118" spans="2:19" x14ac:dyDescent="0.25">
      <c r="B118">
        <f>480+2*(Table14681012[[#This Row],[min value (corrected)]]-34)</f>
        <v>484</v>
      </c>
      <c r="C118">
        <f>MINUTE(Table14681012[[#This Row],[Corrected time]])</f>
        <v>36</v>
      </c>
      <c r="D118" s="1">
        <v>0.73364436342592587</v>
      </c>
      <c r="E118" s="1">
        <f>Table14681012[[#This Row],[Time]]-TIME(0,0,9)</f>
        <v>0.73354019675925919</v>
      </c>
      <c r="F118" t="s">
        <v>9</v>
      </c>
      <c r="G118" t="s">
        <v>12</v>
      </c>
      <c r="H118">
        <f t="shared" si="3"/>
        <v>-123</v>
      </c>
      <c r="I118">
        <v>-19.3</v>
      </c>
      <c r="L118">
        <f>480+2*(Table25791113[[#This Row],[min value (corrected)]]-50)</f>
        <v>484</v>
      </c>
      <c r="M118">
        <f>MINUTE(Table25791113[[#This Row],[Corrected time]])</f>
        <v>52</v>
      </c>
      <c r="N118" s="1">
        <v>0.62000885416666662</v>
      </c>
      <c r="O118" s="1">
        <f>Table25791113[[#This Row],[Time]]-TIME(0,0,3)</f>
        <v>0.6199741319444444</v>
      </c>
      <c r="P118" t="s">
        <v>9</v>
      </c>
      <c r="Q118">
        <v>-123</v>
      </c>
      <c r="R118">
        <f>Table25791113[[#This Row],[RSSI]]</f>
        <v>-123</v>
      </c>
      <c r="S118">
        <v>-18.8</v>
      </c>
    </row>
    <row r="119" spans="2:19" x14ac:dyDescent="0.25">
      <c r="B119">
        <f>480+2*(Table14681012[[#This Row],[min value (corrected)]]-34)</f>
        <v>484</v>
      </c>
      <c r="C119">
        <f>MINUTE(Table14681012[[#This Row],[Corrected time]])</f>
        <v>36</v>
      </c>
      <c r="D119" s="1">
        <v>0.73366362268518515</v>
      </c>
      <c r="E119" s="1">
        <f>Table14681012[[#This Row],[Time]]-TIME(0,0,9)</f>
        <v>0.73355945601851846</v>
      </c>
      <c r="F119" t="s">
        <v>9</v>
      </c>
      <c r="G119" t="s">
        <v>12</v>
      </c>
      <c r="H119">
        <f t="shared" si="3"/>
        <v>-123</v>
      </c>
      <c r="I119">
        <v>-19</v>
      </c>
      <c r="L119">
        <f>480+2*(Table25791113[[#This Row],[min value (corrected)]]-50)</f>
        <v>484</v>
      </c>
      <c r="M119">
        <f>MINUTE(Table25791113[[#This Row],[Corrected time]])</f>
        <v>52</v>
      </c>
      <c r="N119" s="1">
        <v>0.62002810185185186</v>
      </c>
      <c r="O119" s="1">
        <f>Table25791113[[#This Row],[Time]]-TIME(0,0,3)</f>
        <v>0.61999337962962964</v>
      </c>
      <c r="P119" t="s">
        <v>9</v>
      </c>
      <c r="Q119">
        <v>-123</v>
      </c>
      <c r="R119">
        <f>Table25791113[[#This Row],[RSSI]]</f>
        <v>-123</v>
      </c>
      <c r="S119">
        <v>-18.8</v>
      </c>
    </row>
    <row r="120" spans="2:19" x14ac:dyDescent="0.25">
      <c r="B120">
        <f>480+2*(Table14681012[[#This Row],[min value (corrected)]]-34)</f>
        <v>484</v>
      </c>
      <c r="C120">
        <f>MINUTE(Table14681012[[#This Row],[Corrected time]])</f>
        <v>36</v>
      </c>
      <c r="D120" s="1">
        <v>0.73368287037037039</v>
      </c>
      <c r="E120" s="1">
        <f>Table14681012[[#This Row],[Time]]-TIME(0,0,9)</f>
        <v>0.73357870370370371</v>
      </c>
      <c r="F120" t="s">
        <v>9</v>
      </c>
      <c r="G120" t="s">
        <v>12</v>
      </c>
      <c r="H120">
        <f t="shared" si="3"/>
        <v>-123</v>
      </c>
      <c r="I120">
        <v>-18.3</v>
      </c>
      <c r="L120">
        <f>480+2*(Table25791113[[#This Row],[min value (corrected)]]-50)</f>
        <v>484</v>
      </c>
      <c r="M120">
        <f>MINUTE(Table25791113[[#This Row],[Corrected time]])</f>
        <v>52</v>
      </c>
      <c r="N120" s="1">
        <v>0.620047349537037</v>
      </c>
      <c r="O120" s="1">
        <f>Table25791113[[#This Row],[Time]]-TIME(0,0,3)</f>
        <v>0.62001262731481477</v>
      </c>
      <c r="P120" t="s">
        <v>9</v>
      </c>
      <c r="Q120">
        <v>-123</v>
      </c>
      <c r="R120">
        <f>Table25791113[[#This Row],[RSSI]]</f>
        <v>-123</v>
      </c>
      <c r="S120">
        <v>-19.5</v>
      </c>
    </row>
    <row r="121" spans="2:19" x14ac:dyDescent="0.25">
      <c r="B121">
        <f>480+2*(Table14681012[[#This Row],[min value (corrected)]]-34)</f>
        <v>484</v>
      </c>
      <c r="C121">
        <f>MINUTE(Table14681012[[#This Row],[Corrected time]])</f>
        <v>36</v>
      </c>
      <c r="D121" s="1">
        <v>0.73370211805555552</v>
      </c>
      <c r="E121" s="1">
        <f>Table14681012[[#This Row],[Time]]-TIME(0,0,9)</f>
        <v>0.73359795138888884</v>
      </c>
      <c r="F121" t="s">
        <v>9</v>
      </c>
      <c r="G121" t="s">
        <v>12</v>
      </c>
      <c r="H121">
        <f t="shared" si="3"/>
        <v>-123</v>
      </c>
      <c r="I121">
        <v>-18.5</v>
      </c>
      <c r="L121">
        <f>480+2*(Table25791113[[#This Row],[min value (corrected)]]-50)</f>
        <v>484</v>
      </c>
      <c r="M121">
        <f>MINUTE(Table25791113[[#This Row],[Corrected time]])</f>
        <v>52</v>
      </c>
      <c r="N121" s="1">
        <v>0.62006659722222224</v>
      </c>
      <c r="O121" s="1">
        <f>Table25791113[[#This Row],[Time]]-TIME(0,0,3)</f>
        <v>0.62003187500000001</v>
      </c>
      <c r="P121" t="s">
        <v>9</v>
      </c>
      <c r="Q121">
        <v>-123</v>
      </c>
      <c r="R121">
        <f>Table25791113[[#This Row],[RSSI]]</f>
        <v>-123</v>
      </c>
      <c r="S121">
        <v>-18.5</v>
      </c>
    </row>
    <row r="122" spans="2:19" x14ac:dyDescent="0.25">
      <c r="B122">
        <f>480+2*(Table14681012[[#This Row],[min value (corrected)]]-34)</f>
        <v>484</v>
      </c>
      <c r="C122">
        <f>MINUTE(Table14681012[[#This Row],[Corrected time]])</f>
        <v>36</v>
      </c>
      <c r="D122" s="1">
        <v>0.73372136574074076</v>
      </c>
      <c r="E122" s="1">
        <f>Table14681012[[#This Row],[Time]]-TIME(0,0,9)</f>
        <v>0.73361719907407408</v>
      </c>
      <c r="F122" t="s">
        <v>9</v>
      </c>
      <c r="G122" t="s">
        <v>12</v>
      </c>
      <c r="H122">
        <f t="shared" si="3"/>
        <v>-123</v>
      </c>
      <c r="I122">
        <v>-20</v>
      </c>
      <c r="L122">
        <f>480+2*(Table25791113[[#This Row],[min value (corrected)]]-50)</f>
        <v>484</v>
      </c>
      <c r="M122">
        <f>MINUTE(Table25791113[[#This Row],[Corrected time]])</f>
        <v>52</v>
      </c>
      <c r="N122" s="1">
        <v>0.62008584490740737</v>
      </c>
      <c r="O122" s="1">
        <f>Table25791113[[#This Row],[Time]]-TIME(0,0,3)</f>
        <v>0.62005112268518514</v>
      </c>
      <c r="P122" t="s">
        <v>9</v>
      </c>
      <c r="Q122">
        <v>-123</v>
      </c>
      <c r="R122">
        <f>Table25791113[[#This Row],[RSSI]]</f>
        <v>-123</v>
      </c>
      <c r="S122">
        <v>-18.3</v>
      </c>
    </row>
    <row r="123" spans="2:19" x14ac:dyDescent="0.25">
      <c r="B123">
        <f>480+2*(Table14681012[[#This Row],[min value (corrected)]]-34)</f>
        <v>484</v>
      </c>
      <c r="C123">
        <f>MINUTE(Table14681012[[#This Row],[Corrected time]])</f>
        <v>36</v>
      </c>
      <c r="D123" s="1">
        <v>0.73374061342592589</v>
      </c>
      <c r="E123" s="1">
        <f>Table14681012[[#This Row],[Time]]-TIME(0,0,9)</f>
        <v>0.73363644675925921</v>
      </c>
      <c r="F123" t="s">
        <v>9</v>
      </c>
      <c r="G123" t="s">
        <v>12</v>
      </c>
      <c r="H123">
        <f t="shared" si="3"/>
        <v>-123</v>
      </c>
      <c r="I123">
        <v>-19</v>
      </c>
      <c r="L123">
        <f>480+2*(Table25791113[[#This Row],[min value (corrected)]]-50)</f>
        <v>484</v>
      </c>
      <c r="M123">
        <f>MINUTE(Table25791113[[#This Row],[Corrected time]])</f>
        <v>52</v>
      </c>
      <c r="N123" s="1">
        <v>0.62010509259259261</v>
      </c>
      <c r="O123" s="1">
        <f>Table25791113[[#This Row],[Time]]-TIME(0,0,3)</f>
        <v>0.62007037037037038</v>
      </c>
      <c r="P123" t="s">
        <v>9</v>
      </c>
      <c r="Q123">
        <v>-124</v>
      </c>
      <c r="R123">
        <f>Table25791113[[#This Row],[RSSI]]</f>
        <v>-124</v>
      </c>
      <c r="S123">
        <v>-19.3</v>
      </c>
    </row>
    <row r="124" spans="2:19" x14ac:dyDescent="0.25">
      <c r="B124">
        <f>480+2*(Table14681012[[#This Row],[min value (corrected)]]-34)</f>
        <v>484</v>
      </c>
      <c r="C124">
        <f>MINUTE(Table14681012[[#This Row],[Corrected time]])</f>
        <v>36</v>
      </c>
      <c r="D124" s="1">
        <v>0.73375986111111113</v>
      </c>
      <c r="E124" s="1">
        <f>Table14681012[[#This Row],[Time]]-TIME(0,0,9)</f>
        <v>0.73365569444444445</v>
      </c>
      <c r="F124" t="s">
        <v>9</v>
      </c>
      <c r="G124" t="s">
        <v>12</v>
      </c>
      <c r="H124">
        <f t="shared" si="3"/>
        <v>-123</v>
      </c>
      <c r="I124">
        <v>-18.8</v>
      </c>
      <c r="L124">
        <f>480+2*(Table25791113[[#This Row],[min value (corrected)]]-50)</f>
        <v>484</v>
      </c>
      <c r="M124">
        <f>MINUTE(Table25791113[[#This Row],[Corrected time]])</f>
        <v>52</v>
      </c>
      <c r="N124" s="1">
        <v>0.62012434027777785</v>
      </c>
      <c r="O124" s="1">
        <f>Table25791113[[#This Row],[Time]]-TIME(0,0,3)</f>
        <v>0.62008961805555562</v>
      </c>
      <c r="P124" t="s">
        <v>9</v>
      </c>
      <c r="Q124">
        <v>-123</v>
      </c>
      <c r="R124">
        <f>Table25791113[[#This Row],[RSSI]]</f>
        <v>-123</v>
      </c>
      <c r="S124">
        <v>-18.8</v>
      </c>
    </row>
    <row r="125" spans="2:19" x14ac:dyDescent="0.25">
      <c r="B125">
        <f>480+2*(Table14681012[[#This Row],[min value (corrected)]]-34)</f>
        <v>484</v>
      </c>
      <c r="C125">
        <f>MINUTE(Table14681012[[#This Row],[Corrected time]])</f>
        <v>36</v>
      </c>
      <c r="D125" s="1">
        <v>0.73377910879629626</v>
      </c>
      <c r="E125" s="1">
        <f>Table14681012[[#This Row],[Time]]-TIME(0,0,9)</f>
        <v>0.73367494212962958</v>
      </c>
      <c r="F125" t="s">
        <v>9</v>
      </c>
      <c r="G125" t="s">
        <v>12</v>
      </c>
      <c r="H125">
        <f t="shared" si="3"/>
        <v>-123</v>
      </c>
      <c r="I125">
        <v>-18</v>
      </c>
      <c r="L125">
        <f>480+2*(Table25791113[[#This Row],[min value (corrected)]]-50)</f>
        <v>484</v>
      </c>
      <c r="M125">
        <f>MINUTE(Table25791113[[#This Row],[Corrected time]])</f>
        <v>52</v>
      </c>
      <c r="N125" s="1">
        <v>0.62014358796296298</v>
      </c>
      <c r="O125" s="1">
        <f>Table25791113[[#This Row],[Time]]-TIME(0,0,3)</f>
        <v>0.62010886574074076</v>
      </c>
      <c r="P125" t="s">
        <v>9</v>
      </c>
      <c r="Q125">
        <v>-124</v>
      </c>
      <c r="R125">
        <f>Table25791113[[#This Row],[RSSI]]</f>
        <v>-124</v>
      </c>
      <c r="S125">
        <v>-18.8</v>
      </c>
    </row>
    <row r="126" spans="2:19" x14ac:dyDescent="0.25">
      <c r="B126">
        <f>480+2*(Table14681012[[#This Row],[min value (corrected)]]-34)</f>
        <v>484</v>
      </c>
      <c r="C126">
        <f>MINUTE(Table14681012[[#This Row],[Corrected time]])</f>
        <v>36</v>
      </c>
      <c r="D126" s="1">
        <v>0.73379835648148151</v>
      </c>
      <c r="E126" s="1">
        <f>Table14681012[[#This Row],[Time]]-TIME(0,0,9)</f>
        <v>0.73369418981481482</v>
      </c>
      <c r="F126" t="s">
        <v>9</v>
      </c>
      <c r="G126" t="s">
        <v>19</v>
      </c>
      <c r="H126">
        <f t="shared" si="3"/>
        <v>-124</v>
      </c>
      <c r="I126">
        <v>-18.8</v>
      </c>
      <c r="L126">
        <f>480+2*(Table25791113[[#This Row],[min value (corrected)]]-50)</f>
        <v>484</v>
      </c>
      <c r="M126">
        <f>MINUTE(Table25791113[[#This Row],[Corrected time]])</f>
        <v>52</v>
      </c>
      <c r="N126" s="1">
        <v>0.62016283564814823</v>
      </c>
      <c r="O126" s="1">
        <f>Table25791113[[#This Row],[Time]]-TIME(0,0,3)</f>
        <v>0.620128113425926</v>
      </c>
      <c r="P126" t="s">
        <v>9</v>
      </c>
      <c r="Q126">
        <v>-123</v>
      </c>
      <c r="R126">
        <f>Table25791113[[#This Row],[RSSI]]</f>
        <v>-123</v>
      </c>
      <c r="S126">
        <v>-19</v>
      </c>
    </row>
    <row r="127" spans="2:19" x14ac:dyDescent="0.25">
      <c r="B127">
        <f>480+2*(Table14681012[[#This Row],[min value (corrected)]]-34)</f>
        <v>484</v>
      </c>
      <c r="C127">
        <f>MINUTE(Table14681012[[#This Row],[Corrected time]])</f>
        <v>36</v>
      </c>
      <c r="D127" s="1">
        <v>0.73381760416666664</v>
      </c>
      <c r="E127" s="1">
        <f>Table14681012[[#This Row],[Time]]-TIME(0,0,9)</f>
        <v>0.73371343749999995</v>
      </c>
      <c r="F127" t="s">
        <v>9</v>
      </c>
      <c r="G127" t="s">
        <v>12</v>
      </c>
      <c r="H127">
        <f t="shared" si="3"/>
        <v>-123</v>
      </c>
      <c r="I127">
        <v>-18.8</v>
      </c>
      <c r="L127">
        <f>480+2*(Table25791113[[#This Row],[min value (corrected)]]-50)</f>
        <v>486</v>
      </c>
      <c r="M127">
        <f>MINUTE(Table25791113[[#This Row],[Corrected time]])</f>
        <v>53</v>
      </c>
      <c r="N127" s="1">
        <v>0.62018208333333336</v>
      </c>
      <c r="O127" s="1">
        <f>Table25791113[[#This Row],[Time]]-TIME(0,0,3)</f>
        <v>0.62014736111111113</v>
      </c>
      <c r="P127" t="s">
        <v>9</v>
      </c>
      <c r="Q127">
        <v>-124</v>
      </c>
      <c r="R127">
        <f>Table25791113[[#This Row],[RSSI]]</f>
        <v>-124</v>
      </c>
      <c r="S127">
        <v>-19.3</v>
      </c>
    </row>
    <row r="128" spans="2:19" x14ac:dyDescent="0.25">
      <c r="B128">
        <f>480+2*(Table14681012[[#This Row],[min value (corrected)]]-34)</f>
        <v>484</v>
      </c>
      <c r="C128">
        <f>MINUTE(Table14681012[[#This Row],[Corrected time]])</f>
        <v>36</v>
      </c>
      <c r="D128" s="1">
        <v>0.73383684027777774</v>
      </c>
      <c r="E128" s="1">
        <f>Table14681012[[#This Row],[Time]]-TIME(0,0,9)</f>
        <v>0.73373267361111105</v>
      </c>
      <c r="F128" t="s">
        <v>9</v>
      </c>
      <c r="G128" t="s">
        <v>12</v>
      </c>
      <c r="H128">
        <f t="shared" si="3"/>
        <v>-123</v>
      </c>
      <c r="I128">
        <v>-18.3</v>
      </c>
      <c r="L128">
        <f>480+2*(Table25791113[[#This Row],[min value (corrected)]]-50)</f>
        <v>486</v>
      </c>
      <c r="M128">
        <f>MINUTE(Table25791113[[#This Row],[Corrected time]])</f>
        <v>53</v>
      </c>
      <c r="N128" s="1">
        <v>0.62020133101851849</v>
      </c>
      <c r="O128" s="1">
        <f>Table25791113[[#This Row],[Time]]-TIME(0,0,3)</f>
        <v>0.62016660879629626</v>
      </c>
      <c r="P128" t="s">
        <v>9</v>
      </c>
      <c r="Q128">
        <v>-124</v>
      </c>
      <c r="R128">
        <f>Table25791113[[#This Row],[RSSI]]</f>
        <v>-124</v>
      </c>
      <c r="S128">
        <v>-20.3</v>
      </c>
    </row>
    <row r="129" spans="2:19" x14ac:dyDescent="0.25">
      <c r="B129">
        <f>480+2*(Table14681012[[#This Row],[min value (corrected)]]-34)</f>
        <v>484</v>
      </c>
      <c r="C129">
        <f>MINUTE(Table14681012[[#This Row],[Corrected time]])</f>
        <v>36</v>
      </c>
      <c r="D129" s="1">
        <v>0.73385609953703701</v>
      </c>
      <c r="E129" s="1">
        <f>Table14681012[[#This Row],[Time]]-TIME(0,0,9)</f>
        <v>0.73375193287037033</v>
      </c>
      <c r="F129" t="s">
        <v>9</v>
      </c>
      <c r="G129" t="s">
        <v>12</v>
      </c>
      <c r="H129">
        <f t="shared" si="3"/>
        <v>-123</v>
      </c>
      <c r="I129">
        <v>-18.3</v>
      </c>
      <c r="L129">
        <f>480+2*(Table25791113[[#This Row],[min value (corrected)]]-50)</f>
        <v>486</v>
      </c>
      <c r="M129">
        <f>MINUTE(Table25791113[[#This Row],[Corrected time]])</f>
        <v>53</v>
      </c>
      <c r="N129" s="1">
        <v>0.62022057870370362</v>
      </c>
      <c r="O129" s="1">
        <f>Table25791113[[#This Row],[Time]]-TIME(0,0,3)</f>
        <v>0.62018585648148139</v>
      </c>
      <c r="P129" t="s">
        <v>9</v>
      </c>
      <c r="Q129">
        <v>-124</v>
      </c>
      <c r="R129">
        <f>Table25791113[[#This Row],[RSSI]]</f>
        <v>-124</v>
      </c>
      <c r="S129">
        <v>-19.8</v>
      </c>
    </row>
    <row r="130" spans="2:19" x14ac:dyDescent="0.25">
      <c r="B130">
        <f>480+2*(Table14681012[[#This Row],[min value (corrected)]]-34)</f>
        <v>484</v>
      </c>
      <c r="C130">
        <f>MINUTE(Table14681012[[#This Row],[Corrected time]])</f>
        <v>36</v>
      </c>
      <c r="D130" s="1">
        <v>0.73387534722222225</v>
      </c>
      <c r="E130" s="1">
        <f>Table14681012[[#This Row],[Time]]-TIME(0,0,9)</f>
        <v>0.73377118055555557</v>
      </c>
      <c r="F130" t="s">
        <v>9</v>
      </c>
      <c r="G130" t="s">
        <v>19</v>
      </c>
      <c r="H130">
        <f t="shared" si="3"/>
        <v>-124</v>
      </c>
      <c r="I130">
        <v>-19</v>
      </c>
      <c r="L130">
        <f>480+2*(Table25791113[[#This Row],[min value (corrected)]]-50)</f>
        <v>486</v>
      </c>
      <c r="M130">
        <f>MINUTE(Table25791113[[#This Row],[Corrected time]])</f>
        <v>53</v>
      </c>
      <c r="N130" s="1">
        <v>0.62023982638888886</v>
      </c>
      <c r="O130" s="1">
        <f>Table25791113[[#This Row],[Time]]-TIME(0,0,3)</f>
        <v>0.62020510416666663</v>
      </c>
      <c r="P130" t="s">
        <v>9</v>
      </c>
      <c r="Q130">
        <v>-124</v>
      </c>
      <c r="R130">
        <f>Table25791113[[#This Row],[RSSI]]</f>
        <v>-124</v>
      </c>
      <c r="S130">
        <v>-20</v>
      </c>
    </row>
    <row r="131" spans="2:19" x14ac:dyDescent="0.25">
      <c r="B131">
        <f>480+2*(Table14681012[[#This Row],[min value (corrected)]]-34)</f>
        <v>484</v>
      </c>
      <c r="C131">
        <f>MINUTE(Table14681012[[#This Row],[Corrected time]])</f>
        <v>36</v>
      </c>
      <c r="D131" s="1">
        <v>0.73389459490740738</v>
      </c>
      <c r="E131" s="1">
        <f>Table14681012[[#This Row],[Time]]-TIME(0,0,9)</f>
        <v>0.7337904282407407</v>
      </c>
      <c r="F131" t="s">
        <v>9</v>
      </c>
      <c r="G131" t="s">
        <v>12</v>
      </c>
      <c r="H131">
        <f t="shared" si="3"/>
        <v>-123</v>
      </c>
      <c r="I131">
        <v>-18.8</v>
      </c>
      <c r="L131">
        <f>480+2*(Table25791113[[#This Row],[min value (corrected)]]-50)</f>
        <v>486</v>
      </c>
      <c r="M131">
        <f>MINUTE(Table25791113[[#This Row],[Corrected time]])</f>
        <v>53</v>
      </c>
      <c r="N131" s="1">
        <v>0.6202590740740741</v>
      </c>
      <c r="O131" s="1">
        <f>Table25791113[[#This Row],[Time]]-TIME(0,0,3)</f>
        <v>0.62022435185185187</v>
      </c>
      <c r="P131" t="s">
        <v>9</v>
      </c>
      <c r="Q131">
        <v>-124</v>
      </c>
      <c r="R131">
        <f>Table25791113[[#This Row],[RSSI]]</f>
        <v>-124</v>
      </c>
      <c r="S131">
        <v>-20.3</v>
      </c>
    </row>
    <row r="132" spans="2:19" x14ac:dyDescent="0.25">
      <c r="B132">
        <f>480+2*(Table14681012[[#This Row],[min value (corrected)]]-34)</f>
        <v>484</v>
      </c>
      <c r="C132">
        <f>MINUTE(Table14681012[[#This Row],[Corrected time]])</f>
        <v>36</v>
      </c>
      <c r="D132" s="1">
        <v>0.73391384259259262</v>
      </c>
      <c r="E132" s="1">
        <f>Table14681012[[#This Row],[Time]]-TIME(0,0,9)</f>
        <v>0.73380967592592594</v>
      </c>
      <c r="F132" t="s">
        <v>9</v>
      </c>
      <c r="G132" t="s">
        <v>12</v>
      </c>
      <c r="H132">
        <f t="shared" si="3"/>
        <v>-123</v>
      </c>
      <c r="I132">
        <v>-18.5</v>
      </c>
      <c r="L132">
        <f>480+2*(Table25791113[[#This Row],[min value (corrected)]]-50)</f>
        <v>486</v>
      </c>
      <c r="M132">
        <f>MINUTE(Table25791113[[#This Row],[Corrected time]])</f>
        <v>53</v>
      </c>
      <c r="N132" s="1">
        <v>0.62027832175925923</v>
      </c>
      <c r="O132" s="1">
        <f>Table25791113[[#This Row],[Time]]-TIME(0,0,3)</f>
        <v>0.620243599537037</v>
      </c>
      <c r="P132" t="s">
        <v>9</v>
      </c>
      <c r="Q132">
        <v>-124</v>
      </c>
      <c r="R132">
        <f>Table25791113[[#This Row],[RSSI]]</f>
        <v>-124</v>
      </c>
      <c r="S132">
        <v>-19.3</v>
      </c>
    </row>
    <row r="133" spans="2:19" x14ac:dyDescent="0.25">
      <c r="B133">
        <f>480+2*(Table14681012[[#This Row],[min value (corrected)]]-34)</f>
        <v>484</v>
      </c>
      <c r="C133">
        <f>MINUTE(Table14681012[[#This Row],[Corrected time]])</f>
        <v>36</v>
      </c>
      <c r="D133" s="1">
        <v>0.73393309027777787</v>
      </c>
      <c r="E133" s="1">
        <f>Table14681012[[#This Row],[Time]]-TIME(0,0,9)</f>
        <v>0.73382892361111118</v>
      </c>
      <c r="F133" t="s">
        <v>9</v>
      </c>
      <c r="G133" t="s">
        <v>12</v>
      </c>
      <c r="H133">
        <f t="shared" si="3"/>
        <v>-123</v>
      </c>
      <c r="I133">
        <v>-18.8</v>
      </c>
      <c r="L133">
        <f>480+2*(Table25791113[[#This Row],[min value (corrected)]]-50)</f>
        <v>486</v>
      </c>
      <c r="M133">
        <f>MINUTE(Table25791113[[#This Row],[Corrected time]])</f>
        <v>53</v>
      </c>
      <c r="N133" s="1">
        <v>0.62029756944444447</v>
      </c>
      <c r="O133" s="1">
        <f>Table25791113[[#This Row],[Time]]-TIME(0,0,3)</f>
        <v>0.62026284722222225</v>
      </c>
      <c r="P133" t="s">
        <v>9</v>
      </c>
      <c r="Q133">
        <v>-124</v>
      </c>
      <c r="R133">
        <f>Table25791113[[#This Row],[RSSI]]</f>
        <v>-124</v>
      </c>
      <c r="S133">
        <v>-20</v>
      </c>
    </row>
    <row r="134" spans="2:19" x14ac:dyDescent="0.25">
      <c r="B134">
        <f>480+2*(Table14681012[[#This Row],[min value (corrected)]]-34)</f>
        <v>484</v>
      </c>
      <c r="C134">
        <f>MINUTE(Table14681012[[#This Row],[Corrected time]])</f>
        <v>36</v>
      </c>
      <c r="D134" s="1">
        <v>0.733952337962963</v>
      </c>
      <c r="E134" s="1">
        <f>Table14681012[[#This Row],[Time]]-TIME(0,0,9)</f>
        <v>0.73384817129629631</v>
      </c>
      <c r="F134" t="s">
        <v>9</v>
      </c>
      <c r="G134" t="s">
        <v>12</v>
      </c>
      <c r="H134">
        <f t="shared" si="3"/>
        <v>-123</v>
      </c>
      <c r="I134">
        <v>-19</v>
      </c>
      <c r="L134">
        <f>480+2*(Table25791113[[#This Row],[min value (corrected)]]-50)</f>
        <v>486</v>
      </c>
      <c r="M134">
        <f>MINUTE(Table25791113[[#This Row],[Corrected time]])</f>
        <v>53</v>
      </c>
      <c r="N134" s="1">
        <v>0.62031681712962961</v>
      </c>
      <c r="O134" s="1">
        <f>Table25791113[[#This Row],[Time]]-TIME(0,0,3)</f>
        <v>0.62028209490740738</v>
      </c>
      <c r="P134" t="s">
        <v>9</v>
      </c>
      <c r="Q134">
        <v>-123</v>
      </c>
      <c r="R134">
        <f>Table25791113[[#This Row],[RSSI]]</f>
        <v>-123</v>
      </c>
      <c r="S134">
        <v>-18</v>
      </c>
    </row>
    <row r="135" spans="2:19" x14ac:dyDescent="0.25">
      <c r="B135">
        <f>480+2*(Table14681012[[#This Row],[min value (corrected)]]-34)</f>
        <v>484</v>
      </c>
      <c r="C135">
        <f>MINUTE(Table14681012[[#This Row],[Corrected time]])</f>
        <v>36</v>
      </c>
      <c r="D135" s="1">
        <v>0.73397158564814813</v>
      </c>
      <c r="E135" s="1">
        <f>Table14681012[[#This Row],[Time]]-TIME(0,0,9)</f>
        <v>0.73386741898148145</v>
      </c>
      <c r="F135" t="s">
        <v>9</v>
      </c>
      <c r="G135" t="s">
        <v>12</v>
      </c>
      <c r="H135">
        <f t="shared" si="3"/>
        <v>-123</v>
      </c>
      <c r="I135">
        <v>-18.5</v>
      </c>
      <c r="L135">
        <f>480+2*(Table25791113[[#This Row],[min value (corrected)]]-50)</f>
        <v>486</v>
      </c>
      <c r="M135">
        <f>MINUTE(Table25791113[[#This Row],[Corrected time]])</f>
        <v>53</v>
      </c>
      <c r="N135" s="1">
        <v>0.62033606481481485</v>
      </c>
      <c r="O135" s="1">
        <f>Table25791113[[#This Row],[Time]]-TIME(0,0,3)</f>
        <v>0.62030134259259262</v>
      </c>
      <c r="P135" t="s">
        <v>9</v>
      </c>
      <c r="Q135">
        <v>-123</v>
      </c>
      <c r="R135">
        <f>Table25791113[[#This Row],[RSSI]]</f>
        <v>-123</v>
      </c>
      <c r="S135">
        <v>-18.8</v>
      </c>
    </row>
    <row r="136" spans="2:19" x14ac:dyDescent="0.25">
      <c r="B136">
        <f>480+2*(Table14681012[[#This Row],[min value (corrected)]]-34)</f>
        <v>484</v>
      </c>
      <c r="C136">
        <f>MINUTE(Table14681012[[#This Row],[Corrected time]])</f>
        <v>36</v>
      </c>
      <c r="D136" s="1">
        <v>0.73399083333333326</v>
      </c>
      <c r="E136" s="1">
        <f>Table14681012[[#This Row],[Time]]-TIME(0,0,9)</f>
        <v>0.73388666666666658</v>
      </c>
      <c r="F136" t="s">
        <v>9</v>
      </c>
      <c r="G136" t="s">
        <v>12</v>
      </c>
      <c r="H136">
        <f t="shared" si="3"/>
        <v>-123</v>
      </c>
      <c r="I136">
        <v>-18.8</v>
      </c>
      <c r="L136">
        <f>480+2*(Table25791113[[#This Row],[min value (corrected)]]-50)</f>
        <v>486</v>
      </c>
      <c r="M136">
        <f>MINUTE(Table25791113[[#This Row],[Corrected time]])</f>
        <v>53</v>
      </c>
      <c r="N136" s="1">
        <v>0.62035531249999998</v>
      </c>
      <c r="O136" s="1">
        <f>Table25791113[[#This Row],[Time]]-TIME(0,0,3)</f>
        <v>0.62032059027777775</v>
      </c>
      <c r="P136" t="s">
        <v>9</v>
      </c>
      <c r="Q136">
        <v>-123</v>
      </c>
      <c r="R136">
        <f>Table25791113[[#This Row],[RSSI]]</f>
        <v>-123</v>
      </c>
      <c r="S136">
        <v>-18.8</v>
      </c>
    </row>
    <row r="137" spans="2:19" x14ac:dyDescent="0.25">
      <c r="B137">
        <f>480+2*(Table14681012[[#This Row],[min value (corrected)]]-34)</f>
        <v>484</v>
      </c>
      <c r="C137">
        <f>MINUTE(Table14681012[[#This Row],[Corrected time]])</f>
        <v>36</v>
      </c>
      <c r="D137" s="1">
        <v>0.7340100810185185</v>
      </c>
      <c r="E137" s="1">
        <f>Table14681012[[#This Row],[Time]]-TIME(0,0,9)</f>
        <v>0.73390591435185182</v>
      </c>
      <c r="F137" t="s">
        <v>9</v>
      </c>
      <c r="G137" t="s">
        <v>12</v>
      </c>
      <c r="H137">
        <f t="shared" si="3"/>
        <v>-123</v>
      </c>
      <c r="I137">
        <v>-19.8</v>
      </c>
      <c r="L137">
        <f>480+2*(Table25791113[[#This Row],[min value (corrected)]]-50)</f>
        <v>486</v>
      </c>
      <c r="M137">
        <f>MINUTE(Table25791113[[#This Row],[Corrected time]])</f>
        <v>53</v>
      </c>
      <c r="N137" s="1">
        <v>0.62037456018518522</v>
      </c>
      <c r="O137" s="1">
        <f>Table25791113[[#This Row],[Time]]-TIME(0,0,3)</f>
        <v>0.62033983796296299</v>
      </c>
      <c r="P137" t="s">
        <v>9</v>
      </c>
      <c r="Q137">
        <v>-124</v>
      </c>
      <c r="R137">
        <f>Table25791113[[#This Row],[RSSI]]</f>
        <v>-124</v>
      </c>
      <c r="S137">
        <v>-19.3</v>
      </c>
    </row>
    <row r="138" spans="2:19" x14ac:dyDescent="0.25">
      <c r="B138">
        <f>480+2*(Table14681012[[#This Row],[min value (corrected)]]-34)</f>
        <v>484</v>
      </c>
      <c r="C138">
        <f>MINUTE(Table14681012[[#This Row],[Corrected time]])</f>
        <v>36</v>
      </c>
      <c r="D138" s="1">
        <v>0.73402932870370363</v>
      </c>
      <c r="E138" s="1">
        <f>Table14681012[[#This Row],[Time]]-TIME(0,0,9)</f>
        <v>0.73392516203703695</v>
      </c>
      <c r="F138" t="s">
        <v>9</v>
      </c>
      <c r="G138" t="s">
        <v>12</v>
      </c>
      <c r="H138">
        <f t="shared" si="3"/>
        <v>-123</v>
      </c>
      <c r="I138">
        <v>-18.8</v>
      </c>
      <c r="L138">
        <f>480+2*(Table25791113[[#This Row],[min value (corrected)]]-50)</f>
        <v>486</v>
      </c>
      <c r="M138">
        <f>MINUTE(Table25791113[[#This Row],[Corrected time]])</f>
        <v>53</v>
      </c>
      <c r="N138" s="1">
        <v>0.62039380787037035</v>
      </c>
      <c r="O138" s="1">
        <f>Table25791113[[#This Row],[Time]]-TIME(0,0,3)</f>
        <v>0.62035908564814812</v>
      </c>
      <c r="P138" t="s">
        <v>9</v>
      </c>
      <c r="Q138">
        <v>-123</v>
      </c>
      <c r="R138">
        <f>Table25791113[[#This Row],[RSSI]]</f>
        <v>-123</v>
      </c>
      <c r="S138">
        <v>-18.8</v>
      </c>
    </row>
    <row r="139" spans="2:19" x14ac:dyDescent="0.25">
      <c r="B139">
        <f>480+2*(Table14681012[[#This Row],[min value (corrected)]]-34)</f>
        <v>484</v>
      </c>
      <c r="C139">
        <f>MINUTE(Table14681012[[#This Row],[Corrected time]])</f>
        <v>36</v>
      </c>
      <c r="D139" s="1">
        <v>0.73404857638888887</v>
      </c>
      <c r="E139" s="1">
        <f>Table14681012[[#This Row],[Time]]-TIME(0,0,9)</f>
        <v>0.73394440972222219</v>
      </c>
      <c r="F139" t="s">
        <v>9</v>
      </c>
      <c r="G139" t="s">
        <v>19</v>
      </c>
      <c r="H139">
        <f t="shared" si="3"/>
        <v>-124</v>
      </c>
      <c r="I139">
        <v>-20</v>
      </c>
      <c r="L139">
        <f>480+2*(Table25791113[[#This Row],[min value (corrected)]]-50)</f>
        <v>486</v>
      </c>
      <c r="M139">
        <f>MINUTE(Table25791113[[#This Row],[Corrected time]])</f>
        <v>53</v>
      </c>
      <c r="N139" s="1">
        <v>0.62041305555555559</v>
      </c>
      <c r="O139" s="1">
        <f>Table25791113[[#This Row],[Time]]-TIME(0,0,3)</f>
        <v>0.62037833333333336</v>
      </c>
      <c r="P139" t="s">
        <v>9</v>
      </c>
      <c r="Q139">
        <v>-123</v>
      </c>
      <c r="R139">
        <f>Table25791113[[#This Row],[RSSI]]</f>
        <v>-123</v>
      </c>
      <c r="S139">
        <v>-18.5</v>
      </c>
    </row>
    <row r="140" spans="2:19" x14ac:dyDescent="0.25">
      <c r="B140">
        <f>480+2*(Table14681012[[#This Row],[min value (corrected)]]-34)</f>
        <v>484</v>
      </c>
      <c r="C140">
        <f>MINUTE(Table14681012[[#This Row],[Corrected time]])</f>
        <v>36</v>
      </c>
      <c r="D140" s="1">
        <v>0.73406781250000008</v>
      </c>
      <c r="E140" s="1">
        <f>Table14681012[[#This Row],[Time]]-TIME(0,0,9)</f>
        <v>0.7339636458333334</v>
      </c>
      <c r="F140" t="s">
        <v>9</v>
      </c>
      <c r="G140" t="s">
        <v>12</v>
      </c>
      <c r="H140">
        <f t="shared" si="3"/>
        <v>-123</v>
      </c>
      <c r="I140">
        <v>-19.3</v>
      </c>
      <c r="L140">
        <f>480+2*(Table25791113[[#This Row],[min value (corrected)]]-50)</f>
        <v>486</v>
      </c>
      <c r="M140">
        <f>MINUTE(Table25791113[[#This Row],[Corrected time]])</f>
        <v>53</v>
      </c>
      <c r="N140" s="1">
        <v>0.62043229166666669</v>
      </c>
      <c r="O140" s="1">
        <f>Table25791113[[#This Row],[Time]]-TIME(0,0,3)</f>
        <v>0.62039756944444446</v>
      </c>
      <c r="P140" t="s">
        <v>9</v>
      </c>
      <c r="Q140">
        <v>-124</v>
      </c>
      <c r="R140">
        <f>Table25791113[[#This Row],[RSSI]]</f>
        <v>-124</v>
      </c>
      <c r="S140">
        <v>-18.8</v>
      </c>
    </row>
    <row r="141" spans="2:19" x14ac:dyDescent="0.25">
      <c r="B141">
        <f>480+2*(Table14681012[[#This Row],[min value (corrected)]]-34)</f>
        <v>484</v>
      </c>
      <c r="C141">
        <f>MINUTE(Table14681012[[#This Row],[Corrected time]])</f>
        <v>36</v>
      </c>
      <c r="D141" s="1">
        <v>0.73408706018518521</v>
      </c>
      <c r="E141" s="1">
        <f>Table14681012[[#This Row],[Time]]-TIME(0,0,9)</f>
        <v>0.73398289351851853</v>
      </c>
      <c r="F141" t="s">
        <v>9</v>
      </c>
      <c r="G141" t="s">
        <v>19</v>
      </c>
      <c r="H141">
        <f t="shared" si="3"/>
        <v>-124</v>
      </c>
      <c r="I141">
        <v>-19.3</v>
      </c>
      <c r="L141">
        <f>480+2*(Table25791113[[#This Row],[min value (corrected)]]-50)</f>
        <v>486</v>
      </c>
      <c r="M141">
        <f>MINUTE(Table25791113[[#This Row],[Corrected time]])</f>
        <v>53</v>
      </c>
      <c r="N141" s="1">
        <v>0.62045155092592597</v>
      </c>
      <c r="O141" s="1">
        <f>Table25791113[[#This Row],[Time]]-TIME(0,0,3)</f>
        <v>0.62041682870370374</v>
      </c>
      <c r="P141" t="s">
        <v>9</v>
      </c>
      <c r="Q141">
        <v>-123</v>
      </c>
      <c r="R141">
        <f>Table25791113[[#This Row],[RSSI]]</f>
        <v>-123</v>
      </c>
      <c r="S141">
        <v>-18.3</v>
      </c>
    </row>
    <row r="142" spans="2:19" x14ac:dyDescent="0.25">
      <c r="B142">
        <f>480+2*(Table14681012[[#This Row],[min value (corrected)]]-34)</f>
        <v>484</v>
      </c>
      <c r="C142">
        <f>MINUTE(Table14681012[[#This Row],[Corrected time]])</f>
        <v>36</v>
      </c>
      <c r="D142" s="1">
        <v>0.73410631944444449</v>
      </c>
      <c r="E142" s="1">
        <f>Table14681012[[#This Row],[Time]]-TIME(0,0,9)</f>
        <v>0.73400215277777781</v>
      </c>
      <c r="F142" t="s">
        <v>13</v>
      </c>
      <c r="G142" t="str">
        <f>G141</f>
        <v>-124.0,</v>
      </c>
      <c r="H142">
        <f t="shared" si="3"/>
        <v>-124</v>
      </c>
      <c r="I142">
        <f>I141</f>
        <v>-19.3</v>
      </c>
      <c r="L142">
        <f>480+2*(Table25791113[[#This Row],[min value (corrected)]]-50)</f>
        <v>486</v>
      </c>
      <c r="M142">
        <f>MINUTE(Table25791113[[#This Row],[Corrected time]])</f>
        <v>53</v>
      </c>
      <c r="N142" s="1">
        <v>0.62047078703703706</v>
      </c>
      <c r="O142" s="1">
        <f>Table25791113[[#This Row],[Time]]-TIME(0,0,3)</f>
        <v>0.62043606481481484</v>
      </c>
      <c r="P142" t="s">
        <v>9</v>
      </c>
      <c r="Q142">
        <v>-123</v>
      </c>
      <c r="R142">
        <f>Table25791113[[#This Row],[RSSI]]</f>
        <v>-123</v>
      </c>
      <c r="S142">
        <v>-19.5</v>
      </c>
    </row>
    <row r="143" spans="2:19" x14ac:dyDescent="0.25">
      <c r="B143">
        <f>480+2*(Table14681012[[#This Row],[min value (corrected)]]-34)</f>
        <v>484</v>
      </c>
      <c r="C143">
        <f>MINUTE(Table14681012[[#This Row],[Corrected time]])</f>
        <v>36</v>
      </c>
      <c r="D143" s="1">
        <v>0.73412556712962962</v>
      </c>
      <c r="E143" s="1">
        <f>Table14681012[[#This Row],[Time]]-TIME(0,0,9)</f>
        <v>0.73402140046296294</v>
      </c>
      <c r="F143" t="s">
        <v>9</v>
      </c>
      <c r="G143" t="s">
        <v>19</v>
      </c>
      <c r="H143">
        <f t="shared" si="3"/>
        <v>-124</v>
      </c>
      <c r="I143">
        <v>-18.8</v>
      </c>
      <c r="L143">
        <f>480+2*(Table25791113[[#This Row],[min value (corrected)]]-50)</f>
        <v>486</v>
      </c>
      <c r="M143">
        <f>MINUTE(Table25791113[[#This Row],[Corrected time]])</f>
        <v>53</v>
      </c>
      <c r="N143" s="1">
        <v>0.62049003472222219</v>
      </c>
      <c r="O143" s="1">
        <f>Table25791113[[#This Row],[Time]]-TIME(0,0,3)</f>
        <v>0.62045531249999997</v>
      </c>
      <c r="P143" t="s">
        <v>9</v>
      </c>
      <c r="Q143">
        <v>-123</v>
      </c>
      <c r="R143">
        <f>Table25791113[[#This Row],[RSSI]]</f>
        <v>-123</v>
      </c>
      <c r="S143">
        <v>-18.8</v>
      </c>
    </row>
    <row r="144" spans="2:19" x14ac:dyDescent="0.25">
      <c r="B144">
        <f>480+2*(Table14681012[[#This Row],[min value (corrected)]]-34)</f>
        <v>486</v>
      </c>
      <c r="C144">
        <f>MINUTE(Table14681012[[#This Row],[Corrected time]])</f>
        <v>37</v>
      </c>
      <c r="D144" s="1">
        <v>0.73414481481481486</v>
      </c>
      <c r="E144" s="1">
        <f>Table14681012[[#This Row],[Time]]-TIME(0,0,9)</f>
        <v>0.73404064814814818</v>
      </c>
      <c r="F144" t="s">
        <v>9</v>
      </c>
      <c r="G144" t="s">
        <v>19</v>
      </c>
      <c r="H144">
        <f t="shared" si="3"/>
        <v>-124</v>
      </c>
      <c r="I144">
        <v>-19.8</v>
      </c>
      <c r="L144">
        <f>480+2*(Table25791113[[#This Row],[min value (corrected)]]-50)</f>
        <v>486</v>
      </c>
      <c r="M144">
        <f>MINUTE(Table25791113[[#This Row],[Corrected time]])</f>
        <v>53</v>
      </c>
      <c r="N144" s="1">
        <v>0.62050929398148147</v>
      </c>
      <c r="O144" s="1">
        <f>Table25791113[[#This Row],[Time]]-TIME(0,0,3)</f>
        <v>0.62047457175925924</v>
      </c>
      <c r="P144" t="s">
        <v>9</v>
      </c>
      <c r="Q144">
        <v>-124</v>
      </c>
      <c r="R144">
        <f>Table25791113[[#This Row],[RSSI]]</f>
        <v>-124</v>
      </c>
      <c r="S144">
        <v>-19.3</v>
      </c>
    </row>
    <row r="145" spans="2:19" x14ac:dyDescent="0.25">
      <c r="B145">
        <f>480+2*(Table14681012[[#This Row],[min value (corrected)]]-34)</f>
        <v>486</v>
      </c>
      <c r="C145">
        <f>MINUTE(Table14681012[[#This Row],[Corrected time]])</f>
        <v>37</v>
      </c>
      <c r="D145" s="1">
        <v>0.73416406249999999</v>
      </c>
      <c r="E145" s="1">
        <f>Table14681012[[#This Row],[Time]]-TIME(0,0,9)</f>
        <v>0.73405989583333331</v>
      </c>
      <c r="F145" t="s">
        <v>9</v>
      </c>
      <c r="G145" t="s">
        <v>28</v>
      </c>
      <c r="H145">
        <f t="shared" si="3"/>
        <v>-125</v>
      </c>
      <c r="I145">
        <v>-19.8</v>
      </c>
      <c r="L145">
        <f>480+2*(Table25791113[[#This Row],[min value (corrected)]]-50)</f>
        <v>486</v>
      </c>
      <c r="M145">
        <f>MINUTE(Table25791113[[#This Row],[Corrected time]])</f>
        <v>53</v>
      </c>
      <c r="N145" s="1">
        <v>0.6205285416666666</v>
      </c>
      <c r="O145" s="1">
        <f>Table25791113[[#This Row],[Time]]-TIME(0,0,3)</f>
        <v>0.62049381944444437</v>
      </c>
      <c r="P145" t="s">
        <v>9</v>
      </c>
      <c r="Q145">
        <v>-124</v>
      </c>
      <c r="R145">
        <f>Table25791113[[#This Row],[RSSI]]</f>
        <v>-124</v>
      </c>
      <c r="S145">
        <v>-18.8</v>
      </c>
    </row>
    <row r="146" spans="2:19" x14ac:dyDescent="0.25">
      <c r="B146">
        <f>480+2*(Table14681012[[#This Row],[min value (corrected)]]-34)</f>
        <v>486</v>
      </c>
      <c r="C146">
        <f>MINUTE(Table14681012[[#This Row],[Corrected time]])</f>
        <v>37</v>
      </c>
      <c r="D146" s="1">
        <v>0.73418329861111109</v>
      </c>
      <c r="E146" s="1">
        <f>Table14681012[[#This Row],[Time]]-TIME(0,0,9)</f>
        <v>0.73407913194444441</v>
      </c>
      <c r="F146" t="s">
        <v>9</v>
      </c>
      <c r="G146" t="s">
        <v>12</v>
      </c>
      <c r="H146">
        <f t="shared" si="3"/>
        <v>-123</v>
      </c>
      <c r="I146">
        <v>-20.3</v>
      </c>
      <c r="L146">
        <f>480+2*(Table25791113[[#This Row],[min value (corrected)]]-50)</f>
        <v>486</v>
      </c>
      <c r="M146">
        <f>MINUTE(Table25791113[[#This Row],[Corrected time]])</f>
        <v>53</v>
      </c>
      <c r="N146" s="1">
        <v>0.62054778935185184</v>
      </c>
      <c r="O146" s="1">
        <f>Table25791113[[#This Row],[Time]]-TIME(0,0,3)</f>
        <v>0.62051306712962961</v>
      </c>
      <c r="P146" t="s">
        <v>9</v>
      </c>
      <c r="Q146">
        <v>-124</v>
      </c>
      <c r="R146">
        <f>Table25791113[[#This Row],[RSSI]]</f>
        <v>-124</v>
      </c>
      <c r="S146">
        <v>-18.8</v>
      </c>
    </row>
    <row r="147" spans="2:19" x14ac:dyDescent="0.25">
      <c r="B147">
        <f>480+2*(Table14681012[[#This Row],[min value (corrected)]]-34)</f>
        <v>486</v>
      </c>
      <c r="C147">
        <f>MINUTE(Table14681012[[#This Row],[Corrected time]])</f>
        <v>37</v>
      </c>
      <c r="D147" s="1">
        <v>0.73420254629629633</v>
      </c>
      <c r="E147" s="1">
        <f>Table14681012[[#This Row],[Time]]-TIME(0,0,9)</f>
        <v>0.73409837962962965</v>
      </c>
      <c r="F147" t="s">
        <v>9</v>
      </c>
      <c r="G147" t="s">
        <v>19</v>
      </c>
      <c r="H147">
        <f t="shared" si="3"/>
        <v>-124</v>
      </c>
      <c r="I147">
        <v>-19</v>
      </c>
      <c r="L147">
        <f>480+2*(Table25791113[[#This Row],[min value (corrected)]]-50)</f>
        <v>486</v>
      </c>
      <c r="M147">
        <f>MINUTE(Table25791113[[#This Row],[Corrected time]])</f>
        <v>53</v>
      </c>
      <c r="N147" s="1">
        <v>0.62056703703703697</v>
      </c>
      <c r="O147" s="1">
        <f>Table25791113[[#This Row],[Time]]-TIME(0,0,3)</f>
        <v>0.62053231481481474</v>
      </c>
      <c r="P147" t="s">
        <v>9</v>
      </c>
      <c r="Q147">
        <v>-123</v>
      </c>
      <c r="R147">
        <f>Table25791113[[#This Row],[RSSI]]</f>
        <v>-123</v>
      </c>
      <c r="S147">
        <v>-19</v>
      </c>
    </row>
    <row r="148" spans="2:19" x14ac:dyDescent="0.25">
      <c r="B148">
        <f>480+2*(Table14681012[[#This Row],[min value (corrected)]]-34)</f>
        <v>486</v>
      </c>
      <c r="C148">
        <f>MINUTE(Table14681012[[#This Row],[Corrected time]])</f>
        <v>37</v>
      </c>
      <c r="D148" s="1">
        <v>0.73422180555555561</v>
      </c>
      <c r="E148" s="1">
        <f>Table14681012[[#This Row],[Time]]-TIME(0,0,9)</f>
        <v>0.73411763888888892</v>
      </c>
      <c r="F148" t="s">
        <v>9</v>
      </c>
      <c r="G148" t="s">
        <v>12</v>
      </c>
      <c r="H148">
        <f t="shared" si="3"/>
        <v>-123</v>
      </c>
      <c r="I148">
        <v>-18.3</v>
      </c>
      <c r="L148">
        <f>480+2*(Table25791113[[#This Row],[min value (corrected)]]-50)</f>
        <v>486</v>
      </c>
      <c r="M148">
        <f>MINUTE(Table25791113[[#This Row],[Corrected time]])</f>
        <v>53</v>
      </c>
      <c r="N148" s="1">
        <v>0.62058628472222221</v>
      </c>
      <c r="O148" s="1">
        <f>Table25791113[[#This Row],[Time]]-TIME(0,0,3)</f>
        <v>0.62055156249999999</v>
      </c>
      <c r="P148" t="s">
        <v>9</v>
      </c>
      <c r="Q148">
        <v>-124</v>
      </c>
      <c r="R148">
        <f>Table25791113[[#This Row],[RSSI]]</f>
        <v>-124</v>
      </c>
      <c r="S148">
        <v>-19.3</v>
      </c>
    </row>
    <row r="149" spans="2:19" x14ac:dyDescent="0.25">
      <c r="B149">
        <f>480+2*(Table14681012[[#This Row],[min value (corrected)]]-34)</f>
        <v>486</v>
      </c>
      <c r="C149">
        <f>MINUTE(Table14681012[[#This Row],[Corrected time]])</f>
        <v>37</v>
      </c>
      <c r="D149" s="1">
        <v>0.73424105324074074</v>
      </c>
      <c r="E149" s="1">
        <f>Table14681012[[#This Row],[Time]]-TIME(0,0,9)</f>
        <v>0.73413688657407405</v>
      </c>
      <c r="F149" t="s">
        <v>9</v>
      </c>
      <c r="G149" t="s">
        <v>19</v>
      </c>
      <c r="H149">
        <f t="shared" si="3"/>
        <v>-124</v>
      </c>
      <c r="I149">
        <v>-19</v>
      </c>
      <c r="L149">
        <f>480+2*(Table25791113[[#This Row],[min value (corrected)]]-50)</f>
        <v>486</v>
      </c>
      <c r="M149">
        <f>MINUTE(Table25791113[[#This Row],[Corrected time]])</f>
        <v>53</v>
      </c>
      <c r="N149" s="1">
        <v>0.62060553240740735</v>
      </c>
      <c r="O149" s="1">
        <f>Table25791113[[#This Row],[Time]]-TIME(0,0,3)</f>
        <v>0.62057081018518512</v>
      </c>
      <c r="P149" t="s">
        <v>9</v>
      </c>
      <c r="Q149">
        <v>-123</v>
      </c>
      <c r="R149">
        <f>Table25791113[[#This Row],[RSSI]]</f>
        <v>-123</v>
      </c>
      <c r="S149">
        <v>-18.8</v>
      </c>
    </row>
    <row r="150" spans="2:19" x14ac:dyDescent="0.25">
      <c r="B150">
        <f>480+2*(Table14681012[[#This Row],[min value (corrected)]]-34)</f>
        <v>486</v>
      </c>
      <c r="C150">
        <f>MINUTE(Table14681012[[#This Row],[Corrected time]])</f>
        <v>37</v>
      </c>
      <c r="D150" s="1">
        <v>0.73426030092592587</v>
      </c>
      <c r="E150" s="1">
        <f>Table14681012[[#This Row],[Time]]-TIME(0,0,9)</f>
        <v>0.73415613425925919</v>
      </c>
      <c r="F150" t="s">
        <v>9</v>
      </c>
      <c r="G150" t="s">
        <v>12</v>
      </c>
      <c r="H150">
        <f t="shared" ref="H150:H213" si="4">VALUE(LEFT(G150,LEN(G150)-1))</f>
        <v>-123</v>
      </c>
      <c r="I150">
        <v>-20.8</v>
      </c>
      <c r="L150">
        <f>480+2*(Table25791113[[#This Row],[min value (corrected)]]-50)</f>
        <v>486</v>
      </c>
      <c r="M150">
        <f>MINUTE(Table25791113[[#This Row],[Corrected time]])</f>
        <v>53</v>
      </c>
      <c r="N150" s="1">
        <v>0.62062476851851855</v>
      </c>
      <c r="O150" s="1">
        <f>Table25791113[[#This Row],[Time]]-TIME(0,0,3)</f>
        <v>0.62059004629629633</v>
      </c>
      <c r="P150" t="s">
        <v>9</v>
      </c>
      <c r="Q150">
        <v>-123</v>
      </c>
      <c r="R150">
        <f>Table25791113[[#This Row],[RSSI]]</f>
        <v>-123</v>
      </c>
      <c r="S150">
        <v>-18.8</v>
      </c>
    </row>
    <row r="151" spans="2:19" x14ac:dyDescent="0.25">
      <c r="B151">
        <f>480+2*(Table14681012[[#This Row],[min value (corrected)]]-34)</f>
        <v>486</v>
      </c>
      <c r="C151">
        <f>MINUTE(Table14681012[[#This Row],[Corrected time]])</f>
        <v>37</v>
      </c>
      <c r="D151" s="1">
        <v>0.73427954861111111</v>
      </c>
      <c r="E151" s="1">
        <f>Table14681012[[#This Row],[Time]]-TIME(0,0,9)</f>
        <v>0.73417538194444443</v>
      </c>
      <c r="F151" t="s">
        <v>9</v>
      </c>
      <c r="G151" t="s">
        <v>12</v>
      </c>
      <c r="H151">
        <f t="shared" si="4"/>
        <v>-123</v>
      </c>
      <c r="I151">
        <v>-18.5</v>
      </c>
      <c r="L151">
        <f>480+2*(Table25791113[[#This Row],[min value (corrected)]]-50)</f>
        <v>486</v>
      </c>
      <c r="M151">
        <f>MINUTE(Table25791113[[#This Row],[Corrected time]])</f>
        <v>53</v>
      </c>
      <c r="N151" s="1">
        <v>0.62064402777777783</v>
      </c>
      <c r="O151" s="1">
        <f>Table25791113[[#This Row],[Time]]-TIME(0,0,3)</f>
        <v>0.6206093055555556</v>
      </c>
      <c r="P151" t="s">
        <v>9</v>
      </c>
      <c r="Q151">
        <v>-123</v>
      </c>
      <c r="R151">
        <f>Table25791113[[#This Row],[RSSI]]</f>
        <v>-123</v>
      </c>
      <c r="S151">
        <v>-18.5</v>
      </c>
    </row>
    <row r="152" spans="2:19" x14ac:dyDescent="0.25">
      <c r="B152">
        <f>480+2*(Table14681012[[#This Row],[min value (corrected)]]-34)</f>
        <v>486</v>
      </c>
      <c r="C152">
        <f>MINUTE(Table14681012[[#This Row],[Corrected time]])</f>
        <v>37</v>
      </c>
      <c r="D152" s="1">
        <v>0.73429879629629624</v>
      </c>
      <c r="E152" s="1">
        <f>Table14681012[[#This Row],[Time]]-TIME(0,0,9)</f>
        <v>0.73419462962962956</v>
      </c>
      <c r="F152" t="s">
        <v>9</v>
      </c>
      <c r="G152" t="s">
        <v>12</v>
      </c>
      <c r="H152">
        <f t="shared" si="4"/>
        <v>-123</v>
      </c>
      <c r="I152">
        <v>-18.5</v>
      </c>
      <c r="L152">
        <f>480+2*(Table25791113[[#This Row],[min value (corrected)]]-50)</f>
        <v>486</v>
      </c>
      <c r="M152">
        <f>MINUTE(Table25791113[[#This Row],[Corrected time]])</f>
        <v>53</v>
      </c>
      <c r="N152" s="1">
        <v>0.62066327546296296</v>
      </c>
      <c r="O152" s="1">
        <f>Table25791113[[#This Row],[Time]]-TIME(0,0,3)</f>
        <v>0.62062855324074073</v>
      </c>
      <c r="P152" t="s">
        <v>9</v>
      </c>
      <c r="Q152">
        <v>-123</v>
      </c>
      <c r="R152">
        <f>Table25791113[[#This Row],[RSSI]]</f>
        <v>-123</v>
      </c>
      <c r="S152">
        <v>-19</v>
      </c>
    </row>
    <row r="153" spans="2:19" x14ac:dyDescent="0.25">
      <c r="B153">
        <f>480+2*(Table14681012[[#This Row],[min value (corrected)]]-34)</f>
        <v>486</v>
      </c>
      <c r="C153">
        <f>MINUTE(Table14681012[[#This Row],[Corrected time]])</f>
        <v>37</v>
      </c>
      <c r="D153" s="1">
        <v>0.73431804398148148</v>
      </c>
      <c r="E153" s="1">
        <f>Table14681012[[#This Row],[Time]]-TIME(0,0,9)</f>
        <v>0.7342138773148148</v>
      </c>
      <c r="F153" t="s">
        <v>9</v>
      </c>
      <c r="G153" t="s">
        <v>19</v>
      </c>
      <c r="H153">
        <f t="shared" si="4"/>
        <v>-124</v>
      </c>
      <c r="I153">
        <v>-19</v>
      </c>
      <c r="L153">
        <f>480+2*(Table25791113[[#This Row],[min value (corrected)]]-50)</f>
        <v>486</v>
      </c>
      <c r="M153">
        <f>MINUTE(Table25791113[[#This Row],[Corrected time]])</f>
        <v>53</v>
      </c>
      <c r="N153" s="1">
        <v>0.6206825231481482</v>
      </c>
      <c r="O153" s="1">
        <f>Table25791113[[#This Row],[Time]]-TIME(0,0,3)</f>
        <v>0.62064780092592597</v>
      </c>
      <c r="P153" t="s">
        <v>9</v>
      </c>
      <c r="Q153">
        <v>-124</v>
      </c>
      <c r="R153">
        <f>Table25791113[[#This Row],[RSSI]]</f>
        <v>-124</v>
      </c>
      <c r="S153">
        <v>-19</v>
      </c>
    </row>
    <row r="154" spans="2:19" x14ac:dyDescent="0.25">
      <c r="B154">
        <f>480+2*(Table14681012[[#This Row],[min value (corrected)]]-34)</f>
        <v>486</v>
      </c>
      <c r="C154">
        <f>MINUTE(Table14681012[[#This Row],[Corrected time]])</f>
        <v>37</v>
      </c>
      <c r="D154" s="1">
        <v>0.73433729166666661</v>
      </c>
      <c r="E154" s="1">
        <f>Table14681012[[#This Row],[Time]]-TIME(0,0,9)</f>
        <v>0.73423312499999993</v>
      </c>
      <c r="F154" t="s">
        <v>9</v>
      </c>
      <c r="G154" t="s">
        <v>19</v>
      </c>
      <c r="H154">
        <f t="shared" si="4"/>
        <v>-124</v>
      </c>
      <c r="I154">
        <v>-19</v>
      </c>
      <c r="L154">
        <f>480+2*(Table25791113[[#This Row],[min value (corrected)]]-50)</f>
        <v>486</v>
      </c>
      <c r="M154">
        <f>MINUTE(Table25791113[[#This Row],[Corrected time]])</f>
        <v>53</v>
      </c>
      <c r="N154" s="1">
        <v>0.62070177083333333</v>
      </c>
      <c r="O154" s="1">
        <f>Table25791113[[#This Row],[Time]]-TIME(0,0,3)</f>
        <v>0.62066704861111111</v>
      </c>
      <c r="P154" t="s">
        <v>9</v>
      </c>
      <c r="Q154">
        <v>-123</v>
      </c>
      <c r="R154">
        <f>Table25791113[[#This Row],[RSSI]]</f>
        <v>-123</v>
      </c>
      <c r="S154">
        <v>-19</v>
      </c>
    </row>
    <row r="155" spans="2:19" x14ac:dyDescent="0.25">
      <c r="B155">
        <f>480+2*(Table14681012[[#This Row],[min value (corrected)]]-34)</f>
        <v>486</v>
      </c>
      <c r="C155">
        <f>MINUTE(Table14681012[[#This Row],[Corrected time]])</f>
        <v>37</v>
      </c>
      <c r="D155" s="1">
        <v>0.73435653935185186</v>
      </c>
      <c r="E155" s="1">
        <f>Table14681012[[#This Row],[Time]]-TIME(0,0,9)</f>
        <v>0.73425237268518517</v>
      </c>
      <c r="F155" t="s">
        <v>9</v>
      </c>
      <c r="G155" t="s">
        <v>19</v>
      </c>
      <c r="H155">
        <f t="shared" si="4"/>
        <v>-124</v>
      </c>
      <c r="I155">
        <v>-19.8</v>
      </c>
      <c r="L155">
        <f>480+2*(Table25791113[[#This Row],[min value (corrected)]]-50)</f>
        <v>486</v>
      </c>
      <c r="M155">
        <f>MINUTE(Table25791113[[#This Row],[Corrected time]])</f>
        <v>53</v>
      </c>
      <c r="N155" s="1">
        <v>0.62072101851851857</v>
      </c>
      <c r="O155" s="1">
        <f>Table25791113[[#This Row],[Time]]-TIME(0,0,3)</f>
        <v>0.62068629629629635</v>
      </c>
      <c r="P155" t="s">
        <v>9</v>
      </c>
      <c r="Q155">
        <v>-123</v>
      </c>
      <c r="R155">
        <f>Table25791113[[#This Row],[RSSI]]</f>
        <v>-123</v>
      </c>
      <c r="S155">
        <v>-19</v>
      </c>
    </row>
    <row r="156" spans="2:19" x14ac:dyDescent="0.25">
      <c r="B156">
        <f>480+2*(Table14681012[[#This Row],[min value (corrected)]]-34)</f>
        <v>486</v>
      </c>
      <c r="C156">
        <f>MINUTE(Table14681012[[#This Row],[Corrected time]])</f>
        <v>37</v>
      </c>
      <c r="D156" s="1">
        <v>0.73437578703703699</v>
      </c>
      <c r="E156" s="1">
        <f>Table14681012[[#This Row],[Time]]-TIME(0,0,9)</f>
        <v>0.7342716203703703</v>
      </c>
      <c r="F156" t="s">
        <v>9</v>
      </c>
      <c r="G156" t="s">
        <v>19</v>
      </c>
      <c r="H156">
        <f t="shared" si="4"/>
        <v>-124</v>
      </c>
      <c r="I156">
        <v>-19.3</v>
      </c>
      <c r="L156">
        <f>480+2*(Table25791113[[#This Row],[min value (corrected)]]-50)</f>
        <v>486</v>
      </c>
      <c r="M156">
        <f>MINUTE(Table25791113[[#This Row],[Corrected time]])</f>
        <v>53</v>
      </c>
      <c r="N156" s="1">
        <v>0.62074026620370371</v>
      </c>
      <c r="O156" s="1">
        <f>Table25791113[[#This Row],[Time]]-TIME(0,0,3)</f>
        <v>0.62070554398148148</v>
      </c>
      <c r="P156" t="s">
        <v>9</v>
      </c>
      <c r="Q156">
        <v>-123</v>
      </c>
      <c r="R156">
        <f>Table25791113[[#This Row],[RSSI]]</f>
        <v>-123</v>
      </c>
      <c r="S156">
        <v>-19.3</v>
      </c>
    </row>
    <row r="157" spans="2:19" x14ac:dyDescent="0.25">
      <c r="B157">
        <f>480+2*(Table14681012[[#This Row],[min value (corrected)]]-34)</f>
        <v>486</v>
      </c>
      <c r="C157">
        <f>MINUTE(Table14681012[[#This Row],[Corrected time]])</f>
        <v>37</v>
      </c>
      <c r="D157" s="1">
        <v>0.73439503472222223</v>
      </c>
      <c r="E157" s="1">
        <f>Table14681012[[#This Row],[Time]]-TIME(0,0,9)</f>
        <v>0.73429086805555555</v>
      </c>
      <c r="F157" t="s">
        <v>9</v>
      </c>
      <c r="G157" t="s">
        <v>12</v>
      </c>
      <c r="H157">
        <f t="shared" si="4"/>
        <v>-123</v>
      </c>
      <c r="I157">
        <v>-18.3</v>
      </c>
      <c r="L157">
        <f>480+2*(Table25791113[[#This Row],[min value (corrected)]]-50)</f>
        <v>486</v>
      </c>
      <c r="M157">
        <f>MINUTE(Table25791113[[#This Row],[Corrected time]])</f>
        <v>53</v>
      </c>
      <c r="N157" s="1">
        <v>0.6207595023148148</v>
      </c>
      <c r="O157" s="1">
        <f>Table25791113[[#This Row],[Time]]-TIME(0,0,3)</f>
        <v>0.62072478009259258</v>
      </c>
      <c r="P157" t="s">
        <v>9</v>
      </c>
      <c r="Q157">
        <v>-123</v>
      </c>
      <c r="R157">
        <f>Table25791113[[#This Row],[RSSI]]</f>
        <v>-123</v>
      </c>
      <c r="S157">
        <v>-18.8</v>
      </c>
    </row>
    <row r="158" spans="2:19" x14ac:dyDescent="0.25">
      <c r="B158">
        <f>480+2*(Table14681012[[#This Row],[min value (corrected)]]-34)</f>
        <v>486</v>
      </c>
      <c r="C158">
        <f>MINUTE(Table14681012[[#This Row],[Corrected time]])</f>
        <v>37</v>
      </c>
      <c r="D158" s="1">
        <v>0.73441428240740736</v>
      </c>
      <c r="E158" s="1">
        <f>Table14681012[[#This Row],[Time]]-TIME(0,0,9)</f>
        <v>0.73431011574074068</v>
      </c>
      <c r="F158" t="s">
        <v>13</v>
      </c>
      <c r="G158" t="str">
        <f>G157</f>
        <v>-123.0,</v>
      </c>
      <c r="H158">
        <f t="shared" si="4"/>
        <v>-123</v>
      </c>
      <c r="I158">
        <f>I157</f>
        <v>-18.3</v>
      </c>
      <c r="L158">
        <f>480+2*(Table25791113[[#This Row],[min value (corrected)]]-50)</f>
        <v>486</v>
      </c>
      <c r="M158">
        <f>MINUTE(Table25791113[[#This Row],[Corrected time]])</f>
        <v>53</v>
      </c>
      <c r="N158" s="1">
        <v>0.62077876157407408</v>
      </c>
      <c r="O158" s="1">
        <f>Table25791113[[#This Row],[Time]]-TIME(0,0,3)</f>
        <v>0.62074403935185185</v>
      </c>
      <c r="P158" t="s">
        <v>9</v>
      </c>
      <c r="Q158">
        <v>-123</v>
      </c>
      <c r="R158">
        <f>Table25791113[[#This Row],[RSSI]]</f>
        <v>-123</v>
      </c>
      <c r="S158">
        <v>-19</v>
      </c>
    </row>
    <row r="159" spans="2:19" x14ac:dyDescent="0.25">
      <c r="B159">
        <f>480+2*(Table14681012[[#This Row],[min value (corrected)]]-34)</f>
        <v>486</v>
      </c>
      <c r="C159">
        <f>MINUTE(Table14681012[[#This Row],[Corrected time]])</f>
        <v>37</v>
      </c>
      <c r="D159" s="1">
        <v>0.7344335300925926</v>
      </c>
      <c r="E159" s="1">
        <f>Table14681012[[#This Row],[Time]]-TIME(0,0,9)</f>
        <v>0.73432936342592592</v>
      </c>
      <c r="F159" t="s">
        <v>9</v>
      </c>
      <c r="G159" t="s">
        <v>12</v>
      </c>
      <c r="H159">
        <f t="shared" si="4"/>
        <v>-123</v>
      </c>
      <c r="I159">
        <v>-18.5</v>
      </c>
      <c r="L159">
        <f>480+2*(Table25791113[[#This Row],[min value (corrected)]]-50)</f>
        <v>486</v>
      </c>
      <c r="M159">
        <f>MINUTE(Table25791113[[#This Row],[Corrected time]])</f>
        <v>53</v>
      </c>
      <c r="N159" s="1">
        <v>0.62079800925925921</v>
      </c>
      <c r="O159" s="1">
        <f>Table25791113[[#This Row],[Time]]-TIME(0,0,3)</f>
        <v>0.62076328703703698</v>
      </c>
      <c r="P159" t="s">
        <v>9</v>
      </c>
      <c r="Q159">
        <v>-123</v>
      </c>
      <c r="R159">
        <f>Table25791113[[#This Row],[RSSI]]</f>
        <v>-123</v>
      </c>
      <c r="S159">
        <v>-19.5</v>
      </c>
    </row>
    <row r="160" spans="2:19" x14ac:dyDescent="0.25">
      <c r="B160">
        <f>480+2*(Table14681012[[#This Row],[min value (corrected)]]-34)</f>
        <v>486</v>
      </c>
      <c r="C160">
        <f>MINUTE(Table14681012[[#This Row],[Corrected time]])</f>
        <v>37</v>
      </c>
      <c r="D160" s="1">
        <v>0.73445277777777784</v>
      </c>
      <c r="E160" s="1">
        <f>Table14681012[[#This Row],[Time]]-TIME(0,0,9)</f>
        <v>0.73434861111111116</v>
      </c>
      <c r="F160" t="s">
        <v>9</v>
      </c>
      <c r="G160" t="s">
        <v>12</v>
      </c>
      <c r="H160">
        <f t="shared" si="4"/>
        <v>-123</v>
      </c>
      <c r="I160">
        <v>-18.5</v>
      </c>
      <c r="L160">
        <f>480+2*(Table25791113[[#This Row],[min value (corrected)]]-50)</f>
        <v>486</v>
      </c>
      <c r="M160">
        <f>MINUTE(Table25791113[[#This Row],[Corrected time]])</f>
        <v>53</v>
      </c>
      <c r="N160" s="1">
        <v>0.62081725694444445</v>
      </c>
      <c r="O160" s="1">
        <f>Table25791113[[#This Row],[Time]]-TIME(0,0,3)</f>
        <v>0.62078253472222222</v>
      </c>
      <c r="P160" t="s">
        <v>9</v>
      </c>
      <c r="Q160">
        <v>-123</v>
      </c>
      <c r="R160">
        <f>Table25791113[[#This Row],[RSSI]]</f>
        <v>-123</v>
      </c>
      <c r="S160">
        <v>-19.3</v>
      </c>
    </row>
    <row r="161" spans="2:19" x14ac:dyDescent="0.25">
      <c r="B161">
        <f>480+2*(Table14681012[[#This Row],[min value (corrected)]]-34)</f>
        <v>486</v>
      </c>
      <c r="C161">
        <f>MINUTE(Table14681012[[#This Row],[Corrected time]])</f>
        <v>37</v>
      </c>
      <c r="D161" s="1">
        <v>0.73447202546296297</v>
      </c>
      <c r="E161" s="1">
        <f>Table14681012[[#This Row],[Time]]-TIME(0,0,9)</f>
        <v>0.73436785879629629</v>
      </c>
      <c r="F161" t="s">
        <v>9</v>
      </c>
      <c r="G161" t="s">
        <v>12</v>
      </c>
      <c r="H161">
        <f t="shared" si="4"/>
        <v>-123</v>
      </c>
      <c r="I161">
        <v>-19.3</v>
      </c>
      <c r="L161">
        <f>480+2*(Table25791113[[#This Row],[min value (corrected)]]-50)</f>
        <v>486</v>
      </c>
      <c r="M161">
        <f>MINUTE(Table25791113[[#This Row],[Corrected time]])</f>
        <v>53</v>
      </c>
      <c r="N161" s="1">
        <v>0.62083650462962958</v>
      </c>
      <c r="O161" s="1">
        <f>Table25791113[[#This Row],[Time]]-TIME(0,0,3)</f>
        <v>0.62080178240740735</v>
      </c>
      <c r="P161" t="s">
        <v>9</v>
      </c>
      <c r="Q161">
        <v>-123</v>
      </c>
      <c r="R161">
        <f>Table25791113[[#This Row],[RSSI]]</f>
        <v>-123</v>
      </c>
      <c r="S161">
        <v>-19.3</v>
      </c>
    </row>
    <row r="162" spans="2:19" x14ac:dyDescent="0.25">
      <c r="B162">
        <f>480+2*(Table14681012[[#This Row],[min value (corrected)]]-34)</f>
        <v>486</v>
      </c>
      <c r="C162">
        <f>MINUTE(Table14681012[[#This Row],[Corrected time]])</f>
        <v>37</v>
      </c>
      <c r="D162" s="1">
        <v>0.73449127314814822</v>
      </c>
      <c r="E162" s="1">
        <f>Table14681012[[#This Row],[Time]]-TIME(0,0,9)</f>
        <v>0.73438710648148153</v>
      </c>
      <c r="F162" t="s">
        <v>9</v>
      </c>
      <c r="G162" t="s">
        <v>12</v>
      </c>
      <c r="H162">
        <f t="shared" si="4"/>
        <v>-123</v>
      </c>
      <c r="I162">
        <v>-19.3</v>
      </c>
      <c r="L162">
        <f>480+2*(Table25791113[[#This Row],[min value (corrected)]]-50)</f>
        <v>486</v>
      </c>
      <c r="M162">
        <f>MINUTE(Table25791113[[#This Row],[Corrected time]])</f>
        <v>53</v>
      </c>
      <c r="N162" s="1">
        <v>0.62085575231481482</v>
      </c>
      <c r="O162" s="1">
        <f>Table25791113[[#This Row],[Time]]-TIME(0,0,3)</f>
        <v>0.6208210300925926</v>
      </c>
      <c r="P162" t="s">
        <v>9</v>
      </c>
      <c r="Q162">
        <v>-123</v>
      </c>
      <c r="R162">
        <f>Table25791113[[#This Row],[RSSI]]</f>
        <v>-123</v>
      </c>
      <c r="S162">
        <v>-18.5</v>
      </c>
    </row>
    <row r="163" spans="2:19" x14ac:dyDescent="0.25">
      <c r="B163">
        <f>480+2*(Table14681012[[#This Row],[min value (corrected)]]-34)</f>
        <v>486</v>
      </c>
      <c r="C163">
        <f>MINUTE(Table14681012[[#This Row],[Corrected time]])</f>
        <v>37</v>
      </c>
      <c r="D163" s="1">
        <v>0.7345105092592592</v>
      </c>
      <c r="E163" s="1">
        <f>Table14681012[[#This Row],[Time]]-TIME(0,0,9)</f>
        <v>0.73440634259259252</v>
      </c>
      <c r="F163" t="s">
        <v>9</v>
      </c>
      <c r="G163" t="s">
        <v>12</v>
      </c>
      <c r="H163">
        <f t="shared" si="4"/>
        <v>-123</v>
      </c>
      <c r="I163">
        <v>-19.5</v>
      </c>
      <c r="L163">
        <f>480+2*(Table25791113[[#This Row],[min value (corrected)]]-50)</f>
        <v>488</v>
      </c>
      <c r="M163">
        <f>MINUTE(Table25791113[[#This Row],[Corrected time]])</f>
        <v>54</v>
      </c>
      <c r="N163" s="1">
        <v>0.62087499999999995</v>
      </c>
      <c r="O163" s="1">
        <f>Table25791113[[#This Row],[Time]]-TIME(0,0,3)</f>
        <v>0.62084027777777773</v>
      </c>
      <c r="P163" t="s">
        <v>9</v>
      </c>
      <c r="Q163">
        <v>-124</v>
      </c>
      <c r="R163">
        <f>Table25791113[[#This Row],[RSSI]]</f>
        <v>-124</v>
      </c>
      <c r="S163">
        <v>-19.8</v>
      </c>
    </row>
    <row r="164" spans="2:19" x14ac:dyDescent="0.25">
      <c r="B164">
        <f>480+2*(Table14681012[[#This Row],[min value (corrected)]]-34)</f>
        <v>486</v>
      </c>
      <c r="C164">
        <f>MINUTE(Table14681012[[#This Row],[Corrected time]])</f>
        <v>37</v>
      </c>
      <c r="D164" s="1">
        <v>0.73452976851851859</v>
      </c>
      <c r="E164" s="1">
        <f>Table14681012[[#This Row],[Time]]-TIME(0,0,9)</f>
        <v>0.73442560185185191</v>
      </c>
      <c r="F164" t="s">
        <v>9</v>
      </c>
      <c r="G164" t="s">
        <v>12</v>
      </c>
      <c r="H164">
        <f t="shared" si="4"/>
        <v>-123</v>
      </c>
      <c r="I164">
        <v>-19</v>
      </c>
      <c r="L164">
        <f>480+2*(Table25791113[[#This Row],[min value (corrected)]]-50)</f>
        <v>488</v>
      </c>
      <c r="M164">
        <f>MINUTE(Table25791113[[#This Row],[Corrected time]])</f>
        <v>54</v>
      </c>
      <c r="N164" s="1">
        <v>0.6208942476851852</v>
      </c>
      <c r="O164" s="1">
        <f>Table25791113[[#This Row],[Time]]-TIME(0,0,3)</f>
        <v>0.62085952546296297</v>
      </c>
      <c r="P164" t="s">
        <v>9</v>
      </c>
      <c r="Q164">
        <v>-124</v>
      </c>
      <c r="R164">
        <f>Table25791113[[#This Row],[RSSI]]</f>
        <v>-124</v>
      </c>
      <c r="S164">
        <v>-19.3</v>
      </c>
    </row>
    <row r="165" spans="2:19" x14ac:dyDescent="0.25">
      <c r="B165">
        <f>480+2*(Table14681012[[#This Row],[min value (corrected)]]-34)</f>
        <v>486</v>
      </c>
      <c r="C165">
        <f>MINUTE(Table14681012[[#This Row],[Corrected time]])</f>
        <v>37</v>
      </c>
      <c r="D165" s="1">
        <v>0.73454901620370372</v>
      </c>
      <c r="E165" s="1">
        <f>Table14681012[[#This Row],[Time]]-TIME(0,0,9)</f>
        <v>0.73444484953703704</v>
      </c>
      <c r="F165" t="s">
        <v>9</v>
      </c>
      <c r="G165" t="s">
        <v>12</v>
      </c>
      <c r="H165">
        <f t="shared" si="4"/>
        <v>-123</v>
      </c>
      <c r="I165">
        <v>-19.3</v>
      </c>
      <c r="L165">
        <f>480+2*(Table25791113[[#This Row],[min value (corrected)]]-50)</f>
        <v>488</v>
      </c>
      <c r="M165">
        <f>MINUTE(Table25791113[[#This Row],[Corrected time]])</f>
        <v>54</v>
      </c>
      <c r="N165" s="1">
        <v>0.62091349537037033</v>
      </c>
      <c r="O165" s="1">
        <f>Table25791113[[#This Row],[Time]]-TIME(0,0,3)</f>
        <v>0.6208787731481481</v>
      </c>
      <c r="P165" t="s">
        <v>9</v>
      </c>
      <c r="Q165">
        <v>-124</v>
      </c>
      <c r="R165">
        <f>Table25791113[[#This Row],[RSSI]]</f>
        <v>-124</v>
      </c>
      <c r="S165">
        <v>-19.5</v>
      </c>
    </row>
    <row r="166" spans="2:19" x14ac:dyDescent="0.25">
      <c r="B166">
        <f>480+2*(Table14681012[[#This Row],[min value (corrected)]]-34)</f>
        <v>486</v>
      </c>
      <c r="C166">
        <f>MINUTE(Table14681012[[#This Row],[Corrected time]])</f>
        <v>37</v>
      </c>
      <c r="D166" s="1">
        <v>0.73456826388888885</v>
      </c>
      <c r="E166" s="1">
        <f>Table14681012[[#This Row],[Time]]-TIME(0,0,9)</f>
        <v>0.73446409722222217</v>
      </c>
      <c r="F166" t="s">
        <v>9</v>
      </c>
      <c r="G166" t="s">
        <v>12</v>
      </c>
      <c r="H166">
        <f t="shared" si="4"/>
        <v>-123</v>
      </c>
      <c r="I166">
        <v>-19.3</v>
      </c>
      <c r="L166">
        <f>480+2*(Table25791113[[#This Row],[min value (corrected)]]-50)</f>
        <v>488</v>
      </c>
      <c r="M166">
        <f>MINUTE(Table25791113[[#This Row],[Corrected time]])</f>
        <v>54</v>
      </c>
      <c r="N166" s="1">
        <v>0.62093274305555557</v>
      </c>
      <c r="O166" s="1">
        <f>Table25791113[[#This Row],[Time]]-TIME(0,0,3)</f>
        <v>0.62089802083333334</v>
      </c>
      <c r="P166" t="s">
        <v>9</v>
      </c>
      <c r="Q166">
        <v>-124</v>
      </c>
      <c r="R166">
        <f>Table25791113[[#This Row],[RSSI]]</f>
        <v>-124</v>
      </c>
      <c r="S166">
        <v>-19.5</v>
      </c>
    </row>
    <row r="167" spans="2:19" x14ac:dyDescent="0.25">
      <c r="B167">
        <f>480+2*(Table14681012[[#This Row],[min value (corrected)]]-34)</f>
        <v>486</v>
      </c>
      <c r="C167">
        <f>MINUTE(Table14681012[[#This Row],[Corrected time]])</f>
        <v>37</v>
      </c>
      <c r="D167" s="1">
        <v>0.73458751157407409</v>
      </c>
      <c r="E167" s="1">
        <f>Table14681012[[#This Row],[Time]]-TIME(0,0,9)</f>
        <v>0.73448334490740741</v>
      </c>
      <c r="F167" t="s">
        <v>9</v>
      </c>
      <c r="G167" t="s">
        <v>12</v>
      </c>
      <c r="H167">
        <f t="shared" si="4"/>
        <v>-123</v>
      </c>
      <c r="I167">
        <v>-18.8</v>
      </c>
      <c r="L167">
        <f>480+2*(Table25791113[[#This Row],[min value (corrected)]]-50)</f>
        <v>488</v>
      </c>
      <c r="M167">
        <f>MINUTE(Table25791113[[#This Row],[Corrected time]])</f>
        <v>54</v>
      </c>
      <c r="N167" s="1">
        <v>0.62095197916666667</v>
      </c>
      <c r="O167" s="1">
        <f>Table25791113[[#This Row],[Time]]-TIME(0,0,3)</f>
        <v>0.62091725694444444</v>
      </c>
      <c r="P167" t="s">
        <v>9</v>
      </c>
      <c r="Q167">
        <v>-124</v>
      </c>
      <c r="R167">
        <f>Table25791113[[#This Row],[RSSI]]</f>
        <v>-124</v>
      </c>
      <c r="S167">
        <v>-19.8</v>
      </c>
    </row>
    <row r="168" spans="2:19" x14ac:dyDescent="0.25">
      <c r="B168">
        <f>480+2*(Table14681012[[#This Row],[min value (corrected)]]-34)</f>
        <v>486</v>
      </c>
      <c r="C168">
        <f>MINUTE(Table14681012[[#This Row],[Corrected time]])</f>
        <v>37</v>
      </c>
      <c r="D168" s="1">
        <v>0.73460675925925922</v>
      </c>
      <c r="E168" s="1">
        <f>Table14681012[[#This Row],[Time]]-TIME(0,0,9)</f>
        <v>0.73450259259259254</v>
      </c>
      <c r="F168" t="s">
        <v>9</v>
      </c>
      <c r="G168" t="s">
        <v>12</v>
      </c>
      <c r="H168">
        <f t="shared" si="4"/>
        <v>-123</v>
      </c>
      <c r="I168">
        <v>-18.8</v>
      </c>
      <c r="L168">
        <f>480+2*(Table25791113[[#This Row],[min value (corrected)]]-50)</f>
        <v>488</v>
      </c>
      <c r="M168">
        <f>MINUTE(Table25791113[[#This Row],[Corrected time]])</f>
        <v>54</v>
      </c>
      <c r="N168" s="1">
        <v>0.62097123842592594</v>
      </c>
      <c r="O168" s="1">
        <f>Table25791113[[#This Row],[Time]]-TIME(0,0,3)</f>
        <v>0.62093651620370371</v>
      </c>
      <c r="P168" t="s">
        <v>9</v>
      </c>
      <c r="Q168">
        <v>-124</v>
      </c>
      <c r="R168">
        <f>Table25791113[[#This Row],[RSSI]]</f>
        <v>-124</v>
      </c>
      <c r="S168">
        <v>-19</v>
      </c>
    </row>
    <row r="169" spans="2:19" x14ac:dyDescent="0.25">
      <c r="B169">
        <f>480+2*(Table14681012[[#This Row],[min value (corrected)]]-34)</f>
        <v>486</v>
      </c>
      <c r="C169">
        <f>MINUTE(Table14681012[[#This Row],[Corrected time]])</f>
        <v>37</v>
      </c>
      <c r="D169" s="1">
        <v>0.73462600694444447</v>
      </c>
      <c r="E169" s="1">
        <f>Table14681012[[#This Row],[Time]]-TIME(0,0,9)</f>
        <v>0.73452184027777778</v>
      </c>
      <c r="F169" t="s">
        <v>9</v>
      </c>
      <c r="G169" t="s">
        <v>12</v>
      </c>
      <c r="H169">
        <f t="shared" si="4"/>
        <v>-123</v>
      </c>
      <c r="I169">
        <v>-19</v>
      </c>
      <c r="L169">
        <f>480+2*(Table25791113[[#This Row],[min value (corrected)]]-50)</f>
        <v>488</v>
      </c>
      <c r="M169">
        <f>MINUTE(Table25791113[[#This Row],[Corrected time]])</f>
        <v>54</v>
      </c>
      <c r="N169" s="1">
        <v>0.62099048611111107</v>
      </c>
      <c r="O169" s="1">
        <f>Table25791113[[#This Row],[Time]]-TIME(0,0,3)</f>
        <v>0.62095576388888885</v>
      </c>
      <c r="P169" t="s">
        <v>13</v>
      </c>
      <c r="Q169">
        <f>Q168</f>
        <v>-124</v>
      </c>
      <c r="R169">
        <f>Table25791113[[#This Row],[RSSI]]</f>
        <v>-124</v>
      </c>
      <c r="S169">
        <f>S168</f>
        <v>-19</v>
      </c>
    </row>
    <row r="170" spans="2:19" x14ac:dyDescent="0.25">
      <c r="B170">
        <f>480+2*(Table14681012[[#This Row],[min value (corrected)]]-34)</f>
        <v>486</v>
      </c>
      <c r="C170">
        <f>MINUTE(Table14681012[[#This Row],[Corrected time]])</f>
        <v>37</v>
      </c>
      <c r="D170" s="1">
        <v>0.73464524305555556</v>
      </c>
      <c r="E170" s="1">
        <f>Table14681012[[#This Row],[Time]]-TIME(0,0,9)</f>
        <v>0.73454107638888888</v>
      </c>
      <c r="F170" t="s">
        <v>9</v>
      </c>
      <c r="G170" t="s">
        <v>12</v>
      </c>
      <c r="H170">
        <f t="shared" si="4"/>
        <v>-123</v>
      </c>
      <c r="I170">
        <v>-20</v>
      </c>
      <c r="L170">
        <f>480+2*(Table25791113[[#This Row],[min value (corrected)]]-50)</f>
        <v>488</v>
      </c>
      <c r="M170">
        <f>MINUTE(Table25791113[[#This Row],[Corrected time]])</f>
        <v>54</v>
      </c>
      <c r="N170" s="1">
        <v>0.62100973379629631</v>
      </c>
      <c r="O170" s="1">
        <f>Table25791113[[#This Row],[Time]]-TIME(0,0,3)</f>
        <v>0.62097501157407409</v>
      </c>
      <c r="P170" t="s">
        <v>9</v>
      </c>
      <c r="Q170">
        <v>-123</v>
      </c>
      <c r="R170">
        <f>Table25791113[[#This Row],[RSSI]]</f>
        <v>-123</v>
      </c>
      <c r="S170">
        <v>-18.8</v>
      </c>
    </row>
    <row r="171" spans="2:19" x14ac:dyDescent="0.25">
      <c r="B171">
        <f>480+2*(Table14681012[[#This Row],[min value (corrected)]]-34)</f>
        <v>486</v>
      </c>
      <c r="C171">
        <f>MINUTE(Table14681012[[#This Row],[Corrected time]])</f>
        <v>37</v>
      </c>
      <c r="D171" s="1">
        <v>0.73466450231481484</v>
      </c>
      <c r="E171" s="1">
        <f>Table14681012[[#This Row],[Time]]-TIME(0,0,9)</f>
        <v>0.73456033564814815</v>
      </c>
      <c r="F171" t="s">
        <v>9</v>
      </c>
      <c r="G171" t="s">
        <v>12</v>
      </c>
      <c r="H171">
        <f t="shared" si="4"/>
        <v>-123</v>
      </c>
      <c r="I171">
        <v>-18.8</v>
      </c>
      <c r="L171">
        <f>480+2*(Table25791113[[#This Row],[min value (corrected)]]-50)</f>
        <v>488</v>
      </c>
      <c r="M171">
        <f>MINUTE(Table25791113[[#This Row],[Corrected time]])</f>
        <v>54</v>
      </c>
      <c r="N171" s="1">
        <v>0.62102898148148156</v>
      </c>
      <c r="O171" s="1">
        <f>Table25791113[[#This Row],[Time]]-TIME(0,0,3)</f>
        <v>0.62099425925925933</v>
      </c>
      <c r="P171" t="s">
        <v>9</v>
      </c>
      <c r="Q171">
        <v>-123</v>
      </c>
      <c r="R171">
        <f>Table25791113[[#This Row],[RSSI]]</f>
        <v>-123</v>
      </c>
      <c r="S171">
        <v>-18</v>
      </c>
    </row>
    <row r="172" spans="2:19" x14ac:dyDescent="0.25">
      <c r="B172">
        <f>480+2*(Table14681012[[#This Row],[min value (corrected)]]-34)</f>
        <v>486</v>
      </c>
      <c r="C172">
        <f>MINUTE(Table14681012[[#This Row],[Corrected time]])</f>
        <v>37</v>
      </c>
      <c r="D172" s="1">
        <v>0.73468374999999997</v>
      </c>
      <c r="E172" s="1">
        <f>Table14681012[[#This Row],[Time]]-TIME(0,0,9)</f>
        <v>0.73457958333333329</v>
      </c>
      <c r="F172" t="s">
        <v>9</v>
      </c>
      <c r="G172" t="s">
        <v>12</v>
      </c>
      <c r="H172">
        <f t="shared" si="4"/>
        <v>-123</v>
      </c>
      <c r="I172">
        <v>-18.3</v>
      </c>
      <c r="L172">
        <f>480+2*(Table25791113[[#This Row],[min value (corrected)]]-50)</f>
        <v>488</v>
      </c>
      <c r="M172">
        <f>MINUTE(Table25791113[[#This Row],[Corrected time]])</f>
        <v>54</v>
      </c>
      <c r="N172" s="1">
        <v>0.62104821759259254</v>
      </c>
      <c r="O172" s="1">
        <f>Table25791113[[#This Row],[Time]]-TIME(0,0,3)</f>
        <v>0.62101349537037032</v>
      </c>
      <c r="P172" t="s">
        <v>9</v>
      </c>
      <c r="Q172">
        <v>-123</v>
      </c>
      <c r="R172">
        <f>Table25791113[[#This Row],[RSSI]]</f>
        <v>-123</v>
      </c>
      <c r="S172">
        <v>-18.5</v>
      </c>
    </row>
    <row r="173" spans="2:19" x14ac:dyDescent="0.25">
      <c r="B173">
        <f>480+2*(Table14681012[[#This Row],[min value (corrected)]]-34)</f>
        <v>486</v>
      </c>
      <c r="C173">
        <f>MINUTE(Table14681012[[#This Row],[Corrected time]])</f>
        <v>37</v>
      </c>
      <c r="D173" s="1">
        <v>0.73470299768518521</v>
      </c>
      <c r="E173" s="1">
        <f>Table14681012[[#This Row],[Time]]-TIME(0,0,9)</f>
        <v>0.73459883101851853</v>
      </c>
      <c r="F173" t="s">
        <v>9</v>
      </c>
      <c r="G173" t="s">
        <v>12</v>
      </c>
      <c r="H173">
        <f t="shared" si="4"/>
        <v>-123</v>
      </c>
      <c r="I173">
        <v>-18.5</v>
      </c>
      <c r="L173">
        <f>480+2*(Table25791113[[#This Row],[min value (corrected)]]-50)</f>
        <v>488</v>
      </c>
      <c r="M173">
        <f>MINUTE(Table25791113[[#This Row],[Corrected time]])</f>
        <v>54</v>
      </c>
      <c r="N173" s="1">
        <v>0.62106746527777779</v>
      </c>
      <c r="O173" s="1">
        <f>Table25791113[[#This Row],[Time]]-TIME(0,0,3)</f>
        <v>0.62103274305555556</v>
      </c>
      <c r="P173" t="s">
        <v>9</v>
      </c>
      <c r="Q173">
        <v>-123</v>
      </c>
      <c r="R173">
        <f>Table25791113[[#This Row],[RSSI]]</f>
        <v>-123</v>
      </c>
      <c r="S173">
        <v>-19</v>
      </c>
    </row>
    <row r="174" spans="2:19" x14ac:dyDescent="0.25">
      <c r="B174">
        <f>480+2*(Table14681012[[#This Row],[min value (corrected)]]-34)</f>
        <v>486</v>
      </c>
      <c r="C174">
        <f>MINUTE(Table14681012[[#This Row],[Corrected time]])</f>
        <v>37</v>
      </c>
      <c r="D174" s="1">
        <v>0.73472224537037034</v>
      </c>
      <c r="E174" s="1">
        <f>Table14681012[[#This Row],[Time]]-TIME(0,0,9)</f>
        <v>0.73461807870370366</v>
      </c>
      <c r="F174" t="s">
        <v>9</v>
      </c>
      <c r="G174" t="s">
        <v>12</v>
      </c>
      <c r="H174">
        <f t="shared" si="4"/>
        <v>-123</v>
      </c>
      <c r="I174">
        <v>-18.8</v>
      </c>
      <c r="L174">
        <f>480+2*(Table25791113[[#This Row],[min value (corrected)]]-50)</f>
        <v>488</v>
      </c>
      <c r="M174">
        <f>MINUTE(Table25791113[[#This Row],[Corrected time]])</f>
        <v>54</v>
      </c>
      <c r="N174" s="1">
        <v>0.62108672453703695</v>
      </c>
      <c r="O174" s="1">
        <f>Table25791113[[#This Row],[Time]]-TIME(0,0,3)</f>
        <v>0.62105200231481472</v>
      </c>
      <c r="P174" t="s">
        <v>9</v>
      </c>
      <c r="Q174">
        <v>-123</v>
      </c>
      <c r="R174">
        <f>Table25791113[[#This Row],[RSSI]]</f>
        <v>-123</v>
      </c>
      <c r="S174">
        <v>-18.8</v>
      </c>
    </row>
    <row r="175" spans="2:19" x14ac:dyDescent="0.25">
      <c r="B175">
        <f>480+2*(Table14681012[[#This Row],[min value (corrected)]]-34)</f>
        <v>486</v>
      </c>
      <c r="C175">
        <f>MINUTE(Table14681012[[#This Row],[Corrected time]])</f>
        <v>37</v>
      </c>
      <c r="D175" s="1">
        <v>0.73474149305555558</v>
      </c>
      <c r="E175" s="1">
        <f>Table14681012[[#This Row],[Time]]-TIME(0,0,9)</f>
        <v>0.7346373263888889</v>
      </c>
      <c r="F175" t="s">
        <v>9</v>
      </c>
      <c r="G175" t="s">
        <v>12</v>
      </c>
      <c r="H175">
        <f t="shared" si="4"/>
        <v>-123</v>
      </c>
      <c r="I175">
        <v>-18.3</v>
      </c>
      <c r="L175">
        <f>480+2*(Table25791113[[#This Row],[min value (corrected)]]-50)</f>
        <v>488</v>
      </c>
      <c r="M175">
        <f>MINUTE(Table25791113[[#This Row],[Corrected time]])</f>
        <v>54</v>
      </c>
      <c r="N175" s="1">
        <v>0.62110597222222219</v>
      </c>
      <c r="O175" s="1">
        <f>Table25791113[[#This Row],[Time]]-TIME(0,0,3)</f>
        <v>0.62107124999999996</v>
      </c>
      <c r="P175" t="s">
        <v>9</v>
      </c>
      <c r="Q175">
        <v>-123</v>
      </c>
      <c r="R175">
        <f>Table25791113[[#This Row],[RSSI]]</f>
        <v>-123</v>
      </c>
      <c r="S175">
        <v>-19</v>
      </c>
    </row>
    <row r="176" spans="2:19" x14ac:dyDescent="0.25">
      <c r="B176">
        <f>480+2*(Table14681012[[#This Row],[min value (corrected)]]-34)</f>
        <v>486</v>
      </c>
      <c r="C176">
        <f>MINUTE(Table14681012[[#This Row],[Corrected time]])</f>
        <v>37</v>
      </c>
      <c r="D176" s="1">
        <v>0.73476074074074071</v>
      </c>
      <c r="E176" s="1">
        <f>Table14681012[[#This Row],[Time]]-TIME(0,0,9)</f>
        <v>0.73465657407407403</v>
      </c>
      <c r="F176" t="s">
        <v>9</v>
      </c>
      <c r="G176" t="s">
        <v>12</v>
      </c>
      <c r="H176">
        <f t="shared" si="4"/>
        <v>-123</v>
      </c>
      <c r="I176">
        <v>-18.3</v>
      </c>
      <c r="L176">
        <f>480+2*(Table25791113[[#This Row],[min value (corrected)]]-50)</f>
        <v>488</v>
      </c>
      <c r="M176">
        <f>MINUTE(Table25791113[[#This Row],[Corrected time]])</f>
        <v>54</v>
      </c>
      <c r="N176" s="1">
        <v>0.62112521990740732</v>
      </c>
      <c r="O176" s="1">
        <f>Table25791113[[#This Row],[Time]]-TIME(0,0,3)</f>
        <v>0.62109049768518509</v>
      </c>
      <c r="P176" t="s">
        <v>9</v>
      </c>
      <c r="Q176">
        <v>-123</v>
      </c>
      <c r="R176">
        <f>Table25791113[[#This Row],[RSSI]]</f>
        <v>-123</v>
      </c>
      <c r="S176">
        <v>-19.5</v>
      </c>
    </row>
    <row r="177" spans="2:19" x14ac:dyDescent="0.25">
      <c r="B177">
        <f>480+2*(Table14681012[[#This Row],[min value (corrected)]]-34)</f>
        <v>486</v>
      </c>
      <c r="C177">
        <f>MINUTE(Table14681012[[#This Row],[Corrected time]])</f>
        <v>37</v>
      </c>
      <c r="D177" s="1">
        <v>0.73477997685185181</v>
      </c>
      <c r="E177" s="1">
        <f>Table14681012[[#This Row],[Time]]-TIME(0,0,9)</f>
        <v>0.73467581018518513</v>
      </c>
      <c r="F177" t="s">
        <v>9</v>
      </c>
      <c r="G177" t="s">
        <v>19</v>
      </c>
      <c r="H177">
        <f t="shared" si="4"/>
        <v>-124</v>
      </c>
      <c r="I177">
        <v>-19.8</v>
      </c>
      <c r="L177">
        <f>480+2*(Table25791113[[#This Row],[min value (corrected)]]-50)</f>
        <v>488</v>
      </c>
      <c r="M177">
        <f>MINUTE(Table25791113[[#This Row],[Corrected time]])</f>
        <v>54</v>
      </c>
      <c r="N177" s="1">
        <v>0.62114446759259256</v>
      </c>
      <c r="O177" s="1">
        <f>Table25791113[[#This Row],[Time]]-TIME(0,0,3)</f>
        <v>0.62110974537037034</v>
      </c>
      <c r="P177" t="s">
        <v>9</v>
      </c>
      <c r="Q177">
        <v>-123</v>
      </c>
      <c r="R177">
        <f>Table25791113[[#This Row],[RSSI]]</f>
        <v>-123</v>
      </c>
      <c r="S177">
        <v>-18.3</v>
      </c>
    </row>
    <row r="178" spans="2:19" x14ac:dyDescent="0.25">
      <c r="B178">
        <f>480+2*(Table14681012[[#This Row],[min value (corrected)]]-34)</f>
        <v>486</v>
      </c>
      <c r="C178">
        <f>MINUTE(Table14681012[[#This Row],[Corrected time]])</f>
        <v>37</v>
      </c>
      <c r="D178" s="1">
        <v>0.73479923611111109</v>
      </c>
      <c r="E178" s="1">
        <f>Table14681012[[#This Row],[Time]]-TIME(0,0,9)</f>
        <v>0.7346950694444444</v>
      </c>
      <c r="F178" t="s">
        <v>9</v>
      </c>
      <c r="G178" t="s">
        <v>19</v>
      </c>
      <c r="H178">
        <f t="shared" si="4"/>
        <v>-124</v>
      </c>
      <c r="I178">
        <v>-20.8</v>
      </c>
      <c r="L178">
        <f>480+2*(Table25791113[[#This Row],[min value (corrected)]]-50)</f>
        <v>488</v>
      </c>
      <c r="M178">
        <f>MINUTE(Table25791113[[#This Row],[Corrected time]])</f>
        <v>54</v>
      </c>
      <c r="N178" s="1">
        <v>0.62116371527777781</v>
      </c>
      <c r="O178" s="1">
        <f>Table25791113[[#This Row],[Time]]-TIME(0,0,3)</f>
        <v>0.62112899305555558</v>
      </c>
      <c r="P178" t="s">
        <v>9</v>
      </c>
      <c r="Q178">
        <v>-123</v>
      </c>
      <c r="R178">
        <f>Table25791113[[#This Row],[RSSI]]</f>
        <v>-123</v>
      </c>
      <c r="S178">
        <v>-18.5</v>
      </c>
    </row>
    <row r="179" spans="2:19" x14ac:dyDescent="0.25">
      <c r="B179">
        <f>480+2*(Table14681012[[#This Row],[min value (corrected)]]-34)</f>
        <v>486</v>
      </c>
      <c r="C179">
        <f>MINUTE(Table14681012[[#This Row],[Corrected time]])</f>
        <v>37</v>
      </c>
      <c r="D179" s="1">
        <v>0.73481848379629633</v>
      </c>
      <c r="E179" s="1">
        <f>Table14681012[[#This Row],[Time]]-TIME(0,0,9)</f>
        <v>0.73471431712962965</v>
      </c>
      <c r="F179" t="s">
        <v>13</v>
      </c>
      <c r="G179" t="str">
        <f t="shared" ref="G179:G180" si="5">G178</f>
        <v>-124.0,</v>
      </c>
      <c r="H179">
        <f t="shared" si="4"/>
        <v>-124</v>
      </c>
      <c r="I179">
        <f t="shared" ref="I179:I180" si="6">I178</f>
        <v>-20.8</v>
      </c>
      <c r="L179">
        <f>480+2*(Table25791113[[#This Row],[min value (corrected)]]-50)</f>
        <v>488</v>
      </c>
      <c r="M179">
        <f>MINUTE(Table25791113[[#This Row],[Corrected time]])</f>
        <v>54</v>
      </c>
      <c r="N179" s="1">
        <v>0.6211829513888889</v>
      </c>
      <c r="O179" s="1">
        <f>Table25791113[[#This Row],[Time]]-TIME(0,0,3)</f>
        <v>0.62114822916666668</v>
      </c>
      <c r="P179" t="s">
        <v>9</v>
      </c>
      <c r="Q179">
        <v>-123</v>
      </c>
      <c r="R179">
        <f>Table25791113[[#This Row],[RSSI]]</f>
        <v>-123</v>
      </c>
      <c r="S179">
        <v>-19.3</v>
      </c>
    </row>
    <row r="180" spans="2:19" x14ac:dyDescent="0.25">
      <c r="B180">
        <f>480+2*(Table14681012[[#This Row],[min value (corrected)]]-34)</f>
        <v>488</v>
      </c>
      <c r="C180">
        <f>MINUTE(Table14681012[[#This Row],[Corrected time]])</f>
        <v>38</v>
      </c>
      <c r="D180" s="1">
        <v>0.73483773148148157</v>
      </c>
      <c r="E180" s="1">
        <f>Table14681012[[#This Row],[Time]]-TIME(0,0,9)</f>
        <v>0.73473356481481489</v>
      </c>
      <c r="F180" t="s">
        <v>13</v>
      </c>
      <c r="G180" t="str">
        <f t="shared" si="5"/>
        <v>-124.0,</v>
      </c>
      <c r="H180">
        <f t="shared" si="4"/>
        <v>-124</v>
      </c>
      <c r="I180">
        <f t="shared" si="6"/>
        <v>-20.8</v>
      </c>
      <c r="L180">
        <f>480+2*(Table25791113[[#This Row],[min value (corrected)]]-50)</f>
        <v>488</v>
      </c>
      <c r="M180">
        <f>MINUTE(Table25791113[[#This Row],[Corrected time]])</f>
        <v>54</v>
      </c>
      <c r="N180" s="1">
        <v>0.62120221064814818</v>
      </c>
      <c r="O180" s="1">
        <f>Table25791113[[#This Row],[Time]]-TIME(0,0,3)</f>
        <v>0.62116748842592595</v>
      </c>
      <c r="P180" t="s">
        <v>9</v>
      </c>
      <c r="Q180">
        <v>-123</v>
      </c>
      <c r="R180">
        <f>Table25791113[[#This Row],[RSSI]]</f>
        <v>-123</v>
      </c>
      <c r="S180">
        <v>-18.3</v>
      </c>
    </row>
    <row r="181" spans="2:19" x14ac:dyDescent="0.25">
      <c r="B181">
        <f>480+2*(Table14681012[[#This Row],[min value (corrected)]]-34)</f>
        <v>488</v>
      </c>
      <c r="C181">
        <f>MINUTE(Table14681012[[#This Row],[Corrected time]])</f>
        <v>38</v>
      </c>
      <c r="D181" s="1">
        <v>0.73485697916666659</v>
      </c>
      <c r="E181" s="1">
        <f>Table14681012[[#This Row],[Time]]-TIME(0,0,9)</f>
        <v>0.73475281249999991</v>
      </c>
      <c r="F181" t="s">
        <v>9</v>
      </c>
      <c r="G181" t="s">
        <v>19</v>
      </c>
      <c r="H181">
        <f t="shared" si="4"/>
        <v>-124</v>
      </c>
      <c r="I181">
        <v>-19.8</v>
      </c>
      <c r="L181">
        <f>480+2*(Table25791113[[#This Row],[min value (corrected)]]-50)</f>
        <v>488</v>
      </c>
      <c r="M181">
        <f>MINUTE(Table25791113[[#This Row],[Corrected time]])</f>
        <v>54</v>
      </c>
      <c r="N181" s="1">
        <v>0.62122145833333331</v>
      </c>
      <c r="O181" s="1">
        <f>Table25791113[[#This Row],[Time]]-TIME(0,0,3)</f>
        <v>0.62118673611111108</v>
      </c>
      <c r="P181" t="s">
        <v>9</v>
      </c>
      <c r="Q181">
        <v>-123</v>
      </c>
      <c r="R181">
        <f>Table25791113[[#This Row],[RSSI]]</f>
        <v>-123</v>
      </c>
      <c r="S181">
        <v>-19.3</v>
      </c>
    </row>
    <row r="182" spans="2:19" x14ac:dyDescent="0.25">
      <c r="B182">
        <f>480+2*(Table14681012[[#This Row],[min value (corrected)]]-34)</f>
        <v>488</v>
      </c>
      <c r="C182">
        <f>MINUTE(Table14681012[[#This Row],[Corrected time]])</f>
        <v>38</v>
      </c>
      <c r="D182" s="1">
        <v>0.73487622685185183</v>
      </c>
      <c r="E182" s="1">
        <f>Table14681012[[#This Row],[Time]]-TIME(0,0,9)</f>
        <v>0.73477206018518515</v>
      </c>
      <c r="F182" t="s">
        <v>9</v>
      </c>
      <c r="G182" t="s">
        <v>19</v>
      </c>
      <c r="H182">
        <f t="shared" si="4"/>
        <v>-124</v>
      </c>
      <c r="I182">
        <v>-20</v>
      </c>
      <c r="L182">
        <f>480+2*(Table25791113[[#This Row],[min value (corrected)]]-50)</f>
        <v>488</v>
      </c>
      <c r="M182">
        <f>MINUTE(Table25791113[[#This Row],[Corrected time]])</f>
        <v>54</v>
      </c>
      <c r="N182" s="1">
        <v>0.62124070601851855</v>
      </c>
      <c r="O182" s="1">
        <f>Table25791113[[#This Row],[Time]]-TIME(0,0,3)</f>
        <v>0.62120598379629632</v>
      </c>
      <c r="P182" t="s">
        <v>9</v>
      </c>
      <c r="Q182">
        <v>-123</v>
      </c>
      <c r="R182">
        <f>Table25791113[[#This Row],[RSSI]]</f>
        <v>-123</v>
      </c>
      <c r="S182">
        <v>-18.8</v>
      </c>
    </row>
    <row r="183" spans="2:19" x14ac:dyDescent="0.25">
      <c r="B183">
        <f>480+2*(Table14681012[[#This Row],[min value (corrected)]]-34)</f>
        <v>488</v>
      </c>
      <c r="C183">
        <f>MINUTE(Table14681012[[#This Row],[Corrected time]])</f>
        <v>38</v>
      </c>
      <c r="D183" s="1">
        <v>0.73489547453703696</v>
      </c>
      <c r="E183" s="1">
        <f>Table14681012[[#This Row],[Time]]-TIME(0,0,9)</f>
        <v>0.73479130787037028</v>
      </c>
      <c r="F183" t="s">
        <v>13</v>
      </c>
      <c r="G183" t="str">
        <f>G182</f>
        <v>-124.0,</v>
      </c>
      <c r="H183">
        <f t="shared" si="4"/>
        <v>-124</v>
      </c>
      <c r="I183">
        <f>I182</f>
        <v>-20</v>
      </c>
      <c r="L183">
        <f>480+2*(Table25791113[[#This Row],[min value (corrected)]]-50)</f>
        <v>488</v>
      </c>
      <c r="M183">
        <f>MINUTE(Table25791113[[#This Row],[Corrected time]])</f>
        <v>54</v>
      </c>
      <c r="N183" s="1">
        <v>0.62125995370370368</v>
      </c>
      <c r="O183" s="1">
        <f>Table25791113[[#This Row],[Time]]-TIME(0,0,3)</f>
        <v>0.62122523148148145</v>
      </c>
      <c r="P183" t="s">
        <v>9</v>
      </c>
      <c r="Q183">
        <v>-123</v>
      </c>
      <c r="R183">
        <f>Table25791113[[#This Row],[RSSI]]</f>
        <v>-123</v>
      </c>
      <c r="S183">
        <v>-18.8</v>
      </c>
    </row>
    <row r="184" spans="2:19" x14ac:dyDescent="0.25">
      <c r="B184">
        <f>480+2*(Table14681012[[#This Row],[min value (corrected)]]-34)</f>
        <v>488</v>
      </c>
      <c r="C184">
        <f>MINUTE(Table14681012[[#This Row],[Corrected time]])</f>
        <v>38</v>
      </c>
      <c r="D184" s="1">
        <v>0.73491472222222221</v>
      </c>
      <c r="E184" s="1">
        <f>Table14681012[[#This Row],[Time]]-TIME(0,0,9)</f>
        <v>0.73481055555555552</v>
      </c>
      <c r="F184" t="s">
        <v>9</v>
      </c>
      <c r="G184" t="s">
        <v>12</v>
      </c>
      <c r="H184">
        <f t="shared" si="4"/>
        <v>-123</v>
      </c>
      <c r="I184">
        <v>-19.3</v>
      </c>
      <c r="L184">
        <f>480+2*(Table25791113[[#This Row],[min value (corrected)]]-50)</f>
        <v>488</v>
      </c>
      <c r="M184">
        <f>MINUTE(Table25791113[[#This Row],[Corrected time]])</f>
        <v>54</v>
      </c>
      <c r="N184" s="1">
        <v>0.62127920138888892</v>
      </c>
      <c r="O184" s="1">
        <f>Table25791113[[#This Row],[Time]]-TIME(0,0,3)</f>
        <v>0.6212444791666667</v>
      </c>
      <c r="P184" t="s">
        <v>9</v>
      </c>
      <c r="Q184">
        <v>-123</v>
      </c>
      <c r="R184">
        <f>Table25791113[[#This Row],[RSSI]]</f>
        <v>-123</v>
      </c>
      <c r="S184">
        <v>-18.5</v>
      </c>
    </row>
    <row r="185" spans="2:19" x14ac:dyDescent="0.25">
      <c r="B185">
        <f>480+2*(Table14681012[[#This Row],[min value (corrected)]]-34)</f>
        <v>488</v>
      </c>
      <c r="C185">
        <f>MINUTE(Table14681012[[#This Row],[Corrected time]])</f>
        <v>38</v>
      </c>
      <c r="D185" s="1">
        <v>0.73493396990740734</v>
      </c>
      <c r="E185" s="1">
        <f>Table14681012[[#This Row],[Time]]-TIME(0,0,9)</f>
        <v>0.73482980324074065</v>
      </c>
      <c r="F185" t="s">
        <v>9</v>
      </c>
      <c r="G185" t="s">
        <v>12</v>
      </c>
      <c r="H185">
        <f t="shared" si="4"/>
        <v>-123</v>
      </c>
      <c r="I185">
        <v>-19.3</v>
      </c>
      <c r="L185">
        <f>480+2*(Table25791113[[#This Row],[min value (corrected)]]-50)</f>
        <v>488</v>
      </c>
      <c r="M185">
        <f>MINUTE(Table25791113[[#This Row],[Corrected time]])</f>
        <v>54</v>
      </c>
      <c r="N185" s="1">
        <v>0.62129844907407406</v>
      </c>
      <c r="O185" s="1">
        <f>Table25791113[[#This Row],[Time]]-TIME(0,0,3)</f>
        <v>0.62126372685185183</v>
      </c>
      <c r="P185" t="s">
        <v>9</v>
      </c>
      <c r="Q185">
        <v>-124</v>
      </c>
      <c r="R185">
        <f>Table25791113[[#This Row],[RSSI]]</f>
        <v>-124</v>
      </c>
      <c r="S185">
        <v>-19.3</v>
      </c>
    </row>
    <row r="186" spans="2:19" x14ac:dyDescent="0.25">
      <c r="B186">
        <f>480+2*(Table14681012[[#This Row],[min value (corrected)]]-34)</f>
        <v>488</v>
      </c>
      <c r="C186">
        <f>MINUTE(Table14681012[[#This Row],[Corrected time]])</f>
        <v>38</v>
      </c>
      <c r="D186" s="1">
        <v>0.73495321759259258</v>
      </c>
      <c r="E186" s="1">
        <f>Table14681012[[#This Row],[Time]]-TIME(0,0,9)</f>
        <v>0.7348490509259259</v>
      </c>
      <c r="F186" t="s">
        <v>9</v>
      </c>
      <c r="G186" t="s">
        <v>12</v>
      </c>
      <c r="H186">
        <f t="shared" si="4"/>
        <v>-123</v>
      </c>
      <c r="I186">
        <v>-18.5</v>
      </c>
      <c r="L186">
        <f>480+2*(Table25791113[[#This Row],[min value (corrected)]]-50)</f>
        <v>488</v>
      </c>
      <c r="M186">
        <f>MINUTE(Table25791113[[#This Row],[Corrected time]])</f>
        <v>54</v>
      </c>
      <c r="N186" s="1">
        <v>0.6213176967592593</v>
      </c>
      <c r="O186" s="1">
        <f>Table25791113[[#This Row],[Time]]-TIME(0,0,3)</f>
        <v>0.62128297453703707</v>
      </c>
      <c r="P186" t="s">
        <v>9</v>
      </c>
      <c r="Q186">
        <v>-123</v>
      </c>
      <c r="R186">
        <f>Table25791113[[#This Row],[RSSI]]</f>
        <v>-123</v>
      </c>
      <c r="S186">
        <v>-18.8</v>
      </c>
    </row>
    <row r="187" spans="2:19" x14ac:dyDescent="0.25">
      <c r="B187">
        <f>480+2*(Table14681012[[#This Row],[min value (corrected)]]-34)</f>
        <v>488</v>
      </c>
      <c r="C187">
        <f>MINUTE(Table14681012[[#This Row],[Corrected time]])</f>
        <v>38</v>
      </c>
      <c r="D187" s="1">
        <v>0.73497246527777782</v>
      </c>
      <c r="E187" s="1">
        <f>Table14681012[[#This Row],[Time]]-TIME(0,0,9)</f>
        <v>0.73486829861111114</v>
      </c>
      <c r="F187" t="s">
        <v>9</v>
      </c>
      <c r="G187" t="s">
        <v>12</v>
      </c>
      <c r="H187">
        <f t="shared" si="4"/>
        <v>-123</v>
      </c>
      <c r="I187">
        <v>-19.3</v>
      </c>
      <c r="L187">
        <f>480+2*(Table25791113[[#This Row],[min value (corrected)]]-50)</f>
        <v>488</v>
      </c>
      <c r="M187">
        <f>MINUTE(Table25791113[[#This Row],[Corrected time]])</f>
        <v>54</v>
      </c>
      <c r="N187" s="1">
        <v>0.6213369328703704</v>
      </c>
      <c r="O187" s="1">
        <f>Table25791113[[#This Row],[Time]]-TIME(0,0,3)</f>
        <v>0.62130221064814817</v>
      </c>
      <c r="P187" t="s">
        <v>9</v>
      </c>
      <c r="Q187">
        <v>-123</v>
      </c>
      <c r="R187">
        <f>Table25791113[[#This Row],[RSSI]]</f>
        <v>-123</v>
      </c>
      <c r="S187">
        <v>-19</v>
      </c>
    </row>
    <row r="188" spans="2:19" x14ac:dyDescent="0.25">
      <c r="B188">
        <f>480+2*(Table14681012[[#This Row],[min value (corrected)]]-34)</f>
        <v>488</v>
      </c>
      <c r="C188">
        <f>MINUTE(Table14681012[[#This Row],[Corrected time]])</f>
        <v>38</v>
      </c>
      <c r="D188" s="1">
        <v>0.73499171296296295</v>
      </c>
      <c r="E188" s="1">
        <f>Table14681012[[#This Row],[Time]]-TIME(0,0,9)</f>
        <v>0.73488754629629627</v>
      </c>
      <c r="F188" t="s">
        <v>9</v>
      </c>
      <c r="G188" t="s">
        <v>12</v>
      </c>
      <c r="H188">
        <f t="shared" si="4"/>
        <v>-123</v>
      </c>
      <c r="I188">
        <v>-19</v>
      </c>
      <c r="L188">
        <f>480+2*(Table25791113[[#This Row],[min value (corrected)]]-50)</f>
        <v>488</v>
      </c>
      <c r="M188">
        <f>MINUTE(Table25791113[[#This Row],[Corrected time]])</f>
        <v>54</v>
      </c>
      <c r="N188" s="1">
        <v>0.62135619212962967</v>
      </c>
      <c r="O188" s="1">
        <f>Table25791113[[#This Row],[Time]]-TIME(0,0,3)</f>
        <v>0.62132146990740744</v>
      </c>
      <c r="P188" t="s">
        <v>9</v>
      </c>
      <c r="Q188">
        <v>-123</v>
      </c>
      <c r="R188">
        <f>Table25791113[[#This Row],[RSSI]]</f>
        <v>-123</v>
      </c>
      <c r="S188">
        <v>-18.5</v>
      </c>
    </row>
    <row r="189" spans="2:19" x14ac:dyDescent="0.25">
      <c r="B189">
        <f>480+2*(Table14681012[[#This Row],[min value (corrected)]]-34)</f>
        <v>488</v>
      </c>
      <c r="C189">
        <f>MINUTE(Table14681012[[#This Row],[Corrected time]])</f>
        <v>38</v>
      </c>
      <c r="D189" s="1">
        <v>0.73501096064814819</v>
      </c>
      <c r="E189" s="1">
        <f>Table14681012[[#This Row],[Time]]-TIME(0,0,9)</f>
        <v>0.73490679398148151</v>
      </c>
      <c r="F189" t="s">
        <v>9</v>
      </c>
      <c r="G189" t="s">
        <v>12</v>
      </c>
      <c r="H189">
        <f t="shared" si="4"/>
        <v>-123</v>
      </c>
      <c r="I189">
        <v>-18.3</v>
      </c>
      <c r="L189">
        <f>480+2*(Table25791113[[#This Row],[min value (corrected)]]-50)</f>
        <v>488</v>
      </c>
      <c r="M189">
        <f>MINUTE(Table25791113[[#This Row],[Corrected time]])</f>
        <v>54</v>
      </c>
      <c r="N189" s="1">
        <v>0.6213754398148148</v>
      </c>
      <c r="O189" s="1">
        <f>Table25791113[[#This Row],[Time]]-TIME(0,0,3)</f>
        <v>0.62134071759259257</v>
      </c>
      <c r="P189" t="s">
        <v>9</v>
      </c>
      <c r="Q189">
        <v>-123</v>
      </c>
      <c r="R189">
        <f>Table25791113[[#This Row],[RSSI]]</f>
        <v>-123</v>
      </c>
      <c r="S189">
        <v>-18</v>
      </c>
    </row>
    <row r="190" spans="2:19" x14ac:dyDescent="0.25">
      <c r="B190">
        <f>480+2*(Table14681012[[#This Row],[min value (corrected)]]-34)</f>
        <v>488</v>
      </c>
      <c r="C190">
        <f>MINUTE(Table14681012[[#This Row],[Corrected time]])</f>
        <v>38</v>
      </c>
      <c r="D190" s="1">
        <v>0.73503020833333332</v>
      </c>
      <c r="E190" s="1">
        <f>Table14681012[[#This Row],[Time]]-TIME(0,0,9)</f>
        <v>0.73492604166666664</v>
      </c>
      <c r="F190" t="s">
        <v>9</v>
      </c>
      <c r="G190" t="s">
        <v>19</v>
      </c>
      <c r="H190">
        <f t="shared" si="4"/>
        <v>-124</v>
      </c>
      <c r="I190">
        <v>-19.5</v>
      </c>
      <c r="L190">
        <f>480+2*(Table25791113[[#This Row],[min value (corrected)]]-50)</f>
        <v>488</v>
      </c>
      <c r="M190">
        <f>MINUTE(Table25791113[[#This Row],[Corrected time]])</f>
        <v>54</v>
      </c>
      <c r="N190" s="1">
        <v>0.62139468749999993</v>
      </c>
      <c r="O190" s="1">
        <f>Table25791113[[#This Row],[Time]]-TIME(0,0,3)</f>
        <v>0.6213599652777777</v>
      </c>
      <c r="P190" t="s">
        <v>9</v>
      </c>
      <c r="Q190">
        <v>-123</v>
      </c>
      <c r="R190">
        <f>Table25791113[[#This Row],[RSSI]]</f>
        <v>-123</v>
      </c>
      <c r="S190">
        <v>-18.3</v>
      </c>
    </row>
    <row r="191" spans="2:19" x14ac:dyDescent="0.25">
      <c r="B191">
        <f>480+2*(Table14681012[[#This Row],[min value (corrected)]]-34)</f>
        <v>488</v>
      </c>
      <c r="C191">
        <f>MINUTE(Table14681012[[#This Row],[Corrected time]])</f>
        <v>38</v>
      </c>
      <c r="D191" s="1">
        <v>0.73504945601851857</v>
      </c>
      <c r="E191" s="1">
        <f>Table14681012[[#This Row],[Time]]-TIME(0,0,9)</f>
        <v>0.73494528935185188</v>
      </c>
      <c r="F191" t="s">
        <v>9</v>
      </c>
      <c r="G191" t="s">
        <v>19</v>
      </c>
      <c r="H191">
        <f t="shared" si="4"/>
        <v>-124</v>
      </c>
      <c r="I191">
        <v>-19.8</v>
      </c>
      <c r="L191">
        <f>480+2*(Table25791113[[#This Row],[min value (corrected)]]-50)</f>
        <v>488</v>
      </c>
      <c r="M191">
        <f>MINUTE(Table25791113[[#This Row],[Corrected time]])</f>
        <v>54</v>
      </c>
      <c r="N191" s="1">
        <v>0.62141393518518517</v>
      </c>
      <c r="O191" s="1">
        <f>Table25791113[[#This Row],[Time]]-TIME(0,0,3)</f>
        <v>0.62137921296296295</v>
      </c>
      <c r="P191" t="s">
        <v>9</v>
      </c>
      <c r="Q191">
        <v>-123</v>
      </c>
      <c r="R191">
        <f>Table25791113[[#This Row],[RSSI]]</f>
        <v>-123</v>
      </c>
      <c r="S191">
        <v>-18.3</v>
      </c>
    </row>
    <row r="192" spans="2:19" x14ac:dyDescent="0.25">
      <c r="B192">
        <f>480+2*(Table14681012[[#This Row],[min value (corrected)]]-34)</f>
        <v>488</v>
      </c>
      <c r="C192">
        <f>MINUTE(Table14681012[[#This Row],[Corrected time]])</f>
        <v>38</v>
      </c>
      <c r="D192" s="1">
        <v>0.73506869212962955</v>
      </c>
      <c r="E192" s="1">
        <f>Table14681012[[#This Row],[Time]]-TIME(0,0,9)</f>
        <v>0.73496452546296287</v>
      </c>
      <c r="F192" t="s">
        <v>9</v>
      </c>
      <c r="G192" t="s">
        <v>12</v>
      </c>
      <c r="H192">
        <f t="shared" si="4"/>
        <v>-123</v>
      </c>
      <c r="I192">
        <v>-18.3</v>
      </c>
      <c r="L192">
        <f>480+2*(Table25791113[[#This Row],[min value (corrected)]]-50)</f>
        <v>488</v>
      </c>
      <c r="M192">
        <f>MINUTE(Table25791113[[#This Row],[Corrected time]])</f>
        <v>54</v>
      </c>
      <c r="N192" s="1">
        <v>0.6214331828703703</v>
      </c>
      <c r="O192" s="1">
        <f>Table25791113[[#This Row],[Time]]-TIME(0,0,3)</f>
        <v>0.62139846064814808</v>
      </c>
      <c r="P192" t="s">
        <v>9</v>
      </c>
      <c r="Q192">
        <v>-123</v>
      </c>
      <c r="R192">
        <f>Table25791113[[#This Row],[RSSI]]</f>
        <v>-123</v>
      </c>
      <c r="S192">
        <v>-18.3</v>
      </c>
    </row>
    <row r="193" spans="2:19" x14ac:dyDescent="0.25">
      <c r="B193">
        <f>480+2*(Table14681012[[#This Row],[min value (corrected)]]-34)</f>
        <v>488</v>
      </c>
      <c r="C193">
        <f>MINUTE(Table14681012[[#This Row],[Corrected time]])</f>
        <v>38</v>
      </c>
      <c r="D193" s="1">
        <v>0.73508795138888894</v>
      </c>
      <c r="E193" s="1">
        <f>Table14681012[[#This Row],[Time]]-TIME(0,0,9)</f>
        <v>0.73498378472222226</v>
      </c>
      <c r="F193" t="s">
        <v>9</v>
      </c>
      <c r="G193" t="s">
        <v>12</v>
      </c>
      <c r="H193">
        <f t="shared" si="4"/>
        <v>-123</v>
      </c>
      <c r="I193">
        <v>-19.5</v>
      </c>
      <c r="L193">
        <f>480+2*(Table25791113[[#This Row],[min value (corrected)]]-50)</f>
        <v>488</v>
      </c>
      <c r="M193">
        <f>MINUTE(Table25791113[[#This Row],[Corrected time]])</f>
        <v>54</v>
      </c>
      <c r="N193" s="1">
        <v>0.62145243055555555</v>
      </c>
      <c r="O193" s="1">
        <f>Table25791113[[#This Row],[Time]]-TIME(0,0,3)</f>
        <v>0.62141770833333332</v>
      </c>
      <c r="P193" t="s">
        <v>9</v>
      </c>
      <c r="Q193">
        <v>-123</v>
      </c>
      <c r="R193">
        <f>Table25791113[[#This Row],[RSSI]]</f>
        <v>-123</v>
      </c>
      <c r="S193">
        <v>-18.3</v>
      </c>
    </row>
    <row r="194" spans="2:19" x14ac:dyDescent="0.25">
      <c r="B194">
        <f>480+2*(Table14681012[[#This Row],[min value (corrected)]]-34)</f>
        <v>488</v>
      </c>
      <c r="C194">
        <f>MINUTE(Table14681012[[#This Row],[Corrected time]])</f>
        <v>38</v>
      </c>
      <c r="D194" s="1">
        <v>0.73510719907407407</v>
      </c>
      <c r="E194" s="1">
        <f>Table14681012[[#This Row],[Time]]-TIME(0,0,9)</f>
        <v>0.73500303240740739</v>
      </c>
      <c r="F194" t="s">
        <v>9</v>
      </c>
      <c r="G194" t="s">
        <v>12</v>
      </c>
      <c r="H194">
        <f t="shared" si="4"/>
        <v>-123</v>
      </c>
      <c r="I194">
        <v>-18.8</v>
      </c>
      <c r="L194">
        <f>480+2*(Table25791113[[#This Row],[min value (corrected)]]-50)</f>
        <v>488</v>
      </c>
      <c r="M194">
        <f>MINUTE(Table25791113[[#This Row],[Corrected time]])</f>
        <v>54</v>
      </c>
      <c r="N194" s="1">
        <v>0.62147167824074068</v>
      </c>
      <c r="O194" s="1">
        <f>Table25791113[[#This Row],[Time]]-TIME(0,0,3)</f>
        <v>0.62143695601851845</v>
      </c>
      <c r="P194" t="s">
        <v>9</v>
      </c>
      <c r="Q194">
        <v>-123</v>
      </c>
      <c r="R194">
        <f>Table25791113[[#This Row],[RSSI]]</f>
        <v>-123</v>
      </c>
      <c r="S194">
        <v>-18.8</v>
      </c>
    </row>
    <row r="195" spans="2:19" x14ac:dyDescent="0.25">
      <c r="B195">
        <f>480+2*(Table14681012[[#This Row],[min value (corrected)]]-34)</f>
        <v>488</v>
      </c>
      <c r="C195">
        <f>MINUTE(Table14681012[[#This Row],[Corrected time]])</f>
        <v>38</v>
      </c>
      <c r="D195" s="1">
        <v>0.73512644675925931</v>
      </c>
      <c r="E195" s="1">
        <f>Table14681012[[#This Row],[Time]]-TIME(0,0,9)</f>
        <v>0.73502228009259263</v>
      </c>
      <c r="F195" t="s">
        <v>9</v>
      </c>
      <c r="G195" t="s">
        <v>12</v>
      </c>
      <c r="H195">
        <f t="shared" si="4"/>
        <v>-123</v>
      </c>
      <c r="I195">
        <v>-18.5</v>
      </c>
      <c r="L195">
        <f>480+2*(Table25791113[[#This Row],[min value (corrected)]]-50)</f>
        <v>488</v>
      </c>
      <c r="M195">
        <f>MINUTE(Table25791113[[#This Row],[Corrected time]])</f>
        <v>54</v>
      </c>
      <c r="N195" s="1">
        <v>0.62149092592592592</v>
      </c>
      <c r="O195" s="1">
        <f>Table25791113[[#This Row],[Time]]-TIME(0,0,3)</f>
        <v>0.62145620370370369</v>
      </c>
      <c r="P195" t="s">
        <v>9</v>
      </c>
      <c r="Q195">
        <v>-124</v>
      </c>
      <c r="R195">
        <f>Table25791113[[#This Row],[RSSI]]</f>
        <v>-124</v>
      </c>
      <c r="S195">
        <v>-19</v>
      </c>
    </row>
    <row r="196" spans="2:19" x14ac:dyDescent="0.25">
      <c r="B196">
        <f>480+2*(Table14681012[[#This Row],[min value (corrected)]]-34)</f>
        <v>488</v>
      </c>
      <c r="C196">
        <f>MINUTE(Table14681012[[#This Row],[Corrected time]])</f>
        <v>38</v>
      </c>
      <c r="D196" s="1">
        <v>0.73514569444444444</v>
      </c>
      <c r="E196" s="1">
        <f>Table14681012[[#This Row],[Time]]-TIME(0,0,9)</f>
        <v>0.73504152777777776</v>
      </c>
      <c r="F196" t="s">
        <v>9</v>
      </c>
      <c r="G196" t="s">
        <v>12</v>
      </c>
      <c r="H196">
        <f t="shared" si="4"/>
        <v>-123</v>
      </c>
      <c r="I196">
        <v>-18.5</v>
      </c>
      <c r="L196">
        <f>480+2*(Table25791113[[#This Row],[min value (corrected)]]-50)</f>
        <v>488</v>
      </c>
      <c r="M196">
        <f>MINUTE(Table25791113[[#This Row],[Corrected time]])</f>
        <v>54</v>
      </c>
      <c r="N196" s="1">
        <v>0.62151017361111105</v>
      </c>
      <c r="O196" s="1">
        <f>Table25791113[[#This Row],[Time]]-TIME(0,0,3)</f>
        <v>0.62147545138888882</v>
      </c>
      <c r="P196" t="s">
        <v>9</v>
      </c>
      <c r="Q196">
        <v>-124</v>
      </c>
      <c r="R196">
        <f>Table25791113[[#This Row],[RSSI]]</f>
        <v>-124</v>
      </c>
      <c r="S196">
        <v>-19</v>
      </c>
    </row>
    <row r="197" spans="2:19" x14ac:dyDescent="0.25">
      <c r="B197">
        <f>480+2*(Table14681012[[#This Row],[min value (corrected)]]-34)</f>
        <v>488</v>
      </c>
      <c r="C197">
        <f>MINUTE(Table14681012[[#This Row],[Corrected time]])</f>
        <v>38</v>
      </c>
      <c r="D197" s="1">
        <v>0.73516494212962957</v>
      </c>
      <c r="E197" s="1">
        <f>Table14681012[[#This Row],[Time]]-TIME(0,0,9)</f>
        <v>0.73506077546296289</v>
      </c>
      <c r="F197" t="s">
        <v>9</v>
      </c>
      <c r="G197" t="s">
        <v>12</v>
      </c>
      <c r="H197">
        <f t="shared" si="4"/>
        <v>-123</v>
      </c>
      <c r="I197">
        <v>-19.8</v>
      </c>
      <c r="L197">
        <f>480+2*(Table25791113[[#This Row],[min value (corrected)]]-50)</f>
        <v>488</v>
      </c>
      <c r="M197">
        <f>MINUTE(Table25791113[[#This Row],[Corrected time]])</f>
        <v>54</v>
      </c>
      <c r="N197" s="1">
        <v>0.62152942129629629</v>
      </c>
      <c r="O197" s="1">
        <f>Table25791113[[#This Row],[Time]]-TIME(0,0,3)</f>
        <v>0.62149469907407406</v>
      </c>
      <c r="P197" t="s">
        <v>9</v>
      </c>
      <c r="Q197">
        <v>-123</v>
      </c>
      <c r="R197">
        <f>Table25791113[[#This Row],[RSSI]]</f>
        <v>-123</v>
      </c>
      <c r="S197">
        <v>-18.8</v>
      </c>
    </row>
    <row r="198" spans="2:19" x14ac:dyDescent="0.25">
      <c r="B198">
        <f>480+2*(Table14681012[[#This Row],[min value (corrected)]]-34)</f>
        <v>488</v>
      </c>
      <c r="C198">
        <f>MINUTE(Table14681012[[#This Row],[Corrected time]])</f>
        <v>38</v>
      </c>
      <c r="D198" s="1">
        <v>0.73518416666666664</v>
      </c>
      <c r="E198" s="1">
        <f>Table14681012[[#This Row],[Time]]-TIME(0,0,9)</f>
        <v>0.73507999999999996</v>
      </c>
      <c r="F198" t="s">
        <v>9</v>
      </c>
      <c r="G198" t="s">
        <v>12</v>
      </c>
      <c r="H198">
        <f t="shared" si="4"/>
        <v>-123</v>
      </c>
      <c r="I198">
        <v>-18.5</v>
      </c>
      <c r="L198">
        <f>480+2*(Table25791113[[#This Row],[min value (corrected)]]-50)</f>
        <v>488</v>
      </c>
      <c r="M198">
        <f>MINUTE(Table25791113[[#This Row],[Corrected time]])</f>
        <v>54</v>
      </c>
      <c r="N198" s="1">
        <v>0.62154866898148153</v>
      </c>
      <c r="O198" s="1">
        <f>Table25791113[[#This Row],[Time]]-TIME(0,0,3)</f>
        <v>0.62151394675925931</v>
      </c>
      <c r="P198" t="s">
        <v>9</v>
      </c>
      <c r="Q198">
        <v>-123</v>
      </c>
      <c r="R198">
        <f>Table25791113[[#This Row],[RSSI]]</f>
        <v>-123</v>
      </c>
      <c r="S198">
        <v>-19</v>
      </c>
    </row>
    <row r="199" spans="2:19" x14ac:dyDescent="0.25">
      <c r="B199">
        <f>480+2*(Table14681012[[#This Row],[min value (corrected)]]-34)</f>
        <v>488</v>
      </c>
      <c r="C199">
        <f>MINUTE(Table14681012[[#This Row],[Corrected time]])</f>
        <v>38</v>
      </c>
      <c r="D199" s="1">
        <v>0.73520342592592591</v>
      </c>
      <c r="E199" s="1">
        <f>Table14681012[[#This Row],[Time]]-TIME(0,0,9)</f>
        <v>0.73509925925925923</v>
      </c>
      <c r="F199" t="s">
        <v>9</v>
      </c>
      <c r="G199" t="s">
        <v>12</v>
      </c>
      <c r="H199">
        <f t="shared" si="4"/>
        <v>-123</v>
      </c>
      <c r="I199">
        <v>-18.3</v>
      </c>
      <c r="L199">
        <f>480+2*(Table25791113[[#This Row],[min value (corrected)]]-50)</f>
        <v>490</v>
      </c>
      <c r="M199">
        <f>MINUTE(Table25791113[[#This Row],[Corrected time]])</f>
        <v>55</v>
      </c>
      <c r="N199" s="1">
        <v>0.62156791666666666</v>
      </c>
      <c r="O199" s="1">
        <f>Table25791113[[#This Row],[Time]]-TIME(0,0,3)</f>
        <v>0.62153319444444444</v>
      </c>
      <c r="P199" t="s">
        <v>9</v>
      </c>
      <c r="Q199">
        <v>-124</v>
      </c>
      <c r="R199">
        <f>Table25791113[[#This Row],[RSSI]]</f>
        <v>-124</v>
      </c>
      <c r="S199">
        <v>-20.5</v>
      </c>
    </row>
    <row r="200" spans="2:19" x14ac:dyDescent="0.25">
      <c r="B200">
        <f>480+2*(Table14681012[[#This Row],[min value (corrected)]]-34)</f>
        <v>488</v>
      </c>
      <c r="C200">
        <f>MINUTE(Table14681012[[#This Row],[Corrected time]])</f>
        <v>38</v>
      </c>
      <c r="D200" s="1">
        <v>0.73522268518518519</v>
      </c>
      <c r="E200" s="1">
        <f>Table14681012[[#This Row],[Time]]-TIME(0,0,9)</f>
        <v>0.7351185185185185</v>
      </c>
      <c r="F200" t="s">
        <v>9</v>
      </c>
      <c r="G200" t="s">
        <v>12</v>
      </c>
      <c r="H200">
        <f t="shared" si="4"/>
        <v>-123</v>
      </c>
      <c r="I200">
        <v>-18.3</v>
      </c>
      <c r="L200">
        <f>480+2*(Table25791113[[#This Row],[min value (corrected)]]-50)</f>
        <v>490</v>
      </c>
      <c r="M200">
        <f>MINUTE(Table25791113[[#This Row],[Corrected time]])</f>
        <v>55</v>
      </c>
      <c r="N200" s="1">
        <v>0.62158716435185191</v>
      </c>
      <c r="O200" s="1">
        <f>Table25791113[[#This Row],[Time]]-TIME(0,0,3)</f>
        <v>0.62155244212962968</v>
      </c>
      <c r="P200" t="s">
        <v>9</v>
      </c>
      <c r="Q200">
        <v>-124</v>
      </c>
      <c r="R200">
        <f>Table25791113[[#This Row],[RSSI]]</f>
        <v>-124</v>
      </c>
      <c r="S200">
        <v>-19.3</v>
      </c>
    </row>
    <row r="201" spans="2:19" x14ac:dyDescent="0.25">
      <c r="B201">
        <f>480+2*(Table14681012[[#This Row],[min value (corrected)]]-34)</f>
        <v>488</v>
      </c>
      <c r="C201">
        <f>MINUTE(Table14681012[[#This Row],[Corrected time]])</f>
        <v>38</v>
      </c>
      <c r="D201" s="1">
        <v>0.73524193287037032</v>
      </c>
      <c r="E201" s="1">
        <f>Table14681012[[#This Row],[Time]]-TIME(0,0,9)</f>
        <v>0.73513776620370364</v>
      </c>
      <c r="F201" t="s">
        <v>9</v>
      </c>
      <c r="G201" t="s">
        <v>12</v>
      </c>
      <c r="H201">
        <f t="shared" si="4"/>
        <v>-123</v>
      </c>
      <c r="I201">
        <v>-17.8</v>
      </c>
      <c r="L201">
        <f>480+2*(Table25791113[[#This Row],[min value (corrected)]]-50)</f>
        <v>490</v>
      </c>
      <c r="M201">
        <f>MINUTE(Table25791113[[#This Row],[Corrected time]])</f>
        <v>55</v>
      </c>
      <c r="N201" s="1">
        <v>0.62160640046296289</v>
      </c>
      <c r="O201" s="1">
        <f>Table25791113[[#This Row],[Time]]-TIME(0,0,3)</f>
        <v>0.62157167824074067</v>
      </c>
      <c r="P201" t="s">
        <v>9</v>
      </c>
      <c r="Q201">
        <v>-124</v>
      </c>
      <c r="R201">
        <f>Table25791113[[#This Row],[RSSI]]</f>
        <v>-124</v>
      </c>
      <c r="S201">
        <v>-20.3</v>
      </c>
    </row>
    <row r="202" spans="2:19" x14ac:dyDescent="0.25">
      <c r="B202">
        <f>480+2*(Table14681012[[#This Row],[min value (corrected)]]-34)</f>
        <v>488</v>
      </c>
      <c r="C202">
        <f>MINUTE(Table14681012[[#This Row],[Corrected time]])</f>
        <v>38</v>
      </c>
      <c r="D202" s="1">
        <v>0.73526118055555556</v>
      </c>
      <c r="E202" s="1">
        <f>Table14681012[[#This Row],[Time]]-TIME(0,0,9)</f>
        <v>0.73515701388888888</v>
      </c>
      <c r="F202" t="s">
        <v>9</v>
      </c>
      <c r="G202" t="s">
        <v>12</v>
      </c>
      <c r="H202">
        <f t="shared" si="4"/>
        <v>-123</v>
      </c>
      <c r="I202">
        <v>-18.5</v>
      </c>
      <c r="L202">
        <f>480+2*(Table25791113[[#This Row],[min value (corrected)]]-50)</f>
        <v>490</v>
      </c>
      <c r="M202">
        <f>MINUTE(Table25791113[[#This Row],[Corrected time]])</f>
        <v>55</v>
      </c>
      <c r="N202" s="1">
        <v>0.62162564814814814</v>
      </c>
      <c r="O202" s="1">
        <f>Table25791113[[#This Row],[Time]]-TIME(0,0,3)</f>
        <v>0.62159092592592591</v>
      </c>
      <c r="P202" t="s">
        <v>9</v>
      </c>
      <c r="Q202">
        <v>-125</v>
      </c>
      <c r="R202">
        <f>Table25791113[[#This Row],[RSSI]]</f>
        <v>-125</v>
      </c>
      <c r="S202">
        <v>-20</v>
      </c>
    </row>
    <row r="203" spans="2:19" x14ac:dyDescent="0.25">
      <c r="B203">
        <f>480+2*(Table14681012[[#This Row],[min value (corrected)]]-34)</f>
        <v>488</v>
      </c>
      <c r="C203">
        <f>MINUTE(Table14681012[[#This Row],[Corrected time]])</f>
        <v>38</v>
      </c>
      <c r="D203" s="1">
        <v>0.73528042824074069</v>
      </c>
      <c r="E203" s="1">
        <f>Table14681012[[#This Row],[Time]]-TIME(0,0,9)</f>
        <v>0.73517626157407401</v>
      </c>
      <c r="F203" t="s">
        <v>9</v>
      </c>
      <c r="G203" t="s">
        <v>12</v>
      </c>
      <c r="H203">
        <f t="shared" si="4"/>
        <v>-123</v>
      </c>
      <c r="I203">
        <v>-18.8</v>
      </c>
      <c r="L203">
        <f>480+2*(Table25791113[[#This Row],[min value (corrected)]]-50)</f>
        <v>490</v>
      </c>
      <c r="M203">
        <f>MINUTE(Table25791113[[#This Row],[Corrected time]])</f>
        <v>55</v>
      </c>
      <c r="N203" s="1">
        <v>0.62164490740740741</v>
      </c>
      <c r="O203" s="1">
        <f>Table25791113[[#This Row],[Time]]-TIME(0,0,3)</f>
        <v>0.62161018518518518</v>
      </c>
      <c r="P203" t="s">
        <v>9</v>
      </c>
      <c r="Q203">
        <v>-124</v>
      </c>
      <c r="R203">
        <f>Table25791113[[#This Row],[RSSI]]</f>
        <v>-124</v>
      </c>
      <c r="S203">
        <v>-19.3</v>
      </c>
    </row>
    <row r="204" spans="2:19" x14ac:dyDescent="0.25">
      <c r="B204">
        <f>480+2*(Table14681012[[#This Row],[min value (corrected)]]-34)</f>
        <v>488</v>
      </c>
      <c r="C204">
        <f>MINUTE(Table14681012[[#This Row],[Corrected time]])</f>
        <v>38</v>
      </c>
      <c r="D204" s="1">
        <v>0.7352996643518519</v>
      </c>
      <c r="E204" s="1">
        <f>Table14681012[[#This Row],[Time]]-TIME(0,0,9)</f>
        <v>0.73519549768518522</v>
      </c>
      <c r="F204" t="s">
        <v>9</v>
      </c>
      <c r="G204" t="s">
        <v>12</v>
      </c>
      <c r="H204">
        <f t="shared" si="4"/>
        <v>-123</v>
      </c>
      <c r="I204">
        <v>-18.3</v>
      </c>
      <c r="L204">
        <f>480+2*(Table25791113[[#This Row],[min value (corrected)]]-50)</f>
        <v>490</v>
      </c>
      <c r="M204">
        <f>MINUTE(Table25791113[[#This Row],[Corrected time]])</f>
        <v>55</v>
      </c>
      <c r="N204" s="1">
        <v>0.62166415509259265</v>
      </c>
      <c r="O204" s="1">
        <f>Table25791113[[#This Row],[Time]]-TIME(0,0,3)</f>
        <v>0.62162943287037042</v>
      </c>
      <c r="P204" t="s">
        <v>9</v>
      </c>
      <c r="Q204">
        <v>-124</v>
      </c>
      <c r="R204">
        <f>Table25791113[[#This Row],[RSSI]]</f>
        <v>-124</v>
      </c>
      <c r="S204">
        <v>-19.8</v>
      </c>
    </row>
    <row r="205" spans="2:19" x14ac:dyDescent="0.25">
      <c r="B205">
        <f>480+2*(Table14681012[[#This Row],[min value (corrected)]]-34)</f>
        <v>488</v>
      </c>
      <c r="C205">
        <f>MINUTE(Table14681012[[#This Row],[Corrected time]])</f>
        <v>38</v>
      </c>
      <c r="D205" s="1">
        <v>0.73531892361111106</v>
      </c>
      <c r="E205" s="1">
        <f>Table14681012[[#This Row],[Time]]-TIME(0,0,9)</f>
        <v>0.73521475694444438</v>
      </c>
      <c r="F205" t="s">
        <v>9</v>
      </c>
      <c r="G205" t="s">
        <v>12</v>
      </c>
      <c r="H205">
        <f t="shared" si="4"/>
        <v>-123</v>
      </c>
      <c r="I205">
        <v>-18</v>
      </c>
      <c r="L205">
        <f>480+2*(Table25791113[[#This Row],[min value (corrected)]]-50)</f>
        <v>490</v>
      </c>
      <c r="M205">
        <f>MINUTE(Table25791113[[#This Row],[Corrected time]])</f>
        <v>55</v>
      </c>
      <c r="N205" s="1">
        <v>0.62168339120370375</v>
      </c>
      <c r="O205" s="1">
        <f>Table25791113[[#This Row],[Time]]-TIME(0,0,3)</f>
        <v>0.62164866898148152</v>
      </c>
      <c r="P205" t="s">
        <v>13</v>
      </c>
      <c r="Q205">
        <f>Q204</f>
        <v>-124</v>
      </c>
      <c r="R205">
        <f>Table25791113[[#This Row],[RSSI]]</f>
        <v>-124</v>
      </c>
      <c r="S205">
        <f>S204</f>
        <v>-19.8</v>
      </c>
    </row>
    <row r="206" spans="2:19" x14ac:dyDescent="0.25">
      <c r="B206">
        <f>480+2*(Table14681012[[#This Row],[min value (corrected)]]-34)</f>
        <v>488</v>
      </c>
      <c r="C206">
        <f>MINUTE(Table14681012[[#This Row],[Corrected time]])</f>
        <v>38</v>
      </c>
      <c r="D206" s="1">
        <v>0.73533815972222216</v>
      </c>
      <c r="E206" s="1">
        <f>Table14681012[[#This Row],[Time]]-TIME(0,0,9)</f>
        <v>0.73523399305555548</v>
      </c>
      <c r="F206" t="s">
        <v>9</v>
      </c>
      <c r="G206" t="s">
        <v>12</v>
      </c>
      <c r="H206">
        <f t="shared" si="4"/>
        <v>-123</v>
      </c>
      <c r="I206">
        <v>-18.5</v>
      </c>
      <c r="L206">
        <f>480+2*(Table25791113[[#This Row],[min value (corrected)]]-50)</f>
        <v>490</v>
      </c>
      <c r="M206">
        <f>MINUTE(Table25791113[[#This Row],[Corrected time]])</f>
        <v>55</v>
      </c>
      <c r="N206" s="1">
        <v>0.62170265046296291</v>
      </c>
      <c r="O206" s="1">
        <f>Table25791113[[#This Row],[Time]]-TIME(0,0,3)</f>
        <v>0.62166792824074069</v>
      </c>
      <c r="P206" t="s">
        <v>9</v>
      </c>
      <c r="Q206">
        <v>-123</v>
      </c>
      <c r="R206">
        <f>Table25791113[[#This Row],[RSSI]]</f>
        <v>-123</v>
      </c>
      <c r="S206">
        <v>-19.3</v>
      </c>
    </row>
    <row r="207" spans="2:19" x14ac:dyDescent="0.25">
      <c r="B207">
        <f>480+2*(Table14681012[[#This Row],[min value (corrected)]]-34)</f>
        <v>488</v>
      </c>
      <c r="C207">
        <f>MINUTE(Table14681012[[#This Row],[Corrected time]])</f>
        <v>38</v>
      </c>
      <c r="D207" s="1">
        <v>0.73535741898148155</v>
      </c>
      <c r="E207" s="1">
        <f>Table14681012[[#This Row],[Time]]-TIME(0,0,9)</f>
        <v>0.73525325231481486</v>
      </c>
      <c r="F207" t="s">
        <v>9</v>
      </c>
      <c r="G207" t="s">
        <v>12</v>
      </c>
      <c r="H207">
        <f t="shared" si="4"/>
        <v>-123</v>
      </c>
      <c r="I207">
        <v>-18.8</v>
      </c>
      <c r="L207">
        <f>480+2*(Table25791113[[#This Row],[min value (corrected)]]-50)</f>
        <v>490</v>
      </c>
      <c r="M207">
        <f>MINUTE(Table25791113[[#This Row],[Corrected time]])</f>
        <v>55</v>
      </c>
      <c r="N207" s="1">
        <v>0.62172189814814816</v>
      </c>
      <c r="O207" s="1">
        <f>Table25791113[[#This Row],[Time]]-TIME(0,0,3)</f>
        <v>0.62168717592592593</v>
      </c>
      <c r="P207" t="s">
        <v>9</v>
      </c>
      <c r="Q207">
        <v>-123</v>
      </c>
      <c r="R207">
        <f>Table25791113[[#This Row],[RSSI]]</f>
        <v>-123</v>
      </c>
      <c r="S207">
        <v>-18.5</v>
      </c>
    </row>
    <row r="208" spans="2:19" x14ac:dyDescent="0.25">
      <c r="B208">
        <f>480+2*(Table14681012[[#This Row],[min value (corrected)]]-34)</f>
        <v>488</v>
      </c>
      <c r="C208">
        <f>MINUTE(Table14681012[[#This Row],[Corrected time]])</f>
        <v>38</v>
      </c>
      <c r="D208" s="1">
        <v>0.73537666666666668</v>
      </c>
      <c r="E208" s="1">
        <f>Table14681012[[#This Row],[Time]]-TIME(0,0,9)</f>
        <v>0.7352725</v>
      </c>
      <c r="F208" t="s">
        <v>9</v>
      </c>
      <c r="G208" t="s">
        <v>12</v>
      </c>
      <c r="H208">
        <f t="shared" si="4"/>
        <v>-123</v>
      </c>
      <c r="I208">
        <v>-18.5</v>
      </c>
      <c r="L208">
        <f>480+2*(Table25791113[[#This Row],[min value (corrected)]]-50)</f>
        <v>490</v>
      </c>
      <c r="M208">
        <f>MINUTE(Table25791113[[#This Row],[Corrected time]])</f>
        <v>55</v>
      </c>
      <c r="N208" s="1">
        <v>0.62174113425925925</v>
      </c>
      <c r="O208" s="1">
        <f>Table25791113[[#This Row],[Time]]-TIME(0,0,3)</f>
        <v>0.62170641203703703</v>
      </c>
      <c r="P208" t="s">
        <v>9</v>
      </c>
      <c r="Q208">
        <v>-123</v>
      </c>
      <c r="R208">
        <f>Table25791113[[#This Row],[RSSI]]</f>
        <v>-123</v>
      </c>
      <c r="S208">
        <v>-18.5</v>
      </c>
    </row>
    <row r="209" spans="2:19" x14ac:dyDescent="0.25">
      <c r="B209">
        <f>480+2*(Table14681012[[#This Row],[min value (corrected)]]-34)</f>
        <v>488</v>
      </c>
      <c r="C209">
        <f>MINUTE(Table14681012[[#This Row],[Corrected time]])</f>
        <v>38</v>
      </c>
      <c r="D209" s="1">
        <v>0.73539591435185192</v>
      </c>
      <c r="E209" s="1">
        <f>Table14681012[[#This Row],[Time]]-TIME(0,0,9)</f>
        <v>0.73529174768518524</v>
      </c>
      <c r="F209" t="s">
        <v>9</v>
      </c>
      <c r="G209" t="s">
        <v>12</v>
      </c>
      <c r="H209">
        <f t="shared" si="4"/>
        <v>-123</v>
      </c>
      <c r="I209">
        <v>-18.3</v>
      </c>
      <c r="L209">
        <f>480+2*(Table25791113[[#This Row],[min value (corrected)]]-50)</f>
        <v>490</v>
      </c>
      <c r="M209">
        <f>MINUTE(Table25791113[[#This Row],[Corrected time]])</f>
        <v>55</v>
      </c>
      <c r="N209" s="1">
        <v>0.62176039351851853</v>
      </c>
      <c r="O209" s="1">
        <f>Table25791113[[#This Row],[Time]]-TIME(0,0,3)</f>
        <v>0.6217256712962963</v>
      </c>
      <c r="P209" t="s">
        <v>9</v>
      </c>
      <c r="Q209">
        <v>-123</v>
      </c>
      <c r="R209">
        <f>Table25791113[[#This Row],[RSSI]]</f>
        <v>-123</v>
      </c>
      <c r="S209">
        <v>-18.3</v>
      </c>
    </row>
    <row r="210" spans="2:19" x14ac:dyDescent="0.25">
      <c r="B210">
        <f>480+2*(Table14681012[[#This Row],[min value (corrected)]]-34)</f>
        <v>488</v>
      </c>
      <c r="C210">
        <f>MINUTE(Table14681012[[#This Row],[Corrected time]])</f>
        <v>38</v>
      </c>
      <c r="D210" s="1">
        <v>0.73541516203703705</v>
      </c>
      <c r="E210" s="1">
        <f>Table14681012[[#This Row],[Time]]-TIME(0,0,9)</f>
        <v>0.73531099537037037</v>
      </c>
      <c r="F210" t="s">
        <v>9</v>
      </c>
      <c r="G210" t="s">
        <v>12</v>
      </c>
      <c r="H210">
        <f t="shared" si="4"/>
        <v>-123</v>
      </c>
      <c r="I210">
        <v>-19</v>
      </c>
      <c r="L210">
        <f>480+2*(Table25791113[[#This Row],[min value (corrected)]]-50)</f>
        <v>490</v>
      </c>
      <c r="M210">
        <f>MINUTE(Table25791113[[#This Row],[Corrected time]])</f>
        <v>55</v>
      </c>
      <c r="N210" s="1">
        <v>0.62177964120370366</v>
      </c>
      <c r="O210" s="1">
        <f>Table25791113[[#This Row],[Time]]-TIME(0,0,3)</f>
        <v>0.62174491898148143</v>
      </c>
      <c r="P210" t="s">
        <v>9</v>
      </c>
      <c r="Q210">
        <v>-123</v>
      </c>
      <c r="R210">
        <f>Table25791113[[#This Row],[RSSI]]</f>
        <v>-123</v>
      </c>
      <c r="S210">
        <v>-18.8</v>
      </c>
    </row>
    <row r="211" spans="2:19" x14ac:dyDescent="0.25">
      <c r="B211">
        <f>480+2*(Table14681012[[#This Row],[min value (corrected)]]-34)</f>
        <v>488</v>
      </c>
      <c r="C211">
        <f>MINUTE(Table14681012[[#This Row],[Corrected time]])</f>
        <v>38</v>
      </c>
      <c r="D211" s="1">
        <v>0.73543440972222229</v>
      </c>
      <c r="E211" s="1">
        <f>Table14681012[[#This Row],[Time]]-TIME(0,0,9)</f>
        <v>0.73533024305555561</v>
      </c>
      <c r="F211" t="s">
        <v>9</v>
      </c>
      <c r="G211" t="s">
        <v>12</v>
      </c>
      <c r="H211">
        <f t="shared" si="4"/>
        <v>-123</v>
      </c>
      <c r="I211">
        <v>-18.8</v>
      </c>
      <c r="L211">
        <f>480+2*(Table25791113[[#This Row],[min value (corrected)]]-50)</f>
        <v>490</v>
      </c>
      <c r="M211">
        <f>MINUTE(Table25791113[[#This Row],[Corrected time]])</f>
        <v>55</v>
      </c>
      <c r="N211" s="1">
        <v>0.6217988888888889</v>
      </c>
      <c r="O211" s="1">
        <f>Table25791113[[#This Row],[Time]]-TIME(0,0,3)</f>
        <v>0.62176416666666667</v>
      </c>
      <c r="P211" t="s">
        <v>9</v>
      </c>
      <c r="Q211">
        <v>-124</v>
      </c>
      <c r="R211">
        <f>Table25791113[[#This Row],[RSSI]]</f>
        <v>-124</v>
      </c>
      <c r="S211">
        <v>-19.5</v>
      </c>
    </row>
    <row r="212" spans="2:19" x14ac:dyDescent="0.25">
      <c r="B212">
        <f>480+2*(Table14681012[[#This Row],[min value (corrected)]]-34)</f>
        <v>488</v>
      </c>
      <c r="C212">
        <f>MINUTE(Table14681012[[#This Row],[Corrected time]])</f>
        <v>38</v>
      </c>
      <c r="D212" s="1">
        <v>0.73545364583333328</v>
      </c>
      <c r="E212" s="1">
        <f>Table14681012[[#This Row],[Time]]-TIME(0,0,9)</f>
        <v>0.7353494791666666</v>
      </c>
      <c r="F212" t="s">
        <v>9</v>
      </c>
      <c r="G212" t="s">
        <v>12</v>
      </c>
      <c r="H212">
        <f t="shared" si="4"/>
        <v>-123</v>
      </c>
      <c r="I212">
        <v>-19</v>
      </c>
      <c r="L212">
        <f>480+2*(Table25791113[[#This Row],[min value (corrected)]]-50)</f>
        <v>490</v>
      </c>
      <c r="M212">
        <f>MINUTE(Table25791113[[#This Row],[Corrected time]])</f>
        <v>55</v>
      </c>
      <c r="N212" s="1">
        <v>0.62181813657407403</v>
      </c>
      <c r="O212" s="1">
        <f>Table25791113[[#This Row],[Time]]-TIME(0,0,3)</f>
        <v>0.6217834143518518</v>
      </c>
      <c r="P212" t="s">
        <v>9</v>
      </c>
      <c r="Q212">
        <v>-123</v>
      </c>
      <c r="R212">
        <f>Table25791113[[#This Row],[RSSI]]</f>
        <v>-123</v>
      </c>
      <c r="S212">
        <v>-18.5</v>
      </c>
    </row>
    <row r="213" spans="2:19" x14ac:dyDescent="0.25">
      <c r="B213">
        <f>480+2*(Table14681012[[#This Row],[min value (corrected)]]-34)</f>
        <v>488</v>
      </c>
      <c r="C213">
        <f>MINUTE(Table14681012[[#This Row],[Corrected time]])</f>
        <v>38</v>
      </c>
      <c r="D213" s="1">
        <v>0.73547290509259255</v>
      </c>
      <c r="E213" s="1">
        <f>Table14681012[[#This Row],[Time]]-TIME(0,0,9)</f>
        <v>0.73536873842592587</v>
      </c>
      <c r="F213" t="s">
        <v>9</v>
      </c>
      <c r="G213" t="s">
        <v>19</v>
      </c>
      <c r="H213">
        <f t="shared" si="4"/>
        <v>-124</v>
      </c>
      <c r="I213">
        <v>-19.8</v>
      </c>
      <c r="L213">
        <f>480+2*(Table25791113[[#This Row],[min value (corrected)]]-50)</f>
        <v>490</v>
      </c>
      <c r="M213">
        <f>MINUTE(Table25791113[[#This Row],[Corrected time]])</f>
        <v>55</v>
      </c>
      <c r="N213" s="1">
        <v>0.62183737268518524</v>
      </c>
      <c r="O213" s="1">
        <f>Table25791113[[#This Row],[Time]]-TIME(0,0,3)</f>
        <v>0.62180265046296301</v>
      </c>
      <c r="P213" t="s">
        <v>9</v>
      </c>
      <c r="Q213">
        <v>-124</v>
      </c>
      <c r="R213">
        <f>Table25791113[[#This Row],[RSSI]]</f>
        <v>-124</v>
      </c>
      <c r="S213">
        <v>-19.3</v>
      </c>
    </row>
    <row r="214" spans="2:19" x14ac:dyDescent="0.25">
      <c r="B214">
        <f>480+2*(Table14681012[[#This Row],[min value (corrected)]]-34)</f>
        <v>488</v>
      </c>
      <c r="C214">
        <f>MINUTE(Table14681012[[#This Row],[Corrected time]])</f>
        <v>38</v>
      </c>
      <c r="D214" s="1">
        <v>0.7354921527777778</v>
      </c>
      <c r="E214" s="1">
        <f>Table14681012[[#This Row],[Time]]-TIME(0,0,9)</f>
        <v>0.73538798611111111</v>
      </c>
      <c r="F214" t="s">
        <v>9</v>
      </c>
      <c r="G214" t="s">
        <v>12</v>
      </c>
      <c r="H214">
        <f t="shared" ref="H214:H277" si="7">VALUE(LEFT(G214,LEN(G214)-1))</f>
        <v>-123</v>
      </c>
      <c r="I214">
        <v>-19.8</v>
      </c>
      <c r="L214">
        <f>480+2*(Table25791113[[#This Row],[min value (corrected)]]-50)</f>
        <v>490</v>
      </c>
      <c r="M214">
        <f>MINUTE(Table25791113[[#This Row],[Corrected time]])</f>
        <v>55</v>
      </c>
      <c r="N214" s="1">
        <v>0.6218566319444444</v>
      </c>
      <c r="O214" s="1">
        <f>Table25791113[[#This Row],[Time]]-TIME(0,0,3)</f>
        <v>0.62182190972222218</v>
      </c>
      <c r="P214" t="s">
        <v>9</v>
      </c>
      <c r="Q214">
        <v>-123</v>
      </c>
      <c r="R214">
        <f>Table25791113[[#This Row],[RSSI]]</f>
        <v>-123</v>
      </c>
      <c r="S214">
        <v>-18.8</v>
      </c>
    </row>
    <row r="215" spans="2:19" x14ac:dyDescent="0.25">
      <c r="B215">
        <f>480+2*(Table14681012[[#This Row],[min value (corrected)]]-34)</f>
        <v>488</v>
      </c>
      <c r="C215">
        <f>MINUTE(Table14681012[[#This Row],[Corrected time]])</f>
        <v>38</v>
      </c>
      <c r="D215" s="1">
        <v>0.73551140046296293</v>
      </c>
      <c r="E215" s="1">
        <f>Table14681012[[#This Row],[Time]]-TIME(0,0,9)</f>
        <v>0.73540723379629624</v>
      </c>
      <c r="F215" t="s">
        <v>9</v>
      </c>
      <c r="G215" t="s">
        <v>19</v>
      </c>
      <c r="H215">
        <f t="shared" si="7"/>
        <v>-124</v>
      </c>
      <c r="I215">
        <v>-21</v>
      </c>
      <c r="L215">
        <f>480+2*(Table25791113[[#This Row],[min value (corrected)]]-50)</f>
        <v>490</v>
      </c>
      <c r="M215">
        <f>MINUTE(Table25791113[[#This Row],[Corrected time]])</f>
        <v>55</v>
      </c>
      <c r="N215" s="1">
        <v>0.62187587962962965</v>
      </c>
      <c r="O215" s="1">
        <f>Table25791113[[#This Row],[Time]]-TIME(0,0,3)</f>
        <v>0.62184115740740742</v>
      </c>
      <c r="P215" t="s">
        <v>9</v>
      </c>
      <c r="Q215">
        <v>-124</v>
      </c>
      <c r="R215">
        <f>Table25791113[[#This Row],[RSSI]]</f>
        <v>-124</v>
      </c>
      <c r="S215">
        <v>-19</v>
      </c>
    </row>
    <row r="216" spans="2:19" x14ac:dyDescent="0.25">
      <c r="B216">
        <f>480+2*(Table14681012[[#This Row],[min value (corrected)]]-34)</f>
        <v>490</v>
      </c>
      <c r="C216">
        <f>MINUTE(Table14681012[[#This Row],[Corrected time]])</f>
        <v>39</v>
      </c>
      <c r="D216" s="1">
        <v>0.73553064814814817</v>
      </c>
      <c r="E216" s="1">
        <f>Table14681012[[#This Row],[Time]]-TIME(0,0,9)</f>
        <v>0.73542648148148149</v>
      </c>
      <c r="F216" t="s">
        <v>9</v>
      </c>
      <c r="G216" t="s">
        <v>19</v>
      </c>
      <c r="H216">
        <f t="shared" si="7"/>
        <v>-124</v>
      </c>
      <c r="I216">
        <v>-20.3</v>
      </c>
      <c r="L216">
        <f>480+2*(Table25791113[[#This Row],[min value (corrected)]]-50)</f>
        <v>490</v>
      </c>
      <c r="M216">
        <f>MINUTE(Table25791113[[#This Row],[Corrected time]])</f>
        <v>55</v>
      </c>
      <c r="N216" s="1">
        <v>0.62189512731481478</v>
      </c>
      <c r="O216" s="1">
        <f>Table25791113[[#This Row],[Time]]-TIME(0,0,3)</f>
        <v>0.62186040509259255</v>
      </c>
      <c r="P216" t="s">
        <v>9</v>
      </c>
      <c r="Q216">
        <v>-124</v>
      </c>
      <c r="R216">
        <f>Table25791113[[#This Row],[RSSI]]</f>
        <v>-124</v>
      </c>
      <c r="S216">
        <v>-18.8</v>
      </c>
    </row>
    <row r="217" spans="2:19" x14ac:dyDescent="0.25">
      <c r="B217">
        <f>480+2*(Table14681012[[#This Row],[min value (corrected)]]-34)</f>
        <v>490</v>
      </c>
      <c r="C217">
        <f>MINUTE(Table14681012[[#This Row],[Corrected time]])</f>
        <v>39</v>
      </c>
      <c r="D217" s="1">
        <v>0.7355498958333333</v>
      </c>
      <c r="E217" s="1">
        <f>Table14681012[[#This Row],[Time]]-TIME(0,0,9)</f>
        <v>0.73544572916666662</v>
      </c>
      <c r="F217" t="s">
        <v>9</v>
      </c>
      <c r="G217" t="s">
        <v>12</v>
      </c>
      <c r="H217">
        <f t="shared" si="7"/>
        <v>-123</v>
      </c>
      <c r="I217">
        <v>-20</v>
      </c>
      <c r="L217">
        <f>480+2*(Table25791113[[#This Row],[min value (corrected)]]-50)</f>
        <v>490</v>
      </c>
      <c r="M217">
        <f>MINUTE(Table25791113[[#This Row],[Corrected time]])</f>
        <v>55</v>
      </c>
      <c r="N217" s="1">
        <v>0.62191437500000002</v>
      </c>
      <c r="O217" s="1">
        <f>Table25791113[[#This Row],[Time]]-TIME(0,0,3)</f>
        <v>0.62187965277777779</v>
      </c>
      <c r="P217" t="s">
        <v>9</v>
      </c>
      <c r="Q217">
        <v>-124</v>
      </c>
      <c r="R217">
        <f>Table25791113[[#This Row],[RSSI]]</f>
        <v>-124</v>
      </c>
      <c r="S217">
        <v>-19.3</v>
      </c>
    </row>
    <row r="218" spans="2:19" x14ac:dyDescent="0.25">
      <c r="B218">
        <f>480+2*(Table14681012[[#This Row],[min value (corrected)]]-34)</f>
        <v>490</v>
      </c>
      <c r="C218">
        <f>MINUTE(Table14681012[[#This Row],[Corrected time]])</f>
        <v>39</v>
      </c>
      <c r="D218" s="1">
        <v>0.73556912037037037</v>
      </c>
      <c r="E218" s="1">
        <f>Table14681012[[#This Row],[Time]]-TIME(0,0,9)</f>
        <v>0.73546495370370368</v>
      </c>
      <c r="F218" t="s">
        <v>9</v>
      </c>
      <c r="G218" t="s">
        <v>19</v>
      </c>
      <c r="H218">
        <f t="shared" si="7"/>
        <v>-124</v>
      </c>
      <c r="I218">
        <v>-19.8</v>
      </c>
      <c r="L218">
        <f>480+2*(Table25791113[[#This Row],[min value (corrected)]]-50)</f>
        <v>490</v>
      </c>
      <c r="M218">
        <f>MINUTE(Table25791113[[#This Row],[Corrected time]])</f>
        <v>55</v>
      </c>
      <c r="N218" s="1">
        <v>0.62193362268518526</v>
      </c>
      <c r="O218" s="1">
        <f>Table25791113[[#This Row],[Time]]-TIME(0,0,3)</f>
        <v>0.62189890046296303</v>
      </c>
      <c r="P218" t="s">
        <v>9</v>
      </c>
      <c r="Q218">
        <v>-123</v>
      </c>
      <c r="R218">
        <f>Table25791113[[#This Row],[RSSI]]</f>
        <v>-123</v>
      </c>
      <c r="S218">
        <v>-18.3</v>
      </c>
    </row>
    <row r="219" spans="2:19" x14ac:dyDescent="0.25">
      <c r="B219">
        <f>480+2*(Table14681012[[#This Row],[min value (corrected)]]-34)</f>
        <v>490</v>
      </c>
      <c r="C219">
        <f>MINUTE(Table14681012[[#This Row],[Corrected time]])</f>
        <v>39</v>
      </c>
      <c r="D219" s="1">
        <v>0.73558839120370367</v>
      </c>
      <c r="E219" s="1">
        <f>Table14681012[[#This Row],[Time]]-TIME(0,0,9)</f>
        <v>0.73548422453703699</v>
      </c>
      <c r="F219" t="s">
        <v>13</v>
      </c>
      <c r="G219" t="str">
        <f>G218</f>
        <v>-124.0,</v>
      </c>
      <c r="H219">
        <f t="shared" si="7"/>
        <v>-124</v>
      </c>
      <c r="I219">
        <f>I218</f>
        <v>-19.8</v>
      </c>
      <c r="L219">
        <f>480+2*(Table25791113[[#This Row],[min value (corrected)]]-50)</f>
        <v>490</v>
      </c>
      <c r="M219">
        <f>MINUTE(Table25791113[[#This Row],[Corrected time]])</f>
        <v>55</v>
      </c>
      <c r="N219" s="1">
        <v>0.62195287037037039</v>
      </c>
      <c r="O219" s="1">
        <f>Table25791113[[#This Row],[Time]]-TIME(0,0,3)</f>
        <v>0.62191814814814816</v>
      </c>
      <c r="P219" t="s">
        <v>9</v>
      </c>
      <c r="Q219">
        <v>-123</v>
      </c>
      <c r="R219">
        <f>Table25791113[[#This Row],[RSSI]]</f>
        <v>-123</v>
      </c>
      <c r="S219">
        <v>-18.5</v>
      </c>
    </row>
    <row r="220" spans="2:19" x14ac:dyDescent="0.25">
      <c r="B220">
        <f>480+2*(Table14681012[[#This Row],[min value (corrected)]]-34)</f>
        <v>490</v>
      </c>
      <c r="C220">
        <f>MINUTE(Table14681012[[#This Row],[Corrected time]])</f>
        <v>39</v>
      </c>
      <c r="D220" s="1">
        <v>0.73560763888888892</v>
      </c>
      <c r="E220" s="1">
        <f>Table14681012[[#This Row],[Time]]-TIME(0,0,9)</f>
        <v>0.73550347222222223</v>
      </c>
      <c r="F220" t="s">
        <v>9</v>
      </c>
      <c r="G220" t="s">
        <v>12</v>
      </c>
      <c r="H220">
        <f t="shared" si="7"/>
        <v>-123</v>
      </c>
      <c r="I220">
        <v>-18.3</v>
      </c>
      <c r="L220">
        <f>480+2*(Table25791113[[#This Row],[min value (corrected)]]-50)</f>
        <v>490</v>
      </c>
      <c r="M220">
        <f>MINUTE(Table25791113[[#This Row],[Corrected time]])</f>
        <v>55</v>
      </c>
      <c r="N220" s="1">
        <v>0.62197211805555563</v>
      </c>
      <c r="O220" s="1">
        <f>Table25791113[[#This Row],[Time]]-TIME(0,0,3)</f>
        <v>0.62193739583333341</v>
      </c>
      <c r="P220" t="s">
        <v>9</v>
      </c>
      <c r="Q220">
        <v>-123</v>
      </c>
      <c r="R220">
        <f>Table25791113[[#This Row],[RSSI]]</f>
        <v>-123</v>
      </c>
      <c r="S220">
        <v>-18.3</v>
      </c>
    </row>
    <row r="221" spans="2:19" x14ac:dyDescent="0.25">
      <c r="B221">
        <f>480+2*(Table14681012[[#This Row],[min value (corrected)]]-34)</f>
        <v>490</v>
      </c>
      <c r="C221">
        <f>MINUTE(Table14681012[[#This Row],[Corrected time]])</f>
        <v>39</v>
      </c>
      <c r="D221" s="1">
        <v>0.73562687500000001</v>
      </c>
      <c r="E221" s="1">
        <f>Table14681012[[#This Row],[Time]]-TIME(0,0,9)</f>
        <v>0.73552270833333333</v>
      </c>
      <c r="F221" t="s">
        <v>9</v>
      </c>
      <c r="G221" t="s">
        <v>12</v>
      </c>
      <c r="H221">
        <f t="shared" si="7"/>
        <v>-123</v>
      </c>
      <c r="I221">
        <v>-18.3</v>
      </c>
      <c r="L221">
        <f>480+2*(Table25791113[[#This Row],[min value (corrected)]]-50)</f>
        <v>490</v>
      </c>
      <c r="M221">
        <f>MINUTE(Table25791113[[#This Row],[Corrected time]])</f>
        <v>55</v>
      </c>
      <c r="N221" s="1">
        <v>0.62199136574074065</v>
      </c>
      <c r="O221" s="1">
        <f>Table25791113[[#This Row],[Time]]-TIME(0,0,3)</f>
        <v>0.62195664351851843</v>
      </c>
      <c r="P221" t="s">
        <v>9</v>
      </c>
      <c r="Q221">
        <v>-123</v>
      </c>
      <c r="R221">
        <f>Table25791113[[#This Row],[RSSI]]</f>
        <v>-123</v>
      </c>
      <c r="S221">
        <v>-19.3</v>
      </c>
    </row>
    <row r="222" spans="2:19" x14ac:dyDescent="0.25">
      <c r="B222">
        <f>480+2*(Table14681012[[#This Row],[min value (corrected)]]-34)</f>
        <v>490</v>
      </c>
      <c r="C222">
        <f>MINUTE(Table14681012[[#This Row],[Corrected time]])</f>
        <v>39</v>
      </c>
      <c r="D222" s="1">
        <v>0.73564613425925929</v>
      </c>
      <c r="E222" s="1">
        <f>Table14681012[[#This Row],[Time]]-TIME(0,0,9)</f>
        <v>0.7355419675925926</v>
      </c>
      <c r="F222" t="s">
        <v>9</v>
      </c>
      <c r="G222" t="s">
        <v>12</v>
      </c>
      <c r="H222">
        <f t="shared" si="7"/>
        <v>-123</v>
      </c>
      <c r="I222">
        <v>-18.3</v>
      </c>
      <c r="L222">
        <f>480+2*(Table25791113[[#This Row],[min value (corrected)]]-50)</f>
        <v>490</v>
      </c>
      <c r="M222">
        <f>MINUTE(Table25791113[[#This Row],[Corrected time]])</f>
        <v>55</v>
      </c>
      <c r="N222" s="1">
        <v>0.6220106134259259</v>
      </c>
      <c r="O222" s="1">
        <f>Table25791113[[#This Row],[Time]]-TIME(0,0,3)</f>
        <v>0.62197589120370367</v>
      </c>
      <c r="P222" t="s">
        <v>9</v>
      </c>
      <c r="Q222">
        <v>-123</v>
      </c>
      <c r="R222">
        <f>Table25791113[[#This Row],[RSSI]]</f>
        <v>-123</v>
      </c>
      <c r="S222">
        <v>-18.5</v>
      </c>
    </row>
    <row r="223" spans="2:19" x14ac:dyDescent="0.25">
      <c r="B223">
        <f>480+2*(Table14681012[[#This Row],[min value (corrected)]]-34)</f>
        <v>490</v>
      </c>
      <c r="C223">
        <f>MINUTE(Table14681012[[#This Row],[Corrected time]])</f>
        <v>39</v>
      </c>
      <c r="D223" s="1">
        <v>0.73566537037037039</v>
      </c>
      <c r="E223" s="1">
        <f>Table14681012[[#This Row],[Time]]-TIME(0,0,9)</f>
        <v>0.7355612037037037</v>
      </c>
      <c r="F223" t="s">
        <v>9</v>
      </c>
      <c r="G223" t="s">
        <v>19</v>
      </c>
      <c r="H223">
        <f t="shared" si="7"/>
        <v>-124</v>
      </c>
      <c r="I223">
        <v>-19</v>
      </c>
      <c r="L223">
        <f>480+2*(Table25791113[[#This Row],[min value (corrected)]]-50)</f>
        <v>490</v>
      </c>
      <c r="M223">
        <f>MINUTE(Table25791113[[#This Row],[Corrected time]])</f>
        <v>55</v>
      </c>
      <c r="N223" s="1">
        <v>0.62202986111111103</v>
      </c>
      <c r="O223" s="1">
        <f>Table25791113[[#This Row],[Time]]-TIME(0,0,3)</f>
        <v>0.6219951388888888</v>
      </c>
      <c r="P223" t="s">
        <v>9</v>
      </c>
      <c r="Q223">
        <v>-123</v>
      </c>
      <c r="R223">
        <f>Table25791113[[#This Row],[RSSI]]</f>
        <v>-123</v>
      </c>
      <c r="S223">
        <v>-20</v>
      </c>
    </row>
    <row r="224" spans="2:19" x14ac:dyDescent="0.25">
      <c r="B224">
        <f>480+2*(Table14681012[[#This Row],[min value (corrected)]]-34)</f>
        <v>490</v>
      </c>
      <c r="C224">
        <f>MINUTE(Table14681012[[#This Row],[Corrected time]])</f>
        <v>39</v>
      </c>
      <c r="D224" s="1">
        <v>0.73568462962962966</v>
      </c>
      <c r="E224" s="1">
        <f>Table14681012[[#This Row],[Time]]-TIME(0,0,9)</f>
        <v>0.73558046296296298</v>
      </c>
      <c r="F224" t="s">
        <v>9</v>
      </c>
      <c r="G224" t="s">
        <v>19</v>
      </c>
      <c r="H224">
        <f t="shared" si="7"/>
        <v>-124</v>
      </c>
      <c r="I224">
        <v>-20.3</v>
      </c>
      <c r="L224">
        <f>480+2*(Table25791113[[#This Row],[min value (corrected)]]-50)</f>
        <v>490</v>
      </c>
      <c r="M224">
        <f>MINUTE(Table25791113[[#This Row],[Corrected time]])</f>
        <v>55</v>
      </c>
      <c r="N224" s="1">
        <v>0.62204909722222224</v>
      </c>
      <c r="O224" s="1">
        <f>Table25791113[[#This Row],[Time]]-TIME(0,0,3)</f>
        <v>0.62201437500000001</v>
      </c>
      <c r="P224" t="s">
        <v>9</v>
      </c>
      <c r="Q224">
        <v>-123</v>
      </c>
      <c r="R224">
        <f>Table25791113[[#This Row],[RSSI]]</f>
        <v>-123</v>
      </c>
      <c r="S224">
        <v>-19</v>
      </c>
    </row>
    <row r="225" spans="2:19" x14ac:dyDescent="0.25">
      <c r="B225">
        <f>480+2*(Table14681012[[#This Row],[min value (corrected)]]-34)</f>
        <v>490</v>
      </c>
      <c r="C225">
        <f>MINUTE(Table14681012[[#This Row],[Corrected time]])</f>
        <v>39</v>
      </c>
      <c r="D225" s="1">
        <v>0.73570387731481479</v>
      </c>
      <c r="E225" s="1">
        <f>Table14681012[[#This Row],[Time]]-TIME(0,0,9)</f>
        <v>0.73559971064814811</v>
      </c>
      <c r="F225" t="s">
        <v>9</v>
      </c>
      <c r="G225" t="s">
        <v>12</v>
      </c>
      <c r="H225">
        <f t="shared" si="7"/>
        <v>-123</v>
      </c>
      <c r="I225">
        <v>-19.5</v>
      </c>
      <c r="L225">
        <f>480+2*(Table25791113[[#This Row],[min value (corrected)]]-50)</f>
        <v>490</v>
      </c>
      <c r="M225">
        <f>MINUTE(Table25791113[[#This Row],[Corrected time]])</f>
        <v>55</v>
      </c>
      <c r="N225" s="1">
        <v>0.62206835648148151</v>
      </c>
      <c r="O225" s="1">
        <f>Table25791113[[#This Row],[Time]]-TIME(0,0,3)</f>
        <v>0.62203363425925928</v>
      </c>
      <c r="P225" t="s">
        <v>9</v>
      </c>
      <c r="Q225">
        <v>-123</v>
      </c>
      <c r="R225">
        <f>Table25791113[[#This Row],[RSSI]]</f>
        <v>-123</v>
      </c>
      <c r="S225">
        <v>-18.8</v>
      </c>
    </row>
    <row r="226" spans="2:19" x14ac:dyDescent="0.25">
      <c r="B226">
        <f>480+2*(Table14681012[[#This Row],[min value (corrected)]]-34)</f>
        <v>490</v>
      </c>
      <c r="C226">
        <f>MINUTE(Table14681012[[#This Row],[Corrected time]])</f>
        <v>39</v>
      </c>
      <c r="D226" s="1">
        <v>0.73572312500000003</v>
      </c>
      <c r="E226" s="1">
        <f>Table14681012[[#This Row],[Time]]-TIME(0,0,9)</f>
        <v>0.73561895833333335</v>
      </c>
      <c r="F226" t="s">
        <v>9</v>
      </c>
      <c r="G226" t="s">
        <v>12</v>
      </c>
      <c r="H226">
        <f t="shared" si="7"/>
        <v>-123</v>
      </c>
      <c r="I226">
        <v>-18.3</v>
      </c>
      <c r="L226">
        <f>480+2*(Table25791113[[#This Row],[min value (corrected)]]-50)</f>
        <v>490</v>
      </c>
      <c r="M226">
        <f>MINUTE(Table25791113[[#This Row],[Corrected time]])</f>
        <v>55</v>
      </c>
      <c r="N226" s="1">
        <v>0.62208760416666664</v>
      </c>
      <c r="O226" s="1">
        <f>Table25791113[[#This Row],[Time]]-TIME(0,0,3)</f>
        <v>0.62205288194444441</v>
      </c>
      <c r="P226" t="s">
        <v>9</v>
      </c>
      <c r="Q226">
        <v>-123</v>
      </c>
      <c r="R226">
        <f>Table25791113[[#This Row],[RSSI]]</f>
        <v>-123</v>
      </c>
      <c r="S226">
        <v>-18.8</v>
      </c>
    </row>
    <row r="227" spans="2:19" x14ac:dyDescent="0.25">
      <c r="B227">
        <f>480+2*(Table14681012[[#This Row],[min value (corrected)]]-34)</f>
        <v>490</v>
      </c>
      <c r="C227">
        <f>MINUTE(Table14681012[[#This Row],[Corrected time]])</f>
        <v>39</v>
      </c>
      <c r="D227" s="1">
        <v>0.73574237268518528</v>
      </c>
      <c r="E227" s="1">
        <f>Table14681012[[#This Row],[Time]]-TIME(0,0,9)</f>
        <v>0.73563820601851859</v>
      </c>
      <c r="F227" t="s">
        <v>9</v>
      </c>
      <c r="G227" t="s">
        <v>12</v>
      </c>
      <c r="H227">
        <f t="shared" si="7"/>
        <v>-123</v>
      </c>
      <c r="I227">
        <v>-19.3</v>
      </c>
      <c r="L227">
        <f>480+2*(Table25791113[[#This Row],[min value (corrected)]]-50)</f>
        <v>490</v>
      </c>
      <c r="M227">
        <f>MINUTE(Table25791113[[#This Row],[Corrected time]])</f>
        <v>55</v>
      </c>
      <c r="N227" s="1">
        <v>0.62210685185185188</v>
      </c>
      <c r="O227" s="1">
        <f>Table25791113[[#This Row],[Time]]-TIME(0,0,3)</f>
        <v>0.62207212962962966</v>
      </c>
      <c r="P227" t="s">
        <v>9</v>
      </c>
      <c r="Q227">
        <v>-123</v>
      </c>
      <c r="R227">
        <f>Table25791113[[#This Row],[RSSI]]</f>
        <v>-123</v>
      </c>
      <c r="S227">
        <v>-18.5</v>
      </c>
    </row>
    <row r="228" spans="2:19" x14ac:dyDescent="0.25">
      <c r="B228">
        <f>480+2*(Table14681012[[#This Row],[min value (corrected)]]-34)</f>
        <v>490</v>
      </c>
      <c r="C228">
        <f>MINUTE(Table14681012[[#This Row],[Corrected time]])</f>
        <v>39</v>
      </c>
      <c r="D228" s="1">
        <v>0.73576160879629626</v>
      </c>
      <c r="E228" s="1">
        <f>Table14681012[[#This Row],[Time]]-TIME(0,0,9)</f>
        <v>0.73565744212962958</v>
      </c>
      <c r="F228" t="s">
        <v>9</v>
      </c>
      <c r="G228" t="s">
        <v>12</v>
      </c>
      <c r="H228">
        <f t="shared" si="7"/>
        <v>-123</v>
      </c>
      <c r="I228">
        <v>-19.3</v>
      </c>
      <c r="L228">
        <f>480+2*(Table25791113[[#This Row],[min value (corrected)]]-50)</f>
        <v>490</v>
      </c>
      <c r="M228">
        <f>MINUTE(Table25791113[[#This Row],[Corrected time]])</f>
        <v>55</v>
      </c>
      <c r="N228" s="1">
        <v>0.62212609953703701</v>
      </c>
      <c r="O228" s="1">
        <f>Table25791113[[#This Row],[Time]]-TIME(0,0,3)</f>
        <v>0.62209137731481479</v>
      </c>
      <c r="P228" t="s">
        <v>9</v>
      </c>
      <c r="Q228">
        <v>-123</v>
      </c>
      <c r="R228">
        <f>Table25791113[[#This Row],[RSSI]]</f>
        <v>-123</v>
      </c>
      <c r="S228">
        <v>-19.3</v>
      </c>
    </row>
    <row r="229" spans="2:19" x14ac:dyDescent="0.25">
      <c r="B229">
        <f>480+2*(Table14681012[[#This Row],[min value (corrected)]]-34)</f>
        <v>490</v>
      </c>
      <c r="C229">
        <f>MINUTE(Table14681012[[#This Row],[Corrected time]])</f>
        <v>39</v>
      </c>
      <c r="D229" s="1">
        <v>0.73578086805555554</v>
      </c>
      <c r="E229" s="1">
        <f>Table14681012[[#This Row],[Time]]-TIME(0,0,9)</f>
        <v>0.73567670138888885</v>
      </c>
      <c r="F229" t="s">
        <v>9</v>
      </c>
      <c r="G229" t="s">
        <v>12</v>
      </c>
      <c r="H229">
        <f t="shared" si="7"/>
        <v>-123</v>
      </c>
      <c r="I229">
        <v>-18.3</v>
      </c>
      <c r="L229">
        <f>480+2*(Table25791113[[#This Row],[min value (corrected)]]-50)</f>
        <v>490</v>
      </c>
      <c r="M229">
        <f>MINUTE(Table25791113[[#This Row],[Corrected time]])</f>
        <v>55</v>
      </c>
      <c r="N229" s="1">
        <v>0.62214534722222226</v>
      </c>
      <c r="O229" s="1">
        <f>Table25791113[[#This Row],[Time]]-TIME(0,0,3)</f>
        <v>0.62211062500000003</v>
      </c>
      <c r="P229" t="s">
        <v>9</v>
      </c>
      <c r="Q229">
        <v>-123</v>
      </c>
      <c r="R229">
        <f>Table25791113[[#This Row],[RSSI]]</f>
        <v>-123</v>
      </c>
      <c r="S229">
        <v>-19.5</v>
      </c>
    </row>
    <row r="230" spans="2:19" x14ac:dyDescent="0.25">
      <c r="B230">
        <f>480+2*(Table14681012[[#This Row],[min value (corrected)]]-34)</f>
        <v>490</v>
      </c>
      <c r="C230">
        <f>MINUTE(Table14681012[[#This Row],[Corrected time]])</f>
        <v>39</v>
      </c>
      <c r="D230" s="1">
        <v>0.73580010416666664</v>
      </c>
      <c r="E230" s="1">
        <f>Table14681012[[#This Row],[Time]]-TIME(0,0,9)</f>
        <v>0.73569593749999995</v>
      </c>
      <c r="F230" t="s">
        <v>9</v>
      </c>
      <c r="G230" t="s">
        <v>12</v>
      </c>
      <c r="H230">
        <f t="shared" si="7"/>
        <v>-123</v>
      </c>
      <c r="I230">
        <v>-18.3</v>
      </c>
      <c r="L230">
        <f>480+2*(Table25791113[[#This Row],[min value (corrected)]]-50)</f>
        <v>490</v>
      </c>
      <c r="M230">
        <f>MINUTE(Table25791113[[#This Row],[Corrected time]])</f>
        <v>55</v>
      </c>
      <c r="N230" s="1">
        <v>0.62216458333333324</v>
      </c>
      <c r="O230" s="1">
        <f>Table25791113[[#This Row],[Time]]-TIME(0,0,3)</f>
        <v>0.62212986111111102</v>
      </c>
      <c r="P230" t="s">
        <v>9</v>
      </c>
      <c r="Q230">
        <v>-123</v>
      </c>
      <c r="R230">
        <f>Table25791113[[#This Row],[RSSI]]</f>
        <v>-123</v>
      </c>
      <c r="S230">
        <v>-18.3</v>
      </c>
    </row>
    <row r="231" spans="2:19" x14ac:dyDescent="0.25">
      <c r="B231">
        <f>480+2*(Table14681012[[#This Row],[min value (corrected)]]-34)</f>
        <v>490</v>
      </c>
      <c r="C231">
        <f>MINUTE(Table14681012[[#This Row],[Corrected time]])</f>
        <v>39</v>
      </c>
      <c r="D231" s="1">
        <v>0.73581936342592591</v>
      </c>
      <c r="E231" s="1">
        <f>Table14681012[[#This Row],[Time]]-TIME(0,0,9)</f>
        <v>0.73571519675925923</v>
      </c>
      <c r="F231" t="s">
        <v>9</v>
      </c>
      <c r="G231" t="s">
        <v>19</v>
      </c>
      <c r="H231">
        <f t="shared" si="7"/>
        <v>-124</v>
      </c>
      <c r="I231">
        <v>-18.5</v>
      </c>
      <c r="L231">
        <f>480+2*(Table25791113[[#This Row],[min value (corrected)]]-50)</f>
        <v>490</v>
      </c>
      <c r="M231">
        <f>MINUTE(Table25791113[[#This Row],[Corrected time]])</f>
        <v>55</v>
      </c>
      <c r="N231" s="1">
        <v>0.62218384259259263</v>
      </c>
      <c r="O231" s="1">
        <f>Table25791113[[#This Row],[Time]]-TIME(0,0,3)</f>
        <v>0.6221491203703704</v>
      </c>
      <c r="P231" t="s">
        <v>9</v>
      </c>
      <c r="Q231">
        <v>-124</v>
      </c>
      <c r="R231">
        <f>Table25791113[[#This Row],[RSSI]]</f>
        <v>-124</v>
      </c>
      <c r="S231">
        <v>-20.3</v>
      </c>
    </row>
    <row r="232" spans="2:19" x14ac:dyDescent="0.25">
      <c r="B232">
        <f>480+2*(Table14681012[[#This Row],[min value (corrected)]]-34)</f>
        <v>490</v>
      </c>
      <c r="C232">
        <f>MINUTE(Table14681012[[#This Row],[Corrected time]])</f>
        <v>39</v>
      </c>
      <c r="D232" s="1">
        <v>0.73583861111111104</v>
      </c>
      <c r="E232" s="1">
        <f>Table14681012[[#This Row],[Time]]-TIME(0,0,9)</f>
        <v>0.73573444444444436</v>
      </c>
      <c r="F232" t="s">
        <v>9</v>
      </c>
      <c r="G232" t="s">
        <v>12</v>
      </c>
      <c r="H232">
        <f t="shared" si="7"/>
        <v>-123</v>
      </c>
      <c r="I232">
        <v>-18</v>
      </c>
      <c r="L232">
        <f>480+2*(Table25791113[[#This Row],[min value (corrected)]]-50)</f>
        <v>490</v>
      </c>
      <c r="M232">
        <f>MINUTE(Table25791113[[#This Row],[Corrected time]])</f>
        <v>55</v>
      </c>
      <c r="N232" s="1">
        <v>0.62220309027777776</v>
      </c>
      <c r="O232" s="1">
        <f>Table25791113[[#This Row],[Time]]-TIME(0,0,3)</f>
        <v>0.62216836805555553</v>
      </c>
      <c r="P232" t="s">
        <v>9</v>
      </c>
      <c r="Q232">
        <v>-123</v>
      </c>
      <c r="R232">
        <f>Table25791113[[#This Row],[RSSI]]</f>
        <v>-123</v>
      </c>
      <c r="S232">
        <v>-18.5</v>
      </c>
    </row>
    <row r="233" spans="2:19" x14ac:dyDescent="0.25">
      <c r="B233">
        <f>480+2*(Table14681012[[#This Row],[min value (corrected)]]-34)</f>
        <v>490</v>
      </c>
      <c r="C233">
        <f>MINUTE(Table14681012[[#This Row],[Corrected time]])</f>
        <v>39</v>
      </c>
      <c r="D233" s="1">
        <v>0.73585785879629628</v>
      </c>
      <c r="E233" s="1">
        <f>Table14681012[[#This Row],[Time]]-TIME(0,0,9)</f>
        <v>0.7357536921296296</v>
      </c>
      <c r="F233" t="s">
        <v>9</v>
      </c>
      <c r="G233" t="s">
        <v>12</v>
      </c>
      <c r="H233">
        <f t="shared" si="7"/>
        <v>-123</v>
      </c>
      <c r="I233">
        <v>-18.3</v>
      </c>
      <c r="L233">
        <f>480+2*(Table25791113[[#This Row],[min value (corrected)]]-50)</f>
        <v>490</v>
      </c>
      <c r="M233">
        <f>MINUTE(Table25791113[[#This Row],[Corrected time]])</f>
        <v>55</v>
      </c>
      <c r="N233" s="1">
        <v>0.622222337962963</v>
      </c>
      <c r="O233" s="1">
        <f>Table25791113[[#This Row],[Time]]-TIME(0,0,3)</f>
        <v>0.62218761574074077</v>
      </c>
      <c r="P233" t="s">
        <v>9</v>
      </c>
      <c r="Q233">
        <v>-123</v>
      </c>
      <c r="R233">
        <f>Table25791113[[#This Row],[RSSI]]</f>
        <v>-123</v>
      </c>
      <c r="S233">
        <v>-19</v>
      </c>
    </row>
    <row r="234" spans="2:19" x14ac:dyDescent="0.25">
      <c r="B234">
        <f>480+2*(Table14681012[[#This Row],[min value (corrected)]]-34)</f>
        <v>490</v>
      </c>
      <c r="C234">
        <f>MINUTE(Table14681012[[#This Row],[Corrected time]])</f>
        <v>39</v>
      </c>
      <c r="D234" s="1">
        <v>0.73587710648148152</v>
      </c>
      <c r="E234" s="1">
        <f>Table14681012[[#This Row],[Time]]-TIME(0,0,9)</f>
        <v>0.73577293981481484</v>
      </c>
      <c r="F234" t="s">
        <v>9</v>
      </c>
      <c r="G234" t="s">
        <v>12</v>
      </c>
      <c r="H234">
        <f t="shared" si="7"/>
        <v>-123</v>
      </c>
      <c r="I234">
        <v>-18.8</v>
      </c>
      <c r="L234">
        <f>480+2*(Table25791113[[#This Row],[min value (corrected)]]-50)</f>
        <v>490</v>
      </c>
      <c r="M234">
        <f>MINUTE(Table25791113[[#This Row],[Corrected time]])</f>
        <v>55</v>
      </c>
      <c r="N234" s="1">
        <v>0.62224158564814813</v>
      </c>
      <c r="O234" s="1">
        <f>Table25791113[[#This Row],[Time]]-TIME(0,0,3)</f>
        <v>0.6222068634259259</v>
      </c>
      <c r="P234" t="s">
        <v>9</v>
      </c>
      <c r="Q234">
        <v>-124</v>
      </c>
      <c r="R234">
        <f>Table25791113[[#This Row],[RSSI]]</f>
        <v>-124</v>
      </c>
      <c r="S234">
        <v>-18.5</v>
      </c>
    </row>
    <row r="235" spans="2:19" x14ac:dyDescent="0.25">
      <c r="B235">
        <f>480+2*(Table14681012[[#This Row],[min value (corrected)]]-34)</f>
        <v>490</v>
      </c>
      <c r="C235">
        <f>MINUTE(Table14681012[[#This Row],[Corrected time]])</f>
        <v>39</v>
      </c>
      <c r="D235" s="1">
        <v>0.73589634259259262</v>
      </c>
      <c r="E235" s="1">
        <f>Table14681012[[#This Row],[Time]]-TIME(0,0,9)</f>
        <v>0.73579217592592594</v>
      </c>
      <c r="F235" t="s">
        <v>9</v>
      </c>
      <c r="G235" t="s">
        <v>12</v>
      </c>
      <c r="H235">
        <f t="shared" si="7"/>
        <v>-123</v>
      </c>
      <c r="I235">
        <v>-19.3</v>
      </c>
      <c r="L235">
        <f>480+2*(Table25791113[[#This Row],[min value (corrected)]]-50)</f>
        <v>492</v>
      </c>
      <c r="M235">
        <f>MINUTE(Table25791113[[#This Row],[Corrected time]])</f>
        <v>56</v>
      </c>
      <c r="N235" s="1">
        <v>0.62226083333333337</v>
      </c>
      <c r="O235" s="1">
        <f>Table25791113[[#This Row],[Time]]-TIME(0,0,3)</f>
        <v>0.62222611111111115</v>
      </c>
      <c r="P235" t="s">
        <v>9</v>
      </c>
      <c r="Q235">
        <v>-124</v>
      </c>
      <c r="R235">
        <f>Table25791113[[#This Row],[RSSI]]</f>
        <v>-124</v>
      </c>
      <c r="S235">
        <v>-19.8</v>
      </c>
    </row>
    <row r="236" spans="2:19" x14ac:dyDescent="0.25">
      <c r="B236">
        <f>480+2*(Table14681012[[#This Row],[min value (corrected)]]-34)</f>
        <v>490</v>
      </c>
      <c r="C236">
        <f>MINUTE(Table14681012[[#This Row],[Corrected time]])</f>
        <v>39</v>
      </c>
      <c r="D236" s="1">
        <v>0.7359156018518519</v>
      </c>
      <c r="E236" s="1">
        <f>Table14681012[[#This Row],[Time]]-TIME(0,0,9)</f>
        <v>0.73581143518518521</v>
      </c>
      <c r="F236" t="s">
        <v>9</v>
      </c>
      <c r="G236" t="s">
        <v>12</v>
      </c>
      <c r="H236">
        <f t="shared" si="7"/>
        <v>-123</v>
      </c>
      <c r="I236">
        <v>-18.8</v>
      </c>
      <c r="L236">
        <f>480+2*(Table25791113[[#This Row],[min value (corrected)]]-50)</f>
        <v>492</v>
      </c>
      <c r="M236">
        <f>MINUTE(Table25791113[[#This Row],[Corrected time]])</f>
        <v>56</v>
      </c>
      <c r="N236" s="1">
        <v>0.6222800810185185</v>
      </c>
      <c r="O236" s="1">
        <f>Table25791113[[#This Row],[Time]]-TIME(0,0,3)</f>
        <v>0.62224535879629628</v>
      </c>
      <c r="P236" t="s">
        <v>9</v>
      </c>
      <c r="Q236">
        <v>-124</v>
      </c>
      <c r="R236">
        <f>Table25791113[[#This Row],[RSSI]]</f>
        <v>-124</v>
      </c>
      <c r="S236">
        <v>-20.5</v>
      </c>
    </row>
    <row r="237" spans="2:19" x14ac:dyDescent="0.25">
      <c r="B237">
        <f>480+2*(Table14681012[[#This Row],[min value (corrected)]]-34)</f>
        <v>490</v>
      </c>
      <c r="C237">
        <f>MINUTE(Table14681012[[#This Row],[Corrected time]])</f>
        <v>39</v>
      </c>
      <c r="D237" s="1">
        <v>0.73593484953703703</v>
      </c>
      <c r="E237" s="1">
        <f>Table14681012[[#This Row],[Time]]-TIME(0,0,9)</f>
        <v>0.73583068287037035</v>
      </c>
      <c r="F237" t="s">
        <v>9</v>
      </c>
      <c r="G237" t="s">
        <v>19</v>
      </c>
      <c r="H237">
        <f t="shared" si="7"/>
        <v>-124</v>
      </c>
      <c r="I237">
        <v>-19.5</v>
      </c>
      <c r="L237">
        <f>480+2*(Table25791113[[#This Row],[min value (corrected)]]-50)</f>
        <v>492</v>
      </c>
      <c r="M237">
        <f>MINUTE(Table25791113[[#This Row],[Corrected time]])</f>
        <v>56</v>
      </c>
      <c r="N237" s="1">
        <v>0.6222993171296296</v>
      </c>
      <c r="O237" s="1">
        <f>Table25791113[[#This Row],[Time]]-TIME(0,0,3)</f>
        <v>0.62226459490740738</v>
      </c>
      <c r="P237" t="s">
        <v>9</v>
      </c>
      <c r="Q237">
        <v>-124</v>
      </c>
      <c r="R237">
        <f>Table25791113[[#This Row],[RSSI]]</f>
        <v>-124</v>
      </c>
      <c r="S237">
        <v>-20.5</v>
      </c>
    </row>
    <row r="238" spans="2:19" x14ac:dyDescent="0.25">
      <c r="B238">
        <f>480+2*(Table14681012[[#This Row],[min value (corrected)]]-34)</f>
        <v>490</v>
      </c>
      <c r="C238">
        <f>MINUTE(Table14681012[[#This Row],[Corrected time]])</f>
        <v>39</v>
      </c>
      <c r="D238" s="1">
        <v>0.73595409722222227</v>
      </c>
      <c r="E238" s="1">
        <f>Table14681012[[#This Row],[Time]]-TIME(0,0,9)</f>
        <v>0.73584993055555559</v>
      </c>
      <c r="F238" t="s">
        <v>9</v>
      </c>
      <c r="G238" t="s">
        <v>12</v>
      </c>
      <c r="H238">
        <f t="shared" si="7"/>
        <v>-123</v>
      </c>
      <c r="I238">
        <v>-19.5</v>
      </c>
      <c r="L238">
        <f>480+2*(Table25791113[[#This Row],[min value (corrected)]]-50)</f>
        <v>492</v>
      </c>
      <c r="M238">
        <f>MINUTE(Table25791113[[#This Row],[Corrected time]])</f>
        <v>56</v>
      </c>
      <c r="N238" s="1">
        <v>0.62231857638888888</v>
      </c>
      <c r="O238" s="1">
        <f>Table25791113[[#This Row],[Time]]-TIME(0,0,3)</f>
        <v>0.62228385416666665</v>
      </c>
      <c r="P238" t="s">
        <v>13</v>
      </c>
      <c r="Q238">
        <f>Q237</f>
        <v>-124</v>
      </c>
      <c r="R238">
        <f>Table25791113[[#This Row],[RSSI]]</f>
        <v>-124</v>
      </c>
      <c r="S238">
        <f>S237</f>
        <v>-20.5</v>
      </c>
    </row>
    <row r="239" spans="2:19" x14ac:dyDescent="0.25">
      <c r="B239">
        <f>480+2*(Table14681012[[#This Row],[min value (corrected)]]-34)</f>
        <v>490</v>
      </c>
      <c r="C239">
        <f>MINUTE(Table14681012[[#This Row],[Corrected time]])</f>
        <v>39</v>
      </c>
      <c r="D239" s="1">
        <v>0.7359733449074074</v>
      </c>
      <c r="E239" s="1">
        <f>Table14681012[[#This Row],[Time]]-TIME(0,0,9)</f>
        <v>0.73586917824074072</v>
      </c>
      <c r="F239" t="s">
        <v>9</v>
      </c>
      <c r="G239" t="s">
        <v>12</v>
      </c>
      <c r="H239">
        <f t="shared" si="7"/>
        <v>-123</v>
      </c>
      <c r="I239">
        <v>-19</v>
      </c>
      <c r="L239">
        <f>480+2*(Table25791113[[#This Row],[min value (corrected)]]-50)</f>
        <v>492</v>
      </c>
      <c r="M239">
        <f>MINUTE(Table25791113[[#This Row],[Corrected time]])</f>
        <v>56</v>
      </c>
      <c r="N239" s="1">
        <v>0.62233782407407401</v>
      </c>
      <c r="O239" s="1">
        <f>Table25791113[[#This Row],[Time]]-TIME(0,0,3)</f>
        <v>0.62230310185185178</v>
      </c>
      <c r="P239" t="s">
        <v>9</v>
      </c>
      <c r="Q239">
        <v>-124</v>
      </c>
      <c r="R239">
        <f>Table25791113[[#This Row],[RSSI]]</f>
        <v>-124</v>
      </c>
      <c r="S239">
        <v>-19.8</v>
      </c>
    </row>
    <row r="240" spans="2:19" x14ac:dyDescent="0.25">
      <c r="B240">
        <f>480+2*(Table14681012[[#This Row],[min value (corrected)]]-34)</f>
        <v>490</v>
      </c>
      <c r="C240">
        <f>MINUTE(Table14681012[[#This Row],[Corrected time]])</f>
        <v>39</v>
      </c>
      <c r="D240" s="1">
        <v>0.73599259259259264</v>
      </c>
      <c r="E240" s="1">
        <f>Table14681012[[#This Row],[Time]]-TIME(0,0,9)</f>
        <v>0.73588842592592596</v>
      </c>
      <c r="F240" t="s">
        <v>9</v>
      </c>
      <c r="G240" t="s">
        <v>12</v>
      </c>
      <c r="H240">
        <f t="shared" si="7"/>
        <v>-123</v>
      </c>
      <c r="I240">
        <v>-18.5</v>
      </c>
      <c r="L240">
        <f>480+2*(Table25791113[[#This Row],[min value (corrected)]]-50)</f>
        <v>492</v>
      </c>
      <c r="M240">
        <f>MINUTE(Table25791113[[#This Row],[Corrected time]])</f>
        <v>56</v>
      </c>
      <c r="N240" s="1">
        <v>0.62235707175925925</v>
      </c>
      <c r="O240" s="1">
        <f>Table25791113[[#This Row],[Time]]-TIME(0,0,3)</f>
        <v>0.62232234953703702</v>
      </c>
      <c r="P240" t="s">
        <v>9</v>
      </c>
      <c r="Q240">
        <v>-124</v>
      </c>
      <c r="R240">
        <f>Table25791113[[#This Row],[RSSI]]</f>
        <v>-124</v>
      </c>
      <c r="S240">
        <v>-19.5</v>
      </c>
    </row>
    <row r="241" spans="2:19" x14ac:dyDescent="0.25">
      <c r="B241">
        <f>480+2*(Table14681012[[#This Row],[min value (corrected)]]-34)</f>
        <v>490</v>
      </c>
      <c r="C241">
        <f>MINUTE(Table14681012[[#This Row],[Corrected time]])</f>
        <v>39</v>
      </c>
      <c r="D241" s="1">
        <v>0.73601184027777777</v>
      </c>
      <c r="E241" s="1">
        <f>Table14681012[[#This Row],[Time]]-TIME(0,0,9)</f>
        <v>0.73590767361111109</v>
      </c>
      <c r="F241" t="s">
        <v>9</v>
      </c>
      <c r="G241" t="s">
        <v>19</v>
      </c>
      <c r="H241">
        <f t="shared" si="7"/>
        <v>-124</v>
      </c>
      <c r="I241">
        <v>-19</v>
      </c>
      <c r="L241">
        <f>480+2*(Table25791113[[#This Row],[min value (corrected)]]-50)</f>
        <v>492</v>
      </c>
      <c r="M241">
        <f>MINUTE(Table25791113[[#This Row],[Corrected time]])</f>
        <v>56</v>
      </c>
      <c r="N241" s="1">
        <v>0.62237630787037035</v>
      </c>
      <c r="O241" s="1">
        <f>Table25791113[[#This Row],[Time]]-TIME(0,0,3)</f>
        <v>0.62234158564814812</v>
      </c>
      <c r="P241" t="s">
        <v>9</v>
      </c>
      <c r="Q241">
        <v>-124</v>
      </c>
      <c r="R241">
        <f>Table25791113[[#This Row],[RSSI]]</f>
        <v>-124</v>
      </c>
      <c r="S241">
        <v>-19.8</v>
      </c>
    </row>
    <row r="242" spans="2:19" x14ac:dyDescent="0.25">
      <c r="B242">
        <f>480+2*(Table14681012[[#This Row],[min value (corrected)]]-34)</f>
        <v>490</v>
      </c>
      <c r="C242">
        <f>MINUTE(Table14681012[[#This Row],[Corrected time]])</f>
        <v>39</v>
      </c>
      <c r="D242" s="1">
        <v>0.73603108796296302</v>
      </c>
      <c r="E242" s="1">
        <f>Table14681012[[#This Row],[Time]]-TIME(0,0,9)</f>
        <v>0.73592692129629633</v>
      </c>
      <c r="F242" t="s">
        <v>9</v>
      </c>
      <c r="G242" t="s">
        <v>19</v>
      </c>
      <c r="H242">
        <f t="shared" si="7"/>
        <v>-124</v>
      </c>
      <c r="I242">
        <v>-19</v>
      </c>
      <c r="L242">
        <f>480+2*(Table25791113[[#This Row],[min value (corrected)]]-50)</f>
        <v>492</v>
      </c>
      <c r="M242">
        <f>MINUTE(Table25791113[[#This Row],[Corrected time]])</f>
        <v>56</v>
      </c>
      <c r="N242" s="1">
        <v>0.62239556712962962</v>
      </c>
      <c r="O242" s="1">
        <f>Table25791113[[#This Row],[Time]]-TIME(0,0,3)</f>
        <v>0.6223608449074074</v>
      </c>
      <c r="P242" t="s">
        <v>9</v>
      </c>
      <c r="Q242">
        <v>-123</v>
      </c>
      <c r="R242">
        <f>Table25791113[[#This Row],[RSSI]]</f>
        <v>-123</v>
      </c>
      <c r="S242">
        <v>-19.3</v>
      </c>
    </row>
    <row r="243" spans="2:19" x14ac:dyDescent="0.25">
      <c r="B243">
        <f>480+2*(Table14681012[[#This Row],[min value (corrected)]]-34)</f>
        <v>490</v>
      </c>
      <c r="C243">
        <f>MINUTE(Table14681012[[#This Row],[Corrected time]])</f>
        <v>39</v>
      </c>
      <c r="D243" s="1">
        <v>0.73605032407407411</v>
      </c>
      <c r="E243" s="1">
        <f>Table14681012[[#This Row],[Time]]-TIME(0,0,9)</f>
        <v>0.73594615740740743</v>
      </c>
      <c r="F243" t="s">
        <v>9</v>
      </c>
      <c r="G243" t="s">
        <v>19</v>
      </c>
      <c r="H243">
        <f t="shared" si="7"/>
        <v>-124</v>
      </c>
      <c r="I243">
        <v>-19.3</v>
      </c>
      <c r="L243">
        <f>480+2*(Table25791113[[#This Row],[min value (corrected)]]-50)</f>
        <v>492</v>
      </c>
      <c r="M243">
        <f>MINUTE(Table25791113[[#This Row],[Corrected time]])</f>
        <v>56</v>
      </c>
      <c r="N243" s="1">
        <v>0.62241481481481475</v>
      </c>
      <c r="O243" s="1">
        <f>Table25791113[[#This Row],[Time]]-TIME(0,0,3)</f>
        <v>0.62238009259259253</v>
      </c>
      <c r="P243" t="s">
        <v>9</v>
      </c>
      <c r="Q243">
        <v>-123</v>
      </c>
      <c r="R243">
        <f>Table25791113[[#This Row],[RSSI]]</f>
        <v>-123</v>
      </c>
      <c r="S243">
        <v>-19.5</v>
      </c>
    </row>
    <row r="244" spans="2:19" x14ac:dyDescent="0.25">
      <c r="B244">
        <f>480+2*(Table14681012[[#This Row],[min value (corrected)]]-34)</f>
        <v>490</v>
      </c>
      <c r="C244">
        <f>MINUTE(Table14681012[[#This Row],[Corrected time]])</f>
        <v>39</v>
      </c>
      <c r="D244" s="1">
        <v>0.73606958333333328</v>
      </c>
      <c r="E244" s="1">
        <f>Table14681012[[#This Row],[Time]]-TIME(0,0,9)</f>
        <v>0.73596541666666659</v>
      </c>
      <c r="F244" t="s">
        <v>9</v>
      </c>
      <c r="G244" t="s">
        <v>12</v>
      </c>
      <c r="H244">
        <f t="shared" si="7"/>
        <v>-123</v>
      </c>
      <c r="I244">
        <v>-19.3</v>
      </c>
      <c r="L244">
        <f>480+2*(Table25791113[[#This Row],[min value (corrected)]]-50)</f>
        <v>492</v>
      </c>
      <c r="M244">
        <f>MINUTE(Table25791113[[#This Row],[Corrected time]])</f>
        <v>56</v>
      </c>
      <c r="N244" s="1">
        <v>0.62243405092592596</v>
      </c>
      <c r="O244" s="1">
        <f>Table25791113[[#This Row],[Time]]-TIME(0,0,3)</f>
        <v>0.62239932870370374</v>
      </c>
      <c r="P244" t="s">
        <v>9</v>
      </c>
      <c r="Q244">
        <v>-124</v>
      </c>
      <c r="R244">
        <f>Table25791113[[#This Row],[RSSI]]</f>
        <v>-124</v>
      </c>
      <c r="S244">
        <v>-18.8</v>
      </c>
    </row>
    <row r="245" spans="2:19" x14ac:dyDescent="0.25">
      <c r="B245">
        <f>480+2*(Table14681012[[#This Row],[min value (corrected)]]-34)</f>
        <v>490</v>
      </c>
      <c r="C245">
        <f>MINUTE(Table14681012[[#This Row],[Corrected time]])</f>
        <v>39</v>
      </c>
      <c r="D245" s="1">
        <v>0.73608883101851852</v>
      </c>
      <c r="E245" s="1">
        <f>Table14681012[[#This Row],[Time]]-TIME(0,0,9)</f>
        <v>0.73598466435185184</v>
      </c>
      <c r="F245" t="s">
        <v>9</v>
      </c>
      <c r="G245" t="s">
        <v>12</v>
      </c>
      <c r="H245">
        <f t="shared" si="7"/>
        <v>-123</v>
      </c>
      <c r="I245">
        <v>-18</v>
      </c>
      <c r="L245">
        <f>480+2*(Table25791113[[#This Row],[min value (corrected)]]-50)</f>
        <v>492</v>
      </c>
      <c r="M245">
        <f>MINUTE(Table25791113[[#This Row],[Corrected time]])</f>
        <v>56</v>
      </c>
      <c r="N245" s="1">
        <v>0.62245331018518524</v>
      </c>
      <c r="O245" s="1">
        <f>Table25791113[[#This Row],[Time]]-TIME(0,0,3)</f>
        <v>0.62241858796296301</v>
      </c>
      <c r="P245" t="s">
        <v>9</v>
      </c>
      <c r="Q245">
        <v>-123</v>
      </c>
      <c r="R245">
        <f>Table25791113[[#This Row],[RSSI]]</f>
        <v>-123</v>
      </c>
      <c r="S245">
        <v>-18.5</v>
      </c>
    </row>
    <row r="246" spans="2:19" x14ac:dyDescent="0.25">
      <c r="B246">
        <f>480+2*(Table14681012[[#This Row],[min value (corrected)]]-34)</f>
        <v>490</v>
      </c>
      <c r="C246">
        <f>MINUTE(Table14681012[[#This Row],[Corrected time]])</f>
        <v>39</v>
      </c>
      <c r="D246" s="1">
        <v>0.73610807870370365</v>
      </c>
      <c r="E246" s="1">
        <f>Table14681012[[#This Row],[Time]]-TIME(0,0,9)</f>
        <v>0.73600391203703697</v>
      </c>
      <c r="F246" t="s">
        <v>9</v>
      </c>
      <c r="G246" t="s">
        <v>12</v>
      </c>
      <c r="H246">
        <f t="shared" si="7"/>
        <v>-123</v>
      </c>
      <c r="I246">
        <v>-18</v>
      </c>
      <c r="L246">
        <f>480+2*(Table25791113[[#This Row],[min value (corrected)]]-50)</f>
        <v>492</v>
      </c>
      <c r="M246">
        <f>MINUTE(Table25791113[[#This Row],[Corrected time]])</f>
        <v>56</v>
      </c>
      <c r="N246" s="1">
        <v>0.62247255787037037</v>
      </c>
      <c r="O246" s="1">
        <f>Table25791113[[#This Row],[Time]]-TIME(0,0,3)</f>
        <v>0.62243783564814814</v>
      </c>
      <c r="P246" t="s">
        <v>9</v>
      </c>
      <c r="Q246">
        <v>-123</v>
      </c>
      <c r="R246">
        <f>Table25791113[[#This Row],[RSSI]]</f>
        <v>-123</v>
      </c>
      <c r="S246">
        <v>-18.8</v>
      </c>
    </row>
    <row r="247" spans="2:19" x14ac:dyDescent="0.25">
      <c r="B247">
        <f>480+2*(Table14681012[[#This Row],[min value (corrected)]]-34)</f>
        <v>490</v>
      </c>
      <c r="C247">
        <f>MINUTE(Table14681012[[#This Row],[Corrected time]])</f>
        <v>39</v>
      </c>
      <c r="D247" s="1">
        <v>0.73612731481481486</v>
      </c>
      <c r="E247" s="1">
        <f>Table14681012[[#This Row],[Time]]-TIME(0,0,9)</f>
        <v>0.73602314814814818</v>
      </c>
      <c r="F247" t="s">
        <v>9</v>
      </c>
      <c r="G247" t="s">
        <v>12</v>
      </c>
      <c r="H247">
        <f t="shared" si="7"/>
        <v>-123</v>
      </c>
      <c r="I247">
        <v>-18.8</v>
      </c>
      <c r="L247">
        <f>480+2*(Table25791113[[#This Row],[min value (corrected)]]-50)</f>
        <v>492</v>
      </c>
      <c r="M247">
        <f>MINUTE(Table25791113[[#This Row],[Corrected time]])</f>
        <v>56</v>
      </c>
      <c r="N247" s="1">
        <v>0.62249180555555561</v>
      </c>
      <c r="O247" s="1">
        <f>Table25791113[[#This Row],[Time]]-TIME(0,0,3)</f>
        <v>0.62245708333333338</v>
      </c>
      <c r="P247" t="s">
        <v>9</v>
      </c>
      <c r="Q247">
        <v>-123</v>
      </c>
      <c r="R247">
        <f>Table25791113[[#This Row],[RSSI]]</f>
        <v>-123</v>
      </c>
      <c r="S247">
        <v>-18.8</v>
      </c>
    </row>
    <row r="248" spans="2:19" x14ac:dyDescent="0.25">
      <c r="B248">
        <f>480+2*(Table14681012[[#This Row],[min value (corrected)]]-34)</f>
        <v>490</v>
      </c>
      <c r="C248">
        <f>MINUTE(Table14681012[[#This Row],[Corrected time]])</f>
        <v>39</v>
      </c>
      <c r="D248" s="1">
        <v>0.73614657407407402</v>
      </c>
      <c r="E248" s="1">
        <f>Table14681012[[#This Row],[Time]]-TIME(0,0,9)</f>
        <v>0.73604240740740734</v>
      </c>
      <c r="F248" t="s">
        <v>9</v>
      </c>
      <c r="G248" t="s">
        <v>12</v>
      </c>
      <c r="H248">
        <f t="shared" si="7"/>
        <v>-123</v>
      </c>
      <c r="I248">
        <v>-18.3</v>
      </c>
      <c r="L248">
        <f>480+2*(Table25791113[[#This Row],[min value (corrected)]]-50)</f>
        <v>492</v>
      </c>
      <c r="M248">
        <f>MINUTE(Table25791113[[#This Row],[Corrected time]])</f>
        <v>56</v>
      </c>
      <c r="N248" s="1">
        <v>0.62251105324074074</v>
      </c>
      <c r="O248" s="1">
        <f>Table25791113[[#This Row],[Time]]-TIME(0,0,3)</f>
        <v>0.62247633101851851</v>
      </c>
      <c r="P248" t="s">
        <v>9</v>
      </c>
      <c r="Q248">
        <v>-123</v>
      </c>
      <c r="R248">
        <f>Table25791113[[#This Row],[RSSI]]</f>
        <v>-123</v>
      </c>
      <c r="S248">
        <v>-18.3</v>
      </c>
    </row>
    <row r="249" spans="2:19" x14ac:dyDescent="0.25">
      <c r="B249">
        <f>480+2*(Table14681012[[#This Row],[min value (corrected)]]-34)</f>
        <v>490</v>
      </c>
      <c r="C249">
        <f>MINUTE(Table14681012[[#This Row],[Corrected time]])</f>
        <v>39</v>
      </c>
      <c r="D249" s="1">
        <v>0.73616581018518523</v>
      </c>
      <c r="E249" s="1">
        <f>Table14681012[[#This Row],[Time]]-TIME(0,0,9)</f>
        <v>0.73606164351851855</v>
      </c>
      <c r="F249" t="s">
        <v>9</v>
      </c>
      <c r="G249" t="s">
        <v>19</v>
      </c>
      <c r="H249">
        <f t="shared" si="7"/>
        <v>-124</v>
      </c>
      <c r="I249">
        <v>-19</v>
      </c>
      <c r="L249">
        <f>480+2*(Table25791113[[#This Row],[min value (corrected)]]-50)</f>
        <v>492</v>
      </c>
      <c r="M249">
        <f>MINUTE(Table25791113[[#This Row],[Corrected time]])</f>
        <v>56</v>
      </c>
      <c r="N249" s="1">
        <v>0.62253030092592598</v>
      </c>
      <c r="O249" s="1">
        <f>Table25791113[[#This Row],[Time]]-TIME(0,0,3)</f>
        <v>0.62249557870370376</v>
      </c>
      <c r="P249" t="s">
        <v>9</v>
      </c>
      <c r="Q249">
        <v>-123</v>
      </c>
      <c r="R249">
        <f>Table25791113[[#This Row],[RSSI]]</f>
        <v>-123</v>
      </c>
      <c r="S249">
        <v>-18.5</v>
      </c>
    </row>
    <row r="250" spans="2:19" x14ac:dyDescent="0.25">
      <c r="B250">
        <f>480+2*(Table14681012[[#This Row],[min value (corrected)]]-34)</f>
        <v>490</v>
      </c>
      <c r="C250">
        <f>MINUTE(Table14681012[[#This Row],[Corrected time]])</f>
        <v>39</v>
      </c>
      <c r="D250" s="1">
        <v>0.73618504629629633</v>
      </c>
      <c r="E250" s="1">
        <f>Table14681012[[#This Row],[Time]]-TIME(0,0,9)</f>
        <v>0.73608087962962965</v>
      </c>
      <c r="F250" t="s">
        <v>9</v>
      </c>
      <c r="G250" t="s">
        <v>19</v>
      </c>
      <c r="H250">
        <f t="shared" si="7"/>
        <v>-124</v>
      </c>
      <c r="I250">
        <v>-19.8</v>
      </c>
      <c r="L250">
        <f>480+2*(Table25791113[[#This Row],[min value (corrected)]]-50)</f>
        <v>492</v>
      </c>
      <c r="M250">
        <f>MINUTE(Table25791113[[#This Row],[Corrected time]])</f>
        <v>56</v>
      </c>
      <c r="N250" s="1">
        <v>0.62254954861111111</v>
      </c>
      <c r="O250" s="1">
        <f>Table25791113[[#This Row],[Time]]-TIME(0,0,3)</f>
        <v>0.62251482638888889</v>
      </c>
      <c r="P250" t="s">
        <v>9</v>
      </c>
      <c r="Q250">
        <v>-123</v>
      </c>
      <c r="R250">
        <f>Table25791113[[#This Row],[RSSI]]</f>
        <v>-123</v>
      </c>
      <c r="S250">
        <v>-19.3</v>
      </c>
    </row>
    <row r="251" spans="2:19" x14ac:dyDescent="0.25">
      <c r="B251">
        <f>480+2*(Table14681012[[#This Row],[min value (corrected)]]-34)</f>
        <v>490</v>
      </c>
      <c r="C251">
        <f>MINUTE(Table14681012[[#This Row],[Corrected time]])</f>
        <v>39</v>
      </c>
      <c r="D251" s="1">
        <v>0.73620431712962964</v>
      </c>
      <c r="E251" s="1">
        <f>Table14681012[[#This Row],[Time]]-TIME(0,0,9)</f>
        <v>0.73610015046296295</v>
      </c>
      <c r="F251" t="s">
        <v>9</v>
      </c>
      <c r="G251" t="s">
        <v>28</v>
      </c>
      <c r="H251">
        <f t="shared" si="7"/>
        <v>-125</v>
      </c>
      <c r="I251">
        <v>-20</v>
      </c>
      <c r="L251">
        <f>480+2*(Table25791113[[#This Row],[min value (corrected)]]-50)</f>
        <v>492</v>
      </c>
      <c r="M251">
        <f>MINUTE(Table25791113[[#This Row],[Corrected time]])</f>
        <v>56</v>
      </c>
      <c r="N251" s="1">
        <v>0.62256877314814818</v>
      </c>
      <c r="O251" s="1">
        <f>Table25791113[[#This Row],[Time]]-TIME(0,0,3)</f>
        <v>0.62253405092592595</v>
      </c>
      <c r="P251" t="s">
        <v>9</v>
      </c>
      <c r="Q251">
        <v>-123</v>
      </c>
      <c r="R251">
        <f>Table25791113[[#This Row],[RSSI]]</f>
        <v>-123</v>
      </c>
      <c r="S251">
        <v>-18.5</v>
      </c>
    </row>
    <row r="252" spans="2:19" x14ac:dyDescent="0.25">
      <c r="B252">
        <f>480+2*(Table14681012[[#This Row],[min value (corrected)]]-34)</f>
        <v>492</v>
      </c>
      <c r="C252">
        <f>MINUTE(Table14681012[[#This Row],[Corrected time]])</f>
        <v>40</v>
      </c>
      <c r="D252" s="1">
        <v>0.73622355324074074</v>
      </c>
      <c r="E252" s="1">
        <f>Table14681012[[#This Row],[Time]]-TIME(0,0,9)</f>
        <v>0.73611938657407405</v>
      </c>
      <c r="F252" t="s">
        <v>9</v>
      </c>
      <c r="G252" t="s">
        <v>19</v>
      </c>
      <c r="H252">
        <f t="shared" si="7"/>
        <v>-124</v>
      </c>
      <c r="I252">
        <v>-19.8</v>
      </c>
      <c r="L252">
        <f>480+2*(Table25791113[[#This Row],[min value (corrected)]]-50)</f>
        <v>492</v>
      </c>
      <c r="M252">
        <f>MINUTE(Table25791113[[#This Row],[Corrected time]])</f>
        <v>56</v>
      </c>
      <c r="N252" s="1">
        <v>0.62258804398148149</v>
      </c>
      <c r="O252" s="1">
        <f>Table25791113[[#This Row],[Time]]-TIME(0,0,3)</f>
        <v>0.62255332175925926</v>
      </c>
      <c r="P252" t="s">
        <v>9</v>
      </c>
      <c r="Q252">
        <v>-123</v>
      </c>
      <c r="R252">
        <f>Table25791113[[#This Row],[RSSI]]</f>
        <v>-123</v>
      </c>
      <c r="S252">
        <v>-18.3</v>
      </c>
    </row>
    <row r="253" spans="2:19" x14ac:dyDescent="0.25">
      <c r="B253">
        <f>480+2*(Table14681012[[#This Row],[min value (corrected)]]-34)</f>
        <v>492</v>
      </c>
      <c r="C253">
        <f>MINUTE(Table14681012[[#This Row],[Corrected time]])</f>
        <v>40</v>
      </c>
      <c r="D253" s="1">
        <v>0.73624281250000001</v>
      </c>
      <c r="E253" s="1">
        <f>Table14681012[[#This Row],[Time]]-TIME(0,0,9)</f>
        <v>0.73613864583333333</v>
      </c>
      <c r="F253" t="s">
        <v>13</v>
      </c>
      <c r="G253" t="str">
        <f>G252</f>
        <v>-124.0,</v>
      </c>
      <c r="H253">
        <f t="shared" si="7"/>
        <v>-124</v>
      </c>
      <c r="I253">
        <f>I252</f>
        <v>-19.8</v>
      </c>
      <c r="L253">
        <f>480+2*(Table25791113[[#This Row],[min value (corrected)]]-50)</f>
        <v>492</v>
      </c>
      <c r="M253">
        <f>MINUTE(Table25791113[[#This Row],[Corrected time]])</f>
        <v>56</v>
      </c>
      <c r="N253" s="1">
        <v>0.62260729166666662</v>
      </c>
      <c r="O253" s="1">
        <f>Table25791113[[#This Row],[Time]]-TIME(0,0,3)</f>
        <v>0.62257256944444439</v>
      </c>
      <c r="P253" t="s">
        <v>9</v>
      </c>
      <c r="Q253">
        <v>-124</v>
      </c>
      <c r="R253">
        <f>Table25791113[[#This Row],[RSSI]]</f>
        <v>-124</v>
      </c>
      <c r="S253">
        <v>-19.3</v>
      </c>
    </row>
    <row r="254" spans="2:19" x14ac:dyDescent="0.25">
      <c r="B254">
        <f>480+2*(Table14681012[[#This Row],[min value (corrected)]]-34)</f>
        <v>492</v>
      </c>
      <c r="C254">
        <f>MINUTE(Table14681012[[#This Row],[Corrected time]])</f>
        <v>40</v>
      </c>
      <c r="D254" s="1">
        <v>0.73626206018518525</v>
      </c>
      <c r="E254" s="1">
        <f>Table14681012[[#This Row],[Time]]-TIME(0,0,9)</f>
        <v>0.73615789351851857</v>
      </c>
      <c r="F254" t="s">
        <v>9</v>
      </c>
      <c r="G254" t="s">
        <v>19</v>
      </c>
      <c r="H254">
        <f t="shared" si="7"/>
        <v>-124</v>
      </c>
      <c r="I254">
        <v>-19.5</v>
      </c>
      <c r="L254">
        <f>480+2*(Table25791113[[#This Row],[min value (corrected)]]-50)</f>
        <v>492</v>
      </c>
      <c r="M254">
        <f>MINUTE(Table25791113[[#This Row],[Corrected time]])</f>
        <v>56</v>
      </c>
      <c r="N254" s="1">
        <v>0.62262653935185186</v>
      </c>
      <c r="O254" s="1">
        <f>Table25791113[[#This Row],[Time]]-TIME(0,0,3)</f>
        <v>0.62259181712962963</v>
      </c>
      <c r="P254" t="s">
        <v>9</v>
      </c>
      <c r="Q254">
        <v>-124</v>
      </c>
      <c r="R254">
        <f>Table25791113[[#This Row],[RSSI]]</f>
        <v>-124</v>
      </c>
      <c r="S254">
        <v>-20.3</v>
      </c>
    </row>
    <row r="255" spans="2:19" x14ac:dyDescent="0.25">
      <c r="B255">
        <f>480+2*(Table14681012[[#This Row],[min value (corrected)]]-34)</f>
        <v>492</v>
      </c>
      <c r="C255">
        <f>MINUTE(Table14681012[[#This Row],[Corrected time]])</f>
        <v>40</v>
      </c>
      <c r="D255" s="1">
        <v>0.73628130787037038</v>
      </c>
      <c r="E255" s="1">
        <f>Table14681012[[#This Row],[Time]]-TIME(0,0,9)</f>
        <v>0.7361771412037037</v>
      </c>
      <c r="F255" t="s">
        <v>13</v>
      </c>
      <c r="G255" t="str">
        <f>G254</f>
        <v>-124.0,</v>
      </c>
      <c r="H255">
        <f t="shared" si="7"/>
        <v>-124</v>
      </c>
      <c r="I255">
        <f>I254</f>
        <v>-19.5</v>
      </c>
      <c r="L255">
        <f>480+2*(Table25791113[[#This Row],[min value (corrected)]]-50)</f>
        <v>492</v>
      </c>
      <c r="M255">
        <f>MINUTE(Table25791113[[#This Row],[Corrected time]])</f>
        <v>56</v>
      </c>
      <c r="N255" s="1">
        <v>0.62264578703703699</v>
      </c>
      <c r="O255" s="1">
        <f>Table25791113[[#This Row],[Time]]-TIME(0,0,3)</f>
        <v>0.62261106481481476</v>
      </c>
      <c r="P255" t="s">
        <v>9</v>
      </c>
      <c r="Q255">
        <v>-123</v>
      </c>
      <c r="R255">
        <f>Table25791113[[#This Row],[RSSI]]</f>
        <v>-123</v>
      </c>
      <c r="S255">
        <v>-18.8</v>
      </c>
    </row>
    <row r="256" spans="2:19" x14ac:dyDescent="0.25">
      <c r="B256">
        <f>480+2*(Table14681012[[#This Row],[min value (corrected)]]-34)</f>
        <v>492</v>
      </c>
      <c r="C256">
        <f>MINUTE(Table14681012[[#This Row],[Corrected time]])</f>
        <v>40</v>
      </c>
      <c r="D256" s="1">
        <v>0.73630054398148148</v>
      </c>
      <c r="E256" s="1">
        <f>Table14681012[[#This Row],[Time]]-TIME(0,0,9)</f>
        <v>0.7361963773148148</v>
      </c>
      <c r="F256" t="s">
        <v>9</v>
      </c>
      <c r="G256" t="s">
        <v>12</v>
      </c>
      <c r="H256">
        <f t="shared" si="7"/>
        <v>-123</v>
      </c>
      <c r="I256">
        <v>-18.3</v>
      </c>
      <c r="L256">
        <f>480+2*(Table25791113[[#This Row],[min value (corrected)]]-50)</f>
        <v>492</v>
      </c>
      <c r="M256">
        <f>MINUTE(Table25791113[[#This Row],[Corrected time]])</f>
        <v>56</v>
      </c>
      <c r="N256" s="1">
        <v>0.62266503472222223</v>
      </c>
      <c r="O256" s="1">
        <f>Table25791113[[#This Row],[Time]]-TIME(0,0,3)</f>
        <v>0.6226303125</v>
      </c>
      <c r="P256" t="s">
        <v>9</v>
      </c>
      <c r="Q256">
        <v>-124</v>
      </c>
      <c r="R256">
        <f>Table25791113[[#This Row],[RSSI]]</f>
        <v>-124</v>
      </c>
      <c r="S256">
        <v>-18.5</v>
      </c>
    </row>
    <row r="257" spans="2:19" x14ac:dyDescent="0.25">
      <c r="B257">
        <f>480+2*(Table14681012[[#This Row],[min value (corrected)]]-34)</f>
        <v>492</v>
      </c>
      <c r="C257">
        <f>MINUTE(Table14681012[[#This Row],[Corrected time]])</f>
        <v>40</v>
      </c>
      <c r="D257" s="1">
        <v>0.73631978009259258</v>
      </c>
      <c r="E257" s="1">
        <f>Table14681012[[#This Row],[Time]]-TIME(0,0,9)</f>
        <v>0.7362156134259259</v>
      </c>
      <c r="F257" t="s">
        <v>9</v>
      </c>
      <c r="G257" t="s">
        <v>12</v>
      </c>
      <c r="H257">
        <f t="shared" si="7"/>
        <v>-123</v>
      </c>
      <c r="I257">
        <v>-19.3</v>
      </c>
      <c r="L257">
        <f>480+2*(Table25791113[[#This Row],[min value (corrected)]]-50)</f>
        <v>492</v>
      </c>
      <c r="M257">
        <f>MINUTE(Table25791113[[#This Row],[Corrected time]])</f>
        <v>56</v>
      </c>
      <c r="N257" s="1">
        <v>0.62268428240740736</v>
      </c>
      <c r="O257" s="1">
        <f>Table25791113[[#This Row],[Time]]-TIME(0,0,3)</f>
        <v>0.62264956018518514</v>
      </c>
      <c r="P257" t="s">
        <v>9</v>
      </c>
      <c r="Q257">
        <v>-123</v>
      </c>
      <c r="R257">
        <f>Table25791113[[#This Row],[RSSI]]</f>
        <v>-123</v>
      </c>
      <c r="S257">
        <v>-19.5</v>
      </c>
    </row>
    <row r="258" spans="2:19" x14ac:dyDescent="0.25">
      <c r="B258">
        <f>480+2*(Table14681012[[#This Row],[min value (corrected)]]-34)</f>
        <v>492</v>
      </c>
      <c r="C258">
        <f>MINUTE(Table14681012[[#This Row],[Corrected time]])</f>
        <v>40</v>
      </c>
      <c r="D258" s="1">
        <v>0.736339050925926</v>
      </c>
      <c r="E258" s="1">
        <f>Table14681012[[#This Row],[Time]]-TIME(0,0,9)</f>
        <v>0.73623488425925931</v>
      </c>
      <c r="F258" t="s">
        <v>9</v>
      </c>
      <c r="G258" t="s">
        <v>12</v>
      </c>
      <c r="H258">
        <f t="shared" si="7"/>
        <v>-123</v>
      </c>
      <c r="I258">
        <v>-18.8</v>
      </c>
      <c r="L258">
        <f>480+2*(Table25791113[[#This Row],[min value (corrected)]]-50)</f>
        <v>492</v>
      </c>
      <c r="M258">
        <f>MINUTE(Table25791113[[#This Row],[Corrected time]])</f>
        <v>56</v>
      </c>
      <c r="N258" s="1">
        <v>0.62270353009259261</v>
      </c>
      <c r="O258" s="1">
        <f>Table25791113[[#This Row],[Time]]-TIME(0,0,3)</f>
        <v>0.62266880787037038</v>
      </c>
      <c r="P258" t="s">
        <v>9</v>
      </c>
      <c r="Q258">
        <v>-123</v>
      </c>
      <c r="R258">
        <f>Table25791113[[#This Row],[RSSI]]</f>
        <v>-123</v>
      </c>
      <c r="S258">
        <v>-18</v>
      </c>
    </row>
    <row r="259" spans="2:19" x14ac:dyDescent="0.25">
      <c r="B259">
        <f>480+2*(Table14681012[[#This Row],[min value (corrected)]]-34)</f>
        <v>492</v>
      </c>
      <c r="C259">
        <f>MINUTE(Table14681012[[#This Row],[Corrected time]])</f>
        <v>40</v>
      </c>
      <c r="D259" s="1">
        <v>0.73635829861111113</v>
      </c>
      <c r="E259" s="1">
        <f>Table14681012[[#This Row],[Time]]-TIME(0,0,9)</f>
        <v>0.73625413194444445</v>
      </c>
      <c r="F259" t="s">
        <v>9</v>
      </c>
      <c r="G259" t="s">
        <v>12</v>
      </c>
      <c r="H259">
        <f t="shared" si="7"/>
        <v>-123</v>
      </c>
      <c r="I259">
        <v>-19</v>
      </c>
      <c r="L259">
        <f>480+2*(Table25791113[[#This Row],[min value (corrected)]]-50)</f>
        <v>492</v>
      </c>
      <c r="M259">
        <f>MINUTE(Table25791113[[#This Row],[Corrected time]])</f>
        <v>56</v>
      </c>
      <c r="N259" s="1">
        <v>0.6227227662037037</v>
      </c>
      <c r="O259" s="1">
        <f>Table25791113[[#This Row],[Time]]-TIME(0,0,3)</f>
        <v>0.62268804398148148</v>
      </c>
      <c r="P259" t="s">
        <v>9</v>
      </c>
      <c r="Q259">
        <v>-123</v>
      </c>
      <c r="R259">
        <f>Table25791113[[#This Row],[RSSI]]</f>
        <v>-123</v>
      </c>
      <c r="S259">
        <v>-18.3</v>
      </c>
    </row>
    <row r="260" spans="2:19" x14ac:dyDescent="0.25">
      <c r="B260">
        <f>480+2*(Table14681012[[#This Row],[min value (corrected)]]-34)</f>
        <v>492</v>
      </c>
      <c r="C260">
        <f>MINUTE(Table14681012[[#This Row],[Corrected time]])</f>
        <v>40</v>
      </c>
      <c r="D260" s="1">
        <v>0.73637753472222223</v>
      </c>
      <c r="E260" s="1">
        <f>Table14681012[[#This Row],[Time]]-TIME(0,0,9)</f>
        <v>0.73627336805555554</v>
      </c>
      <c r="F260" t="s">
        <v>9</v>
      </c>
      <c r="G260" t="s">
        <v>12</v>
      </c>
      <c r="H260">
        <f t="shared" si="7"/>
        <v>-123</v>
      </c>
      <c r="I260">
        <v>-20</v>
      </c>
      <c r="L260">
        <f>480+2*(Table25791113[[#This Row],[min value (corrected)]]-50)</f>
        <v>492</v>
      </c>
      <c r="M260">
        <f>MINUTE(Table25791113[[#This Row],[Corrected time]])</f>
        <v>56</v>
      </c>
      <c r="N260" s="1">
        <v>0.62274202546296298</v>
      </c>
      <c r="O260" s="1">
        <f>Table25791113[[#This Row],[Time]]-TIME(0,0,3)</f>
        <v>0.62270730324074075</v>
      </c>
      <c r="P260" t="s">
        <v>9</v>
      </c>
      <c r="Q260">
        <v>-123</v>
      </c>
      <c r="R260">
        <f>Table25791113[[#This Row],[RSSI]]</f>
        <v>-123</v>
      </c>
      <c r="S260">
        <v>-18.8</v>
      </c>
    </row>
    <row r="261" spans="2:19" x14ac:dyDescent="0.25">
      <c r="B261">
        <f>480+2*(Table14681012[[#This Row],[min value (corrected)]]-34)</f>
        <v>492</v>
      </c>
      <c r="C261">
        <f>MINUTE(Table14681012[[#This Row],[Corrected time]])</f>
        <v>40</v>
      </c>
      <c r="D261" s="1">
        <v>0.7363967939814815</v>
      </c>
      <c r="E261" s="1">
        <f>Table14681012[[#This Row],[Time]]-TIME(0,0,9)</f>
        <v>0.73629262731481482</v>
      </c>
      <c r="F261" t="s">
        <v>9</v>
      </c>
      <c r="G261" t="s">
        <v>12</v>
      </c>
      <c r="H261">
        <f t="shared" si="7"/>
        <v>-123</v>
      </c>
      <c r="I261">
        <v>-18.8</v>
      </c>
      <c r="L261">
        <f>480+2*(Table25791113[[#This Row],[min value (corrected)]]-50)</f>
        <v>492</v>
      </c>
      <c r="M261">
        <f>MINUTE(Table25791113[[#This Row],[Corrected time]])</f>
        <v>56</v>
      </c>
      <c r="N261" s="1">
        <v>0.62276127314814811</v>
      </c>
      <c r="O261" s="1">
        <f>Table25791113[[#This Row],[Time]]-TIME(0,0,3)</f>
        <v>0.62272655092592588</v>
      </c>
      <c r="P261" t="s">
        <v>9</v>
      </c>
      <c r="Q261">
        <v>-123</v>
      </c>
      <c r="R261">
        <f>Table25791113[[#This Row],[RSSI]]</f>
        <v>-123</v>
      </c>
      <c r="S261">
        <v>-19</v>
      </c>
    </row>
    <row r="262" spans="2:19" x14ac:dyDescent="0.25">
      <c r="B262">
        <f>480+2*(Table14681012[[#This Row],[min value (corrected)]]-34)</f>
        <v>492</v>
      </c>
      <c r="C262">
        <f>MINUTE(Table14681012[[#This Row],[Corrected time]])</f>
        <v>40</v>
      </c>
      <c r="D262" s="1">
        <v>0.7364160300925926</v>
      </c>
      <c r="E262" s="1">
        <f>Table14681012[[#This Row],[Time]]-TIME(0,0,9)</f>
        <v>0.73631186342592592</v>
      </c>
      <c r="F262" t="s">
        <v>9</v>
      </c>
      <c r="G262" t="s">
        <v>12</v>
      </c>
      <c r="H262">
        <f t="shared" si="7"/>
        <v>-123</v>
      </c>
      <c r="I262">
        <v>-19.3</v>
      </c>
      <c r="L262">
        <f>480+2*(Table25791113[[#This Row],[min value (corrected)]]-50)</f>
        <v>492</v>
      </c>
      <c r="M262">
        <f>MINUTE(Table25791113[[#This Row],[Corrected time]])</f>
        <v>56</v>
      </c>
      <c r="N262" s="1">
        <v>0.62278050925925921</v>
      </c>
      <c r="O262" s="1">
        <f>Table25791113[[#This Row],[Time]]-TIME(0,0,3)</f>
        <v>0.62274578703703698</v>
      </c>
      <c r="P262" t="s">
        <v>9</v>
      </c>
      <c r="Q262">
        <v>-123</v>
      </c>
      <c r="R262">
        <f>Table25791113[[#This Row],[RSSI]]</f>
        <v>-123</v>
      </c>
      <c r="S262">
        <v>-18.5</v>
      </c>
    </row>
    <row r="263" spans="2:19" x14ac:dyDescent="0.25">
      <c r="B263">
        <f>480+2*(Table14681012[[#This Row],[min value (corrected)]]-34)</f>
        <v>492</v>
      </c>
      <c r="C263">
        <f>MINUTE(Table14681012[[#This Row],[Corrected time]])</f>
        <v>40</v>
      </c>
      <c r="D263" s="1">
        <v>0.73643528935185187</v>
      </c>
      <c r="E263" s="1">
        <f>Table14681012[[#This Row],[Time]]-TIME(0,0,9)</f>
        <v>0.73633112268518519</v>
      </c>
      <c r="F263" t="s">
        <v>9</v>
      </c>
      <c r="G263" t="s">
        <v>12</v>
      </c>
      <c r="H263">
        <f t="shared" si="7"/>
        <v>-123</v>
      </c>
      <c r="I263">
        <v>-19</v>
      </c>
      <c r="L263">
        <f>480+2*(Table25791113[[#This Row],[min value (corrected)]]-50)</f>
        <v>492</v>
      </c>
      <c r="M263">
        <f>MINUTE(Table25791113[[#This Row],[Corrected time]])</f>
        <v>56</v>
      </c>
      <c r="N263" s="1">
        <v>0.62279976851851848</v>
      </c>
      <c r="O263" s="1">
        <f>Table25791113[[#This Row],[Time]]-TIME(0,0,3)</f>
        <v>0.62276504629629625</v>
      </c>
      <c r="P263" t="s">
        <v>9</v>
      </c>
      <c r="Q263">
        <v>-123</v>
      </c>
      <c r="R263">
        <f>Table25791113[[#This Row],[RSSI]]</f>
        <v>-123</v>
      </c>
      <c r="S263">
        <v>-19</v>
      </c>
    </row>
    <row r="264" spans="2:19" x14ac:dyDescent="0.25">
      <c r="B264">
        <f>480+2*(Table14681012[[#This Row],[min value (corrected)]]-34)</f>
        <v>492</v>
      </c>
      <c r="C264">
        <f>MINUTE(Table14681012[[#This Row],[Corrected time]])</f>
        <v>40</v>
      </c>
      <c r="D264" s="1">
        <v>0.73645452546296297</v>
      </c>
      <c r="E264" s="1">
        <f>Table14681012[[#This Row],[Time]]-TIME(0,0,9)</f>
        <v>0.73635035879629629</v>
      </c>
      <c r="F264" t="s">
        <v>9</v>
      </c>
      <c r="G264" t="s">
        <v>12</v>
      </c>
      <c r="H264">
        <f t="shared" si="7"/>
        <v>-123</v>
      </c>
      <c r="I264">
        <v>-18.8</v>
      </c>
      <c r="L264">
        <f>480+2*(Table25791113[[#This Row],[min value (corrected)]]-50)</f>
        <v>492</v>
      </c>
      <c r="M264">
        <f>MINUTE(Table25791113[[#This Row],[Corrected time]])</f>
        <v>56</v>
      </c>
      <c r="N264" s="1">
        <v>0.62281901620370372</v>
      </c>
      <c r="O264" s="1">
        <f>Table25791113[[#This Row],[Time]]-TIME(0,0,3)</f>
        <v>0.6227842939814815</v>
      </c>
      <c r="P264" t="s">
        <v>9</v>
      </c>
      <c r="Q264">
        <v>-123</v>
      </c>
      <c r="R264">
        <f>Table25791113[[#This Row],[RSSI]]</f>
        <v>-123</v>
      </c>
      <c r="S264">
        <v>-19.8</v>
      </c>
    </row>
    <row r="265" spans="2:19" x14ac:dyDescent="0.25">
      <c r="B265">
        <f>480+2*(Table14681012[[#This Row],[min value (corrected)]]-34)</f>
        <v>492</v>
      </c>
      <c r="C265">
        <f>MINUTE(Table14681012[[#This Row],[Corrected time]])</f>
        <v>40</v>
      </c>
      <c r="D265" s="1">
        <v>0.73647378472222225</v>
      </c>
      <c r="E265" s="1">
        <f>Table14681012[[#This Row],[Time]]-TIME(0,0,9)</f>
        <v>0.73636961805555556</v>
      </c>
      <c r="F265" t="s">
        <v>9</v>
      </c>
      <c r="G265" t="s">
        <v>19</v>
      </c>
      <c r="H265">
        <f t="shared" si="7"/>
        <v>-124</v>
      </c>
      <c r="I265">
        <v>-19.3</v>
      </c>
      <c r="L265">
        <f>480+2*(Table25791113[[#This Row],[min value (corrected)]]-50)</f>
        <v>492</v>
      </c>
      <c r="M265">
        <f>MINUTE(Table25791113[[#This Row],[Corrected time]])</f>
        <v>56</v>
      </c>
      <c r="N265" s="1">
        <v>0.62283826388888897</v>
      </c>
      <c r="O265" s="1">
        <f>Table25791113[[#This Row],[Time]]-TIME(0,0,3)</f>
        <v>0.62280354166666674</v>
      </c>
      <c r="P265" t="s">
        <v>9</v>
      </c>
      <c r="Q265">
        <v>-123</v>
      </c>
      <c r="R265">
        <f>Table25791113[[#This Row],[RSSI]]</f>
        <v>-123</v>
      </c>
      <c r="S265">
        <v>-18.3</v>
      </c>
    </row>
    <row r="266" spans="2:19" x14ac:dyDescent="0.25">
      <c r="B266">
        <f>480+2*(Table14681012[[#This Row],[min value (corrected)]]-34)</f>
        <v>492</v>
      </c>
      <c r="C266">
        <f>MINUTE(Table14681012[[#This Row],[Corrected time]])</f>
        <v>40</v>
      </c>
      <c r="D266" s="1">
        <v>0.73649303240740738</v>
      </c>
      <c r="E266" s="1">
        <f>Table14681012[[#This Row],[Time]]-TIME(0,0,9)</f>
        <v>0.73638886574074069</v>
      </c>
      <c r="F266" t="s">
        <v>9</v>
      </c>
      <c r="G266" t="s">
        <v>12</v>
      </c>
      <c r="H266">
        <f t="shared" si="7"/>
        <v>-123</v>
      </c>
      <c r="I266">
        <v>-19</v>
      </c>
      <c r="L266">
        <f>480+2*(Table25791113[[#This Row],[min value (corrected)]]-50)</f>
        <v>492</v>
      </c>
      <c r="M266">
        <f>MINUTE(Table25791113[[#This Row],[Corrected time]])</f>
        <v>56</v>
      </c>
      <c r="N266" s="1">
        <v>0.62285749999999995</v>
      </c>
      <c r="O266" s="1">
        <f>Table25791113[[#This Row],[Time]]-TIME(0,0,3)</f>
        <v>0.62282277777777773</v>
      </c>
      <c r="P266" t="s">
        <v>9</v>
      </c>
      <c r="Q266">
        <v>-123</v>
      </c>
      <c r="R266">
        <f>Table25791113[[#This Row],[RSSI]]</f>
        <v>-123</v>
      </c>
      <c r="S266">
        <v>-19.5</v>
      </c>
    </row>
    <row r="267" spans="2:19" x14ac:dyDescent="0.25">
      <c r="B267">
        <f>480+2*(Table14681012[[#This Row],[min value (corrected)]]-34)</f>
        <v>492</v>
      </c>
      <c r="C267">
        <f>MINUTE(Table14681012[[#This Row],[Corrected time]])</f>
        <v>40</v>
      </c>
      <c r="D267" s="1">
        <v>0.73651225694444444</v>
      </c>
      <c r="E267" s="1">
        <f>Table14681012[[#This Row],[Time]]-TIME(0,0,9)</f>
        <v>0.73640809027777776</v>
      </c>
      <c r="F267" t="s">
        <v>9</v>
      </c>
      <c r="G267" t="s">
        <v>12</v>
      </c>
      <c r="H267">
        <f t="shared" si="7"/>
        <v>-123</v>
      </c>
      <c r="I267">
        <v>-18</v>
      </c>
      <c r="L267">
        <f>480+2*(Table25791113[[#This Row],[min value (corrected)]]-50)</f>
        <v>492</v>
      </c>
      <c r="M267">
        <f>MINUTE(Table25791113[[#This Row],[Corrected time]])</f>
        <v>56</v>
      </c>
      <c r="N267" s="1">
        <v>0.62287675925925934</v>
      </c>
      <c r="O267" s="1">
        <f>Table25791113[[#This Row],[Time]]-TIME(0,0,3)</f>
        <v>0.62284203703703711</v>
      </c>
      <c r="P267" t="s">
        <v>9</v>
      </c>
      <c r="Q267">
        <v>-123</v>
      </c>
      <c r="R267">
        <f>Table25791113[[#This Row],[RSSI]]</f>
        <v>-123</v>
      </c>
      <c r="S267">
        <v>-18.5</v>
      </c>
    </row>
    <row r="268" spans="2:19" x14ac:dyDescent="0.25">
      <c r="B268">
        <f>480+2*(Table14681012[[#This Row],[min value (corrected)]]-34)</f>
        <v>492</v>
      </c>
      <c r="C268">
        <f>MINUTE(Table14681012[[#This Row],[Corrected time]])</f>
        <v>40</v>
      </c>
      <c r="D268" s="1">
        <v>0.73653152777777775</v>
      </c>
      <c r="E268" s="1">
        <f>Table14681012[[#This Row],[Time]]-TIME(0,0,9)</f>
        <v>0.73642736111111107</v>
      </c>
      <c r="F268" t="s">
        <v>9</v>
      </c>
      <c r="G268" t="s">
        <v>12</v>
      </c>
      <c r="H268">
        <f t="shared" si="7"/>
        <v>-123</v>
      </c>
      <c r="I268">
        <v>-18.8</v>
      </c>
      <c r="L268">
        <f>480+2*(Table25791113[[#This Row],[min value (corrected)]]-50)</f>
        <v>492</v>
      </c>
      <c r="M268">
        <f>MINUTE(Table25791113[[#This Row],[Corrected time]])</f>
        <v>56</v>
      </c>
      <c r="N268" s="1">
        <v>0.62289600694444436</v>
      </c>
      <c r="O268" s="1">
        <f>Table25791113[[#This Row],[Time]]-TIME(0,0,3)</f>
        <v>0.62286128472222213</v>
      </c>
      <c r="P268" t="s">
        <v>9</v>
      </c>
      <c r="Q268">
        <v>-123</v>
      </c>
      <c r="R268">
        <f>Table25791113[[#This Row],[RSSI]]</f>
        <v>-123</v>
      </c>
      <c r="S268">
        <v>-18.5</v>
      </c>
    </row>
    <row r="269" spans="2:19" x14ac:dyDescent="0.25">
      <c r="B269">
        <f>480+2*(Table14681012[[#This Row],[min value (corrected)]]-34)</f>
        <v>492</v>
      </c>
      <c r="C269">
        <f>MINUTE(Table14681012[[#This Row],[Corrected time]])</f>
        <v>40</v>
      </c>
      <c r="D269" s="1">
        <v>0.73655076388888885</v>
      </c>
      <c r="E269" s="1">
        <f>Table14681012[[#This Row],[Time]]-TIME(0,0,9)</f>
        <v>0.73644659722222217</v>
      </c>
      <c r="F269" t="s">
        <v>9</v>
      </c>
      <c r="G269" t="s">
        <v>12</v>
      </c>
      <c r="H269">
        <f t="shared" si="7"/>
        <v>-123</v>
      </c>
      <c r="I269">
        <v>-19</v>
      </c>
      <c r="L269">
        <f>480+2*(Table25791113[[#This Row],[min value (corrected)]]-50)</f>
        <v>492</v>
      </c>
      <c r="M269">
        <f>MINUTE(Table25791113[[#This Row],[Corrected time]])</f>
        <v>56</v>
      </c>
      <c r="N269" s="1">
        <v>0.6229152546296296</v>
      </c>
      <c r="O269" s="1">
        <f>Table25791113[[#This Row],[Time]]-TIME(0,0,3)</f>
        <v>0.62288053240740737</v>
      </c>
      <c r="P269" t="s">
        <v>9</v>
      </c>
      <c r="Q269">
        <v>-123</v>
      </c>
      <c r="R269">
        <f>Table25791113[[#This Row],[RSSI]]</f>
        <v>-123</v>
      </c>
      <c r="S269">
        <v>-18.3</v>
      </c>
    </row>
    <row r="270" spans="2:19" x14ac:dyDescent="0.25">
      <c r="B270">
        <f>480+2*(Table14681012[[#This Row],[min value (corrected)]]-34)</f>
        <v>492</v>
      </c>
      <c r="C270">
        <f>MINUTE(Table14681012[[#This Row],[Corrected time]])</f>
        <v>40</v>
      </c>
      <c r="D270" s="1">
        <v>0.73657001157407409</v>
      </c>
      <c r="E270" s="1">
        <f>Table14681012[[#This Row],[Time]]-TIME(0,0,9)</f>
        <v>0.73646584490740741</v>
      </c>
      <c r="F270" t="s">
        <v>9</v>
      </c>
      <c r="G270" t="s">
        <v>12</v>
      </c>
      <c r="H270">
        <f t="shared" si="7"/>
        <v>-123</v>
      </c>
      <c r="I270">
        <v>-18.5</v>
      </c>
      <c r="L270">
        <f>480+2*(Table25791113[[#This Row],[min value (corrected)]]-50)</f>
        <v>492</v>
      </c>
      <c r="M270">
        <f>MINUTE(Table25791113[[#This Row],[Corrected time]])</f>
        <v>56</v>
      </c>
      <c r="N270" s="1">
        <v>0.62293450231481473</v>
      </c>
      <c r="O270" s="1">
        <f>Table25791113[[#This Row],[Time]]-TIME(0,0,3)</f>
        <v>0.6228997800925925</v>
      </c>
      <c r="P270" t="s">
        <v>9</v>
      </c>
      <c r="Q270">
        <v>-123</v>
      </c>
      <c r="R270">
        <f>Table25791113[[#This Row],[RSSI]]</f>
        <v>-123</v>
      </c>
      <c r="S270">
        <v>-19</v>
      </c>
    </row>
    <row r="271" spans="2:19" x14ac:dyDescent="0.25">
      <c r="B271">
        <f>480+2*(Table14681012[[#This Row],[min value (corrected)]]-34)</f>
        <v>492</v>
      </c>
      <c r="C271">
        <f>MINUTE(Table14681012[[#This Row],[Corrected time]])</f>
        <v>40</v>
      </c>
      <c r="D271" s="1">
        <v>0.73658927083333336</v>
      </c>
      <c r="E271" s="1">
        <f>Table14681012[[#This Row],[Time]]-TIME(0,0,9)</f>
        <v>0.73648510416666668</v>
      </c>
      <c r="F271" t="s">
        <v>9</v>
      </c>
      <c r="G271" t="s">
        <v>12</v>
      </c>
      <c r="H271">
        <f t="shared" si="7"/>
        <v>-123</v>
      </c>
      <c r="I271">
        <v>-18.8</v>
      </c>
      <c r="L271">
        <f>480+2*(Table25791113[[#This Row],[min value (corrected)]]-50)</f>
        <v>494</v>
      </c>
      <c r="M271">
        <f>MINUTE(Table25791113[[#This Row],[Corrected time]])</f>
        <v>57</v>
      </c>
      <c r="N271" s="1">
        <v>0.62295374999999997</v>
      </c>
      <c r="O271" s="1">
        <f>Table25791113[[#This Row],[Time]]-TIME(0,0,3)</f>
        <v>0.62291902777777775</v>
      </c>
      <c r="P271" t="s">
        <v>9</v>
      </c>
      <c r="Q271">
        <v>-124</v>
      </c>
      <c r="R271">
        <f>Table25791113[[#This Row],[RSSI]]</f>
        <v>-124</v>
      </c>
      <c r="S271">
        <v>-19.5</v>
      </c>
    </row>
    <row r="272" spans="2:19" x14ac:dyDescent="0.25">
      <c r="B272">
        <f>480+2*(Table14681012[[#This Row],[min value (corrected)]]-34)</f>
        <v>492</v>
      </c>
      <c r="C272">
        <f>MINUTE(Table14681012[[#This Row],[Corrected time]])</f>
        <v>40</v>
      </c>
      <c r="D272" s="1">
        <v>0.73660850694444446</v>
      </c>
      <c r="E272" s="1">
        <f>Table14681012[[#This Row],[Time]]-TIME(0,0,9)</f>
        <v>0.73650434027777778</v>
      </c>
      <c r="F272" t="s">
        <v>9</v>
      </c>
      <c r="G272" t="s">
        <v>12</v>
      </c>
      <c r="H272">
        <f t="shared" si="7"/>
        <v>-123</v>
      </c>
      <c r="I272">
        <v>-18.5</v>
      </c>
      <c r="L272">
        <f>480+2*(Table25791113[[#This Row],[min value (corrected)]]-50)</f>
        <v>494</v>
      </c>
      <c r="M272">
        <f>MINUTE(Table25791113[[#This Row],[Corrected time]])</f>
        <v>57</v>
      </c>
      <c r="N272" s="1">
        <v>0.62297299768518521</v>
      </c>
      <c r="O272" s="1">
        <f>Table25791113[[#This Row],[Time]]-TIME(0,0,3)</f>
        <v>0.62293827546296299</v>
      </c>
      <c r="P272" t="s">
        <v>9</v>
      </c>
      <c r="Q272">
        <v>-124</v>
      </c>
      <c r="R272">
        <f>Table25791113[[#This Row],[RSSI]]</f>
        <v>-124</v>
      </c>
      <c r="S272">
        <v>-20.3</v>
      </c>
    </row>
    <row r="273" spans="2:19" x14ac:dyDescent="0.25">
      <c r="B273">
        <f>480+2*(Table14681012[[#This Row],[min value (corrected)]]-34)</f>
        <v>492</v>
      </c>
      <c r="C273">
        <f>MINUTE(Table14681012[[#This Row],[Corrected time]])</f>
        <v>40</v>
      </c>
      <c r="D273" s="1">
        <v>0.73662776620370374</v>
      </c>
      <c r="E273" s="1">
        <f>Table14681012[[#This Row],[Time]]-TIME(0,0,9)</f>
        <v>0.73652359953703705</v>
      </c>
      <c r="F273" t="s">
        <v>9</v>
      </c>
      <c r="G273" t="s">
        <v>19</v>
      </c>
      <c r="H273">
        <f t="shared" si="7"/>
        <v>-124</v>
      </c>
      <c r="I273">
        <v>-20.5</v>
      </c>
      <c r="L273">
        <f>480+2*(Table25791113[[#This Row],[min value (corrected)]]-50)</f>
        <v>494</v>
      </c>
      <c r="M273">
        <f>MINUTE(Table25791113[[#This Row],[Corrected time]])</f>
        <v>57</v>
      </c>
      <c r="N273" s="1">
        <v>0.62299223379629631</v>
      </c>
      <c r="O273" s="1">
        <f>Table25791113[[#This Row],[Time]]-TIME(0,0,3)</f>
        <v>0.62295751157407409</v>
      </c>
      <c r="P273" t="s">
        <v>9</v>
      </c>
      <c r="Q273">
        <v>-124</v>
      </c>
      <c r="R273">
        <f>Table25791113[[#This Row],[RSSI]]</f>
        <v>-124</v>
      </c>
      <c r="S273">
        <v>-19.5</v>
      </c>
    </row>
    <row r="274" spans="2:19" x14ac:dyDescent="0.25">
      <c r="B274">
        <f>480+2*(Table14681012[[#This Row],[min value (corrected)]]-34)</f>
        <v>492</v>
      </c>
      <c r="C274">
        <f>MINUTE(Table14681012[[#This Row],[Corrected time]])</f>
        <v>40</v>
      </c>
      <c r="D274" s="1">
        <v>0.73664700231481484</v>
      </c>
      <c r="E274" s="1">
        <f>Table14681012[[#This Row],[Time]]-TIME(0,0,9)</f>
        <v>0.73654283564814815</v>
      </c>
      <c r="F274" t="s">
        <v>9</v>
      </c>
      <c r="G274" t="s">
        <v>12</v>
      </c>
      <c r="H274">
        <f t="shared" si="7"/>
        <v>-123</v>
      </c>
      <c r="I274">
        <v>-19</v>
      </c>
      <c r="L274">
        <f>480+2*(Table25791113[[#This Row],[min value (corrected)]]-50)</f>
        <v>494</v>
      </c>
      <c r="M274">
        <f>MINUTE(Table25791113[[#This Row],[Corrected time]])</f>
        <v>57</v>
      </c>
      <c r="N274" s="1">
        <v>0.62301149305555559</v>
      </c>
      <c r="O274" s="1">
        <f>Table25791113[[#This Row],[Time]]-TIME(0,0,3)</f>
        <v>0.62297677083333336</v>
      </c>
      <c r="P274" t="s">
        <v>9</v>
      </c>
      <c r="Q274">
        <v>-124</v>
      </c>
      <c r="R274">
        <f>Table25791113[[#This Row],[RSSI]]</f>
        <v>-124</v>
      </c>
      <c r="S274">
        <v>-20.3</v>
      </c>
    </row>
    <row r="275" spans="2:19" x14ac:dyDescent="0.25">
      <c r="B275">
        <f>480+2*(Table14681012[[#This Row],[min value (corrected)]]-34)</f>
        <v>492</v>
      </c>
      <c r="C275">
        <f>MINUTE(Table14681012[[#This Row],[Corrected time]])</f>
        <v>40</v>
      </c>
      <c r="D275" s="1">
        <v>0.73666624999999997</v>
      </c>
      <c r="E275" s="1">
        <f>Table14681012[[#This Row],[Time]]-TIME(0,0,9)</f>
        <v>0.73656208333333328</v>
      </c>
      <c r="F275" t="s">
        <v>9</v>
      </c>
      <c r="G275" t="s">
        <v>12</v>
      </c>
      <c r="H275">
        <f t="shared" si="7"/>
        <v>-123</v>
      </c>
      <c r="I275">
        <v>-18.8</v>
      </c>
      <c r="L275">
        <f>480+2*(Table25791113[[#This Row],[min value (corrected)]]-50)</f>
        <v>494</v>
      </c>
      <c r="M275">
        <f>MINUTE(Table25791113[[#This Row],[Corrected time]])</f>
        <v>57</v>
      </c>
      <c r="N275" s="1">
        <v>0.62303074074074072</v>
      </c>
      <c r="O275" s="1">
        <f>Table25791113[[#This Row],[Time]]-TIME(0,0,3)</f>
        <v>0.62299601851851849</v>
      </c>
      <c r="P275" t="s">
        <v>9</v>
      </c>
      <c r="Q275">
        <v>-124</v>
      </c>
      <c r="R275">
        <f>Table25791113[[#This Row],[RSSI]]</f>
        <v>-124</v>
      </c>
      <c r="S275">
        <v>-20.5</v>
      </c>
    </row>
    <row r="276" spans="2:19" x14ac:dyDescent="0.25">
      <c r="B276">
        <f>480+2*(Table14681012[[#This Row],[min value (corrected)]]-34)</f>
        <v>492</v>
      </c>
      <c r="C276">
        <f>MINUTE(Table14681012[[#This Row],[Corrected time]])</f>
        <v>40</v>
      </c>
      <c r="D276" s="1">
        <v>0.73668549768518521</v>
      </c>
      <c r="E276" s="1">
        <f>Table14681012[[#This Row],[Time]]-TIME(0,0,9)</f>
        <v>0.73658133101851853</v>
      </c>
      <c r="F276" t="s">
        <v>9</v>
      </c>
      <c r="G276" t="s">
        <v>12</v>
      </c>
      <c r="H276">
        <f t="shared" si="7"/>
        <v>-123</v>
      </c>
      <c r="I276">
        <v>-18.5</v>
      </c>
      <c r="L276">
        <f>480+2*(Table25791113[[#This Row],[min value (corrected)]]-50)</f>
        <v>494</v>
      </c>
      <c r="M276">
        <f>MINUTE(Table25791113[[#This Row],[Corrected time]])</f>
        <v>57</v>
      </c>
      <c r="N276" s="1">
        <v>0.62304998842592596</v>
      </c>
      <c r="O276" s="1">
        <f>Table25791113[[#This Row],[Time]]-TIME(0,0,3)</f>
        <v>0.62301526620370373</v>
      </c>
      <c r="P276" t="s">
        <v>9</v>
      </c>
      <c r="Q276">
        <v>-124</v>
      </c>
      <c r="R276">
        <f>Table25791113[[#This Row],[RSSI]]</f>
        <v>-124</v>
      </c>
      <c r="S276">
        <v>-20.8</v>
      </c>
    </row>
    <row r="277" spans="2:19" x14ac:dyDescent="0.25">
      <c r="B277">
        <f>480+2*(Table14681012[[#This Row],[min value (corrected)]]-34)</f>
        <v>492</v>
      </c>
      <c r="C277">
        <f>MINUTE(Table14681012[[#This Row],[Corrected time]])</f>
        <v>40</v>
      </c>
      <c r="D277" s="1">
        <v>0.73670474537037034</v>
      </c>
      <c r="E277" s="1">
        <f>Table14681012[[#This Row],[Time]]-TIME(0,0,9)</f>
        <v>0.73660057870370366</v>
      </c>
      <c r="F277" t="s">
        <v>9</v>
      </c>
      <c r="G277" t="s">
        <v>12</v>
      </c>
      <c r="H277">
        <f t="shared" si="7"/>
        <v>-123</v>
      </c>
      <c r="I277">
        <v>-18</v>
      </c>
      <c r="L277">
        <f>480+2*(Table25791113[[#This Row],[min value (corrected)]]-50)</f>
        <v>494</v>
      </c>
      <c r="M277">
        <f>MINUTE(Table25791113[[#This Row],[Corrected time]])</f>
        <v>57</v>
      </c>
      <c r="N277" s="1">
        <v>0.62306923611111109</v>
      </c>
      <c r="O277" s="1">
        <f>Table25791113[[#This Row],[Time]]-TIME(0,0,3)</f>
        <v>0.62303451388888886</v>
      </c>
      <c r="P277" t="s">
        <v>13</v>
      </c>
      <c r="Q277">
        <f>Q276</f>
        <v>-124</v>
      </c>
      <c r="R277">
        <f>Table25791113[[#This Row],[RSSI]]</f>
        <v>-124</v>
      </c>
      <c r="S277">
        <f>S276</f>
        <v>-20.8</v>
      </c>
    </row>
    <row r="278" spans="2:19" x14ac:dyDescent="0.25">
      <c r="B278">
        <f>480+2*(Table14681012[[#This Row],[min value (corrected)]]-34)</f>
        <v>492</v>
      </c>
      <c r="C278">
        <f>MINUTE(Table14681012[[#This Row],[Corrected time]])</f>
        <v>40</v>
      </c>
      <c r="D278" s="1">
        <v>0.73672399305555558</v>
      </c>
      <c r="E278" s="1">
        <f>Table14681012[[#This Row],[Time]]-TIME(0,0,9)</f>
        <v>0.7366198263888889</v>
      </c>
      <c r="F278" t="s">
        <v>9</v>
      </c>
      <c r="G278" t="s">
        <v>12</v>
      </c>
      <c r="H278">
        <f t="shared" ref="H278:H341" si="8">VALUE(LEFT(G278,LEN(G278)-1))</f>
        <v>-123</v>
      </c>
      <c r="I278">
        <v>-18.3</v>
      </c>
      <c r="L278">
        <f>480+2*(Table25791113[[#This Row],[min value (corrected)]]-50)</f>
        <v>494</v>
      </c>
      <c r="M278">
        <f>MINUTE(Table25791113[[#This Row],[Corrected time]])</f>
        <v>57</v>
      </c>
      <c r="N278" s="1">
        <v>0.62308848379629633</v>
      </c>
      <c r="O278" s="1">
        <f>Table25791113[[#This Row],[Time]]-TIME(0,0,3)</f>
        <v>0.62305376157407411</v>
      </c>
      <c r="P278" t="s">
        <v>9</v>
      </c>
      <c r="Q278">
        <v>-124</v>
      </c>
      <c r="R278">
        <f>Table25791113[[#This Row],[RSSI]]</f>
        <v>-124</v>
      </c>
      <c r="S278">
        <v>-18.8</v>
      </c>
    </row>
    <row r="279" spans="2:19" x14ac:dyDescent="0.25">
      <c r="B279">
        <f>480+2*(Table14681012[[#This Row],[min value (corrected)]]-34)</f>
        <v>492</v>
      </c>
      <c r="C279">
        <f>MINUTE(Table14681012[[#This Row],[Corrected time]])</f>
        <v>40</v>
      </c>
      <c r="D279" s="1">
        <v>0.73674324074074071</v>
      </c>
      <c r="E279" s="1">
        <f>Table14681012[[#This Row],[Time]]-TIME(0,0,9)</f>
        <v>0.73663907407407403</v>
      </c>
      <c r="F279" t="s">
        <v>9</v>
      </c>
      <c r="G279" t="s">
        <v>12</v>
      </c>
      <c r="H279">
        <f t="shared" si="8"/>
        <v>-123</v>
      </c>
      <c r="I279">
        <v>-18.3</v>
      </c>
      <c r="L279">
        <f>480+2*(Table25791113[[#This Row],[min value (corrected)]]-50)</f>
        <v>494</v>
      </c>
      <c r="M279">
        <f>MINUTE(Table25791113[[#This Row],[Corrected time]])</f>
        <v>57</v>
      </c>
      <c r="N279" s="1">
        <v>0.62310773148148146</v>
      </c>
      <c r="O279" s="1">
        <f>Table25791113[[#This Row],[Time]]-TIME(0,0,3)</f>
        <v>0.62307300925925924</v>
      </c>
      <c r="P279" t="s">
        <v>9</v>
      </c>
      <c r="Q279">
        <v>-124</v>
      </c>
      <c r="R279">
        <f>Table25791113[[#This Row],[RSSI]]</f>
        <v>-124</v>
      </c>
      <c r="S279">
        <v>-19</v>
      </c>
    </row>
    <row r="280" spans="2:19" x14ac:dyDescent="0.25">
      <c r="B280">
        <f>480+2*(Table14681012[[#This Row],[min value (corrected)]]-34)</f>
        <v>492</v>
      </c>
      <c r="C280">
        <f>MINUTE(Table14681012[[#This Row],[Corrected time]])</f>
        <v>40</v>
      </c>
      <c r="D280" s="1">
        <v>0.73676248842592595</v>
      </c>
      <c r="E280" s="1">
        <f>Table14681012[[#This Row],[Time]]-TIME(0,0,9)</f>
        <v>0.73665832175925927</v>
      </c>
      <c r="F280" t="s">
        <v>9</v>
      </c>
      <c r="G280" t="s">
        <v>12</v>
      </c>
      <c r="H280">
        <f t="shared" si="8"/>
        <v>-123</v>
      </c>
      <c r="I280">
        <v>-18.5</v>
      </c>
      <c r="L280">
        <f>480+2*(Table25791113[[#This Row],[min value (corrected)]]-50)</f>
        <v>494</v>
      </c>
      <c r="M280">
        <f>MINUTE(Table25791113[[#This Row],[Corrected time]])</f>
        <v>57</v>
      </c>
      <c r="N280" s="1">
        <v>0.62312697916666671</v>
      </c>
      <c r="O280" s="1">
        <f>Table25791113[[#This Row],[Time]]-TIME(0,0,3)</f>
        <v>0.62309225694444448</v>
      </c>
      <c r="P280" t="s">
        <v>9</v>
      </c>
      <c r="Q280">
        <v>-123</v>
      </c>
      <c r="R280">
        <f>Table25791113[[#This Row],[RSSI]]</f>
        <v>-123</v>
      </c>
      <c r="S280">
        <v>-19.3</v>
      </c>
    </row>
    <row r="281" spans="2:19" x14ac:dyDescent="0.25">
      <c r="B281">
        <f>480+2*(Table14681012[[#This Row],[min value (corrected)]]-34)</f>
        <v>492</v>
      </c>
      <c r="C281">
        <f>MINUTE(Table14681012[[#This Row],[Corrected time]])</f>
        <v>40</v>
      </c>
      <c r="D281" s="1">
        <v>0.73678174768518523</v>
      </c>
      <c r="E281" s="1">
        <f>Table14681012[[#This Row],[Time]]-TIME(0,0,9)</f>
        <v>0.73667758101851855</v>
      </c>
      <c r="F281" t="s">
        <v>9</v>
      </c>
      <c r="G281" t="s">
        <v>12</v>
      </c>
      <c r="H281">
        <f t="shared" si="8"/>
        <v>-123</v>
      </c>
      <c r="I281">
        <v>-18.8</v>
      </c>
      <c r="L281">
        <f>480+2*(Table25791113[[#This Row],[min value (corrected)]]-50)</f>
        <v>494</v>
      </c>
      <c r="M281">
        <f>MINUTE(Table25791113[[#This Row],[Corrected time]])</f>
        <v>57</v>
      </c>
      <c r="N281" s="1">
        <v>0.62314622685185184</v>
      </c>
      <c r="O281" s="1">
        <f>Table25791113[[#This Row],[Time]]-TIME(0,0,3)</f>
        <v>0.62311150462962961</v>
      </c>
      <c r="P281" t="s">
        <v>9</v>
      </c>
      <c r="Q281">
        <v>-123</v>
      </c>
      <c r="R281">
        <f>Table25791113[[#This Row],[RSSI]]</f>
        <v>-123</v>
      </c>
      <c r="S281">
        <v>-17.8</v>
      </c>
    </row>
    <row r="282" spans="2:19" x14ac:dyDescent="0.25">
      <c r="B282">
        <f>480+2*(Table14681012[[#This Row],[min value (corrected)]]-34)</f>
        <v>492</v>
      </c>
      <c r="C282">
        <f>MINUTE(Table14681012[[#This Row],[Corrected time]])</f>
        <v>40</v>
      </c>
      <c r="D282" s="1">
        <v>0.73680097222222218</v>
      </c>
      <c r="E282" s="1">
        <f>Table14681012[[#This Row],[Time]]-TIME(0,0,9)</f>
        <v>0.7366968055555555</v>
      </c>
      <c r="F282" t="s">
        <v>9</v>
      </c>
      <c r="G282" t="s">
        <v>12</v>
      </c>
      <c r="H282">
        <f t="shared" si="8"/>
        <v>-123</v>
      </c>
      <c r="I282">
        <v>-19.3</v>
      </c>
      <c r="L282">
        <f>480+2*(Table25791113[[#This Row],[min value (corrected)]]-50)</f>
        <v>494</v>
      </c>
      <c r="M282">
        <f>MINUTE(Table25791113[[#This Row],[Corrected time]])</f>
        <v>57</v>
      </c>
      <c r="N282" s="1">
        <v>0.62316547453703708</v>
      </c>
      <c r="O282" s="1">
        <f>Table25791113[[#This Row],[Time]]-TIME(0,0,3)</f>
        <v>0.62313075231481485</v>
      </c>
      <c r="P282" t="s">
        <v>9</v>
      </c>
      <c r="Q282">
        <v>-123</v>
      </c>
      <c r="R282">
        <f>Table25791113[[#This Row],[RSSI]]</f>
        <v>-123</v>
      </c>
      <c r="S282">
        <v>-19.8</v>
      </c>
    </row>
    <row r="283" spans="2:19" x14ac:dyDescent="0.25">
      <c r="B283">
        <f>480+2*(Table14681012[[#This Row],[min value (corrected)]]-34)</f>
        <v>492</v>
      </c>
      <c r="C283">
        <f>MINUTE(Table14681012[[#This Row],[Corrected time]])</f>
        <v>40</v>
      </c>
      <c r="D283" s="1">
        <v>0.7368202430555556</v>
      </c>
      <c r="E283" s="1">
        <f>Table14681012[[#This Row],[Time]]-TIME(0,0,9)</f>
        <v>0.73671607638888892</v>
      </c>
      <c r="F283" t="s">
        <v>9</v>
      </c>
      <c r="G283" t="s">
        <v>12</v>
      </c>
      <c r="H283">
        <f t="shared" si="8"/>
        <v>-123</v>
      </c>
      <c r="I283">
        <v>-18.3</v>
      </c>
      <c r="L283">
        <f>480+2*(Table25791113[[#This Row],[min value (corrected)]]-50)</f>
        <v>494</v>
      </c>
      <c r="M283">
        <f>MINUTE(Table25791113[[#This Row],[Corrected time]])</f>
        <v>57</v>
      </c>
      <c r="N283" s="1">
        <v>0.62318472222222221</v>
      </c>
      <c r="O283" s="1">
        <f>Table25791113[[#This Row],[Time]]-TIME(0,0,3)</f>
        <v>0.62314999999999998</v>
      </c>
      <c r="P283" t="s">
        <v>9</v>
      </c>
      <c r="Q283">
        <v>-123</v>
      </c>
      <c r="R283">
        <f>Table25791113[[#This Row],[RSSI]]</f>
        <v>-123</v>
      </c>
      <c r="S283">
        <v>-19</v>
      </c>
    </row>
    <row r="284" spans="2:19" x14ac:dyDescent="0.25">
      <c r="B284">
        <f>480+2*(Table14681012[[#This Row],[min value (corrected)]]-34)</f>
        <v>492</v>
      </c>
      <c r="C284">
        <f>MINUTE(Table14681012[[#This Row],[Corrected time]])</f>
        <v>40</v>
      </c>
      <c r="D284" s="1">
        <v>0.73683947916666659</v>
      </c>
      <c r="E284" s="1">
        <f>Table14681012[[#This Row],[Time]]-TIME(0,0,9)</f>
        <v>0.73673531249999991</v>
      </c>
      <c r="F284" t="s">
        <v>9</v>
      </c>
      <c r="G284" t="s">
        <v>12</v>
      </c>
      <c r="H284">
        <f t="shared" si="8"/>
        <v>-123</v>
      </c>
      <c r="I284">
        <v>-18.3</v>
      </c>
      <c r="L284">
        <f>480+2*(Table25791113[[#This Row],[min value (corrected)]]-50)</f>
        <v>494</v>
      </c>
      <c r="M284">
        <f>MINUTE(Table25791113[[#This Row],[Corrected time]])</f>
        <v>57</v>
      </c>
      <c r="N284" s="1">
        <v>0.62320396990740734</v>
      </c>
      <c r="O284" s="1">
        <f>Table25791113[[#This Row],[Time]]-TIME(0,0,3)</f>
        <v>0.62316924768518511</v>
      </c>
      <c r="P284" t="s">
        <v>9</v>
      </c>
      <c r="Q284">
        <v>-123</v>
      </c>
      <c r="R284">
        <f>Table25791113[[#This Row],[RSSI]]</f>
        <v>-123</v>
      </c>
      <c r="S284">
        <v>-19.5</v>
      </c>
    </row>
    <row r="285" spans="2:19" x14ac:dyDescent="0.25">
      <c r="B285">
        <f>480+2*(Table14681012[[#This Row],[min value (corrected)]]-34)</f>
        <v>492</v>
      </c>
      <c r="C285">
        <f>MINUTE(Table14681012[[#This Row],[Corrected time]])</f>
        <v>40</v>
      </c>
      <c r="D285" s="1">
        <v>0.73685872685185183</v>
      </c>
      <c r="E285" s="1">
        <f>Table14681012[[#This Row],[Time]]-TIME(0,0,9)</f>
        <v>0.73675456018518515</v>
      </c>
      <c r="F285" t="s">
        <v>9</v>
      </c>
      <c r="G285" t="s">
        <v>19</v>
      </c>
      <c r="H285">
        <f t="shared" si="8"/>
        <v>-124</v>
      </c>
      <c r="I285">
        <v>-19.8</v>
      </c>
      <c r="L285">
        <f>480+2*(Table25791113[[#This Row],[min value (corrected)]]-50)</f>
        <v>494</v>
      </c>
      <c r="M285">
        <f>MINUTE(Table25791113[[#This Row],[Corrected time]])</f>
        <v>57</v>
      </c>
      <c r="N285" s="1">
        <v>0.62322321759259258</v>
      </c>
      <c r="O285" s="1">
        <f>Table25791113[[#This Row],[Time]]-TIME(0,0,3)</f>
        <v>0.62318849537037035</v>
      </c>
      <c r="P285" t="s">
        <v>9</v>
      </c>
      <c r="Q285">
        <v>-123</v>
      </c>
      <c r="R285">
        <f>Table25791113[[#This Row],[RSSI]]</f>
        <v>-123</v>
      </c>
      <c r="S285">
        <v>-18.5</v>
      </c>
    </row>
    <row r="286" spans="2:19" x14ac:dyDescent="0.25">
      <c r="B286">
        <f>480+2*(Table14681012[[#This Row],[min value (corrected)]]-34)</f>
        <v>492</v>
      </c>
      <c r="C286">
        <f>MINUTE(Table14681012[[#This Row],[Corrected time]])</f>
        <v>40</v>
      </c>
      <c r="D286" s="1">
        <v>0.73687796296296293</v>
      </c>
      <c r="E286" s="1">
        <f>Table14681012[[#This Row],[Time]]-TIME(0,0,9)</f>
        <v>0.73677379629629625</v>
      </c>
      <c r="F286" t="s">
        <v>9</v>
      </c>
      <c r="G286" t="s">
        <v>19</v>
      </c>
      <c r="H286">
        <f t="shared" si="8"/>
        <v>-124</v>
      </c>
      <c r="I286">
        <v>-19.3</v>
      </c>
      <c r="L286">
        <f>480+2*(Table25791113[[#This Row],[min value (corrected)]]-50)</f>
        <v>494</v>
      </c>
      <c r="M286">
        <f>MINUTE(Table25791113[[#This Row],[Corrected time]])</f>
        <v>57</v>
      </c>
      <c r="N286" s="1">
        <v>0.62324246527777771</v>
      </c>
      <c r="O286" s="1">
        <f>Table25791113[[#This Row],[Time]]-TIME(0,0,3)</f>
        <v>0.62320774305555549</v>
      </c>
      <c r="P286" t="s">
        <v>9</v>
      </c>
      <c r="Q286">
        <v>-123</v>
      </c>
      <c r="R286">
        <f>Table25791113[[#This Row],[RSSI]]</f>
        <v>-123</v>
      </c>
      <c r="S286">
        <v>-19</v>
      </c>
    </row>
    <row r="287" spans="2:19" x14ac:dyDescent="0.25">
      <c r="B287">
        <f>480+2*(Table14681012[[#This Row],[min value (corrected)]]-34)</f>
        <v>492</v>
      </c>
      <c r="C287">
        <f>MINUTE(Table14681012[[#This Row],[Corrected time]])</f>
        <v>40</v>
      </c>
      <c r="D287" s="1">
        <v>0.7368972222222222</v>
      </c>
      <c r="E287" s="1">
        <f>Table14681012[[#This Row],[Time]]-TIME(0,0,9)</f>
        <v>0.73679305555555552</v>
      </c>
      <c r="F287" t="s">
        <v>9</v>
      </c>
      <c r="G287" t="s">
        <v>19</v>
      </c>
      <c r="H287">
        <f t="shared" si="8"/>
        <v>-124</v>
      </c>
      <c r="I287">
        <v>-19.5</v>
      </c>
      <c r="L287">
        <f>480+2*(Table25791113[[#This Row],[min value (corrected)]]-50)</f>
        <v>494</v>
      </c>
      <c r="M287">
        <f>MINUTE(Table25791113[[#This Row],[Corrected time]])</f>
        <v>57</v>
      </c>
      <c r="N287" s="1">
        <v>0.62326171296296295</v>
      </c>
      <c r="O287" s="1">
        <f>Table25791113[[#This Row],[Time]]-TIME(0,0,3)</f>
        <v>0.62322699074074073</v>
      </c>
      <c r="P287" t="s">
        <v>9</v>
      </c>
      <c r="Q287">
        <v>-123</v>
      </c>
      <c r="R287">
        <f>Table25791113[[#This Row],[RSSI]]</f>
        <v>-123</v>
      </c>
      <c r="S287">
        <v>-20</v>
      </c>
    </row>
    <row r="288" spans="2:19" x14ac:dyDescent="0.25">
      <c r="B288">
        <f>480+2*(Table14681012[[#This Row],[min value (corrected)]]-34)</f>
        <v>494</v>
      </c>
      <c r="C288">
        <f>MINUTE(Table14681012[[#This Row],[Corrected time]])</f>
        <v>41</v>
      </c>
      <c r="D288" s="1">
        <v>0.73691646990740745</v>
      </c>
      <c r="E288" s="1">
        <f>Table14681012[[#This Row],[Time]]-TIME(0,0,9)</f>
        <v>0.73681230324074076</v>
      </c>
      <c r="F288" t="s">
        <v>9</v>
      </c>
      <c r="G288" t="s">
        <v>19</v>
      </c>
      <c r="H288">
        <f t="shared" si="8"/>
        <v>-124</v>
      </c>
      <c r="I288">
        <v>-19.5</v>
      </c>
      <c r="L288">
        <f>480+2*(Table25791113[[#This Row],[min value (corrected)]]-50)</f>
        <v>494</v>
      </c>
      <c r="M288">
        <f>MINUTE(Table25791113[[#This Row],[Corrected time]])</f>
        <v>57</v>
      </c>
      <c r="N288" s="1">
        <v>0.62328094907407405</v>
      </c>
      <c r="O288" s="1">
        <f>Table25791113[[#This Row],[Time]]-TIME(0,0,3)</f>
        <v>0.62324622685185183</v>
      </c>
      <c r="P288" t="s">
        <v>9</v>
      </c>
      <c r="Q288">
        <v>-123</v>
      </c>
      <c r="R288">
        <f>Table25791113[[#This Row],[RSSI]]</f>
        <v>-123</v>
      </c>
      <c r="S288">
        <v>-18.5</v>
      </c>
    </row>
    <row r="289" spans="2:19" x14ac:dyDescent="0.25">
      <c r="B289">
        <f>480+2*(Table14681012[[#This Row],[min value (corrected)]]-34)</f>
        <v>494</v>
      </c>
      <c r="C289">
        <f>MINUTE(Table14681012[[#This Row],[Corrected time]])</f>
        <v>41</v>
      </c>
      <c r="D289" s="1">
        <v>0.73693571759259258</v>
      </c>
      <c r="E289" s="1">
        <f>Table14681012[[#This Row],[Time]]-TIME(0,0,9)</f>
        <v>0.73683155092592589</v>
      </c>
      <c r="F289" t="s">
        <v>9</v>
      </c>
      <c r="G289" t="s">
        <v>19</v>
      </c>
      <c r="H289">
        <f t="shared" si="8"/>
        <v>-124</v>
      </c>
      <c r="I289">
        <v>-20</v>
      </c>
      <c r="L289">
        <f>480+2*(Table25791113[[#This Row],[min value (corrected)]]-50)</f>
        <v>494</v>
      </c>
      <c r="M289">
        <f>MINUTE(Table25791113[[#This Row],[Corrected time]])</f>
        <v>57</v>
      </c>
      <c r="N289" s="1">
        <v>0.62330020833333333</v>
      </c>
      <c r="O289" s="1">
        <f>Table25791113[[#This Row],[Time]]-TIME(0,0,3)</f>
        <v>0.6232654861111111</v>
      </c>
      <c r="P289" t="s">
        <v>9</v>
      </c>
      <c r="Q289">
        <v>-123</v>
      </c>
      <c r="R289">
        <f>Table25791113[[#This Row],[RSSI]]</f>
        <v>-123</v>
      </c>
      <c r="S289">
        <v>-19.3</v>
      </c>
    </row>
    <row r="290" spans="2:19" x14ac:dyDescent="0.25">
      <c r="B290">
        <f>480+2*(Table14681012[[#This Row],[min value (corrected)]]-34)</f>
        <v>494</v>
      </c>
      <c r="C290">
        <f>MINUTE(Table14681012[[#This Row],[Corrected time]])</f>
        <v>41</v>
      </c>
      <c r="D290" s="1">
        <v>0.73695496527777782</v>
      </c>
      <c r="E290" s="1">
        <f>Table14681012[[#This Row],[Time]]-TIME(0,0,9)</f>
        <v>0.73685079861111114</v>
      </c>
      <c r="F290" t="s">
        <v>9</v>
      </c>
      <c r="G290" t="s">
        <v>19</v>
      </c>
      <c r="H290">
        <f t="shared" si="8"/>
        <v>-124</v>
      </c>
      <c r="I290">
        <v>-19.5</v>
      </c>
      <c r="L290">
        <f>480+2*(Table25791113[[#This Row],[min value (corrected)]]-50)</f>
        <v>494</v>
      </c>
      <c r="M290">
        <f>MINUTE(Table25791113[[#This Row],[Corrected time]])</f>
        <v>57</v>
      </c>
      <c r="N290" s="1">
        <v>0.62331945601851846</v>
      </c>
      <c r="O290" s="1">
        <f>Table25791113[[#This Row],[Time]]-TIME(0,0,3)</f>
        <v>0.62328473379629623</v>
      </c>
      <c r="P290" t="s">
        <v>9</v>
      </c>
      <c r="Q290">
        <v>-123</v>
      </c>
      <c r="R290">
        <f>Table25791113[[#This Row],[RSSI]]</f>
        <v>-123</v>
      </c>
      <c r="S290">
        <v>-18</v>
      </c>
    </row>
    <row r="291" spans="2:19" x14ac:dyDescent="0.25">
      <c r="B291">
        <f>480+2*(Table14681012[[#This Row],[min value (corrected)]]-34)</f>
        <v>494</v>
      </c>
      <c r="C291">
        <f>MINUTE(Table14681012[[#This Row],[Corrected time]])</f>
        <v>41</v>
      </c>
      <c r="D291" s="1">
        <v>0.73697421296296295</v>
      </c>
      <c r="E291" s="1">
        <f>Table14681012[[#This Row],[Time]]-TIME(0,0,9)</f>
        <v>0.73687004629629627</v>
      </c>
      <c r="F291" t="s">
        <v>13</v>
      </c>
      <c r="G291" t="str">
        <f>G290</f>
        <v>-124.0,</v>
      </c>
      <c r="H291">
        <f t="shared" si="8"/>
        <v>-124</v>
      </c>
      <c r="I291">
        <f>I290</f>
        <v>-19.5</v>
      </c>
      <c r="L291">
        <f>480+2*(Table25791113[[#This Row],[min value (corrected)]]-50)</f>
        <v>494</v>
      </c>
      <c r="M291">
        <f>MINUTE(Table25791113[[#This Row],[Corrected time]])</f>
        <v>57</v>
      </c>
      <c r="N291" s="1">
        <v>0.6233387037037037</v>
      </c>
      <c r="O291" s="1">
        <f>Table25791113[[#This Row],[Time]]-TIME(0,0,3)</f>
        <v>0.62330398148148147</v>
      </c>
      <c r="P291" t="s">
        <v>9</v>
      </c>
      <c r="Q291">
        <v>-124</v>
      </c>
      <c r="R291">
        <f>Table25791113[[#This Row],[RSSI]]</f>
        <v>-124</v>
      </c>
      <c r="S291">
        <v>-18.8</v>
      </c>
    </row>
    <row r="292" spans="2:19" x14ac:dyDescent="0.25">
      <c r="B292">
        <f>480+2*(Table14681012[[#This Row],[min value (corrected)]]-34)</f>
        <v>494</v>
      </c>
      <c r="C292">
        <f>MINUTE(Table14681012[[#This Row],[Corrected time]])</f>
        <v>41</v>
      </c>
      <c r="D292" s="1">
        <v>0.73699344907407405</v>
      </c>
      <c r="E292" s="1">
        <f>Table14681012[[#This Row],[Time]]-TIME(0,0,9)</f>
        <v>0.73688928240740736</v>
      </c>
      <c r="F292" t="s">
        <v>9</v>
      </c>
      <c r="G292" t="s">
        <v>12</v>
      </c>
      <c r="H292">
        <f t="shared" si="8"/>
        <v>-123</v>
      </c>
      <c r="I292">
        <v>-18.5</v>
      </c>
      <c r="L292">
        <f>480+2*(Table25791113[[#This Row],[min value (corrected)]]-50)</f>
        <v>494</v>
      </c>
      <c r="M292">
        <f>MINUTE(Table25791113[[#This Row],[Corrected time]])</f>
        <v>57</v>
      </c>
      <c r="N292" s="1">
        <v>0.62335795138888894</v>
      </c>
      <c r="O292" s="1">
        <f>Table25791113[[#This Row],[Time]]-TIME(0,0,3)</f>
        <v>0.62332322916666671</v>
      </c>
      <c r="P292" t="s">
        <v>9</v>
      </c>
      <c r="Q292">
        <v>-123</v>
      </c>
      <c r="R292">
        <f>Table25791113[[#This Row],[RSSI]]</f>
        <v>-123</v>
      </c>
      <c r="S292">
        <v>-18.8</v>
      </c>
    </row>
    <row r="293" spans="2:19" x14ac:dyDescent="0.25">
      <c r="B293">
        <f>480+2*(Table14681012[[#This Row],[min value (corrected)]]-34)</f>
        <v>494</v>
      </c>
      <c r="C293">
        <f>MINUTE(Table14681012[[#This Row],[Corrected time]])</f>
        <v>41</v>
      </c>
      <c r="D293" s="1">
        <v>0.73701270833333332</v>
      </c>
      <c r="E293" s="1">
        <f>Table14681012[[#This Row],[Time]]-TIME(0,0,9)</f>
        <v>0.73690854166666664</v>
      </c>
      <c r="F293" t="s">
        <v>9</v>
      </c>
      <c r="G293" t="s">
        <v>19</v>
      </c>
      <c r="H293">
        <f t="shared" si="8"/>
        <v>-124</v>
      </c>
      <c r="I293">
        <v>-18.5</v>
      </c>
      <c r="L293">
        <f>480+2*(Table25791113[[#This Row],[min value (corrected)]]-50)</f>
        <v>494</v>
      </c>
      <c r="M293">
        <f>MINUTE(Table25791113[[#This Row],[Corrected time]])</f>
        <v>57</v>
      </c>
      <c r="N293" s="1">
        <v>0.62337719907407407</v>
      </c>
      <c r="O293" s="1">
        <f>Table25791113[[#This Row],[Time]]-TIME(0,0,3)</f>
        <v>0.62334247685185185</v>
      </c>
      <c r="P293" t="s">
        <v>9</v>
      </c>
      <c r="Q293">
        <v>-123</v>
      </c>
      <c r="R293">
        <f>Table25791113[[#This Row],[RSSI]]</f>
        <v>-123</v>
      </c>
      <c r="S293">
        <v>-18.3</v>
      </c>
    </row>
    <row r="294" spans="2:19" x14ac:dyDescent="0.25">
      <c r="B294">
        <f>480+2*(Table14681012[[#This Row],[min value (corrected)]]-34)</f>
        <v>494</v>
      </c>
      <c r="C294">
        <f>MINUTE(Table14681012[[#This Row],[Corrected time]])</f>
        <v>41</v>
      </c>
      <c r="D294" s="1">
        <v>0.73703195601851856</v>
      </c>
      <c r="E294" s="1">
        <f>Table14681012[[#This Row],[Time]]-TIME(0,0,9)</f>
        <v>0.73692778935185188</v>
      </c>
      <c r="F294" t="s">
        <v>9</v>
      </c>
      <c r="G294" t="s">
        <v>12</v>
      </c>
      <c r="H294">
        <f t="shared" si="8"/>
        <v>-123</v>
      </c>
      <c r="I294">
        <v>-18.5</v>
      </c>
      <c r="L294">
        <f>480+2*(Table25791113[[#This Row],[min value (corrected)]]-50)</f>
        <v>494</v>
      </c>
      <c r="M294">
        <f>MINUTE(Table25791113[[#This Row],[Corrected time]])</f>
        <v>57</v>
      </c>
      <c r="N294" s="1">
        <v>0.62339644675925932</v>
      </c>
      <c r="O294" s="1">
        <f>Table25791113[[#This Row],[Time]]-TIME(0,0,3)</f>
        <v>0.62336172453703709</v>
      </c>
      <c r="P294" t="s">
        <v>9</v>
      </c>
      <c r="Q294">
        <v>-123</v>
      </c>
      <c r="R294">
        <f>Table25791113[[#This Row],[RSSI]]</f>
        <v>-123</v>
      </c>
      <c r="S294">
        <v>-19.8</v>
      </c>
    </row>
    <row r="295" spans="2:19" x14ac:dyDescent="0.25">
      <c r="B295">
        <f>480+2*(Table14681012[[#This Row],[min value (corrected)]]-34)</f>
        <v>494</v>
      </c>
      <c r="C295">
        <f>MINUTE(Table14681012[[#This Row],[Corrected time]])</f>
        <v>41</v>
      </c>
      <c r="D295" s="1">
        <v>0.73705120370370369</v>
      </c>
      <c r="E295" s="1">
        <f>Table14681012[[#This Row],[Time]]-TIME(0,0,9)</f>
        <v>0.73694703703703701</v>
      </c>
      <c r="F295" t="s">
        <v>9</v>
      </c>
      <c r="G295" t="s">
        <v>19</v>
      </c>
      <c r="H295">
        <f t="shared" si="8"/>
        <v>-124</v>
      </c>
      <c r="I295">
        <v>-18.5</v>
      </c>
      <c r="L295">
        <f>480+2*(Table25791113[[#This Row],[min value (corrected)]]-50)</f>
        <v>494</v>
      </c>
      <c r="M295">
        <f>MINUTE(Table25791113[[#This Row],[Corrected time]])</f>
        <v>57</v>
      </c>
      <c r="N295" s="1">
        <v>0.6234156828703703</v>
      </c>
      <c r="O295" s="1">
        <f>Table25791113[[#This Row],[Time]]-TIME(0,0,3)</f>
        <v>0.62338096064814807</v>
      </c>
      <c r="P295" t="s">
        <v>9</v>
      </c>
      <c r="Q295">
        <v>-124</v>
      </c>
      <c r="R295">
        <f>Table25791113[[#This Row],[RSSI]]</f>
        <v>-124</v>
      </c>
      <c r="S295">
        <v>-19</v>
      </c>
    </row>
    <row r="296" spans="2:19" x14ac:dyDescent="0.25">
      <c r="B296">
        <f>480+2*(Table14681012[[#This Row],[min value (corrected)]]-34)</f>
        <v>494</v>
      </c>
      <c r="C296">
        <f>MINUTE(Table14681012[[#This Row],[Corrected time]])</f>
        <v>41</v>
      </c>
      <c r="D296" s="1">
        <v>0.73707045138888894</v>
      </c>
      <c r="E296" s="1">
        <f>Table14681012[[#This Row],[Time]]-TIME(0,0,9)</f>
        <v>0.73696628472222225</v>
      </c>
      <c r="F296" t="s">
        <v>9</v>
      </c>
      <c r="G296" t="s">
        <v>19</v>
      </c>
      <c r="H296">
        <f t="shared" si="8"/>
        <v>-124</v>
      </c>
      <c r="I296">
        <v>-19</v>
      </c>
      <c r="L296">
        <f>480+2*(Table25791113[[#This Row],[min value (corrected)]]-50)</f>
        <v>494</v>
      </c>
      <c r="M296">
        <f>MINUTE(Table25791113[[#This Row],[Corrected time]])</f>
        <v>57</v>
      </c>
      <c r="N296" s="1">
        <v>0.62343494212962969</v>
      </c>
      <c r="O296" s="1">
        <f>Table25791113[[#This Row],[Time]]-TIME(0,0,3)</f>
        <v>0.62340021990740746</v>
      </c>
      <c r="P296" t="s">
        <v>9</v>
      </c>
      <c r="Q296">
        <v>-123</v>
      </c>
      <c r="R296">
        <f>Table25791113[[#This Row],[RSSI]]</f>
        <v>-123</v>
      </c>
      <c r="S296">
        <v>-18</v>
      </c>
    </row>
    <row r="297" spans="2:19" x14ac:dyDescent="0.25">
      <c r="B297">
        <f>480+2*(Table14681012[[#This Row],[min value (corrected)]]-34)</f>
        <v>494</v>
      </c>
      <c r="C297">
        <f>MINUTE(Table14681012[[#This Row],[Corrected time]])</f>
        <v>41</v>
      </c>
      <c r="D297" s="1">
        <v>0.73708969907407407</v>
      </c>
      <c r="E297" s="1">
        <f>Table14681012[[#This Row],[Time]]-TIME(0,0,9)</f>
        <v>0.73698553240740738</v>
      </c>
      <c r="F297" t="s">
        <v>9</v>
      </c>
      <c r="G297" t="s">
        <v>12</v>
      </c>
      <c r="H297">
        <f t="shared" si="8"/>
        <v>-123</v>
      </c>
      <c r="I297">
        <v>-18.5</v>
      </c>
      <c r="L297">
        <f>480+2*(Table25791113[[#This Row],[min value (corrected)]]-50)</f>
        <v>494</v>
      </c>
      <c r="M297">
        <f>MINUTE(Table25791113[[#This Row],[Corrected time]])</f>
        <v>57</v>
      </c>
      <c r="N297" s="1">
        <v>0.62345418981481482</v>
      </c>
      <c r="O297" s="1">
        <f>Table25791113[[#This Row],[Time]]-TIME(0,0,3)</f>
        <v>0.62341946759259259</v>
      </c>
      <c r="P297" t="s">
        <v>9</v>
      </c>
      <c r="Q297">
        <v>-123</v>
      </c>
      <c r="R297">
        <f>Table25791113[[#This Row],[RSSI]]</f>
        <v>-123</v>
      </c>
      <c r="S297">
        <v>-19.8</v>
      </c>
    </row>
    <row r="298" spans="2:19" x14ac:dyDescent="0.25">
      <c r="B298">
        <f>480+2*(Table14681012[[#This Row],[min value (corrected)]]-34)</f>
        <v>494</v>
      </c>
      <c r="C298">
        <f>MINUTE(Table14681012[[#This Row],[Corrected time]])</f>
        <v>41</v>
      </c>
      <c r="D298" s="1">
        <v>0.73710894675925931</v>
      </c>
      <c r="E298" s="1">
        <f>Table14681012[[#This Row],[Time]]-TIME(0,0,9)</f>
        <v>0.73700478009259263</v>
      </c>
      <c r="F298" t="s">
        <v>9</v>
      </c>
      <c r="G298" t="s">
        <v>12</v>
      </c>
      <c r="H298">
        <f t="shared" si="8"/>
        <v>-123</v>
      </c>
      <c r="I298">
        <v>-18.8</v>
      </c>
      <c r="L298">
        <f>480+2*(Table25791113[[#This Row],[min value (corrected)]]-50)</f>
        <v>494</v>
      </c>
      <c r="M298">
        <f>MINUTE(Table25791113[[#This Row],[Corrected time]])</f>
        <v>57</v>
      </c>
      <c r="N298" s="1">
        <v>0.62347343750000006</v>
      </c>
      <c r="O298" s="1">
        <f>Table25791113[[#This Row],[Time]]-TIME(0,0,3)</f>
        <v>0.62343871527777783</v>
      </c>
      <c r="P298" t="s">
        <v>9</v>
      </c>
      <c r="Q298">
        <v>-123</v>
      </c>
      <c r="R298">
        <f>Table25791113[[#This Row],[RSSI]]</f>
        <v>-123</v>
      </c>
      <c r="S298">
        <v>-18.5</v>
      </c>
    </row>
    <row r="299" spans="2:19" x14ac:dyDescent="0.25">
      <c r="B299">
        <f>480+2*(Table14681012[[#This Row],[min value (corrected)]]-34)</f>
        <v>494</v>
      </c>
      <c r="C299">
        <f>MINUTE(Table14681012[[#This Row],[Corrected time]])</f>
        <v>41</v>
      </c>
      <c r="D299" s="1">
        <v>0.73712819444444444</v>
      </c>
      <c r="E299" s="1">
        <f>Table14681012[[#This Row],[Time]]-TIME(0,0,9)</f>
        <v>0.73702402777777776</v>
      </c>
      <c r="F299" t="s">
        <v>9</v>
      </c>
      <c r="G299" t="s">
        <v>12</v>
      </c>
      <c r="H299">
        <f t="shared" si="8"/>
        <v>-123</v>
      </c>
      <c r="I299">
        <v>-19.3</v>
      </c>
      <c r="L299">
        <f>480+2*(Table25791113[[#This Row],[min value (corrected)]]-50)</f>
        <v>494</v>
      </c>
      <c r="M299">
        <f>MINUTE(Table25791113[[#This Row],[Corrected time]])</f>
        <v>57</v>
      </c>
      <c r="N299" s="1">
        <v>0.62349268518518519</v>
      </c>
      <c r="O299" s="1">
        <f>Table25791113[[#This Row],[Time]]-TIME(0,0,3)</f>
        <v>0.62345796296296296</v>
      </c>
      <c r="P299" t="s">
        <v>9</v>
      </c>
      <c r="Q299">
        <v>-123</v>
      </c>
      <c r="R299">
        <f>Table25791113[[#This Row],[RSSI]]</f>
        <v>-123</v>
      </c>
      <c r="S299">
        <v>-18.3</v>
      </c>
    </row>
    <row r="300" spans="2:19" x14ac:dyDescent="0.25">
      <c r="B300">
        <f>480+2*(Table14681012[[#This Row],[min value (corrected)]]-34)</f>
        <v>494</v>
      </c>
      <c r="C300">
        <f>MINUTE(Table14681012[[#This Row],[Corrected time]])</f>
        <v>41</v>
      </c>
      <c r="D300" s="1">
        <v>0.73714744212962957</v>
      </c>
      <c r="E300" s="1">
        <f>Table14681012[[#This Row],[Time]]-TIME(0,0,9)</f>
        <v>0.73704327546296289</v>
      </c>
      <c r="F300" t="s">
        <v>9</v>
      </c>
      <c r="G300" t="s">
        <v>12</v>
      </c>
      <c r="H300">
        <f t="shared" si="8"/>
        <v>-123</v>
      </c>
      <c r="I300">
        <v>-18.8</v>
      </c>
      <c r="L300">
        <f>480+2*(Table25791113[[#This Row],[min value (corrected)]]-50)</f>
        <v>494</v>
      </c>
      <c r="M300">
        <f>MINUTE(Table25791113[[#This Row],[Corrected time]])</f>
        <v>57</v>
      </c>
      <c r="N300" s="1">
        <v>0.62351193287037032</v>
      </c>
      <c r="O300" s="1">
        <f>Table25791113[[#This Row],[Time]]-TIME(0,0,3)</f>
        <v>0.62347721064814809</v>
      </c>
      <c r="P300" t="s">
        <v>9</v>
      </c>
      <c r="Q300">
        <v>-123</v>
      </c>
      <c r="R300">
        <f>Table25791113[[#This Row],[RSSI]]</f>
        <v>-123</v>
      </c>
      <c r="S300">
        <v>-19.3</v>
      </c>
    </row>
    <row r="301" spans="2:19" x14ac:dyDescent="0.25">
      <c r="B301">
        <f>480+2*(Table14681012[[#This Row],[min value (corrected)]]-34)</f>
        <v>494</v>
      </c>
      <c r="C301">
        <f>MINUTE(Table14681012[[#This Row],[Corrected time]])</f>
        <v>41</v>
      </c>
      <c r="D301" s="1">
        <v>0.73716667824074078</v>
      </c>
      <c r="E301" s="1">
        <f>Table14681012[[#This Row],[Time]]-TIME(0,0,9)</f>
        <v>0.7370625115740741</v>
      </c>
      <c r="F301" t="s">
        <v>9</v>
      </c>
      <c r="G301" t="s">
        <v>12</v>
      </c>
      <c r="H301">
        <f t="shared" si="8"/>
        <v>-123</v>
      </c>
      <c r="I301">
        <v>-18.5</v>
      </c>
      <c r="L301">
        <f>480+2*(Table25791113[[#This Row],[min value (corrected)]]-50)</f>
        <v>494</v>
      </c>
      <c r="M301">
        <f>MINUTE(Table25791113[[#This Row],[Corrected time]])</f>
        <v>57</v>
      </c>
      <c r="N301" s="1">
        <v>0.62353118055555556</v>
      </c>
      <c r="O301" s="1">
        <f>Table25791113[[#This Row],[Time]]-TIME(0,0,3)</f>
        <v>0.62349645833333334</v>
      </c>
      <c r="P301" t="s">
        <v>9</v>
      </c>
      <c r="Q301">
        <v>-123</v>
      </c>
      <c r="R301">
        <f>Table25791113[[#This Row],[RSSI]]</f>
        <v>-123</v>
      </c>
      <c r="S301">
        <v>-19</v>
      </c>
    </row>
    <row r="302" spans="2:19" x14ac:dyDescent="0.25">
      <c r="B302">
        <f>480+2*(Table14681012[[#This Row],[min value (corrected)]]-34)</f>
        <v>494</v>
      </c>
      <c r="C302">
        <f>MINUTE(Table14681012[[#This Row],[Corrected time]])</f>
        <v>41</v>
      </c>
      <c r="D302" s="1">
        <v>0.73718593749999994</v>
      </c>
      <c r="E302" s="1">
        <f>Table14681012[[#This Row],[Time]]-TIME(0,0,9)</f>
        <v>0.73708177083333326</v>
      </c>
      <c r="F302" t="s">
        <v>9</v>
      </c>
      <c r="G302" t="s">
        <v>12</v>
      </c>
      <c r="H302">
        <f t="shared" si="8"/>
        <v>-123</v>
      </c>
      <c r="I302">
        <v>-18.5</v>
      </c>
      <c r="L302">
        <f>480+2*(Table25791113[[#This Row],[min value (corrected)]]-50)</f>
        <v>494</v>
      </c>
      <c r="M302">
        <f>MINUTE(Table25791113[[#This Row],[Corrected time]])</f>
        <v>57</v>
      </c>
      <c r="N302" s="1">
        <v>0.62355041666666666</v>
      </c>
      <c r="O302" s="1">
        <f>Table25791113[[#This Row],[Time]]-TIME(0,0,3)</f>
        <v>0.62351569444444443</v>
      </c>
      <c r="P302" t="s">
        <v>9</v>
      </c>
      <c r="Q302">
        <v>-123</v>
      </c>
      <c r="R302">
        <f>Table25791113[[#This Row],[RSSI]]</f>
        <v>-123</v>
      </c>
      <c r="S302">
        <v>-18.5</v>
      </c>
    </row>
    <row r="303" spans="2:19" x14ac:dyDescent="0.25">
      <c r="B303">
        <f>480+2*(Table14681012[[#This Row],[min value (corrected)]]-34)</f>
        <v>494</v>
      </c>
      <c r="C303">
        <f>MINUTE(Table14681012[[#This Row],[Corrected time]])</f>
        <v>41</v>
      </c>
      <c r="D303" s="1">
        <v>0.73720517361111115</v>
      </c>
      <c r="E303" s="1">
        <f>Table14681012[[#This Row],[Time]]-TIME(0,0,9)</f>
        <v>0.73710100694444447</v>
      </c>
      <c r="F303" t="s">
        <v>9</v>
      </c>
      <c r="G303" t="s">
        <v>12</v>
      </c>
      <c r="H303">
        <f t="shared" si="8"/>
        <v>-123</v>
      </c>
      <c r="I303">
        <v>-18</v>
      </c>
      <c r="L303">
        <f>480+2*(Table25791113[[#This Row],[min value (corrected)]]-50)</f>
        <v>494</v>
      </c>
      <c r="M303">
        <f>MINUTE(Table25791113[[#This Row],[Corrected time]])</f>
        <v>57</v>
      </c>
      <c r="N303" s="1">
        <v>0.62356967592592594</v>
      </c>
      <c r="O303" s="1">
        <f>Table25791113[[#This Row],[Time]]-TIME(0,0,3)</f>
        <v>0.62353495370370371</v>
      </c>
      <c r="P303" t="s">
        <v>9</v>
      </c>
      <c r="Q303">
        <v>-123</v>
      </c>
      <c r="R303">
        <f>Table25791113[[#This Row],[RSSI]]</f>
        <v>-123</v>
      </c>
      <c r="S303">
        <v>-18.5</v>
      </c>
    </row>
    <row r="304" spans="2:19" x14ac:dyDescent="0.25">
      <c r="B304">
        <f>480+2*(Table14681012[[#This Row],[min value (corrected)]]-34)</f>
        <v>494</v>
      </c>
      <c r="C304">
        <f>MINUTE(Table14681012[[#This Row],[Corrected time]])</f>
        <v>41</v>
      </c>
      <c r="D304" s="1">
        <v>0.73722443287037032</v>
      </c>
      <c r="E304" s="1">
        <f>Table14681012[[#This Row],[Time]]-TIME(0,0,9)</f>
        <v>0.73712026620370363</v>
      </c>
      <c r="F304" t="s">
        <v>9</v>
      </c>
      <c r="G304" t="s">
        <v>19</v>
      </c>
      <c r="H304">
        <f t="shared" si="8"/>
        <v>-124</v>
      </c>
      <c r="I304">
        <v>-18.3</v>
      </c>
      <c r="L304">
        <f>480+2*(Table25791113[[#This Row],[min value (corrected)]]-50)</f>
        <v>494</v>
      </c>
      <c r="M304">
        <f>MINUTE(Table25791113[[#This Row],[Corrected time]])</f>
        <v>57</v>
      </c>
      <c r="N304" s="1">
        <v>0.62358892361111107</v>
      </c>
      <c r="O304" s="1">
        <f>Table25791113[[#This Row],[Time]]-TIME(0,0,3)</f>
        <v>0.62355420138888884</v>
      </c>
      <c r="P304" t="s">
        <v>9</v>
      </c>
      <c r="Q304">
        <v>-123</v>
      </c>
      <c r="R304">
        <f>Table25791113[[#This Row],[RSSI]]</f>
        <v>-123</v>
      </c>
      <c r="S304">
        <v>-18.8</v>
      </c>
    </row>
    <row r="305" spans="2:19" x14ac:dyDescent="0.25">
      <c r="B305">
        <f>480+2*(Table14681012[[#This Row],[min value (corrected)]]-34)</f>
        <v>494</v>
      </c>
      <c r="C305">
        <f>MINUTE(Table14681012[[#This Row],[Corrected time]])</f>
        <v>41</v>
      </c>
      <c r="D305" s="1">
        <v>0.73724368055555556</v>
      </c>
      <c r="E305" s="1">
        <f>Table14681012[[#This Row],[Time]]-TIME(0,0,9)</f>
        <v>0.73713951388888888</v>
      </c>
      <c r="F305" t="s">
        <v>9</v>
      </c>
      <c r="G305" t="s">
        <v>19</v>
      </c>
      <c r="H305">
        <f t="shared" si="8"/>
        <v>-124</v>
      </c>
      <c r="I305">
        <v>-19.3</v>
      </c>
      <c r="L305">
        <f>480+2*(Table25791113[[#This Row],[min value (corrected)]]-50)</f>
        <v>494</v>
      </c>
      <c r="M305">
        <f>MINUTE(Table25791113[[#This Row],[Corrected time]])</f>
        <v>57</v>
      </c>
      <c r="N305" s="1">
        <v>0.62360817129629631</v>
      </c>
      <c r="O305" s="1">
        <f>Table25791113[[#This Row],[Time]]-TIME(0,0,3)</f>
        <v>0.62357344907407408</v>
      </c>
      <c r="P305" t="s">
        <v>9</v>
      </c>
      <c r="Q305">
        <v>-123</v>
      </c>
      <c r="R305">
        <f>Table25791113[[#This Row],[RSSI]]</f>
        <v>-123</v>
      </c>
      <c r="S305">
        <v>-19</v>
      </c>
    </row>
    <row r="306" spans="2:19" x14ac:dyDescent="0.25">
      <c r="B306">
        <f>480+2*(Table14681012[[#This Row],[min value (corrected)]]-34)</f>
        <v>494</v>
      </c>
      <c r="C306">
        <f>MINUTE(Table14681012[[#This Row],[Corrected time]])</f>
        <v>41</v>
      </c>
      <c r="D306" s="1">
        <v>0.73726292824074069</v>
      </c>
      <c r="E306" s="1">
        <f>Table14681012[[#This Row],[Time]]-TIME(0,0,9)</f>
        <v>0.73715876157407401</v>
      </c>
      <c r="F306" t="s">
        <v>9</v>
      </c>
      <c r="G306" t="s">
        <v>12</v>
      </c>
      <c r="H306">
        <f t="shared" si="8"/>
        <v>-123</v>
      </c>
      <c r="I306">
        <v>-19.3</v>
      </c>
      <c r="L306">
        <f>480+2*(Table25791113[[#This Row],[min value (corrected)]]-50)</f>
        <v>494</v>
      </c>
      <c r="M306">
        <f>MINUTE(Table25791113[[#This Row],[Corrected time]])</f>
        <v>57</v>
      </c>
      <c r="N306" s="1">
        <v>0.62362740740740741</v>
      </c>
      <c r="O306" s="1">
        <f>Table25791113[[#This Row],[Time]]-TIME(0,0,3)</f>
        <v>0.62359268518518518</v>
      </c>
      <c r="P306" t="s">
        <v>9</v>
      </c>
      <c r="Q306">
        <v>-124</v>
      </c>
      <c r="R306">
        <f>Table25791113[[#This Row],[RSSI]]</f>
        <v>-124</v>
      </c>
      <c r="S306">
        <v>-19.8</v>
      </c>
    </row>
    <row r="307" spans="2:19" x14ac:dyDescent="0.25">
      <c r="B307">
        <f>480+2*(Table14681012[[#This Row],[min value (corrected)]]-34)</f>
        <v>494</v>
      </c>
      <c r="C307">
        <f>MINUTE(Table14681012[[#This Row],[Corrected time]])</f>
        <v>41</v>
      </c>
      <c r="D307" s="1">
        <v>0.73728217592592593</v>
      </c>
      <c r="E307" s="1">
        <f>Table14681012[[#This Row],[Time]]-TIME(0,0,9)</f>
        <v>0.73717800925925925</v>
      </c>
      <c r="F307" t="s">
        <v>9</v>
      </c>
      <c r="G307" t="s">
        <v>12</v>
      </c>
      <c r="H307">
        <f t="shared" si="8"/>
        <v>-123</v>
      </c>
      <c r="I307">
        <v>-18.8</v>
      </c>
      <c r="L307">
        <f>480+2*(Table25791113[[#This Row],[min value (corrected)]]-50)</f>
        <v>496</v>
      </c>
      <c r="M307">
        <f>MINUTE(Table25791113[[#This Row],[Corrected time]])</f>
        <v>58</v>
      </c>
      <c r="N307" s="1">
        <v>0.62364665509259265</v>
      </c>
      <c r="O307" s="1">
        <f>Table25791113[[#This Row],[Time]]-TIME(0,0,3)</f>
        <v>0.62361193287037042</v>
      </c>
      <c r="P307" t="s">
        <v>13</v>
      </c>
      <c r="Q307">
        <f>Q306</f>
        <v>-124</v>
      </c>
      <c r="R307">
        <f>Table25791113[[#This Row],[RSSI]]</f>
        <v>-124</v>
      </c>
      <c r="S307">
        <f>S306</f>
        <v>-19.8</v>
      </c>
    </row>
    <row r="308" spans="2:19" x14ac:dyDescent="0.25">
      <c r="B308">
        <f>480+2*(Table14681012[[#This Row],[min value (corrected)]]-34)</f>
        <v>494</v>
      </c>
      <c r="C308">
        <f>MINUTE(Table14681012[[#This Row],[Corrected time]])</f>
        <v>41</v>
      </c>
      <c r="D308" s="1">
        <v>0.73730142361111117</v>
      </c>
      <c r="E308" s="1">
        <f>Table14681012[[#This Row],[Time]]-TIME(0,0,9)</f>
        <v>0.73719725694444449</v>
      </c>
      <c r="F308" t="s">
        <v>9</v>
      </c>
      <c r="G308" t="s">
        <v>12</v>
      </c>
      <c r="H308">
        <f t="shared" si="8"/>
        <v>-123</v>
      </c>
      <c r="I308">
        <v>-19.3</v>
      </c>
      <c r="L308">
        <f>480+2*(Table25791113[[#This Row],[min value (corrected)]]-50)</f>
        <v>496</v>
      </c>
      <c r="M308">
        <f>MINUTE(Table25791113[[#This Row],[Corrected time]])</f>
        <v>58</v>
      </c>
      <c r="N308" s="1">
        <v>0.62366591435185181</v>
      </c>
      <c r="O308" s="1">
        <f>Table25791113[[#This Row],[Time]]-TIME(0,0,3)</f>
        <v>0.62363119212962959</v>
      </c>
      <c r="P308" t="s">
        <v>9</v>
      </c>
      <c r="Q308">
        <v>-124</v>
      </c>
      <c r="R308">
        <f>Table25791113[[#This Row],[RSSI]]</f>
        <v>-124</v>
      </c>
      <c r="S308">
        <v>-19.5</v>
      </c>
    </row>
    <row r="309" spans="2:19" x14ac:dyDescent="0.25">
      <c r="B309">
        <f>480+2*(Table14681012[[#This Row],[min value (corrected)]]-34)</f>
        <v>494</v>
      </c>
      <c r="C309">
        <f>MINUTE(Table14681012[[#This Row],[Corrected time]])</f>
        <v>41</v>
      </c>
      <c r="D309" s="1">
        <v>0.7373206712962963</v>
      </c>
      <c r="E309" s="1">
        <f>Table14681012[[#This Row],[Time]]-TIME(0,0,9)</f>
        <v>0.73721650462962962</v>
      </c>
      <c r="F309" t="s">
        <v>9</v>
      </c>
      <c r="G309" t="s">
        <v>12</v>
      </c>
      <c r="H309">
        <f t="shared" si="8"/>
        <v>-123</v>
      </c>
      <c r="I309">
        <v>-18.8</v>
      </c>
      <c r="L309">
        <f>480+2*(Table25791113[[#This Row],[min value (corrected)]]-50)</f>
        <v>496</v>
      </c>
      <c r="M309">
        <f>MINUTE(Table25791113[[#This Row],[Corrected time]])</f>
        <v>58</v>
      </c>
      <c r="N309" s="1">
        <v>0.62368516203703706</v>
      </c>
      <c r="O309" s="1">
        <f>Table25791113[[#This Row],[Time]]-TIME(0,0,3)</f>
        <v>0.62365043981481483</v>
      </c>
      <c r="P309" t="s">
        <v>9</v>
      </c>
      <c r="Q309">
        <v>-124</v>
      </c>
      <c r="R309">
        <f>Table25791113[[#This Row],[RSSI]]</f>
        <v>-124</v>
      </c>
      <c r="S309">
        <v>-20</v>
      </c>
    </row>
    <row r="310" spans="2:19" x14ac:dyDescent="0.25">
      <c r="B310">
        <f>480+2*(Table14681012[[#This Row],[min value (corrected)]]-34)</f>
        <v>494</v>
      </c>
      <c r="C310">
        <f>MINUTE(Table14681012[[#This Row],[Corrected time]])</f>
        <v>41</v>
      </c>
      <c r="D310" s="1">
        <v>0.73733991898148155</v>
      </c>
      <c r="E310" s="1">
        <f>Table14681012[[#This Row],[Time]]-TIME(0,0,9)</f>
        <v>0.73723575231481486</v>
      </c>
      <c r="F310" t="s">
        <v>9</v>
      </c>
      <c r="G310" t="s">
        <v>12</v>
      </c>
      <c r="H310">
        <f t="shared" si="8"/>
        <v>-123</v>
      </c>
      <c r="I310">
        <v>-19</v>
      </c>
      <c r="L310">
        <f>480+2*(Table25791113[[#This Row],[min value (corrected)]]-50)</f>
        <v>496</v>
      </c>
      <c r="M310">
        <f>MINUTE(Table25791113[[#This Row],[Corrected time]])</f>
        <v>58</v>
      </c>
      <c r="N310" s="1">
        <v>0.62370440972222219</v>
      </c>
      <c r="O310" s="1">
        <f>Table25791113[[#This Row],[Time]]-TIME(0,0,3)</f>
        <v>0.62366968749999996</v>
      </c>
      <c r="P310" t="s">
        <v>9</v>
      </c>
      <c r="Q310">
        <v>-124</v>
      </c>
      <c r="R310">
        <f>Table25791113[[#This Row],[RSSI]]</f>
        <v>-124</v>
      </c>
      <c r="S310">
        <v>-19.5</v>
      </c>
    </row>
    <row r="311" spans="2:19" x14ac:dyDescent="0.25">
      <c r="B311">
        <f>480+2*(Table14681012[[#This Row],[min value (corrected)]]-34)</f>
        <v>494</v>
      </c>
      <c r="C311">
        <f>MINUTE(Table14681012[[#This Row],[Corrected time]])</f>
        <v>41</v>
      </c>
      <c r="D311" s="1">
        <v>0.73735916666666668</v>
      </c>
      <c r="E311" s="1">
        <f>Table14681012[[#This Row],[Time]]-TIME(0,0,9)</f>
        <v>0.73725499999999999</v>
      </c>
      <c r="F311" t="s">
        <v>9</v>
      </c>
      <c r="G311" t="s">
        <v>12</v>
      </c>
      <c r="H311">
        <f t="shared" si="8"/>
        <v>-123</v>
      </c>
      <c r="I311">
        <v>-19</v>
      </c>
      <c r="L311">
        <f>480+2*(Table25791113[[#This Row],[min value (corrected)]]-50)</f>
        <v>496</v>
      </c>
      <c r="M311">
        <f>MINUTE(Table25791113[[#This Row],[Corrected time]])</f>
        <v>58</v>
      </c>
      <c r="N311" s="1">
        <v>0.62372365740740743</v>
      </c>
      <c r="O311" s="1">
        <f>Table25791113[[#This Row],[Time]]-TIME(0,0,3)</f>
        <v>0.6236889351851852</v>
      </c>
      <c r="P311" t="s">
        <v>9</v>
      </c>
      <c r="Q311">
        <v>-124</v>
      </c>
      <c r="R311">
        <f>Table25791113[[#This Row],[RSSI]]</f>
        <v>-124</v>
      </c>
      <c r="S311">
        <v>-19.8</v>
      </c>
    </row>
    <row r="312" spans="2:19" x14ac:dyDescent="0.25">
      <c r="B312">
        <f>480+2*(Table14681012[[#This Row],[min value (corrected)]]-34)</f>
        <v>494</v>
      </c>
      <c r="C312">
        <f>MINUTE(Table14681012[[#This Row],[Corrected time]])</f>
        <v>41</v>
      </c>
      <c r="D312" s="1">
        <v>0.73737841435185192</v>
      </c>
      <c r="E312" s="1">
        <f>Table14681012[[#This Row],[Time]]-TIME(0,0,9)</f>
        <v>0.73727424768518524</v>
      </c>
      <c r="F312" t="s">
        <v>9</v>
      </c>
      <c r="G312" t="s">
        <v>19</v>
      </c>
      <c r="H312">
        <f t="shared" si="8"/>
        <v>-124</v>
      </c>
      <c r="I312">
        <v>-18.8</v>
      </c>
      <c r="L312">
        <f>480+2*(Table25791113[[#This Row],[min value (corrected)]]-50)</f>
        <v>496</v>
      </c>
      <c r="M312">
        <f>MINUTE(Table25791113[[#This Row],[Corrected time]])</f>
        <v>58</v>
      </c>
      <c r="N312" s="1">
        <v>0.62374290509259267</v>
      </c>
      <c r="O312" s="1">
        <f>Table25791113[[#This Row],[Time]]-TIME(0,0,3)</f>
        <v>0.62370818287037044</v>
      </c>
      <c r="P312" t="s">
        <v>9</v>
      </c>
      <c r="Q312">
        <v>-124</v>
      </c>
      <c r="R312">
        <f>Table25791113[[#This Row],[RSSI]]</f>
        <v>-124</v>
      </c>
      <c r="S312">
        <v>-20</v>
      </c>
    </row>
    <row r="313" spans="2:19" x14ac:dyDescent="0.25">
      <c r="B313">
        <f>480+2*(Table14681012[[#This Row],[min value (corrected)]]-34)</f>
        <v>494</v>
      </c>
      <c r="C313">
        <f>MINUTE(Table14681012[[#This Row],[Corrected time]])</f>
        <v>41</v>
      </c>
      <c r="D313" s="1">
        <v>0.73739766203703705</v>
      </c>
      <c r="E313" s="1">
        <f>Table14681012[[#This Row],[Time]]-TIME(0,0,9)</f>
        <v>0.73729349537037037</v>
      </c>
      <c r="F313" t="s">
        <v>9</v>
      </c>
      <c r="G313" t="s">
        <v>12</v>
      </c>
      <c r="H313">
        <f t="shared" si="8"/>
        <v>-123</v>
      </c>
      <c r="I313">
        <v>-18.8</v>
      </c>
      <c r="L313">
        <f>480+2*(Table25791113[[#This Row],[min value (corrected)]]-50)</f>
        <v>496</v>
      </c>
      <c r="M313">
        <f>MINUTE(Table25791113[[#This Row],[Corrected time]])</f>
        <v>58</v>
      </c>
      <c r="N313" s="1">
        <v>0.6237621527777778</v>
      </c>
      <c r="O313" s="1">
        <f>Table25791113[[#This Row],[Time]]-TIME(0,0,3)</f>
        <v>0.62372743055555557</v>
      </c>
      <c r="P313" t="s">
        <v>13</v>
      </c>
      <c r="Q313">
        <f>Q312</f>
        <v>-124</v>
      </c>
      <c r="R313">
        <f>Table25791113[[#This Row],[RSSI]]</f>
        <v>-124</v>
      </c>
      <c r="S313">
        <f>S312</f>
        <v>-20</v>
      </c>
    </row>
    <row r="314" spans="2:19" x14ac:dyDescent="0.25">
      <c r="B314">
        <f>480+2*(Table14681012[[#This Row],[min value (corrected)]]-34)</f>
        <v>494</v>
      </c>
      <c r="C314">
        <f>MINUTE(Table14681012[[#This Row],[Corrected time]])</f>
        <v>41</v>
      </c>
      <c r="D314" s="1">
        <v>0.73741690972222229</v>
      </c>
      <c r="E314" s="1">
        <f>Table14681012[[#This Row],[Time]]-TIME(0,0,9)</f>
        <v>0.73731274305555561</v>
      </c>
      <c r="F314" t="s">
        <v>9</v>
      </c>
      <c r="G314" t="s">
        <v>12</v>
      </c>
      <c r="H314">
        <f t="shared" si="8"/>
        <v>-123</v>
      </c>
      <c r="I314">
        <v>-18.5</v>
      </c>
      <c r="L314">
        <f>480+2*(Table25791113[[#This Row],[min value (corrected)]]-50)</f>
        <v>496</v>
      </c>
      <c r="M314">
        <f>MINUTE(Table25791113[[#This Row],[Corrected time]])</f>
        <v>58</v>
      </c>
      <c r="N314" s="1">
        <v>0.62378140046296304</v>
      </c>
      <c r="O314" s="1">
        <f>Table25791113[[#This Row],[Time]]-TIME(0,0,3)</f>
        <v>0.62374667824074082</v>
      </c>
      <c r="P314" t="s">
        <v>9</v>
      </c>
      <c r="Q314">
        <v>-123</v>
      </c>
      <c r="R314">
        <f>Table25791113[[#This Row],[RSSI]]</f>
        <v>-123</v>
      </c>
      <c r="S314">
        <v>-18.3</v>
      </c>
    </row>
    <row r="315" spans="2:19" x14ac:dyDescent="0.25">
      <c r="B315">
        <f>480+2*(Table14681012[[#This Row],[min value (corrected)]]-34)</f>
        <v>494</v>
      </c>
      <c r="C315">
        <f>MINUTE(Table14681012[[#This Row],[Corrected time]])</f>
        <v>41</v>
      </c>
      <c r="D315" s="1">
        <v>0.73743614583333339</v>
      </c>
      <c r="E315" s="1">
        <f>Table14681012[[#This Row],[Time]]-TIME(0,0,9)</f>
        <v>0.73733197916666671</v>
      </c>
      <c r="F315" t="s">
        <v>9</v>
      </c>
      <c r="G315" t="s">
        <v>19</v>
      </c>
      <c r="H315">
        <f t="shared" si="8"/>
        <v>-124</v>
      </c>
      <c r="I315">
        <v>-19.3</v>
      </c>
      <c r="L315">
        <f>480+2*(Table25791113[[#This Row],[min value (corrected)]]-50)</f>
        <v>496</v>
      </c>
      <c r="M315">
        <f>MINUTE(Table25791113[[#This Row],[Corrected time]])</f>
        <v>58</v>
      </c>
      <c r="N315" s="1">
        <v>0.62380063657407403</v>
      </c>
      <c r="O315" s="1">
        <f>Table25791113[[#This Row],[Time]]-TIME(0,0,3)</f>
        <v>0.6237659143518518</v>
      </c>
      <c r="P315" t="s">
        <v>9</v>
      </c>
      <c r="Q315">
        <v>-123</v>
      </c>
      <c r="R315">
        <f>Table25791113[[#This Row],[RSSI]]</f>
        <v>-123</v>
      </c>
      <c r="S315">
        <v>-18.5</v>
      </c>
    </row>
    <row r="316" spans="2:19" x14ac:dyDescent="0.25">
      <c r="B316">
        <f>480+2*(Table14681012[[#This Row],[min value (corrected)]]-34)</f>
        <v>494</v>
      </c>
      <c r="C316">
        <f>MINUTE(Table14681012[[#This Row],[Corrected time]])</f>
        <v>41</v>
      </c>
      <c r="D316" s="1">
        <v>0.73745540509259255</v>
      </c>
      <c r="E316" s="1">
        <f>Table14681012[[#This Row],[Time]]-TIME(0,0,9)</f>
        <v>0.73735123842592587</v>
      </c>
      <c r="F316" t="s">
        <v>9</v>
      </c>
      <c r="G316" t="s">
        <v>12</v>
      </c>
      <c r="H316">
        <f t="shared" si="8"/>
        <v>-123</v>
      </c>
      <c r="I316">
        <v>-19</v>
      </c>
      <c r="L316">
        <f>480+2*(Table25791113[[#This Row],[min value (corrected)]]-50)</f>
        <v>496</v>
      </c>
      <c r="M316">
        <f>MINUTE(Table25791113[[#This Row],[Corrected time]])</f>
        <v>58</v>
      </c>
      <c r="N316" s="1">
        <v>0.6238198958333333</v>
      </c>
      <c r="O316" s="1">
        <f>Table25791113[[#This Row],[Time]]-TIME(0,0,3)</f>
        <v>0.62378517361111108</v>
      </c>
      <c r="P316" t="s">
        <v>9</v>
      </c>
      <c r="Q316">
        <v>-123</v>
      </c>
      <c r="R316">
        <f>Table25791113[[#This Row],[RSSI]]</f>
        <v>-123</v>
      </c>
      <c r="S316">
        <v>-19</v>
      </c>
    </row>
    <row r="317" spans="2:19" x14ac:dyDescent="0.25">
      <c r="B317">
        <f>480+2*(Table14681012[[#This Row],[min value (corrected)]]-34)</f>
        <v>494</v>
      </c>
      <c r="C317">
        <f>MINUTE(Table14681012[[#This Row],[Corrected time]])</f>
        <v>41</v>
      </c>
      <c r="D317" s="1">
        <v>0.73747465277777779</v>
      </c>
      <c r="E317" s="1">
        <f>Table14681012[[#This Row],[Time]]-TIME(0,0,9)</f>
        <v>0.73737048611111111</v>
      </c>
      <c r="F317" t="s">
        <v>9</v>
      </c>
      <c r="G317" t="s">
        <v>12</v>
      </c>
      <c r="H317">
        <f t="shared" si="8"/>
        <v>-123</v>
      </c>
      <c r="I317">
        <v>-18.8</v>
      </c>
      <c r="L317">
        <f>480+2*(Table25791113[[#This Row],[min value (corrected)]]-50)</f>
        <v>496</v>
      </c>
      <c r="M317">
        <f>MINUTE(Table25791113[[#This Row],[Corrected time]])</f>
        <v>58</v>
      </c>
      <c r="N317" s="1">
        <v>0.6238391319444444</v>
      </c>
      <c r="O317" s="1">
        <f>Table25791113[[#This Row],[Time]]-TIME(0,0,3)</f>
        <v>0.62380440972222218</v>
      </c>
      <c r="P317" t="s">
        <v>9</v>
      </c>
      <c r="Q317">
        <v>-124</v>
      </c>
      <c r="R317">
        <f>Table25791113[[#This Row],[RSSI]]</f>
        <v>-124</v>
      </c>
      <c r="S317">
        <v>-19</v>
      </c>
    </row>
    <row r="318" spans="2:19" x14ac:dyDescent="0.25">
      <c r="B318">
        <f>480+2*(Table14681012[[#This Row],[min value (corrected)]]-34)</f>
        <v>494</v>
      </c>
      <c r="C318">
        <f>MINUTE(Table14681012[[#This Row],[Corrected time]])</f>
        <v>41</v>
      </c>
      <c r="D318" s="1">
        <v>0.73749390046296293</v>
      </c>
      <c r="E318" s="1">
        <f>Table14681012[[#This Row],[Time]]-TIME(0,0,9)</f>
        <v>0.73738973379629624</v>
      </c>
      <c r="F318" t="s">
        <v>13</v>
      </c>
      <c r="G318" t="str">
        <f>G317</f>
        <v>-123.0,</v>
      </c>
      <c r="H318">
        <f t="shared" si="8"/>
        <v>-123</v>
      </c>
      <c r="I318">
        <f>I317</f>
        <v>-18.8</v>
      </c>
      <c r="L318">
        <f>480+2*(Table25791113[[#This Row],[min value (corrected)]]-50)</f>
        <v>496</v>
      </c>
      <c r="M318">
        <f>MINUTE(Table25791113[[#This Row],[Corrected time]])</f>
        <v>58</v>
      </c>
      <c r="N318" s="1">
        <v>0.62385839120370368</v>
      </c>
      <c r="O318" s="1">
        <f>Table25791113[[#This Row],[Time]]-TIME(0,0,3)</f>
        <v>0.62382366898148145</v>
      </c>
      <c r="P318" t="s">
        <v>9</v>
      </c>
      <c r="Q318">
        <v>-123</v>
      </c>
      <c r="R318">
        <f>Table25791113[[#This Row],[RSSI]]</f>
        <v>-123</v>
      </c>
      <c r="S318">
        <v>-18.8</v>
      </c>
    </row>
    <row r="319" spans="2:19" x14ac:dyDescent="0.25">
      <c r="B319">
        <f>480+2*(Table14681012[[#This Row],[min value (corrected)]]-34)</f>
        <v>494</v>
      </c>
      <c r="C319">
        <f>MINUTE(Table14681012[[#This Row],[Corrected time]])</f>
        <v>41</v>
      </c>
      <c r="D319" s="1">
        <v>0.73751314814814817</v>
      </c>
      <c r="E319" s="1">
        <f>Table14681012[[#This Row],[Time]]-TIME(0,0,9)</f>
        <v>0.73740898148148148</v>
      </c>
      <c r="F319" t="s">
        <v>9</v>
      </c>
      <c r="G319" t="s">
        <v>12</v>
      </c>
      <c r="H319">
        <f t="shared" si="8"/>
        <v>-123</v>
      </c>
      <c r="I319">
        <v>-19.5</v>
      </c>
      <c r="L319">
        <f>480+2*(Table25791113[[#This Row],[min value (corrected)]]-50)</f>
        <v>496</v>
      </c>
      <c r="M319">
        <f>MINUTE(Table25791113[[#This Row],[Corrected time]])</f>
        <v>58</v>
      </c>
      <c r="N319" s="1">
        <v>0.62387763888888892</v>
      </c>
      <c r="O319" s="1">
        <f>Table25791113[[#This Row],[Time]]-TIME(0,0,3)</f>
        <v>0.62384291666666669</v>
      </c>
      <c r="P319" t="s">
        <v>9</v>
      </c>
      <c r="Q319">
        <v>-123</v>
      </c>
      <c r="R319">
        <f>Table25791113[[#This Row],[RSSI]]</f>
        <v>-123</v>
      </c>
      <c r="S319">
        <v>-18.8</v>
      </c>
    </row>
    <row r="320" spans="2:19" x14ac:dyDescent="0.25">
      <c r="B320">
        <f>480+2*(Table14681012[[#This Row],[min value (corrected)]]-34)</f>
        <v>494</v>
      </c>
      <c r="C320">
        <f>MINUTE(Table14681012[[#This Row],[Corrected time]])</f>
        <v>41</v>
      </c>
      <c r="D320" s="1">
        <v>0.7375323958333333</v>
      </c>
      <c r="E320" s="1">
        <f>Table14681012[[#This Row],[Time]]-TIME(0,0,9)</f>
        <v>0.73742822916666662</v>
      </c>
      <c r="F320" t="s">
        <v>9</v>
      </c>
      <c r="G320" t="s">
        <v>12</v>
      </c>
      <c r="H320">
        <f t="shared" si="8"/>
        <v>-123</v>
      </c>
      <c r="I320">
        <v>-18.5</v>
      </c>
      <c r="L320">
        <f>480+2*(Table25791113[[#This Row],[min value (corrected)]]-50)</f>
        <v>496</v>
      </c>
      <c r="M320">
        <f>MINUTE(Table25791113[[#This Row],[Corrected time]])</f>
        <v>58</v>
      </c>
      <c r="N320" s="1">
        <v>0.62389688657407405</v>
      </c>
      <c r="O320" s="1">
        <f>Table25791113[[#This Row],[Time]]-TIME(0,0,3)</f>
        <v>0.62386216435185182</v>
      </c>
      <c r="P320" t="s">
        <v>9</v>
      </c>
      <c r="Q320">
        <v>-123</v>
      </c>
      <c r="R320">
        <f>Table25791113[[#This Row],[RSSI]]</f>
        <v>-123</v>
      </c>
      <c r="S320">
        <v>-18.8</v>
      </c>
    </row>
    <row r="321" spans="2:19" x14ac:dyDescent="0.25">
      <c r="B321">
        <f>480+2*(Table14681012[[#This Row],[min value (corrected)]]-34)</f>
        <v>494</v>
      </c>
      <c r="C321">
        <f>MINUTE(Table14681012[[#This Row],[Corrected time]])</f>
        <v>41</v>
      </c>
      <c r="D321" s="1">
        <v>0.73755164351851854</v>
      </c>
      <c r="E321" s="1">
        <f>Table14681012[[#This Row],[Time]]-TIME(0,0,9)</f>
        <v>0.73744747685185186</v>
      </c>
      <c r="F321" t="s">
        <v>13</v>
      </c>
      <c r="G321" t="str">
        <f t="shared" ref="G321:G322" si="9">G320</f>
        <v>-123.0,</v>
      </c>
      <c r="H321">
        <f t="shared" si="8"/>
        <v>-123</v>
      </c>
      <c r="I321">
        <f t="shared" ref="I321:I322" si="10">I320</f>
        <v>-18.5</v>
      </c>
      <c r="L321">
        <f>480+2*(Table25791113[[#This Row],[min value (corrected)]]-50)</f>
        <v>496</v>
      </c>
      <c r="M321">
        <f>MINUTE(Table25791113[[#This Row],[Corrected time]])</f>
        <v>58</v>
      </c>
      <c r="N321" s="1">
        <v>0.62391612268518526</v>
      </c>
      <c r="O321" s="1">
        <f>Table25791113[[#This Row],[Time]]-TIME(0,0,3)</f>
        <v>0.62388140046296303</v>
      </c>
      <c r="P321" t="s">
        <v>9</v>
      </c>
      <c r="Q321">
        <v>-123</v>
      </c>
      <c r="R321">
        <f>Table25791113[[#This Row],[RSSI]]</f>
        <v>-123</v>
      </c>
      <c r="S321">
        <v>-18.3</v>
      </c>
    </row>
    <row r="322" spans="2:19" x14ac:dyDescent="0.25">
      <c r="B322">
        <f>480+2*(Table14681012[[#This Row],[min value (corrected)]]-34)</f>
        <v>494</v>
      </c>
      <c r="C322">
        <f>MINUTE(Table14681012[[#This Row],[Corrected time]])</f>
        <v>41</v>
      </c>
      <c r="D322" s="1">
        <v>0.73757089120370367</v>
      </c>
      <c r="E322" s="1">
        <f>Table14681012[[#This Row],[Time]]-TIME(0,0,9)</f>
        <v>0.73746672453703699</v>
      </c>
      <c r="F322" t="s">
        <v>13</v>
      </c>
      <c r="G322" t="str">
        <f t="shared" si="9"/>
        <v>-123.0,</v>
      </c>
      <c r="H322">
        <f t="shared" si="8"/>
        <v>-123</v>
      </c>
      <c r="I322">
        <f t="shared" si="10"/>
        <v>-18.5</v>
      </c>
      <c r="L322">
        <f>480+2*(Table25791113[[#This Row],[min value (corrected)]]-50)</f>
        <v>496</v>
      </c>
      <c r="M322">
        <f>MINUTE(Table25791113[[#This Row],[Corrected time]])</f>
        <v>58</v>
      </c>
      <c r="N322" s="1">
        <v>0.62393538194444442</v>
      </c>
      <c r="O322" s="1">
        <f>Table25791113[[#This Row],[Time]]-TIME(0,0,3)</f>
        <v>0.6239006597222222</v>
      </c>
      <c r="P322" t="s">
        <v>9</v>
      </c>
      <c r="Q322">
        <v>-123</v>
      </c>
      <c r="R322">
        <f>Table25791113[[#This Row],[RSSI]]</f>
        <v>-123</v>
      </c>
      <c r="S322">
        <v>-18</v>
      </c>
    </row>
    <row r="323" spans="2:19" x14ac:dyDescent="0.25">
      <c r="B323">
        <f>480+2*(Table14681012[[#This Row],[min value (corrected)]]-34)</f>
        <v>494</v>
      </c>
      <c r="C323">
        <f>MINUTE(Table14681012[[#This Row],[Corrected time]])</f>
        <v>41</v>
      </c>
      <c r="D323" s="1">
        <v>0.73759013888888891</v>
      </c>
      <c r="E323" s="1">
        <f>Table14681012[[#This Row],[Time]]-TIME(0,0,9)</f>
        <v>0.73748597222222223</v>
      </c>
      <c r="F323" t="s">
        <v>9</v>
      </c>
      <c r="G323" t="s">
        <v>19</v>
      </c>
      <c r="H323">
        <f t="shared" si="8"/>
        <v>-124</v>
      </c>
      <c r="I323">
        <v>-19.5</v>
      </c>
      <c r="L323">
        <f>480+2*(Table25791113[[#This Row],[min value (corrected)]]-50)</f>
        <v>496</v>
      </c>
      <c r="M323">
        <f>MINUTE(Table25791113[[#This Row],[Corrected time]])</f>
        <v>58</v>
      </c>
      <c r="N323" s="1">
        <v>0.62395462962962966</v>
      </c>
      <c r="O323" s="1">
        <f>Table25791113[[#This Row],[Time]]-TIME(0,0,3)</f>
        <v>0.62391990740740744</v>
      </c>
      <c r="P323" t="s">
        <v>9</v>
      </c>
      <c r="Q323">
        <v>-124</v>
      </c>
      <c r="R323">
        <f>Table25791113[[#This Row],[RSSI]]</f>
        <v>-124</v>
      </c>
      <c r="S323">
        <v>-18.3</v>
      </c>
    </row>
    <row r="324" spans="2:19" x14ac:dyDescent="0.25">
      <c r="B324">
        <f>480+2*(Table14681012[[#This Row],[min value (corrected)]]-34)</f>
        <v>496</v>
      </c>
      <c r="C324">
        <f>MINUTE(Table14681012[[#This Row],[Corrected time]])</f>
        <v>42</v>
      </c>
      <c r="D324" s="1">
        <v>0.73760938657407404</v>
      </c>
      <c r="E324" s="1">
        <f>Table14681012[[#This Row],[Time]]-TIME(0,0,9)</f>
        <v>0.73750521990740736</v>
      </c>
      <c r="F324" t="s">
        <v>9</v>
      </c>
      <c r="G324" t="s">
        <v>19</v>
      </c>
      <c r="H324">
        <f t="shared" si="8"/>
        <v>-124</v>
      </c>
      <c r="I324">
        <v>-19.8</v>
      </c>
      <c r="L324">
        <f>480+2*(Table25791113[[#This Row],[min value (corrected)]]-50)</f>
        <v>496</v>
      </c>
      <c r="M324">
        <f>MINUTE(Table25791113[[#This Row],[Corrected time]])</f>
        <v>58</v>
      </c>
      <c r="N324" s="1">
        <v>0.62397385416666662</v>
      </c>
      <c r="O324" s="1">
        <f>Table25791113[[#This Row],[Time]]-TIME(0,0,3)</f>
        <v>0.62393913194444439</v>
      </c>
      <c r="P324" t="s">
        <v>9</v>
      </c>
      <c r="Q324">
        <v>-123</v>
      </c>
      <c r="R324">
        <f>Table25791113[[#This Row],[RSSI]]</f>
        <v>-123</v>
      </c>
      <c r="S324">
        <v>-18.3</v>
      </c>
    </row>
    <row r="325" spans="2:19" x14ac:dyDescent="0.25">
      <c r="B325">
        <f>480+2*(Table14681012[[#This Row],[min value (corrected)]]-34)</f>
        <v>496</v>
      </c>
      <c r="C325">
        <f>MINUTE(Table14681012[[#This Row],[Corrected time]])</f>
        <v>42</v>
      </c>
      <c r="D325" s="1">
        <v>0.73762863425925929</v>
      </c>
      <c r="E325" s="1">
        <f>Table14681012[[#This Row],[Time]]-TIME(0,0,9)</f>
        <v>0.7375244675925926</v>
      </c>
      <c r="F325" t="s">
        <v>9</v>
      </c>
      <c r="G325" t="s">
        <v>12</v>
      </c>
      <c r="H325">
        <f t="shared" si="8"/>
        <v>-123</v>
      </c>
      <c r="I325">
        <v>-19</v>
      </c>
      <c r="L325">
        <f>480+2*(Table25791113[[#This Row],[min value (corrected)]]-50)</f>
        <v>496</v>
      </c>
      <c r="M325">
        <f>MINUTE(Table25791113[[#This Row],[Corrected time]])</f>
        <v>58</v>
      </c>
      <c r="N325" s="1">
        <v>0.62399312500000004</v>
      </c>
      <c r="O325" s="1">
        <f>Table25791113[[#This Row],[Time]]-TIME(0,0,3)</f>
        <v>0.62395840277777781</v>
      </c>
      <c r="P325" t="s">
        <v>9</v>
      </c>
      <c r="Q325">
        <v>-124</v>
      </c>
      <c r="R325">
        <f>Table25791113[[#This Row],[RSSI]]</f>
        <v>-124</v>
      </c>
      <c r="S325">
        <v>-18.5</v>
      </c>
    </row>
    <row r="326" spans="2:19" x14ac:dyDescent="0.25">
      <c r="B326">
        <f>480+2*(Table14681012[[#This Row],[min value (corrected)]]-34)</f>
        <v>496</v>
      </c>
      <c r="C326">
        <f>MINUTE(Table14681012[[#This Row],[Corrected time]])</f>
        <v>42</v>
      </c>
      <c r="D326" s="1">
        <v>0.73764788194444442</v>
      </c>
      <c r="E326" s="1">
        <f>Table14681012[[#This Row],[Time]]-TIME(0,0,9)</f>
        <v>0.73754371527777773</v>
      </c>
      <c r="F326" t="s">
        <v>9</v>
      </c>
      <c r="G326" t="s">
        <v>19</v>
      </c>
      <c r="H326">
        <f t="shared" si="8"/>
        <v>-124</v>
      </c>
      <c r="I326">
        <v>-19.8</v>
      </c>
      <c r="L326">
        <f>480+2*(Table25791113[[#This Row],[min value (corrected)]]-50)</f>
        <v>496</v>
      </c>
      <c r="M326">
        <f>MINUTE(Table25791113[[#This Row],[Corrected time]])</f>
        <v>58</v>
      </c>
      <c r="N326" s="1">
        <v>0.62401237268518517</v>
      </c>
      <c r="O326" s="1">
        <f>Table25791113[[#This Row],[Time]]-TIME(0,0,3)</f>
        <v>0.62397765046296294</v>
      </c>
      <c r="P326" t="s">
        <v>9</v>
      </c>
      <c r="Q326">
        <v>-123</v>
      </c>
      <c r="R326">
        <f>Table25791113[[#This Row],[RSSI]]</f>
        <v>-123</v>
      </c>
      <c r="S326">
        <v>-18.3</v>
      </c>
    </row>
    <row r="327" spans="2:19" x14ac:dyDescent="0.25">
      <c r="B327">
        <f>480+2*(Table14681012[[#This Row],[min value (corrected)]]-34)</f>
        <v>496</v>
      </c>
      <c r="C327">
        <f>MINUTE(Table14681012[[#This Row],[Corrected time]])</f>
        <v>42</v>
      </c>
      <c r="D327" s="1">
        <v>0.73766712962962966</v>
      </c>
      <c r="E327" s="1">
        <f>Table14681012[[#This Row],[Time]]-TIME(0,0,9)</f>
        <v>0.73756296296296298</v>
      </c>
      <c r="F327" t="s">
        <v>13</v>
      </c>
      <c r="G327" t="str">
        <f>G326</f>
        <v>-124.0,</v>
      </c>
      <c r="H327">
        <f t="shared" si="8"/>
        <v>-124</v>
      </c>
      <c r="I327">
        <f>I326</f>
        <v>-19.8</v>
      </c>
      <c r="L327">
        <f>480+2*(Table25791113[[#This Row],[min value (corrected)]]-50)</f>
        <v>496</v>
      </c>
      <c r="M327">
        <f>MINUTE(Table25791113[[#This Row],[Corrected time]])</f>
        <v>58</v>
      </c>
      <c r="N327" s="1">
        <v>0.62403162037037041</v>
      </c>
      <c r="O327" s="1">
        <f>Table25791113[[#This Row],[Time]]-TIME(0,0,3)</f>
        <v>0.62399689814814818</v>
      </c>
      <c r="P327" t="s">
        <v>9</v>
      </c>
      <c r="Q327">
        <v>-123</v>
      </c>
      <c r="R327">
        <f>Table25791113[[#This Row],[RSSI]]</f>
        <v>-123</v>
      </c>
      <c r="S327">
        <v>-19</v>
      </c>
    </row>
    <row r="328" spans="2:19" x14ac:dyDescent="0.25">
      <c r="B328">
        <f>480+2*(Table14681012[[#This Row],[min value (corrected)]]-34)</f>
        <v>496</v>
      </c>
      <c r="C328">
        <f>MINUTE(Table14681012[[#This Row],[Corrected time]])</f>
        <v>42</v>
      </c>
      <c r="D328" s="1">
        <v>0.7376863773148149</v>
      </c>
      <c r="E328" s="1">
        <f>Table14681012[[#This Row],[Time]]-TIME(0,0,9)</f>
        <v>0.73758221064814822</v>
      </c>
      <c r="F328" t="s">
        <v>9</v>
      </c>
      <c r="G328" t="s">
        <v>12</v>
      </c>
      <c r="H328">
        <f t="shared" si="8"/>
        <v>-123</v>
      </c>
      <c r="I328">
        <v>-18.8</v>
      </c>
      <c r="L328">
        <f>480+2*(Table25791113[[#This Row],[min value (corrected)]]-50)</f>
        <v>496</v>
      </c>
      <c r="M328">
        <f>MINUTE(Table25791113[[#This Row],[Corrected time]])</f>
        <v>58</v>
      </c>
      <c r="N328" s="1">
        <v>0.62405086805555554</v>
      </c>
      <c r="O328" s="1">
        <f>Table25791113[[#This Row],[Time]]-TIME(0,0,3)</f>
        <v>0.62401614583333331</v>
      </c>
      <c r="P328" t="s">
        <v>9</v>
      </c>
      <c r="Q328">
        <v>-124</v>
      </c>
      <c r="R328">
        <f>Table25791113[[#This Row],[RSSI]]</f>
        <v>-124</v>
      </c>
      <c r="S328">
        <v>-19</v>
      </c>
    </row>
    <row r="329" spans="2:19" x14ac:dyDescent="0.25">
      <c r="B329">
        <f>480+2*(Table14681012[[#This Row],[min value (corrected)]]-34)</f>
        <v>496</v>
      </c>
      <c r="C329">
        <f>MINUTE(Table14681012[[#This Row],[Corrected time]])</f>
        <v>42</v>
      </c>
      <c r="D329" s="1">
        <v>0.73770562500000003</v>
      </c>
      <c r="E329" s="1">
        <f>Table14681012[[#This Row],[Time]]-TIME(0,0,9)</f>
        <v>0.73760145833333335</v>
      </c>
      <c r="F329" t="s">
        <v>9</v>
      </c>
      <c r="G329" t="s">
        <v>12</v>
      </c>
      <c r="H329">
        <f t="shared" si="8"/>
        <v>-123</v>
      </c>
      <c r="I329">
        <v>-18.5</v>
      </c>
      <c r="L329">
        <f>480+2*(Table25791113[[#This Row],[min value (corrected)]]-50)</f>
        <v>496</v>
      </c>
      <c r="M329">
        <f>MINUTE(Table25791113[[#This Row],[Corrected time]])</f>
        <v>58</v>
      </c>
      <c r="N329" s="1">
        <v>0.62407011574074078</v>
      </c>
      <c r="O329" s="1">
        <f>Table25791113[[#This Row],[Time]]-TIME(0,0,3)</f>
        <v>0.62403539351851856</v>
      </c>
      <c r="P329" t="s">
        <v>9</v>
      </c>
      <c r="Q329">
        <v>-124</v>
      </c>
      <c r="R329">
        <f>Table25791113[[#This Row],[RSSI]]</f>
        <v>-124</v>
      </c>
      <c r="S329">
        <v>-18.5</v>
      </c>
    </row>
    <row r="330" spans="2:19" x14ac:dyDescent="0.25">
      <c r="B330">
        <f>480+2*(Table14681012[[#This Row],[min value (corrected)]]-34)</f>
        <v>496</v>
      </c>
      <c r="C330">
        <f>MINUTE(Table14681012[[#This Row],[Corrected time]])</f>
        <v>42</v>
      </c>
      <c r="D330" s="1">
        <v>0.73772487268518516</v>
      </c>
      <c r="E330" s="1">
        <f>Table14681012[[#This Row],[Time]]-TIME(0,0,9)</f>
        <v>0.73762070601851848</v>
      </c>
      <c r="F330" t="s">
        <v>9</v>
      </c>
      <c r="G330" t="s">
        <v>19</v>
      </c>
      <c r="H330">
        <f t="shared" si="8"/>
        <v>-124</v>
      </c>
      <c r="I330">
        <v>-19</v>
      </c>
      <c r="L330">
        <f>480+2*(Table25791113[[#This Row],[min value (corrected)]]-50)</f>
        <v>496</v>
      </c>
      <c r="M330">
        <f>MINUTE(Table25791113[[#This Row],[Corrected time]])</f>
        <v>58</v>
      </c>
      <c r="N330" s="1">
        <v>0.62408936342592591</v>
      </c>
      <c r="O330" s="1">
        <f>Table25791113[[#This Row],[Time]]-TIME(0,0,3)</f>
        <v>0.62405464120370369</v>
      </c>
      <c r="P330" t="s">
        <v>9</v>
      </c>
      <c r="Q330">
        <v>-123</v>
      </c>
      <c r="R330">
        <f>Table25791113[[#This Row],[RSSI]]</f>
        <v>-123</v>
      </c>
      <c r="S330">
        <v>-18.5</v>
      </c>
    </row>
    <row r="331" spans="2:19" x14ac:dyDescent="0.25">
      <c r="B331">
        <f>480+2*(Table14681012[[#This Row],[min value (corrected)]]-34)</f>
        <v>496</v>
      </c>
      <c r="C331">
        <f>MINUTE(Table14681012[[#This Row],[Corrected time]])</f>
        <v>42</v>
      </c>
      <c r="D331" s="1">
        <v>0.73774412037037029</v>
      </c>
      <c r="E331" s="1">
        <f>Table14681012[[#This Row],[Time]]-TIME(0,0,9)</f>
        <v>0.73763995370370361</v>
      </c>
      <c r="F331" t="s">
        <v>9</v>
      </c>
      <c r="G331" t="s">
        <v>12</v>
      </c>
      <c r="H331">
        <f t="shared" si="8"/>
        <v>-123</v>
      </c>
      <c r="I331">
        <v>-19</v>
      </c>
      <c r="L331">
        <f>480+2*(Table25791113[[#This Row],[min value (corrected)]]-50)</f>
        <v>496</v>
      </c>
      <c r="M331">
        <f>MINUTE(Table25791113[[#This Row],[Corrected time]])</f>
        <v>58</v>
      </c>
      <c r="N331" s="1">
        <v>0.62410859953703701</v>
      </c>
      <c r="O331" s="1">
        <f>Table25791113[[#This Row],[Time]]-TIME(0,0,3)</f>
        <v>0.62407387731481478</v>
      </c>
      <c r="P331" t="s">
        <v>9</v>
      </c>
      <c r="Q331">
        <v>-123</v>
      </c>
      <c r="R331">
        <f>Table25791113[[#This Row],[RSSI]]</f>
        <v>-123</v>
      </c>
      <c r="S331">
        <v>-18.8</v>
      </c>
    </row>
    <row r="332" spans="2:19" x14ac:dyDescent="0.25">
      <c r="B332">
        <f>480+2*(Table14681012[[#This Row],[min value (corrected)]]-34)</f>
        <v>496</v>
      </c>
      <c r="C332">
        <f>MINUTE(Table14681012[[#This Row],[Corrected time]])</f>
        <v>42</v>
      </c>
      <c r="D332" s="1">
        <v>0.7377633564814815</v>
      </c>
      <c r="E332" s="1">
        <f>Table14681012[[#This Row],[Time]]-TIME(0,0,9)</f>
        <v>0.73765918981481482</v>
      </c>
      <c r="F332" t="s">
        <v>9</v>
      </c>
      <c r="G332" t="s">
        <v>12</v>
      </c>
      <c r="H332">
        <f t="shared" si="8"/>
        <v>-123</v>
      </c>
      <c r="I332">
        <v>-18.3</v>
      </c>
      <c r="L332">
        <f>480+2*(Table25791113[[#This Row],[min value (corrected)]]-50)</f>
        <v>496</v>
      </c>
      <c r="M332">
        <f>MINUTE(Table25791113[[#This Row],[Corrected time]])</f>
        <v>58</v>
      </c>
      <c r="N332" s="1">
        <v>0.62412785879629629</v>
      </c>
      <c r="O332" s="1">
        <f>Table25791113[[#This Row],[Time]]-TIME(0,0,3)</f>
        <v>0.62409313657407406</v>
      </c>
      <c r="P332" t="s">
        <v>9</v>
      </c>
      <c r="Q332">
        <v>-123</v>
      </c>
      <c r="R332">
        <f>Table25791113[[#This Row],[RSSI]]</f>
        <v>-123</v>
      </c>
      <c r="S332">
        <v>-18.5</v>
      </c>
    </row>
    <row r="333" spans="2:19" x14ac:dyDescent="0.25">
      <c r="B333">
        <f>480+2*(Table14681012[[#This Row],[min value (corrected)]]-34)</f>
        <v>496</v>
      </c>
      <c r="C333">
        <f>MINUTE(Table14681012[[#This Row],[Corrected time]])</f>
        <v>42</v>
      </c>
      <c r="D333" s="1">
        <v>0.73778261574074067</v>
      </c>
      <c r="E333" s="1">
        <f>Table14681012[[#This Row],[Time]]-TIME(0,0,9)</f>
        <v>0.73767844907407398</v>
      </c>
      <c r="F333" t="s">
        <v>9</v>
      </c>
      <c r="G333" t="s">
        <v>19</v>
      </c>
      <c r="H333">
        <f t="shared" si="8"/>
        <v>-124</v>
      </c>
      <c r="I333">
        <v>-18.3</v>
      </c>
      <c r="L333">
        <f>480+2*(Table25791113[[#This Row],[min value (corrected)]]-50)</f>
        <v>496</v>
      </c>
      <c r="M333">
        <f>MINUTE(Table25791113[[#This Row],[Corrected time]])</f>
        <v>58</v>
      </c>
      <c r="N333" s="1">
        <v>0.62414710648148142</v>
      </c>
      <c r="O333" s="1">
        <f>Table25791113[[#This Row],[Time]]-TIME(0,0,3)</f>
        <v>0.62411238425925919</v>
      </c>
      <c r="P333" t="s">
        <v>9</v>
      </c>
      <c r="Q333">
        <v>-123</v>
      </c>
      <c r="R333">
        <f>Table25791113[[#This Row],[RSSI]]</f>
        <v>-123</v>
      </c>
      <c r="S333">
        <v>-19.3</v>
      </c>
    </row>
    <row r="334" spans="2:19" x14ac:dyDescent="0.25">
      <c r="B334">
        <f>480+2*(Table14681012[[#This Row],[min value (corrected)]]-34)</f>
        <v>496</v>
      </c>
      <c r="C334">
        <f>MINUTE(Table14681012[[#This Row],[Corrected time]])</f>
        <v>42</v>
      </c>
      <c r="D334" s="1">
        <v>0.73780186342592591</v>
      </c>
      <c r="E334" s="1">
        <f>Table14681012[[#This Row],[Time]]-TIME(0,0,9)</f>
        <v>0.73769769675925922</v>
      </c>
      <c r="F334" t="s">
        <v>9</v>
      </c>
      <c r="G334" t="s">
        <v>12</v>
      </c>
      <c r="H334">
        <f t="shared" si="8"/>
        <v>-123</v>
      </c>
      <c r="I334">
        <v>-18.5</v>
      </c>
      <c r="L334">
        <f>480+2*(Table25791113[[#This Row],[min value (corrected)]]-50)</f>
        <v>496</v>
      </c>
      <c r="M334">
        <f>MINUTE(Table25791113[[#This Row],[Corrected time]])</f>
        <v>58</v>
      </c>
      <c r="N334" s="1">
        <v>0.62416635416666666</v>
      </c>
      <c r="O334" s="1">
        <f>Table25791113[[#This Row],[Time]]-TIME(0,0,3)</f>
        <v>0.62413163194444443</v>
      </c>
      <c r="P334" t="s">
        <v>9</v>
      </c>
      <c r="Q334">
        <v>-124</v>
      </c>
      <c r="R334">
        <f>Table25791113[[#This Row],[RSSI]]</f>
        <v>-124</v>
      </c>
      <c r="S334">
        <v>-19</v>
      </c>
    </row>
    <row r="335" spans="2:19" x14ac:dyDescent="0.25">
      <c r="B335">
        <f>480+2*(Table14681012[[#This Row],[min value (corrected)]]-34)</f>
        <v>496</v>
      </c>
      <c r="C335">
        <f>MINUTE(Table14681012[[#This Row],[Corrected time]])</f>
        <v>42</v>
      </c>
      <c r="D335" s="1">
        <v>0.73782111111111115</v>
      </c>
      <c r="E335" s="1">
        <f>Table14681012[[#This Row],[Time]]-TIME(0,0,9)</f>
        <v>0.73771694444444447</v>
      </c>
      <c r="F335" t="s">
        <v>9</v>
      </c>
      <c r="G335" t="s">
        <v>19</v>
      </c>
      <c r="H335">
        <f t="shared" si="8"/>
        <v>-124</v>
      </c>
      <c r="I335">
        <v>-20</v>
      </c>
      <c r="L335">
        <f>480+2*(Table25791113[[#This Row],[min value (corrected)]]-50)</f>
        <v>496</v>
      </c>
      <c r="M335">
        <f>MINUTE(Table25791113[[#This Row],[Corrected time]])</f>
        <v>58</v>
      </c>
      <c r="N335" s="1">
        <v>0.62418560185185179</v>
      </c>
      <c r="O335" s="1">
        <f>Table25791113[[#This Row],[Time]]-TIME(0,0,3)</f>
        <v>0.62415087962962956</v>
      </c>
      <c r="P335" t="s">
        <v>9</v>
      </c>
      <c r="Q335">
        <v>-123</v>
      </c>
      <c r="R335">
        <f>Table25791113[[#This Row],[RSSI]]</f>
        <v>-123</v>
      </c>
      <c r="S335">
        <v>-19.8</v>
      </c>
    </row>
    <row r="336" spans="2:19" x14ac:dyDescent="0.25">
      <c r="B336">
        <f>480+2*(Table14681012[[#This Row],[min value (corrected)]]-34)</f>
        <v>496</v>
      </c>
      <c r="C336">
        <f>MINUTE(Table14681012[[#This Row],[Corrected time]])</f>
        <v>42</v>
      </c>
      <c r="D336" s="1">
        <v>0.73784035879629628</v>
      </c>
      <c r="E336" s="1">
        <f>Table14681012[[#This Row],[Time]]-TIME(0,0,9)</f>
        <v>0.7377361921296296</v>
      </c>
      <c r="F336" t="s">
        <v>9</v>
      </c>
      <c r="G336" t="s">
        <v>12</v>
      </c>
      <c r="H336">
        <f t="shared" si="8"/>
        <v>-123</v>
      </c>
      <c r="I336">
        <v>-18.5</v>
      </c>
      <c r="L336">
        <f>480+2*(Table25791113[[#This Row],[min value (corrected)]]-50)</f>
        <v>496</v>
      </c>
      <c r="M336">
        <f>MINUTE(Table25791113[[#This Row],[Corrected time]])</f>
        <v>58</v>
      </c>
      <c r="N336" s="1">
        <v>0.62420484953703703</v>
      </c>
      <c r="O336" s="1">
        <f>Table25791113[[#This Row],[Time]]-TIME(0,0,3)</f>
        <v>0.6241701273148148</v>
      </c>
      <c r="P336" t="s">
        <v>9</v>
      </c>
      <c r="Q336">
        <v>-124</v>
      </c>
      <c r="R336">
        <f>Table25791113[[#This Row],[RSSI]]</f>
        <v>-124</v>
      </c>
      <c r="S336">
        <v>-19.5</v>
      </c>
    </row>
    <row r="337" spans="2:19" x14ac:dyDescent="0.25">
      <c r="B337">
        <f>480+2*(Table14681012[[#This Row],[min value (corrected)]]-34)</f>
        <v>496</v>
      </c>
      <c r="C337">
        <f>MINUTE(Table14681012[[#This Row],[Corrected time]])</f>
        <v>42</v>
      </c>
      <c r="D337" s="1">
        <v>0.73785960648148152</v>
      </c>
      <c r="E337" s="1">
        <f>Table14681012[[#This Row],[Time]]-TIME(0,0,9)</f>
        <v>0.73775543981481484</v>
      </c>
      <c r="F337" t="s">
        <v>9</v>
      </c>
      <c r="G337" t="s">
        <v>12</v>
      </c>
      <c r="H337">
        <f t="shared" si="8"/>
        <v>-123</v>
      </c>
      <c r="I337">
        <v>-18.5</v>
      </c>
      <c r="L337">
        <f>480+2*(Table25791113[[#This Row],[min value (corrected)]]-50)</f>
        <v>496</v>
      </c>
      <c r="M337">
        <f>MINUTE(Table25791113[[#This Row],[Corrected time]])</f>
        <v>58</v>
      </c>
      <c r="N337" s="1">
        <v>0.62422408564814813</v>
      </c>
      <c r="O337" s="1">
        <f>Table25791113[[#This Row],[Time]]-TIME(0,0,3)</f>
        <v>0.6241893634259259</v>
      </c>
      <c r="P337" t="s">
        <v>9</v>
      </c>
      <c r="Q337">
        <v>-124</v>
      </c>
      <c r="R337">
        <f>Table25791113[[#This Row],[RSSI]]</f>
        <v>-124</v>
      </c>
      <c r="S337">
        <v>-18.5</v>
      </c>
    </row>
    <row r="338" spans="2:19" x14ac:dyDescent="0.25">
      <c r="B338">
        <f>480+2*(Table14681012[[#This Row],[min value (corrected)]]-34)</f>
        <v>496</v>
      </c>
      <c r="C338">
        <f>MINUTE(Table14681012[[#This Row],[Corrected time]])</f>
        <v>42</v>
      </c>
      <c r="D338" s="1">
        <v>0.73787885416666665</v>
      </c>
      <c r="E338" s="1">
        <f>Table14681012[[#This Row],[Time]]-TIME(0,0,9)</f>
        <v>0.73777468749999997</v>
      </c>
      <c r="F338" t="s">
        <v>9</v>
      </c>
      <c r="G338" t="s">
        <v>12</v>
      </c>
      <c r="H338">
        <f t="shared" si="8"/>
        <v>-123</v>
      </c>
      <c r="I338">
        <v>-19.3</v>
      </c>
      <c r="L338">
        <f>480+2*(Table25791113[[#This Row],[min value (corrected)]]-50)</f>
        <v>496</v>
      </c>
      <c r="M338">
        <f>MINUTE(Table25791113[[#This Row],[Corrected time]])</f>
        <v>58</v>
      </c>
      <c r="N338" s="1">
        <v>0.6242433449074074</v>
      </c>
      <c r="O338" s="1">
        <f>Table25791113[[#This Row],[Time]]-TIME(0,0,3)</f>
        <v>0.62420862268518518</v>
      </c>
      <c r="P338" t="s">
        <v>9</v>
      </c>
      <c r="Q338">
        <v>-124</v>
      </c>
      <c r="R338">
        <f>Table25791113[[#This Row],[RSSI]]</f>
        <v>-124</v>
      </c>
      <c r="S338">
        <v>-19</v>
      </c>
    </row>
    <row r="339" spans="2:19" x14ac:dyDescent="0.25">
      <c r="B339">
        <f>480+2*(Table14681012[[#This Row],[min value (corrected)]]-34)</f>
        <v>496</v>
      </c>
      <c r="C339">
        <f>MINUTE(Table14681012[[#This Row],[Corrected time]])</f>
        <v>42</v>
      </c>
      <c r="D339" s="1">
        <v>0.7378981018518519</v>
      </c>
      <c r="E339" s="1">
        <f>Table14681012[[#This Row],[Time]]-TIME(0,0,9)</f>
        <v>0.73779393518518521</v>
      </c>
      <c r="F339" t="s">
        <v>9</v>
      </c>
      <c r="G339" t="s">
        <v>12</v>
      </c>
      <c r="H339">
        <f t="shared" si="8"/>
        <v>-123</v>
      </c>
      <c r="I339">
        <v>-18.8</v>
      </c>
      <c r="L339">
        <f>480+2*(Table25791113[[#This Row],[min value (corrected)]]-50)</f>
        <v>496</v>
      </c>
      <c r="M339">
        <f>MINUTE(Table25791113[[#This Row],[Corrected time]])</f>
        <v>58</v>
      </c>
      <c r="N339" s="1">
        <v>0.62426259259259265</v>
      </c>
      <c r="O339" s="1">
        <f>Table25791113[[#This Row],[Time]]-TIME(0,0,3)</f>
        <v>0.62422787037037042</v>
      </c>
      <c r="P339" t="s">
        <v>9</v>
      </c>
      <c r="Q339">
        <v>-123</v>
      </c>
      <c r="R339">
        <f>Table25791113[[#This Row],[RSSI]]</f>
        <v>-123</v>
      </c>
      <c r="S339">
        <v>-18.8</v>
      </c>
    </row>
    <row r="340" spans="2:19" x14ac:dyDescent="0.25">
      <c r="B340">
        <f>480+2*(Table14681012[[#This Row],[min value (corrected)]]-34)</f>
        <v>496</v>
      </c>
      <c r="C340">
        <f>MINUTE(Table14681012[[#This Row],[Corrected time]])</f>
        <v>42</v>
      </c>
      <c r="D340" s="1">
        <v>0.73791734953703703</v>
      </c>
      <c r="E340" s="1">
        <f>Table14681012[[#This Row],[Time]]-TIME(0,0,9)</f>
        <v>0.73781318287037034</v>
      </c>
      <c r="F340" t="s">
        <v>9</v>
      </c>
      <c r="G340" t="s">
        <v>12</v>
      </c>
      <c r="H340">
        <f t="shared" si="8"/>
        <v>-123</v>
      </c>
      <c r="I340">
        <v>-18.3</v>
      </c>
      <c r="L340">
        <f>480+2*(Table25791113[[#This Row],[min value (corrected)]]-50)</f>
        <v>496</v>
      </c>
      <c r="M340">
        <f>MINUTE(Table25791113[[#This Row],[Corrected time]])</f>
        <v>58</v>
      </c>
      <c r="N340" s="1">
        <v>0.62428184027777778</v>
      </c>
      <c r="O340" s="1">
        <f>Table25791113[[#This Row],[Time]]-TIME(0,0,3)</f>
        <v>0.62424711805555555</v>
      </c>
      <c r="P340" t="s">
        <v>9</v>
      </c>
      <c r="Q340">
        <v>-124</v>
      </c>
      <c r="R340">
        <f>Table25791113[[#This Row],[RSSI]]</f>
        <v>-124</v>
      </c>
      <c r="S340">
        <v>-18.3</v>
      </c>
    </row>
    <row r="341" spans="2:19" x14ac:dyDescent="0.25">
      <c r="B341">
        <f>480+2*(Table14681012[[#This Row],[min value (corrected)]]-34)</f>
        <v>496</v>
      </c>
      <c r="C341">
        <f>MINUTE(Table14681012[[#This Row],[Corrected time]])</f>
        <v>42</v>
      </c>
      <c r="D341" s="1">
        <v>0.73793659722222227</v>
      </c>
      <c r="E341" s="1">
        <f>Table14681012[[#This Row],[Time]]-TIME(0,0,9)</f>
        <v>0.73783243055555559</v>
      </c>
      <c r="F341" t="s">
        <v>9</v>
      </c>
      <c r="G341" t="s">
        <v>12</v>
      </c>
      <c r="H341">
        <f t="shared" si="8"/>
        <v>-123</v>
      </c>
      <c r="I341">
        <v>-18</v>
      </c>
      <c r="L341">
        <f>480+2*(Table25791113[[#This Row],[min value (corrected)]]-50)</f>
        <v>496</v>
      </c>
      <c r="M341">
        <f>MINUTE(Table25791113[[#This Row],[Corrected time]])</f>
        <v>58</v>
      </c>
      <c r="N341" s="1">
        <v>0.62430108796296302</v>
      </c>
      <c r="O341" s="1">
        <f>Table25791113[[#This Row],[Time]]-TIME(0,0,3)</f>
        <v>0.62426636574074079</v>
      </c>
      <c r="P341" t="s">
        <v>9</v>
      </c>
      <c r="Q341">
        <v>-123</v>
      </c>
      <c r="R341">
        <f>Table25791113[[#This Row],[RSSI]]</f>
        <v>-123</v>
      </c>
      <c r="S341">
        <v>-19.3</v>
      </c>
    </row>
    <row r="342" spans="2:19" x14ac:dyDescent="0.25">
      <c r="B342">
        <f>480+2*(Table14681012[[#This Row],[min value (corrected)]]-34)</f>
        <v>496</v>
      </c>
      <c r="C342">
        <f>MINUTE(Table14681012[[#This Row],[Corrected time]])</f>
        <v>42</v>
      </c>
      <c r="D342" s="1">
        <v>0.7379558449074074</v>
      </c>
      <c r="E342" s="1">
        <f>Table14681012[[#This Row],[Time]]-TIME(0,0,9)</f>
        <v>0.73785167824074072</v>
      </c>
      <c r="F342" t="s">
        <v>9</v>
      </c>
      <c r="G342" t="s">
        <v>19</v>
      </c>
      <c r="H342">
        <f t="shared" ref="H342:H405" si="11">VALUE(LEFT(G342,LEN(G342)-1))</f>
        <v>-124</v>
      </c>
      <c r="I342">
        <v>-19.3</v>
      </c>
      <c r="L342">
        <f>480+2*(Table25791113[[#This Row],[min value (corrected)]]-50)</f>
        <v>496</v>
      </c>
      <c r="M342">
        <f>MINUTE(Table25791113[[#This Row],[Corrected time]])</f>
        <v>58</v>
      </c>
      <c r="N342" s="1">
        <v>0.62432033564814815</v>
      </c>
      <c r="O342" s="1">
        <f>Table25791113[[#This Row],[Time]]-TIME(0,0,3)</f>
        <v>0.62428561342592592</v>
      </c>
      <c r="P342" t="s">
        <v>9</v>
      </c>
      <c r="Q342">
        <v>-123</v>
      </c>
      <c r="R342">
        <f>Table25791113[[#This Row],[RSSI]]</f>
        <v>-123</v>
      </c>
      <c r="S342">
        <v>-18.5</v>
      </c>
    </row>
    <row r="343" spans="2:19" x14ac:dyDescent="0.25">
      <c r="B343">
        <f>480+2*(Table14681012[[#This Row],[min value (corrected)]]-34)</f>
        <v>496</v>
      </c>
      <c r="C343">
        <f>MINUTE(Table14681012[[#This Row],[Corrected time]])</f>
        <v>42</v>
      </c>
      <c r="D343" s="1">
        <v>0.73797509259259264</v>
      </c>
      <c r="E343" s="1">
        <f>Table14681012[[#This Row],[Time]]-TIME(0,0,9)</f>
        <v>0.73787092592592596</v>
      </c>
      <c r="F343" t="s">
        <v>9</v>
      </c>
      <c r="G343" t="s">
        <v>12</v>
      </c>
      <c r="H343">
        <f t="shared" si="11"/>
        <v>-123</v>
      </c>
      <c r="I343">
        <v>-19</v>
      </c>
      <c r="L343">
        <f>480+2*(Table25791113[[#This Row],[min value (corrected)]]-50)</f>
        <v>498</v>
      </c>
      <c r="M343">
        <f>MINUTE(Table25791113[[#This Row],[Corrected time]])</f>
        <v>59</v>
      </c>
      <c r="N343" s="1">
        <v>0.62433958333333339</v>
      </c>
      <c r="O343" s="1">
        <f>Table25791113[[#This Row],[Time]]-TIME(0,0,3)</f>
        <v>0.62430486111111116</v>
      </c>
      <c r="P343" t="s">
        <v>13</v>
      </c>
      <c r="Q343">
        <f>Q342</f>
        <v>-123</v>
      </c>
      <c r="R343">
        <f>Table25791113[[#This Row],[RSSI]]</f>
        <v>-123</v>
      </c>
      <c r="S343">
        <f>S342</f>
        <v>-18.5</v>
      </c>
    </row>
    <row r="344" spans="2:19" x14ac:dyDescent="0.25">
      <c r="B344">
        <f>480+2*(Table14681012[[#This Row],[min value (corrected)]]-34)</f>
        <v>496</v>
      </c>
      <c r="C344">
        <f>MINUTE(Table14681012[[#This Row],[Corrected time]])</f>
        <v>42</v>
      </c>
      <c r="D344" s="1">
        <v>0.73799434027777777</v>
      </c>
      <c r="E344" s="1">
        <f>Table14681012[[#This Row],[Time]]-TIME(0,0,9)</f>
        <v>0.73789017361111109</v>
      </c>
      <c r="F344" t="s">
        <v>9</v>
      </c>
      <c r="G344" t="s">
        <v>12</v>
      </c>
      <c r="H344">
        <f t="shared" si="11"/>
        <v>-123</v>
      </c>
      <c r="I344">
        <v>-18.3</v>
      </c>
      <c r="L344">
        <f>480+2*(Table25791113[[#This Row],[min value (corrected)]]-50)</f>
        <v>498</v>
      </c>
      <c r="M344">
        <f>MINUTE(Table25791113[[#This Row],[Corrected time]])</f>
        <v>59</v>
      </c>
      <c r="N344" s="1">
        <v>0.62435883101851852</v>
      </c>
      <c r="O344" s="1">
        <f>Table25791113[[#This Row],[Time]]-TIME(0,0,3)</f>
        <v>0.6243241087962963</v>
      </c>
      <c r="P344" t="s">
        <v>9</v>
      </c>
      <c r="Q344">
        <v>-124</v>
      </c>
      <c r="R344">
        <f>Table25791113[[#This Row],[RSSI]]</f>
        <v>-124</v>
      </c>
      <c r="S344">
        <v>-19.5</v>
      </c>
    </row>
    <row r="345" spans="2:19" x14ac:dyDescent="0.25">
      <c r="B345">
        <f>480+2*(Table14681012[[#This Row],[min value (corrected)]]-34)</f>
        <v>496</v>
      </c>
      <c r="C345">
        <f>MINUTE(Table14681012[[#This Row],[Corrected time]])</f>
        <v>42</v>
      </c>
      <c r="D345" s="1">
        <v>0.73801358796296301</v>
      </c>
      <c r="E345" s="1">
        <f>Table14681012[[#This Row],[Time]]-TIME(0,0,9)</f>
        <v>0.73790942129629633</v>
      </c>
      <c r="F345" t="s">
        <v>9</v>
      </c>
      <c r="G345" t="s">
        <v>12</v>
      </c>
      <c r="H345">
        <f t="shared" si="11"/>
        <v>-123</v>
      </c>
      <c r="I345">
        <v>-19</v>
      </c>
      <c r="L345">
        <f>480+2*(Table25791113[[#This Row],[min value (corrected)]]-50)</f>
        <v>498</v>
      </c>
      <c r="M345">
        <f>MINUTE(Table25791113[[#This Row],[Corrected time]])</f>
        <v>59</v>
      </c>
      <c r="N345" s="1">
        <v>0.62437807870370376</v>
      </c>
      <c r="O345" s="1">
        <f>Table25791113[[#This Row],[Time]]-TIME(0,0,3)</f>
        <v>0.62434335648148154</v>
      </c>
      <c r="P345" t="s">
        <v>9</v>
      </c>
      <c r="Q345">
        <v>-124</v>
      </c>
      <c r="R345">
        <f>Table25791113[[#This Row],[RSSI]]</f>
        <v>-124</v>
      </c>
      <c r="S345">
        <v>-21</v>
      </c>
    </row>
    <row r="346" spans="2:19" x14ac:dyDescent="0.25">
      <c r="B346">
        <f>480+2*(Table14681012[[#This Row],[min value (corrected)]]-34)</f>
        <v>496</v>
      </c>
      <c r="C346">
        <f>MINUTE(Table14681012[[#This Row],[Corrected time]])</f>
        <v>42</v>
      </c>
      <c r="D346" s="1">
        <v>0.73803283564814814</v>
      </c>
      <c r="E346" s="1">
        <f>Table14681012[[#This Row],[Time]]-TIME(0,0,9)</f>
        <v>0.73792866898148146</v>
      </c>
      <c r="F346" t="s">
        <v>9</v>
      </c>
      <c r="G346" t="s">
        <v>12</v>
      </c>
      <c r="H346">
        <f t="shared" si="11"/>
        <v>-123</v>
      </c>
      <c r="I346">
        <v>-18.3</v>
      </c>
      <c r="L346">
        <f>480+2*(Table25791113[[#This Row],[min value (corrected)]]-50)</f>
        <v>498</v>
      </c>
      <c r="M346">
        <f>MINUTE(Table25791113[[#This Row],[Corrected time]])</f>
        <v>59</v>
      </c>
      <c r="N346" s="1">
        <v>0.62439731481481486</v>
      </c>
      <c r="O346" s="1">
        <f>Table25791113[[#This Row],[Time]]-TIME(0,0,3)</f>
        <v>0.62436259259259264</v>
      </c>
      <c r="P346" t="s">
        <v>9</v>
      </c>
      <c r="Q346">
        <v>-124</v>
      </c>
      <c r="R346">
        <f>Table25791113[[#This Row],[RSSI]]</f>
        <v>-124</v>
      </c>
      <c r="S346">
        <v>-19.8</v>
      </c>
    </row>
    <row r="347" spans="2:19" x14ac:dyDescent="0.25">
      <c r="B347">
        <f>480+2*(Table14681012[[#This Row],[min value (corrected)]]-34)</f>
        <v>496</v>
      </c>
      <c r="C347">
        <f>MINUTE(Table14681012[[#This Row],[Corrected time]])</f>
        <v>42</v>
      </c>
      <c r="D347" s="1">
        <v>0.73805208333333328</v>
      </c>
      <c r="E347" s="1">
        <f>Table14681012[[#This Row],[Time]]-TIME(0,0,9)</f>
        <v>0.73794791666666659</v>
      </c>
      <c r="F347" t="s">
        <v>9</v>
      </c>
      <c r="G347" t="s">
        <v>12</v>
      </c>
      <c r="H347">
        <f t="shared" si="11"/>
        <v>-123</v>
      </c>
      <c r="I347">
        <v>-18.5</v>
      </c>
      <c r="L347">
        <f>480+2*(Table25791113[[#This Row],[min value (corrected)]]-50)</f>
        <v>498</v>
      </c>
      <c r="M347">
        <f>MINUTE(Table25791113[[#This Row],[Corrected time]])</f>
        <v>59</v>
      </c>
      <c r="N347" s="1">
        <v>0.62441657407407403</v>
      </c>
      <c r="O347" s="1">
        <f>Table25791113[[#This Row],[Time]]-TIME(0,0,3)</f>
        <v>0.6243818518518518</v>
      </c>
      <c r="P347" t="s">
        <v>9</v>
      </c>
      <c r="Q347">
        <v>-124</v>
      </c>
      <c r="R347">
        <f>Table25791113[[#This Row],[RSSI]]</f>
        <v>-124</v>
      </c>
      <c r="S347">
        <v>-19.3</v>
      </c>
    </row>
    <row r="348" spans="2:19" x14ac:dyDescent="0.25">
      <c r="B348">
        <f>480+2*(Table14681012[[#This Row],[min value (corrected)]]-34)</f>
        <v>496</v>
      </c>
      <c r="C348">
        <f>MINUTE(Table14681012[[#This Row],[Corrected time]])</f>
        <v>42</v>
      </c>
      <c r="D348" s="1">
        <v>0.73807131944444448</v>
      </c>
      <c r="E348" s="1">
        <f>Table14681012[[#This Row],[Time]]-TIME(0,0,9)</f>
        <v>0.7379671527777778</v>
      </c>
      <c r="F348" t="s">
        <v>9</v>
      </c>
      <c r="G348" t="s">
        <v>12</v>
      </c>
      <c r="H348">
        <f t="shared" si="11"/>
        <v>-123</v>
      </c>
      <c r="I348">
        <v>-18.5</v>
      </c>
      <c r="L348">
        <f>480+2*(Table25791113[[#This Row],[min value (corrected)]]-50)</f>
        <v>498</v>
      </c>
      <c r="M348">
        <f>MINUTE(Table25791113[[#This Row],[Corrected time]])</f>
        <v>59</v>
      </c>
      <c r="N348" s="1">
        <v>0.62443582175925927</v>
      </c>
      <c r="O348" s="1">
        <f>Table25791113[[#This Row],[Time]]-TIME(0,0,3)</f>
        <v>0.62440109953703704</v>
      </c>
      <c r="P348" t="s">
        <v>9</v>
      </c>
      <c r="Q348">
        <v>-124</v>
      </c>
      <c r="R348">
        <f>Table25791113[[#This Row],[RSSI]]</f>
        <v>-124</v>
      </c>
      <c r="S348">
        <v>-20</v>
      </c>
    </row>
    <row r="349" spans="2:19" x14ac:dyDescent="0.25">
      <c r="B349">
        <f>480+2*(Table14681012[[#This Row],[min value (corrected)]]-34)</f>
        <v>496</v>
      </c>
      <c r="C349">
        <f>MINUTE(Table14681012[[#This Row],[Corrected time]])</f>
        <v>42</v>
      </c>
      <c r="D349" s="1">
        <v>0.73809057870370365</v>
      </c>
      <c r="E349" s="1">
        <f>Table14681012[[#This Row],[Time]]-TIME(0,0,9)</f>
        <v>0.73798641203703697</v>
      </c>
      <c r="F349" t="s">
        <v>9</v>
      </c>
      <c r="G349" t="s">
        <v>12</v>
      </c>
      <c r="H349">
        <f t="shared" si="11"/>
        <v>-123</v>
      </c>
      <c r="I349">
        <v>-18.5</v>
      </c>
      <c r="L349">
        <f>480+2*(Table25791113[[#This Row],[min value (corrected)]]-50)</f>
        <v>498</v>
      </c>
      <c r="M349">
        <f>MINUTE(Table25791113[[#This Row],[Corrected time]])</f>
        <v>59</v>
      </c>
      <c r="N349" s="1">
        <v>0.62445505787037037</v>
      </c>
      <c r="O349" s="1">
        <f>Table25791113[[#This Row],[Time]]-TIME(0,0,3)</f>
        <v>0.62442033564814814</v>
      </c>
      <c r="P349" t="s">
        <v>13</v>
      </c>
      <c r="Q349">
        <f>Q348</f>
        <v>-124</v>
      </c>
      <c r="R349">
        <f>Table25791113[[#This Row],[RSSI]]</f>
        <v>-124</v>
      </c>
      <c r="S349">
        <f>S348</f>
        <v>-20</v>
      </c>
    </row>
    <row r="350" spans="2:19" x14ac:dyDescent="0.25">
      <c r="B350">
        <f>480+2*(Table14681012[[#This Row],[min value (corrected)]]-34)</f>
        <v>496</v>
      </c>
      <c r="C350">
        <f>MINUTE(Table14681012[[#This Row],[Corrected time]])</f>
        <v>42</v>
      </c>
      <c r="D350" s="1">
        <v>0.73810982638888889</v>
      </c>
      <c r="E350" s="1">
        <f>Table14681012[[#This Row],[Time]]-TIME(0,0,9)</f>
        <v>0.73800565972222221</v>
      </c>
      <c r="F350" t="s">
        <v>9</v>
      </c>
      <c r="G350" t="s">
        <v>12</v>
      </c>
      <c r="H350">
        <f t="shared" si="11"/>
        <v>-123</v>
      </c>
      <c r="I350">
        <v>-18</v>
      </c>
      <c r="L350">
        <f>480+2*(Table25791113[[#This Row],[min value (corrected)]]-50)</f>
        <v>498</v>
      </c>
      <c r="M350">
        <f>MINUTE(Table25791113[[#This Row],[Corrected time]])</f>
        <v>59</v>
      </c>
      <c r="N350" s="1">
        <v>0.62447431712962964</v>
      </c>
      <c r="O350" s="1">
        <f>Table25791113[[#This Row],[Time]]-TIME(0,0,3)</f>
        <v>0.62443959490740741</v>
      </c>
      <c r="P350" t="s">
        <v>9</v>
      </c>
      <c r="Q350">
        <v>-123</v>
      </c>
      <c r="R350">
        <f>Table25791113[[#This Row],[RSSI]]</f>
        <v>-123</v>
      </c>
      <c r="S350">
        <v>-18</v>
      </c>
    </row>
    <row r="351" spans="2:19" x14ac:dyDescent="0.25">
      <c r="B351">
        <f>480+2*(Table14681012[[#This Row],[min value (corrected)]]-34)</f>
        <v>496</v>
      </c>
      <c r="C351">
        <f>MINUTE(Table14681012[[#This Row],[Corrected time]])</f>
        <v>42</v>
      </c>
      <c r="D351" s="1">
        <v>0.73812907407407402</v>
      </c>
      <c r="E351" s="1">
        <f>Table14681012[[#This Row],[Time]]-TIME(0,0,9)</f>
        <v>0.73802490740740734</v>
      </c>
      <c r="F351" t="s">
        <v>9</v>
      </c>
      <c r="G351" t="s">
        <v>12</v>
      </c>
      <c r="H351">
        <f t="shared" si="11"/>
        <v>-123</v>
      </c>
      <c r="I351">
        <v>-18.8</v>
      </c>
      <c r="L351">
        <f>480+2*(Table25791113[[#This Row],[min value (corrected)]]-50)</f>
        <v>498</v>
      </c>
      <c r="M351">
        <f>MINUTE(Table25791113[[#This Row],[Corrected time]])</f>
        <v>59</v>
      </c>
      <c r="N351" s="1">
        <v>0.62449356481481477</v>
      </c>
      <c r="O351" s="1">
        <f>Table25791113[[#This Row],[Time]]-TIME(0,0,3)</f>
        <v>0.62445884259259254</v>
      </c>
      <c r="P351" t="s">
        <v>9</v>
      </c>
      <c r="Q351">
        <v>-123</v>
      </c>
      <c r="R351">
        <f>Table25791113[[#This Row],[RSSI]]</f>
        <v>-123</v>
      </c>
      <c r="S351">
        <v>-19.8</v>
      </c>
    </row>
    <row r="352" spans="2:19" x14ac:dyDescent="0.25">
      <c r="B352">
        <f>480+2*(Table14681012[[#This Row],[min value (corrected)]]-34)</f>
        <v>496</v>
      </c>
      <c r="C352">
        <f>MINUTE(Table14681012[[#This Row],[Corrected time]])</f>
        <v>42</v>
      </c>
      <c r="D352" s="1">
        <v>0.73814832175925926</v>
      </c>
      <c r="E352" s="1">
        <f>Table14681012[[#This Row],[Time]]-TIME(0,0,9)</f>
        <v>0.73804415509259258</v>
      </c>
      <c r="F352" t="s">
        <v>9</v>
      </c>
      <c r="G352" t="s">
        <v>12</v>
      </c>
      <c r="H352">
        <f t="shared" si="11"/>
        <v>-123</v>
      </c>
      <c r="I352">
        <v>-20</v>
      </c>
      <c r="L352">
        <f>480+2*(Table25791113[[#This Row],[min value (corrected)]]-50)</f>
        <v>498</v>
      </c>
      <c r="M352">
        <f>MINUTE(Table25791113[[#This Row],[Corrected time]])</f>
        <v>59</v>
      </c>
      <c r="N352" s="1">
        <v>0.62451281250000001</v>
      </c>
      <c r="O352" s="1">
        <f>Table25791113[[#This Row],[Time]]-TIME(0,0,3)</f>
        <v>0.62447809027777779</v>
      </c>
      <c r="P352" t="s">
        <v>9</v>
      </c>
      <c r="Q352">
        <v>-123</v>
      </c>
      <c r="R352">
        <f>Table25791113[[#This Row],[RSSI]]</f>
        <v>-123</v>
      </c>
      <c r="S352">
        <v>-18.5</v>
      </c>
    </row>
    <row r="353" spans="2:19" x14ac:dyDescent="0.25">
      <c r="B353">
        <f>480+2*(Table14681012[[#This Row],[min value (corrected)]]-34)</f>
        <v>496</v>
      </c>
      <c r="C353">
        <f>MINUTE(Table14681012[[#This Row],[Corrected time]])</f>
        <v>42</v>
      </c>
      <c r="D353" s="1">
        <v>0.73816756944444439</v>
      </c>
      <c r="E353" s="1">
        <f>Table14681012[[#This Row],[Time]]-TIME(0,0,9)</f>
        <v>0.73806340277777771</v>
      </c>
      <c r="F353" t="s">
        <v>9</v>
      </c>
      <c r="G353" t="s">
        <v>12</v>
      </c>
      <c r="H353">
        <f t="shared" si="11"/>
        <v>-123</v>
      </c>
      <c r="I353">
        <v>-18.3</v>
      </c>
      <c r="L353">
        <f>480+2*(Table25791113[[#This Row],[min value (corrected)]]-50)</f>
        <v>498</v>
      </c>
      <c r="M353">
        <f>MINUTE(Table25791113[[#This Row],[Corrected time]])</f>
        <v>59</v>
      </c>
      <c r="N353" s="1">
        <v>0.62453204861111111</v>
      </c>
      <c r="O353" s="1">
        <f>Table25791113[[#This Row],[Time]]-TIME(0,0,3)</f>
        <v>0.62449732638888888</v>
      </c>
      <c r="P353" t="s">
        <v>9</v>
      </c>
      <c r="Q353">
        <v>-123</v>
      </c>
      <c r="R353">
        <f>Table25791113[[#This Row],[RSSI]]</f>
        <v>-123</v>
      </c>
      <c r="S353">
        <v>-18.3</v>
      </c>
    </row>
    <row r="354" spans="2:19" x14ac:dyDescent="0.25">
      <c r="B354">
        <f>480+2*(Table14681012[[#This Row],[min value (corrected)]]-34)</f>
        <v>496</v>
      </c>
      <c r="C354">
        <f>MINUTE(Table14681012[[#This Row],[Corrected time]])</f>
        <v>42</v>
      </c>
      <c r="D354" s="1">
        <v>0.73818681712962964</v>
      </c>
      <c r="E354" s="1">
        <f>Table14681012[[#This Row],[Time]]-TIME(0,0,9)</f>
        <v>0.73808265046296295</v>
      </c>
      <c r="F354" t="s">
        <v>9</v>
      </c>
      <c r="G354" t="s">
        <v>12</v>
      </c>
      <c r="H354">
        <f t="shared" si="11"/>
        <v>-123</v>
      </c>
      <c r="I354">
        <v>-18.5</v>
      </c>
      <c r="L354">
        <f>480+2*(Table25791113[[#This Row],[min value (corrected)]]-50)</f>
        <v>498</v>
      </c>
      <c r="M354">
        <f>MINUTE(Table25791113[[#This Row],[Corrected time]])</f>
        <v>59</v>
      </c>
      <c r="N354" s="1">
        <v>0.62455128472222221</v>
      </c>
      <c r="O354" s="1">
        <f>Table25791113[[#This Row],[Time]]-TIME(0,0,3)</f>
        <v>0.62451656249999998</v>
      </c>
      <c r="P354" t="s">
        <v>9</v>
      </c>
      <c r="Q354">
        <v>-124</v>
      </c>
      <c r="R354">
        <f>Table25791113[[#This Row],[RSSI]]</f>
        <v>-124</v>
      </c>
      <c r="S354">
        <v>-18.8</v>
      </c>
    </row>
    <row r="355" spans="2:19" x14ac:dyDescent="0.25">
      <c r="B355">
        <f>480+2*(Table14681012[[#This Row],[min value (corrected)]]-34)</f>
        <v>496</v>
      </c>
      <c r="C355">
        <f>MINUTE(Table14681012[[#This Row],[Corrected time]])</f>
        <v>42</v>
      </c>
      <c r="D355" s="1">
        <v>0.73820606481481488</v>
      </c>
      <c r="E355" s="1">
        <f>Table14681012[[#This Row],[Time]]-TIME(0,0,9)</f>
        <v>0.73810189814814819</v>
      </c>
      <c r="F355" t="s">
        <v>9</v>
      </c>
      <c r="G355" t="s">
        <v>12</v>
      </c>
      <c r="H355">
        <f t="shared" si="11"/>
        <v>-123</v>
      </c>
      <c r="I355">
        <v>-18</v>
      </c>
      <c r="L355">
        <f>480+2*(Table25791113[[#This Row],[min value (corrected)]]-50)</f>
        <v>498</v>
      </c>
      <c r="M355">
        <f>MINUTE(Table25791113[[#This Row],[Corrected time]])</f>
        <v>59</v>
      </c>
      <c r="N355" s="1">
        <v>0.62457055555555552</v>
      </c>
      <c r="O355" s="1">
        <f>Table25791113[[#This Row],[Time]]-TIME(0,0,3)</f>
        <v>0.62453583333333329</v>
      </c>
      <c r="P355" t="s">
        <v>9</v>
      </c>
      <c r="Q355">
        <v>-123</v>
      </c>
      <c r="R355">
        <f>Table25791113[[#This Row],[RSSI]]</f>
        <v>-123</v>
      </c>
      <c r="S355">
        <v>-18.5</v>
      </c>
    </row>
    <row r="356" spans="2:19" x14ac:dyDescent="0.25">
      <c r="B356">
        <f>480+2*(Table14681012[[#This Row],[min value (corrected)]]-34)</f>
        <v>496</v>
      </c>
      <c r="C356">
        <f>MINUTE(Table14681012[[#This Row],[Corrected time]])</f>
        <v>42</v>
      </c>
      <c r="D356" s="1">
        <v>0.73822531250000001</v>
      </c>
      <c r="E356" s="1">
        <f>Table14681012[[#This Row],[Time]]-TIME(0,0,9)</f>
        <v>0.73812114583333333</v>
      </c>
      <c r="F356" t="s">
        <v>9</v>
      </c>
      <c r="G356" t="s">
        <v>19</v>
      </c>
      <c r="H356">
        <f t="shared" si="11"/>
        <v>-124</v>
      </c>
      <c r="I356">
        <v>-18.5</v>
      </c>
      <c r="L356">
        <f>480+2*(Table25791113[[#This Row],[min value (corrected)]]-50)</f>
        <v>498</v>
      </c>
      <c r="M356">
        <f>MINUTE(Table25791113[[#This Row],[Corrected time]])</f>
        <v>59</v>
      </c>
      <c r="N356" s="1">
        <v>0.62458980324074076</v>
      </c>
      <c r="O356" s="1">
        <f>Table25791113[[#This Row],[Time]]-TIME(0,0,3)</f>
        <v>0.62455508101851853</v>
      </c>
      <c r="P356" t="s">
        <v>9</v>
      </c>
      <c r="Q356">
        <v>-123</v>
      </c>
      <c r="R356">
        <f>Table25791113[[#This Row],[RSSI]]</f>
        <v>-123</v>
      </c>
      <c r="S356">
        <v>-19</v>
      </c>
    </row>
    <row r="357" spans="2:19" x14ac:dyDescent="0.25">
      <c r="B357">
        <f>480+2*(Table14681012[[#This Row],[min value (corrected)]]-34)</f>
        <v>496</v>
      </c>
      <c r="C357">
        <f>MINUTE(Table14681012[[#This Row],[Corrected time]])</f>
        <v>42</v>
      </c>
      <c r="D357" s="1">
        <v>0.73824456018518525</v>
      </c>
      <c r="E357" s="1">
        <f>Table14681012[[#This Row],[Time]]-TIME(0,0,9)</f>
        <v>0.73814039351851857</v>
      </c>
      <c r="F357" t="s">
        <v>9</v>
      </c>
      <c r="G357" t="s">
        <v>19</v>
      </c>
      <c r="H357">
        <f t="shared" si="11"/>
        <v>-124</v>
      </c>
      <c r="I357">
        <v>-19.8</v>
      </c>
      <c r="L357">
        <f>480+2*(Table25791113[[#This Row],[min value (corrected)]]-50)</f>
        <v>498</v>
      </c>
      <c r="M357">
        <f>MINUTE(Table25791113[[#This Row],[Corrected time]])</f>
        <v>59</v>
      </c>
      <c r="N357" s="1">
        <v>0.62460905092592589</v>
      </c>
      <c r="O357" s="1">
        <f>Table25791113[[#This Row],[Time]]-TIME(0,0,3)</f>
        <v>0.62457432870370366</v>
      </c>
      <c r="P357" t="s">
        <v>9</v>
      </c>
      <c r="Q357">
        <v>-123</v>
      </c>
      <c r="R357">
        <f>Table25791113[[#This Row],[RSSI]]</f>
        <v>-123</v>
      </c>
      <c r="S357">
        <v>-19</v>
      </c>
    </row>
    <row r="358" spans="2:19" x14ac:dyDescent="0.25">
      <c r="B358">
        <f>480+2*(Table14681012[[#This Row],[min value (corrected)]]-34)</f>
        <v>496</v>
      </c>
      <c r="C358">
        <f>MINUTE(Table14681012[[#This Row],[Corrected time]])</f>
        <v>42</v>
      </c>
      <c r="D358" s="1">
        <v>0.73826380787037038</v>
      </c>
      <c r="E358" s="1">
        <f>Table14681012[[#This Row],[Time]]-TIME(0,0,9)</f>
        <v>0.7381596412037037</v>
      </c>
      <c r="F358" t="s">
        <v>9</v>
      </c>
      <c r="G358" t="s">
        <v>19</v>
      </c>
      <c r="H358">
        <f t="shared" si="11"/>
        <v>-124</v>
      </c>
      <c r="I358">
        <v>-19.3</v>
      </c>
      <c r="L358">
        <f>480+2*(Table25791113[[#This Row],[min value (corrected)]]-50)</f>
        <v>498</v>
      </c>
      <c r="M358">
        <f>MINUTE(Table25791113[[#This Row],[Corrected time]])</f>
        <v>59</v>
      </c>
      <c r="N358" s="1">
        <v>0.62462829861111113</v>
      </c>
      <c r="O358" s="1">
        <f>Table25791113[[#This Row],[Time]]-TIME(0,0,3)</f>
        <v>0.6245935763888889</v>
      </c>
      <c r="P358" t="s">
        <v>9</v>
      </c>
      <c r="Q358">
        <v>-123</v>
      </c>
      <c r="R358">
        <f>Table25791113[[#This Row],[RSSI]]</f>
        <v>-123</v>
      </c>
      <c r="S358">
        <v>-18.8</v>
      </c>
    </row>
    <row r="359" spans="2:19" x14ac:dyDescent="0.25">
      <c r="B359">
        <f>480+2*(Table14681012[[#This Row],[min value (corrected)]]-34)</f>
        <v>496</v>
      </c>
      <c r="C359">
        <f>MINUTE(Table14681012[[#This Row],[Corrected time]])</f>
        <v>42</v>
      </c>
      <c r="D359" s="1">
        <v>0.73828305555555562</v>
      </c>
      <c r="E359" s="1">
        <f>Table14681012[[#This Row],[Time]]-TIME(0,0,9)</f>
        <v>0.73817888888888894</v>
      </c>
      <c r="F359" t="s">
        <v>9</v>
      </c>
      <c r="G359" t="s">
        <v>19</v>
      </c>
      <c r="H359">
        <f t="shared" si="11"/>
        <v>-124</v>
      </c>
      <c r="I359">
        <v>-19.8</v>
      </c>
      <c r="L359">
        <f>480+2*(Table25791113[[#This Row],[min value (corrected)]]-50)</f>
        <v>498</v>
      </c>
      <c r="M359">
        <f>MINUTE(Table25791113[[#This Row],[Corrected time]])</f>
        <v>59</v>
      </c>
      <c r="N359" s="1">
        <v>0.62464754629629637</v>
      </c>
      <c r="O359" s="1">
        <f>Table25791113[[#This Row],[Time]]-TIME(0,0,3)</f>
        <v>0.62461282407407415</v>
      </c>
      <c r="P359" t="s">
        <v>9</v>
      </c>
      <c r="Q359">
        <v>-123</v>
      </c>
      <c r="R359">
        <f>Table25791113[[#This Row],[RSSI]]</f>
        <v>-123</v>
      </c>
      <c r="S359">
        <v>-18.5</v>
      </c>
    </row>
    <row r="360" spans="2:19" x14ac:dyDescent="0.25">
      <c r="B360">
        <f>480+2*(Table14681012[[#This Row],[min value (corrected)]]-34)</f>
        <v>498</v>
      </c>
      <c r="C360">
        <f>MINUTE(Table14681012[[#This Row],[Corrected time]])</f>
        <v>43</v>
      </c>
      <c r="D360" s="1">
        <v>0.73830230324074075</v>
      </c>
      <c r="E360" s="1">
        <f>Table14681012[[#This Row],[Time]]-TIME(0,0,9)</f>
        <v>0.73819813657407407</v>
      </c>
      <c r="F360" t="s">
        <v>9</v>
      </c>
      <c r="G360" t="s">
        <v>19</v>
      </c>
      <c r="H360">
        <f t="shared" si="11"/>
        <v>-124</v>
      </c>
      <c r="I360">
        <v>-20</v>
      </c>
      <c r="L360">
        <f>480+2*(Table25791113[[#This Row],[min value (corrected)]]-50)</f>
        <v>498</v>
      </c>
      <c r="M360">
        <f>MINUTE(Table25791113[[#This Row],[Corrected time]])</f>
        <v>59</v>
      </c>
      <c r="N360" s="1">
        <v>0.62466678240740736</v>
      </c>
      <c r="O360" s="1">
        <f>Table25791113[[#This Row],[Time]]-TIME(0,0,3)</f>
        <v>0.62463206018518513</v>
      </c>
      <c r="P360" t="s">
        <v>9</v>
      </c>
      <c r="Q360">
        <v>-123</v>
      </c>
      <c r="R360">
        <f>Table25791113[[#This Row],[RSSI]]</f>
        <v>-123</v>
      </c>
      <c r="S360">
        <v>-18.5</v>
      </c>
    </row>
    <row r="361" spans="2:19" x14ac:dyDescent="0.25">
      <c r="B361">
        <f>480+2*(Table14681012[[#This Row],[min value (corrected)]]-34)</f>
        <v>498</v>
      </c>
      <c r="C361">
        <f>MINUTE(Table14681012[[#This Row],[Corrected time]])</f>
        <v>43</v>
      </c>
      <c r="D361" s="1">
        <v>0.738321550925926</v>
      </c>
      <c r="E361" s="1">
        <f>Table14681012[[#This Row],[Time]]-TIME(0,0,9)</f>
        <v>0.73821738425925931</v>
      </c>
      <c r="F361" t="s">
        <v>9</v>
      </c>
      <c r="G361" t="s">
        <v>19</v>
      </c>
      <c r="H361">
        <f t="shared" si="11"/>
        <v>-124</v>
      </c>
      <c r="I361">
        <v>-19.5</v>
      </c>
      <c r="L361">
        <f>480+2*(Table25791113[[#This Row],[min value (corrected)]]-50)</f>
        <v>498</v>
      </c>
      <c r="M361">
        <f>MINUTE(Table25791113[[#This Row],[Corrected time]])</f>
        <v>59</v>
      </c>
      <c r="N361" s="1">
        <v>0.62468604166666675</v>
      </c>
      <c r="O361" s="1">
        <f>Table25791113[[#This Row],[Time]]-TIME(0,0,3)</f>
        <v>0.62465131944444452</v>
      </c>
      <c r="P361" t="s">
        <v>9</v>
      </c>
      <c r="Q361">
        <v>-123</v>
      </c>
      <c r="R361">
        <f>Table25791113[[#This Row],[RSSI]]</f>
        <v>-123</v>
      </c>
      <c r="S361">
        <v>-18</v>
      </c>
    </row>
    <row r="362" spans="2:19" x14ac:dyDescent="0.25">
      <c r="B362">
        <f>480+2*(Table14681012[[#This Row],[min value (corrected)]]-34)</f>
        <v>498</v>
      </c>
      <c r="C362">
        <f>MINUTE(Table14681012[[#This Row],[Corrected time]])</f>
        <v>43</v>
      </c>
      <c r="D362" s="1">
        <v>0.73834079861111113</v>
      </c>
      <c r="E362" s="1">
        <f>Table14681012[[#This Row],[Time]]-TIME(0,0,9)</f>
        <v>0.73823663194444444</v>
      </c>
      <c r="F362" t="s">
        <v>9</v>
      </c>
      <c r="G362" t="s">
        <v>19</v>
      </c>
      <c r="H362">
        <f t="shared" si="11"/>
        <v>-124</v>
      </c>
      <c r="I362">
        <v>-19.8</v>
      </c>
      <c r="L362">
        <f>480+2*(Table25791113[[#This Row],[min value (corrected)]]-50)</f>
        <v>498</v>
      </c>
      <c r="M362">
        <f>MINUTE(Table25791113[[#This Row],[Corrected time]])</f>
        <v>59</v>
      </c>
      <c r="N362" s="1">
        <v>0.62470528935185177</v>
      </c>
      <c r="O362" s="1">
        <f>Table25791113[[#This Row],[Time]]-TIME(0,0,3)</f>
        <v>0.62467056712962954</v>
      </c>
      <c r="P362" t="s">
        <v>9</v>
      </c>
      <c r="Q362">
        <v>-123</v>
      </c>
      <c r="R362">
        <f>Table25791113[[#This Row],[RSSI]]</f>
        <v>-123</v>
      </c>
      <c r="S362">
        <v>-18</v>
      </c>
    </row>
    <row r="363" spans="2:19" x14ac:dyDescent="0.25">
      <c r="B363">
        <f>480+2*(Table14681012[[#This Row],[min value (corrected)]]-34)</f>
        <v>498</v>
      </c>
      <c r="C363">
        <f>MINUTE(Table14681012[[#This Row],[Corrected time]])</f>
        <v>43</v>
      </c>
      <c r="D363" s="1">
        <v>0.73836004629629626</v>
      </c>
      <c r="E363" s="1">
        <f>Table14681012[[#This Row],[Time]]-TIME(0,0,9)</f>
        <v>0.73825587962962957</v>
      </c>
      <c r="F363" t="s">
        <v>13</v>
      </c>
      <c r="G363" t="str">
        <f>G362</f>
        <v>-124.0,</v>
      </c>
      <c r="H363">
        <f t="shared" si="11"/>
        <v>-124</v>
      </c>
      <c r="I363">
        <f>I362</f>
        <v>-19.8</v>
      </c>
      <c r="L363">
        <f>480+2*(Table25791113[[#This Row],[min value (corrected)]]-50)</f>
        <v>498</v>
      </c>
      <c r="M363">
        <f>MINUTE(Table25791113[[#This Row],[Corrected time]])</f>
        <v>59</v>
      </c>
      <c r="N363" s="1">
        <v>0.62472452546296298</v>
      </c>
      <c r="O363" s="1">
        <f>Table25791113[[#This Row],[Time]]-TIME(0,0,3)</f>
        <v>0.62468980324074075</v>
      </c>
      <c r="P363" t="s">
        <v>9</v>
      </c>
      <c r="Q363">
        <v>-123</v>
      </c>
      <c r="R363">
        <f>Table25791113[[#This Row],[RSSI]]</f>
        <v>-123</v>
      </c>
      <c r="S363">
        <v>-18.5</v>
      </c>
    </row>
    <row r="364" spans="2:19" x14ac:dyDescent="0.25">
      <c r="B364">
        <f>480+2*(Table14681012[[#This Row],[min value (corrected)]]-34)</f>
        <v>498</v>
      </c>
      <c r="C364">
        <f>MINUTE(Table14681012[[#This Row],[Corrected time]])</f>
        <v>43</v>
      </c>
      <c r="D364" s="1">
        <v>0.7383792939814815</v>
      </c>
      <c r="E364" s="1">
        <f>Table14681012[[#This Row],[Time]]-TIME(0,0,9)</f>
        <v>0.73827512731481482</v>
      </c>
      <c r="F364" t="s">
        <v>9</v>
      </c>
      <c r="G364" t="s">
        <v>12</v>
      </c>
      <c r="H364">
        <f t="shared" si="11"/>
        <v>-123</v>
      </c>
      <c r="I364">
        <v>-19.8</v>
      </c>
      <c r="L364">
        <f>480+2*(Table25791113[[#This Row],[min value (corrected)]]-50)</f>
        <v>498</v>
      </c>
      <c r="M364">
        <f>MINUTE(Table25791113[[#This Row],[Corrected time]])</f>
        <v>59</v>
      </c>
      <c r="N364" s="1">
        <v>0.62474377314814811</v>
      </c>
      <c r="O364" s="1">
        <f>Table25791113[[#This Row],[Time]]-TIME(0,0,3)</f>
        <v>0.62470905092592588</v>
      </c>
      <c r="P364" t="s">
        <v>9</v>
      </c>
      <c r="Q364">
        <v>-123</v>
      </c>
      <c r="R364">
        <f>Table25791113[[#This Row],[RSSI]]</f>
        <v>-123</v>
      </c>
      <c r="S364">
        <v>-18.5</v>
      </c>
    </row>
    <row r="365" spans="2:19" x14ac:dyDescent="0.25">
      <c r="B365">
        <f>480+2*(Table14681012[[#This Row],[min value (corrected)]]-34)</f>
        <v>498</v>
      </c>
      <c r="C365">
        <f>MINUTE(Table14681012[[#This Row],[Corrected time]])</f>
        <v>43</v>
      </c>
      <c r="D365" s="1">
        <v>0.73839854166666663</v>
      </c>
      <c r="E365" s="1">
        <f>Table14681012[[#This Row],[Time]]-TIME(0,0,9)</f>
        <v>0.73829437499999995</v>
      </c>
      <c r="F365" t="s">
        <v>9</v>
      </c>
      <c r="G365" t="s">
        <v>12</v>
      </c>
      <c r="H365">
        <f t="shared" si="11"/>
        <v>-123</v>
      </c>
      <c r="I365">
        <v>-18.8</v>
      </c>
      <c r="L365">
        <f>480+2*(Table25791113[[#This Row],[min value (corrected)]]-50)</f>
        <v>498</v>
      </c>
      <c r="M365">
        <f>MINUTE(Table25791113[[#This Row],[Corrected time]])</f>
        <v>59</v>
      </c>
      <c r="N365" s="1">
        <v>0.62476303240740738</v>
      </c>
      <c r="O365" s="1">
        <f>Table25791113[[#This Row],[Time]]-TIME(0,0,3)</f>
        <v>0.62472831018518515</v>
      </c>
      <c r="P365" t="s">
        <v>9</v>
      </c>
      <c r="Q365">
        <v>-124</v>
      </c>
      <c r="R365">
        <f>Table25791113[[#This Row],[RSSI]]</f>
        <v>-124</v>
      </c>
      <c r="S365">
        <v>-19.3</v>
      </c>
    </row>
    <row r="366" spans="2:19" x14ac:dyDescent="0.25">
      <c r="B366">
        <f>480+2*(Table14681012[[#This Row],[min value (corrected)]]-34)</f>
        <v>498</v>
      </c>
      <c r="C366">
        <f>MINUTE(Table14681012[[#This Row],[Corrected time]])</f>
        <v>43</v>
      </c>
      <c r="D366" s="1">
        <v>0.73841777777777784</v>
      </c>
      <c r="E366" s="1">
        <f>Table14681012[[#This Row],[Time]]-TIME(0,0,9)</f>
        <v>0.73831361111111116</v>
      </c>
      <c r="F366" t="s">
        <v>9</v>
      </c>
      <c r="G366" t="s">
        <v>12</v>
      </c>
      <c r="H366">
        <f t="shared" si="11"/>
        <v>-123</v>
      </c>
      <c r="I366">
        <v>-18</v>
      </c>
      <c r="L366">
        <f>480+2*(Table25791113[[#This Row],[min value (corrected)]]-50)</f>
        <v>498</v>
      </c>
      <c r="M366">
        <f>MINUTE(Table25791113[[#This Row],[Corrected time]])</f>
        <v>59</v>
      </c>
      <c r="N366" s="1">
        <v>0.62478228009259262</v>
      </c>
      <c r="O366" s="1">
        <f>Table25791113[[#This Row],[Time]]-TIME(0,0,3)</f>
        <v>0.6247475578703704</v>
      </c>
      <c r="P366" t="s">
        <v>9</v>
      </c>
      <c r="Q366">
        <v>-124</v>
      </c>
      <c r="R366">
        <f>Table25791113[[#This Row],[RSSI]]</f>
        <v>-124</v>
      </c>
      <c r="S366">
        <v>-19.5</v>
      </c>
    </row>
    <row r="367" spans="2:19" x14ac:dyDescent="0.25">
      <c r="B367">
        <f>480+2*(Table14681012[[#This Row],[min value (corrected)]]-34)</f>
        <v>498</v>
      </c>
      <c r="C367">
        <f>MINUTE(Table14681012[[#This Row],[Corrected time]])</f>
        <v>43</v>
      </c>
      <c r="D367" s="1">
        <v>0.738437037037037</v>
      </c>
      <c r="E367" s="1">
        <f>Table14681012[[#This Row],[Time]]-TIME(0,0,9)</f>
        <v>0.73833287037037032</v>
      </c>
      <c r="F367" t="s">
        <v>9</v>
      </c>
      <c r="G367" t="s">
        <v>12</v>
      </c>
      <c r="H367">
        <f t="shared" si="11"/>
        <v>-123</v>
      </c>
      <c r="I367">
        <v>-18.5</v>
      </c>
      <c r="L367">
        <f>480+2*(Table25791113[[#This Row],[min value (corrected)]]-50)</f>
        <v>498</v>
      </c>
      <c r="M367">
        <f>MINUTE(Table25791113[[#This Row],[Corrected time]])</f>
        <v>59</v>
      </c>
      <c r="N367" s="1">
        <v>0.62480152777777775</v>
      </c>
      <c r="O367" s="1">
        <f>Table25791113[[#This Row],[Time]]-TIME(0,0,3)</f>
        <v>0.62476680555555553</v>
      </c>
      <c r="P367" t="s">
        <v>9</v>
      </c>
      <c r="Q367">
        <v>-123</v>
      </c>
      <c r="R367">
        <f>Table25791113[[#This Row],[RSSI]]</f>
        <v>-123</v>
      </c>
      <c r="S367">
        <v>-18.3</v>
      </c>
    </row>
    <row r="368" spans="2:19" x14ac:dyDescent="0.25">
      <c r="B368">
        <f>480+2*(Table14681012[[#This Row],[min value (corrected)]]-34)</f>
        <v>498</v>
      </c>
      <c r="C368">
        <f>MINUTE(Table14681012[[#This Row],[Corrected time]])</f>
        <v>43</v>
      </c>
      <c r="D368" s="1">
        <v>0.73845628472222224</v>
      </c>
      <c r="E368" s="1">
        <f>Table14681012[[#This Row],[Time]]-TIME(0,0,9)</f>
        <v>0.73835211805555556</v>
      </c>
      <c r="F368" t="s">
        <v>9</v>
      </c>
      <c r="G368" t="s">
        <v>12</v>
      </c>
      <c r="H368">
        <f t="shared" si="11"/>
        <v>-123</v>
      </c>
      <c r="I368">
        <v>-19.3</v>
      </c>
      <c r="L368">
        <f>480+2*(Table25791113[[#This Row],[min value (corrected)]]-50)</f>
        <v>498</v>
      </c>
      <c r="M368">
        <f>MINUTE(Table25791113[[#This Row],[Corrected time]])</f>
        <v>59</v>
      </c>
      <c r="N368" s="1">
        <v>0.624820775462963</v>
      </c>
      <c r="O368" s="1">
        <f>Table25791113[[#This Row],[Time]]-TIME(0,0,3)</f>
        <v>0.62478605324074077</v>
      </c>
      <c r="P368" t="s">
        <v>9</v>
      </c>
      <c r="Q368">
        <v>-123</v>
      </c>
      <c r="R368">
        <f>Table25791113[[#This Row],[RSSI]]</f>
        <v>-123</v>
      </c>
      <c r="S368">
        <v>-18.3</v>
      </c>
    </row>
    <row r="369" spans="2:19" x14ac:dyDescent="0.25">
      <c r="B369">
        <f>480+2*(Table14681012[[#This Row],[min value (corrected)]]-34)</f>
        <v>498</v>
      </c>
      <c r="C369">
        <f>MINUTE(Table14681012[[#This Row],[Corrected time]])</f>
        <v>43</v>
      </c>
      <c r="D369" s="1">
        <v>0.73847553240740738</v>
      </c>
      <c r="E369" s="1">
        <f>Table14681012[[#This Row],[Time]]-TIME(0,0,9)</f>
        <v>0.73837136574074069</v>
      </c>
      <c r="F369" t="s">
        <v>9</v>
      </c>
      <c r="G369" t="s">
        <v>12</v>
      </c>
      <c r="H369">
        <f t="shared" si="11"/>
        <v>-123</v>
      </c>
      <c r="I369">
        <v>-18.8</v>
      </c>
      <c r="L369">
        <f>480+2*(Table25791113[[#This Row],[min value (corrected)]]-50)</f>
        <v>498</v>
      </c>
      <c r="M369">
        <f>MINUTE(Table25791113[[#This Row],[Corrected time]])</f>
        <v>59</v>
      </c>
      <c r="N369" s="1">
        <v>0.62484002314814813</v>
      </c>
      <c r="O369" s="1">
        <f>Table25791113[[#This Row],[Time]]-TIME(0,0,3)</f>
        <v>0.6248053009259259</v>
      </c>
      <c r="P369" t="s">
        <v>9</v>
      </c>
      <c r="Q369">
        <v>-123</v>
      </c>
      <c r="R369">
        <f>Table25791113[[#This Row],[RSSI]]</f>
        <v>-123</v>
      </c>
      <c r="S369">
        <v>-17.8</v>
      </c>
    </row>
    <row r="370" spans="2:19" x14ac:dyDescent="0.25">
      <c r="B370">
        <f>480+2*(Table14681012[[#This Row],[min value (corrected)]]-34)</f>
        <v>498</v>
      </c>
      <c r="C370">
        <f>MINUTE(Table14681012[[#This Row],[Corrected time]])</f>
        <v>43</v>
      </c>
      <c r="D370" s="1">
        <v>0.73849476851851847</v>
      </c>
      <c r="E370" s="1">
        <f>Table14681012[[#This Row],[Time]]-TIME(0,0,9)</f>
        <v>0.73839060185185179</v>
      </c>
      <c r="F370" t="s">
        <v>9</v>
      </c>
      <c r="G370" t="s">
        <v>12</v>
      </c>
      <c r="H370">
        <f t="shared" si="11"/>
        <v>-123</v>
      </c>
      <c r="I370">
        <v>-18.5</v>
      </c>
      <c r="L370">
        <f>480+2*(Table25791113[[#This Row],[min value (corrected)]]-50)</f>
        <v>498</v>
      </c>
      <c r="M370">
        <f>MINUTE(Table25791113[[#This Row],[Corrected time]])</f>
        <v>59</v>
      </c>
      <c r="N370" s="1">
        <v>0.62485927083333337</v>
      </c>
      <c r="O370" s="1">
        <f>Table25791113[[#This Row],[Time]]-TIME(0,0,3)</f>
        <v>0.62482454861111114</v>
      </c>
      <c r="P370" t="s">
        <v>9</v>
      </c>
      <c r="Q370">
        <v>-123</v>
      </c>
      <c r="R370">
        <f>Table25791113[[#This Row],[RSSI]]</f>
        <v>-123</v>
      </c>
      <c r="S370">
        <v>-19</v>
      </c>
    </row>
    <row r="371" spans="2:19" x14ac:dyDescent="0.25">
      <c r="B371">
        <f>480+2*(Table14681012[[#This Row],[min value (corrected)]]-34)</f>
        <v>498</v>
      </c>
      <c r="C371">
        <f>MINUTE(Table14681012[[#This Row],[Corrected time]])</f>
        <v>43</v>
      </c>
      <c r="D371" s="1">
        <v>0.73851402777777775</v>
      </c>
      <c r="E371" s="1">
        <f>Table14681012[[#This Row],[Time]]-TIME(0,0,9)</f>
        <v>0.73840986111111107</v>
      </c>
      <c r="F371" t="s">
        <v>9</v>
      </c>
      <c r="G371" t="s">
        <v>12</v>
      </c>
      <c r="H371">
        <f t="shared" si="11"/>
        <v>-123</v>
      </c>
      <c r="I371">
        <v>-18.5</v>
      </c>
      <c r="L371">
        <f>480+2*(Table25791113[[#This Row],[min value (corrected)]]-50)</f>
        <v>498</v>
      </c>
      <c r="M371">
        <f>MINUTE(Table25791113[[#This Row],[Corrected time]])</f>
        <v>59</v>
      </c>
      <c r="N371" s="1">
        <v>0.6248785185185185</v>
      </c>
      <c r="O371" s="1">
        <f>Table25791113[[#This Row],[Time]]-TIME(0,0,3)</f>
        <v>0.62484379629629627</v>
      </c>
      <c r="P371" t="s">
        <v>9</v>
      </c>
      <c r="Q371">
        <v>-123</v>
      </c>
      <c r="R371">
        <f>Table25791113[[#This Row],[RSSI]]</f>
        <v>-123</v>
      </c>
      <c r="S371">
        <v>-18.5</v>
      </c>
    </row>
    <row r="372" spans="2:19" x14ac:dyDescent="0.25">
      <c r="B372">
        <f>480+2*(Table14681012[[#This Row],[min value (corrected)]]-34)</f>
        <v>498</v>
      </c>
      <c r="C372">
        <f>MINUTE(Table14681012[[#This Row],[Corrected time]])</f>
        <v>43</v>
      </c>
      <c r="D372" s="1">
        <v>0.73853327546296299</v>
      </c>
      <c r="E372" s="1">
        <f>Table14681012[[#This Row],[Time]]-TIME(0,0,9)</f>
        <v>0.73842910879629631</v>
      </c>
      <c r="F372" t="s">
        <v>9</v>
      </c>
      <c r="G372" t="s">
        <v>12</v>
      </c>
      <c r="H372">
        <f t="shared" si="11"/>
        <v>-123</v>
      </c>
      <c r="I372">
        <v>-18.3</v>
      </c>
      <c r="L372">
        <f>480+2*(Table25791113[[#This Row],[min value (corrected)]]-50)</f>
        <v>498</v>
      </c>
      <c r="M372">
        <f>MINUTE(Table25791113[[#This Row],[Corrected time]])</f>
        <v>59</v>
      </c>
      <c r="N372" s="1">
        <v>0.62489776620370374</v>
      </c>
      <c r="O372" s="1">
        <f>Table25791113[[#This Row],[Time]]-TIME(0,0,3)</f>
        <v>0.62486304398148151</v>
      </c>
      <c r="P372" t="s">
        <v>9</v>
      </c>
      <c r="Q372">
        <v>-124</v>
      </c>
      <c r="R372">
        <f>Table25791113[[#This Row],[RSSI]]</f>
        <v>-124</v>
      </c>
      <c r="S372">
        <v>-20</v>
      </c>
    </row>
    <row r="373" spans="2:19" x14ac:dyDescent="0.25">
      <c r="B373">
        <f>480+2*(Table14681012[[#This Row],[min value (corrected)]]-34)</f>
        <v>498</v>
      </c>
      <c r="C373">
        <f>MINUTE(Table14681012[[#This Row],[Corrected time]])</f>
        <v>43</v>
      </c>
      <c r="D373" s="1">
        <v>0.73855251157407409</v>
      </c>
      <c r="E373" s="1">
        <f>Table14681012[[#This Row],[Time]]-TIME(0,0,9)</f>
        <v>0.73844834490740741</v>
      </c>
      <c r="F373" t="s">
        <v>9</v>
      </c>
      <c r="G373" t="s">
        <v>19</v>
      </c>
      <c r="H373">
        <f t="shared" si="11"/>
        <v>-124</v>
      </c>
      <c r="I373">
        <v>-19</v>
      </c>
      <c r="L373">
        <f>480+2*(Table25791113[[#This Row],[min value (corrected)]]-50)</f>
        <v>498</v>
      </c>
      <c r="M373">
        <f>MINUTE(Table25791113[[#This Row],[Corrected time]])</f>
        <v>59</v>
      </c>
      <c r="N373" s="1">
        <v>0.62491700231481484</v>
      </c>
      <c r="O373" s="1">
        <f>Table25791113[[#This Row],[Time]]-TIME(0,0,3)</f>
        <v>0.62488228009259261</v>
      </c>
      <c r="P373" t="s">
        <v>9</v>
      </c>
      <c r="Q373">
        <v>-123</v>
      </c>
      <c r="R373">
        <f>Table25791113[[#This Row],[RSSI]]</f>
        <v>-123</v>
      </c>
      <c r="S373">
        <v>-18</v>
      </c>
    </row>
    <row r="374" spans="2:19" x14ac:dyDescent="0.25">
      <c r="B374">
        <f>480+2*(Table14681012[[#This Row],[min value (corrected)]]-34)</f>
        <v>498</v>
      </c>
      <c r="C374">
        <f>MINUTE(Table14681012[[#This Row],[Corrected time]])</f>
        <v>43</v>
      </c>
      <c r="D374" s="1">
        <v>0.73857175925925922</v>
      </c>
      <c r="E374" s="1">
        <f>Table14681012[[#This Row],[Time]]-TIME(0,0,9)</f>
        <v>0.73846759259259254</v>
      </c>
      <c r="F374" t="s">
        <v>9</v>
      </c>
      <c r="G374" t="s">
        <v>12</v>
      </c>
      <c r="H374">
        <f t="shared" si="11"/>
        <v>-123</v>
      </c>
      <c r="I374">
        <v>-19.3</v>
      </c>
      <c r="L374">
        <f>480+2*(Table25791113[[#This Row],[min value (corrected)]]-50)</f>
        <v>498</v>
      </c>
      <c r="M374">
        <f>MINUTE(Table25791113[[#This Row],[Corrected time]])</f>
        <v>59</v>
      </c>
      <c r="N374" s="1">
        <v>0.62493624999999997</v>
      </c>
      <c r="O374" s="1">
        <f>Table25791113[[#This Row],[Time]]-TIME(0,0,3)</f>
        <v>0.62490152777777774</v>
      </c>
      <c r="P374" t="s">
        <v>9</v>
      </c>
      <c r="Q374">
        <v>-123</v>
      </c>
      <c r="R374">
        <f>Table25791113[[#This Row],[RSSI]]</f>
        <v>-123</v>
      </c>
      <c r="S374">
        <v>-18.8</v>
      </c>
    </row>
    <row r="375" spans="2:19" x14ac:dyDescent="0.25">
      <c r="B375">
        <f>480+2*(Table14681012[[#This Row],[min value (corrected)]]-34)</f>
        <v>498</v>
      </c>
      <c r="C375">
        <f>MINUTE(Table14681012[[#This Row],[Corrected time]])</f>
        <v>43</v>
      </c>
      <c r="D375" s="1">
        <v>0.7385910185185186</v>
      </c>
      <c r="E375" s="1">
        <f>Table14681012[[#This Row],[Time]]-TIME(0,0,9)</f>
        <v>0.73848685185185192</v>
      </c>
      <c r="F375" t="s">
        <v>9</v>
      </c>
      <c r="G375" t="s">
        <v>12</v>
      </c>
      <c r="H375">
        <f t="shared" si="11"/>
        <v>-123</v>
      </c>
      <c r="I375">
        <v>-18.8</v>
      </c>
      <c r="L375">
        <f>480+2*(Table25791113[[#This Row],[min value (corrected)]]-50)</f>
        <v>498</v>
      </c>
      <c r="M375">
        <f>MINUTE(Table25791113[[#This Row],[Corrected time]])</f>
        <v>59</v>
      </c>
      <c r="N375" s="1">
        <v>0.62495549768518521</v>
      </c>
      <c r="O375" s="1">
        <f>Table25791113[[#This Row],[Time]]-TIME(0,0,3)</f>
        <v>0.62492077546296299</v>
      </c>
      <c r="P375" t="s">
        <v>9</v>
      </c>
      <c r="Q375">
        <v>-123</v>
      </c>
      <c r="R375">
        <f>Table25791113[[#This Row],[RSSI]]</f>
        <v>-123</v>
      </c>
      <c r="S375">
        <v>-18.3</v>
      </c>
    </row>
    <row r="376" spans="2:19" x14ac:dyDescent="0.25">
      <c r="B376">
        <f>480+2*(Table14681012[[#This Row],[min value (corrected)]]-34)</f>
        <v>498</v>
      </c>
      <c r="C376">
        <f>MINUTE(Table14681012[[#This Row],[Corrected time]])</f>
        <v>43</v>
      </c>
      <c r="D376" s="1">
        <v>0.73861026620370374</v>
      </c>
      <c r="E376" s="1">
        <f>Table14681012[[#This Row],[Time]]-TIME(0,0,9)</f>
        <v>0.73850609953703705</v>
      </c>
      <c r="F376" t="s">
        <v>9</v>
      </c>
      <c r="G376" t="s">
        <v>12</v>
      </c>
      <c r="H376">
        <f t="shared" si="11"/>
        <v>-123</v>
      </c>
      <c r="I376">
        <v>-18.8</v>
      </c>
      <c r="L376">
        <f>480+2*(Table25791113[[#This Row],[min value (corrected)]]-50)</f>
        <v>498</v>
      </c>
      <c r="M376">
        <f>MINUTE(Table25791113[[#This Row],[Corrected time]])</f>
        <v>59</v>
      </c>
      <c r="N376" s="1">
        <v>0.62497475694444449</v>
      </c>
      <c r="O376" s="1">
        <f>Table25791113[[#This Row],[Time]]-TIME(0,0,3)</f>
        <v>0.62494003472222226</v>
      </c>
      <c r="P376" t="s">
        <v>9</v>
      </c>
      <c r="Q376">
        <v>-124</v>
      </c>
      <c r="R376">
        <f>Table25791113[[#This Row],[RSSI]]</f>
        <v>-124</v>
      </c>
      <c r="S376">
        <v>-19</v>
      </c>
    </row>
    <row r="377" spans="2:19" x14ac:dyDescent="0.25">
      <c r="B377">
        <f>480+2*(Table14681012[[#This Row],[min value (corrected)]]-34)</f>
        <v>498</v>
      </c>
      <c r="C377">
        <f>MINUTE(Table14681012[[#This Row],[Corrected time]])</f>
        <v>43</v>
      </c>
      <c r="D377" s="1">
        <v>0.73862951388888887</v>
      </c>
      <c r="E377" s="1">
        <f>Table14681012[[#This Row],[Time]]-TIME(0,0,9)</f>
        <v>0.73852534722222218</v>
      </c>
      <c r="F377" t="s">
        <v>9</v>
      </c>
      <c r="G377" t="s">
        <v>19</v>
      </c>
      <c r="H377">
        <f t="shared" si="11"/>
        <v>-124</v>
      </c>
      <c r="I377">
        <v>-18.5</v>
      </c>
      <c r="L377">
        <f>480+2*(Table25791113[[#This Row],[min value (corrected)]]-50)</f>
        <v>498</v>
      </c>
      <c r="M377">
        <f>MINUTE(Table25791113[[#This Row],[Corrected time]])</f>
        <v>59</v>
      </c>
      <c r="N377" s="1">
        <v>0.62499399305555559</v>
      </c>
      <c r="O377" s="1">
        <f>Table25791113[[#This Row],[Time]]-TIME(0,0,3)</f>
        <v>0.62495927083333336</v>
      </c>
      <c r="P377" t="s">
        <v>9</v>
      </c>
      <c r="Q377">
        <v>-123</v>
      </c>
      <c r="R377">
        <f>Table25791113[[#This Row],[RSSI]]</f>
        <v>-123</v>
      </c>
      <c r="S377">
        <v>-18.5</v>
      </c>
    </row>
    <row r="378" spans="2:19" x14ac:dyDescent="0.25">
      <c r="B378">
        <f>480+2*(Table14681012[[#This Row],[min value (corrected)]]-34)</f>
        <v>498</v>
      </c>
      <c r="C378">
        <f>MINUTE(Table14681012[[#This Row],[Corrected time]])</f>
        <v>43</v>
      </c>
      <c r="D378" s="1">
        <v>0.738648761574074</v>
      </c>
      <c r="E378" s="1">
        <f>Table14681012[[#This Row],[Time]]-TIME(0,0,9)</f>
        <v>0.73854459490740731</v>
      </c>
      <c r="F378" t="s">
        <v>9</v>
      </c>
      <c r="G378" t="s">
        <v>12</v>
      </c>
      <c r="H378">
        <f t="shared" si="11"/>
        <v>-123</v>
      </c>
      <c r="I378">
        <v>-18.8</v>
      </c>
      <c r="L378">
        <f>480+2*(Table25791113[[#This Row],[min value (corrected)]]-50)</f>
        <v>498</v>
      </c>
      <c r="M378">
        <f>MINUTE(Table25791113[[#This Row],[Corrected time]])</f>
        <v>59</v>
      </c>
      <c r="N378" s="1">
        <v>0.62501324074074072</v>
      </c>
      <c r="O378" s="1">
        <f>Table25791113[[#This Row],[Time]]-TIME(0,0,3)</f>
        <v>0.62497851851851849</v>
      </c>
      <c r="P378" t="s">
        <v>9</v>
      </c>
      <c r="Q378">
        <v>-123</v>
      </c>
      <c r="R378">
        <f>Table25791113[[#This Row],[RSSI]]</f>
        <v>-123</v>
      </c>
      <c r="S378">
        <v>-18.8</v>
      </c>
    </row>
    <row r="379" spans="2:19" x14ac:dyDescent="0.25">
      <c r="B379">
        <f>480+2*(Table14681012[[#This Row],[min value (corrected)]]-34)</f>
        <v>498</v>
      </c>
      <c r="C379">
        <f>MINUTE(Table14681012[[#This Row],[Corrected time]])</f>
        <v>43</v>
      </c>
      <c r="D379" s="1">
        <v>0.73866800925925924</v>
      </c>
      <c r="E379" s="1">
        <f>Table14681012[[#This Row],[Time]]-TIME(0,0,9)</f>
        <v>0.73856384259259256</v>
      </c>
      <c r="F379" t="s">
        <v>9</v>
      </c>
      <c r="G379" t="s">
        <v>12</v>
      </c>
      <c r="H379">
        <f t="shared" si="11"/>
        <v>-123</v>
      </c>
      <c r="I379">
        <v>-18.8</v>
      </c>
      <c r="L379">
        <f>500+2*(Table25791113[[#This Row],[min value (corrected)]])</f>
        <v>500</v>
      </c>
      <c r="M379">
        <f>MINUTE(Table25791113[[#This Row],[Corrected time]])</f>
        <v>0</v>
      </c>
      <c r="N379" s="1">
        <v>0.62503247685185181</v>
      </c>
      <c r="O379" s="1">
        <f>Table25791113[[#This Row],[Time]]-TIME(0,0,3)</f>
        <v>0.62499775462962959</v>
      </c>
      <c r="P379" t="s">
        <v>13</v>
      </c>
      <c r="Q379">
        <f>Q378</f>
        <v>-123</v>
      </c>
      <c r="R379">
        <f>Table25791113[[#This Row],[RSSI]]</f>
        <v>-123</v>
      </c>
      <c r="S379">
        <f>S378</f>
        <v>-18.8</v>
      </c>
    </row>
    <row r="380" spans="2:19" x14ac:dyDescent="0.25">
      <c r="B380">
        <f>480+2*(Table14681012[[#This Row],[min value (corrected)]]-34)</f>
        <v>498</v>
      </c>
      <c r="C380">
        <f>MINUTE(Table14681012[[#This Row],[Corrected time]])</f>
        <v>43</v>
      </c>
      <c r="D380" s="1">
        <v>0.73868724537037034</v>
      </c>
      <c r="E380" s="1">
        <f>Table14681012[[#This Row],[Time]]-TIME(0,0,9)</f>
        <v>0.73858307870370365</v>
      </c>
      <c r="F380" t="s">
        <v>9</v>
      </c>
      <c r="G380" t="s">
        <v>12</v>
      </c>
      <c r="H380">
        <f t="shared" si="11"/>
        <v>-123</v>
      </c>
      <c r="I380">
        <v>-19.5</v>
      </c>
      <c r="L380">
        <f>500+2*(Table25791113[[#This Row],[min value (corrected)]])</f>
        <v>500</v>
      </c>
      <c r="M380">
        <f>MINUTE(Table25791113[[#This Row],[Corrected time]])</f>
        <v>0</v>
      </c>
      <c r="N380" s="1">
        <v>0.62505173611111109</v>
      </c>
      <c r="O380" s="1">
        <f>Table25791113[[#This Row],[Time]]-TIME(0,0,3)</f>
        <v>0.62501701388888886</v>
      </c>
      <c r="P380" t="s">
        <v>9</v>
      </c>
      <c r="Q380">
        <v>-124</v>
      </c>
      <c r="R380">
        <f>Table25791113[[#This Row],[RSSI]]</f>
        <v>-124</v>
      </c>
      <c r="S380">
        <v>-20.3</v>
      </c>
    </row>
    <row r="381" spans="2:19" x14ac:dyDescent="0.25">
      <c r="B381">
        <f>480+2*(Table14681012[[#This Row],[min value (corrected)]]-34)</f>
        <v>498</v>
      </c>
      <c r="C381">
        <f>MINUTE(Table14681012[[#This Row],[Corrected time]])</f>
        <v>43</v>
      </c>
      <c r="D381" s="1">
        <v>0.73870649305555558</v>
      </c>
      <c r="E381" s="1">
        <f>Table14681012[[#This Row],[Time]]-TIME(0,0,9)</f>
        <v>0.7386023263888889</v>
      </c>
      <c r="F381" t="s">
        <v>9</v>
      </c>
      <c r="G381" t="s">
        <v>12</v>
      </c>
      <c r="H381">
        <f t="shared" si="11"/>
        <v>-123</v>
      </c>
      <c r="I381">
        <v>-19.3</v>
      </c>
      <c r="L381">
        <f>500+2*(Table25791113[[#This Row],[min value (corrected)]])</f>
        <v>500</v>
      </c>
      <c r="M381">
        <f>MINUTE(Table25791113[[#This Row],[Corrected time]])</f>
        <v>0</v>
      </c>
      <c r="N381" s="1">
        <v>0.62507099537037036</v>
      </c>
      <c r="O381" s="1">
        <f>Table25791113[[#This Row],[Time]]-TIME(0,0,3)</f>
        <v>0.62503627314814814</v>
      </c>
      <c r="P381" t="s">
        <v>9</v>
      </c>
      <c r="Q381">
        <v>-124</v>
      </c>
      <c r="R381">
        <f>Table25791113[[#This Row],[RSSI]]</f>
        <v>-124</v>
      </c>
      <c r="S381">
        <v>-20.3</v>
      </c>
    </row>
    <row r="382" spans="2:19" x14ac:dyDescent="0.25">
      <c r="B382">
        <f>480+2*(Table14681012[[#This Row],[min value (corrected)]]-34)</f>
        <v>498</v>
      </c>
      <c r="C382">
        <f>MINUTE(Table14681012[[#This Row],[Corrected time]])</f>
        <v>43</v>
      </c>
      <c r="D382" s="1">
        <v>0.73872575231481485</v>
      </c>
      <c r="E382" s="1">
        <f>Table14681012[[#This Row],[Time]]-TIME(0,0,9)</f>
        <v>0.73862158564814817</v>
      </c>
      <c r="F382" t="s">
        <v>9</v>
      </c>
      <c r="G382" t="s">
        <v>12</v>
      </c>
      <c r="H382">
        <f t="shared" si="11"/>
        <v>-123</v>
      </c>
      <c r="I382">
        <v>-18.3</v>
      </c>
      <c r="L382">
        <f>500+2*(Table25791113[[#This Row],[min value (corrected)]])</f>
        <v>500</v>
      </c>
      <c r="M382">
        <f>MINUTE(Table25791113[[#This Row],[Corrected time]])</f>
        <v>0</v>
      </c>
      <c r="N382" s="1">
        <v>0.62509021990740743</v>
      </c>
      <c r="O382" s="1">
        <f>Table25791113[[#This Row],[Time]]-TIME(0,0,3)</f>
        <v>0.6250554976851852</v>
      </c>
      <c r="P382" t="s">
        <v>9</v>
      </c>
      <c r="Q382">
        <v>-124</v>
      </c>
      <c r="R382">
        <f>Table25791113[[#This Row],[RSSI]]</f>
        <v>-124</v>
      </c>
      <c r="S382">
        <v>-19.5</v>
      </c>
    </row>
    <row r="383" spans="2:19" x14ac:dyDescent="0.25">
      <c r="B383">
        <f>480+2*(Table14681012[[#This Row],[min value (corrected)]]-34)</f>
        <v>498</v>
      </c>
      <c r="C383">
        <f>MINUTE(Table14681012[[#This Row],[Corrected time]])</f>
        <v>43</v>
      </c>
      <c r="D383" s="1">
        <v>0.73874499999999999</v>
      </c>
      <c r="E383" s="1">
        <f>Table14681012[[#This Row],[Time]]-TIME(0,0,9)</f>
        <v>0.7386408333333333</v>
      </c>
      <c r="F383" t="s">
        <v>9</v>
      </c>
      <c r="G383" t="s">
        <v>12</v>
      </c>
      <c r="H383">
        <f t="shared" si="11"/>
        <v>-123</v>
      </c>
      <c r="I383">
        <v>-18</v>
      </c>
      <c r="L383">
        <f>500+2*(Table25791113[[#This Row],[min value (corrected)]])</f>
        <v>500</v>
      </c>
      <c r="M383">
        <f>MINUTE(Table25791113[[#This Row],[Corrected time]])</f>
        <v>0</v>
      </c>
      <c r="N383" s="1">
        <v>0.6251094791666667</v>
      </c>
      <c r="O383" s="1">
        <f>Table25791113[[#This Row],[Time]]-TIME(0,0,3)</f>
        <v>0.62507475694444448</v>
      </c>
      <c r="P383" t="s">
        <v>9</v>
      </c>
      <c r="Q383">
        <v>-124</v>
      </c>
      <c r="R383">
        <f>Table25791113[[#This Row],[RSSI]]</f>
        <v>-124</v>
      </c>
      <c r="S383">
        <v>-20.3</v>
      </c>
    </row>
    <row r="384" spans="2:19" x14ac:dyDescent="0.25">
      <c r="B384">
        <f>480+2*(Table14681012[[#This Row],[min value (corrected)]]-34)</f>
        <v>498</v>
      </c>
      <c r="C384">
        <f>MINUTE(Table14681012[[#This Row],[Corrected time]])</f>
        <v>43</v>
      </c>
      <c r="D384" s="1">
        <v>0.73876423611111119</v>
      </c>
      <c r="E384" s="1">
        <f>Table14681012[[#This Row],[Time]]-TIME(0,0,9)</f>
        <v>0.73866006944444451</v>
      </c>
      <c r="F384" t="s">
        <v>9</v>
      </c>
      <c r="G384" t="s">
        <v>12</v>
      </c>
      <c r="H384">
        <f t="shared" si="11"/>
        <v>-123</v>
      </c>
      <c r="I384">
        <v>-18.8</v>
      </c>
      <c r="L384">
        <f>500+2*(Table25791113[[#This Row],[min value (corrected)]])</f>
        <v>500</v>
      </c>
      <c r="M384">
        <f>MINUTE(Table25791113[[#This Row],[Corrected time]])</f>
        <v>0</v>
      </c>
      <c r="N384" s="1">
        <v>0.62512873842592587</v>
      </c>
      <c r="O384" s="1">
        <f>Table25791113[[#This Row],[Time]]-TIME(0,0,3)</f>
        <v>0.62509401620370364</v>
      </c>
      <c r="P384" t="s">
        <v>13</v>
      </c>
      <c r="Q384">
        <f t="shared" ref="Q384:Q385" si="12">Q383</f>
        <v>-124</v>
      </c>
      <c r="R384">
        <f>Table25791113[[#This Row],[RSSI]]</f>
        <v>-124</v>
      </c>
      <c r="S384">
        <f t="shared" ref="S384:S385" si="13">S383</f>
        <v>-20.3</v>
      </c>
    </row>
    <row r="385" spans="2:19" x14ac:dyDescent="0.25">
      <c r="B385">
        <f>480+2*(Table14681012[[#This Row],[min value (corrected)]]-34)</f>
        <v>498</v>
      </c>
      <c r="C385">
        <f>MINUTE(Table14681012[[#This Row],[Corrected time]])</f>
        <v>43</v>
      </c>
      <c r="D385" s="1">
        <v>0.73878349537037036</v>
      </c>
      <c r="E385" s="1">
        <f>Table14681012[[#This Row],[Time]]-TIME(0,0,9)</f>
        <v>0.73867932870370367</v>
      </c>
      <c r="F385" t="s">
        <v>9</v>
      </c>
      <c r="G385" t="s">
        <v>12</v>
      </c>
      <c r="H385">
        <f t="shared" si="11"/>
        <v>-123</v>
      </c>
      <c r="I385">
        <v>-18.3</v>
      </c>
      <c r="L385">
        <f>500+2*(Table25791113[[#This Row],[min value (corrected)]])</f>
        <v>500</v>
      </c>
      <c r="M385">
        <f>MINUTE(Table25791113[[#This Row],[Corrected time]])</f>
        <v>0</v>
      </c>
      <c r="N385" s="1">
        <v>0.62514798611111111</v>
      </c>
      <c r="O385" s="1">
        <f>Table25791113[[#This Row],[Time]]-TIME(0,0,3)</f>
        <v>0.62511326388888888</v>
      </c>
      <c r="P385" t="s">
        <v>13</v>
      </c>
      <c r="Q385">
        <f t="shared" si="12"/>
        <v>-124</v>
      </c>
      <c r="R385">
        <f>Table25791113[[#This Row],[RSSI]]</f>
        <v>-124</v>
      </c>
      <c r="S385">
        <f t="shared" si="13"/>
        <v>-20.3</v>
      </c>
    </row>
    <row r="386" spans="2:19" x14ac:dyDescent="0.25">
      <c r="B386">
        <f>480+2*(Table14681012[[#This Row],[min value (corrected)]]-34)</f>
        <v>498</v>
      </c>
      <c r="C386">
        <f>MINUTE(Table14681012[[#This Row],[Corrected time]])</f>
        <v>43</v>
      </c>
      <c r="D386" s="1">
        <v>0.7388027430555556</v>
      </c>
      <c r="E386" s="1">
        <f>Table14681012[[#This Row],[Time]]-TIME(0,0,9)</f>
        <v>0.73869857638888892</v>
      </c>
      <c r="F386" t="s">
        <v>9</v>
      </c>
      <c r="G386" t="s">
        <v>12</v>
      </c>
      <c r="H386">
        <f t="shared" si="11"/>
        <v>-123</v>
      </c>
      <c r="I386">
        <v>-18</v>
      </c>
      <c r="L386">
        <f>500+2*(Table25791113[[#This Row],[min value (corrected)]])</f>
        <v>500</v>
      </c>
      <c r="M386">
        <f>MINUTE(Table25791113[[#This Row],[Corrected time]])</f>
        <v>0</v>
      </c>
      <c r="N386" s="1">
        <v>0.62516722222222221</v>
      </c>
      <c r="O386" s="1">
        <f>Table25791113[[#This Row],[Time]]-TIME(0,0,3)</f>
        <v>0.62513249999999998</v>
      </c>
      <c r="P386" t="s">
        <v>9</v>
      </c>
      <c r="Q386">
        <v>-125</v>
      </c>
      <c r="R386">
        <f>Table25791113[[#This Row],[RSSI]]</f>
        <v>-125</v>
      </c>
      <c r="S386">
        <v>-20</v>
      </c>
    </row>
    <row r="387" spans="2:19" x14ac:dyDescent="0.25">
      <c r="B387">
        <f>480+2*(Table14681012[[#This Row],[min value (corrected)]]-34)</f>
        <v>498</v>
      </c>
      <c r="C387">
        <f>MINUTE(Table14681012[[#This Row],[Corrected time]])</f>
        <v>43</v>
      </c>
      <c r="D387" s="1">
        <v>0.73882199074074073</v>
      </c>
      <c r="E387" s="1">
        <f>Table14681012[[#This Row],[Time]]-TIME(0,0,9)</f>
        <v>0.73871782407407405</v>
      </c>
      <c r="F387" t="s">
        <v>9</v>
      </c>
      <c r="G387" t="s">
        <v>12</v>
      </c>
      <c r="H387">
        <f t="shared" si="11"/>
        <v>-123</v>
      </c>
      <c r="I387">
        <v>-19.3</v>
      </c>
      <c r="L387">
        <f>500+2*(Table25791113[[#This Row],[min value (corrected)]])</f>
        <v>500</v>
      </c>
      <c r="M387">
        <f>MINUTE(Table25791113[[#This Row],[Corrected time]])</f>
        <v>0</v>
      </c>
      <c r="N387" s="1">
        <v>0.62518648148148148</v>
      </c>
      <c r="O387" s="1">
        <f>Table25791113[[#This Row],[Time]]-TIME(0,0,3)</f>
        <v>0.62515175925925925</v>
      </c>
      <c r="P387" t="s">
        <v>9</v>
      </c>
      <c r="Q387">
        <v>-125</v>
      </c>
      <c r="R387">
        <f>Table25791113[[#This Row],[RSSI]]</f>
        <v>-125</v>
      </c>
      <c r="S387">
        <v>-20.5</v>
      </c>
    </row>
    <row r="388" spans="2:19" x14ac:dyDescent="0.25">
      <c r="B388">
        <f>480+2*(Table14681012[[#This Row],[min value (corrected)]]-34)</f>
        <v>498</v>
      </c>
      <c r="C388">
        <f>MINUTE(Table14681012[[#This Row],[Corrected time]])</f>
        <v>43</v>
      </c>
      <c r="D388" s="1">
        <v>0.73884123842592597</v>
      </c>
      <c r="E388" s="1">
        <f>Table14681012[[#This Row],[Time]]-TIME(0,0,9)</f>
        <v>0.73873707175925929</v>
      </c>
      <c r="F388" t="s">
        <v>9</v>
      </c>
      <c r="G388" t="s">
        <v>12</v>
      </c>
      <c r="H388">
        <f t="shared" si="11"/>
        <v>-123</v>
      </c>
      <c r="I388">
        <v>-19.3</v>
      </c>
      <c r="L388">
        <f>500+2*(Table25791113[[#This Row],[min value (corrected)]])</f>
        <v>500</v>
      </c>
      <c r="M388">
        <f>MINUTE(Table25791113[[#This Row],[Corrected time]])</f>
        <v>0</v>
      </c>
      <c r="N388" s="1">
        <v>0.62520572916666672</v>
      </c>
      <c r="O388" s="1">
        <f>Table25791113[[#This Row],[Time]]-TIME(0,0,3)</f>
        <v>0.6251710069444445</v>
      </c>
      <c r="P388" t="s">
        <v>9</v>
      </c>
      <c r="Q388">
        <v>-125</v>
      </c>
      <c r="R388">
        <f>Table25791113[[#This Row],[RSSI]]</f>
        <v>-125</v>
      </c>
      <c r="S388">
        <v>-20.5</v>
      </c>
    </row>
    <row r="389" spans="2:19" x14ac:dyDescent="0.25">
      <c r="B389">
        <f>480+2*(Table14681012[[#This Row],[min value (corrected)]]-34)</f>
        <v>498</v>
      </c>
      <c r="C389">
        <f>MINUTE(Table14681012[[#This Row],[Corrected time]])</f>
        <v>43</v>
      </c>
      <c r="D389" s="1">
        <v>0.73886047453703707</v>
      </c>
      <c r="E389" s="1">
        <f>Table14681012[[#This Row],[Time]]-TIME(0,0,9)</f>
        <v>0.73875630787037039</v>
      </c>
      <c r="F389" t="s">
        <v>9</v>
      </c>
      <c r="G389" t="s">
        <v>12</v>
      </c>
      <c r="H389">
        <f t="shared" si="11"/>
        <v>-123</v>
      </c>
      <c r="I389">
        <v>-19.3</v>
      </c>
      <c r="L389">
        <f>500+2*(Table25791113[[#This Row],[min value (corrected)]])</f>
        <v>500</v>
      </c>
      <c r="M389">
        <f>MINUTE(Table25791113[[#This Row],[Corrected time]])</f>
        <v>0</v>
      </c>
      <c r="N389" s="1">
        <v>0.62522496527777771</v>
      </c>
      <c r="O389" s="1">
        <f>Table25791113[[#This Row],[Time]]-TIME(0,0,3)</f>
        <v>0.62519024305555548</v>
      </c>
      <c r="P389" t="s">
        <v>9</v>
      </c>
      <c r="Q389">
        <v>-125</v>
      </c>
      <c r="R389">
        <f>Table25791113[[#This Row],[RSSI]]</f>
        <v>-125</v>
      </c>
      <c r="S389">
        <v>-20.3</v>
      </c>
    </row>
    <row r="390" spans="2:19" x14ac:dyDescent="0.25">
      <c r="B390">
        <f>480+2*(Table14681012[[#This Row],[min value (corrected)]]-34)</f>
        <v>498</v>
      </c>
      <c r="C390">
        <f>MINUTE(Table14681012[[#This Row],[Corrected time]])</f>
        <v>43</v>
      </c>
      <c r="D390" s="1">
        <v>0.73887973379629635</v>
      </c>
      <c r="E390" s="1">
        <f>Table14681012[[#This Row],[Time]]-TIME(0,0,9)</f>
        <v>0.73877556712962966</v>
      </c>
      <c r="F390" t="s">
        <v>9</v>
      </c>
      <c r="G390" t="s">
        <v>19</v>
      </c>
      <c r="H390">
        <f t="shared" si="11"/>
        <v>-124</v>
      </c>
      <c r="I390">
        <v>-19.5</v>
      </c>
      <c r="L390">
        <f>500+2*(Table25791113[[#This Row],[min value (corrected)]])</f>
        <v>500</v>
      </c>
      <c r="M390">
        <f>MINUTE(Table25791113[[#This Row],[Corrected time]])</f>
        <v>0</v>
      </c>
      <c r="N390" s="1">
        <v>0.62524421296296295</v>
      </c>
      <c r="O390" s="1">
        <f>Table25791113[[#This Row],[Time]]-TIME(0,0,3)</f>
        <v>0.62520949074074073</v>
      </c>
      <c r="P390" t="s">
        <v>9</v>
      </c>
      <c r="Q390">
        <v>-125</v>
      </c>
      <c r="R390">
        <f>Table25791113[[#This Row],[RSSI]]</f>
        <v>-125</v>
      </c>
      <c r="S390">
        <v>-20</v>
      </c>
    </row>
    <row r="391" spans="2:19" x14ac:dyDescent="0.25">
      <c r="B391">
        <f>480+2*(Table14681012[[#This Row],[min value (corrected)]]-34)</f>
        <v>498</v>
      </c>
      <c r="C391">
        <f>MINUTE(Table14681012[[#This Row],[Corrected time]])</f>
        <v>43</v>
      </c>
      <c r="D391" s="1">
        <v>0.73889898148148148</v>
      </c>
      <c r="E391" s="1">
        <f>Table14681012[[#This Row],[Time]]-TIME(0,0,9)</f>
        <v>0.73879481481481479</v>
      </c>
      <c r="F391" t="s">
        <v>9</v>
      </c>
      <c r="G391" t="s">
        <v>12</v>
      </c>
      <c r="H391">
        <f t="shared" si="11"/>
        <v>-123</v>
      </c>
      <c r="I391">
        <v>-19</v>
      </c>
      <c r="L391">
        <f>500+2*(Table25791113[[#This Row],[min value (corrected)]])</f>
        <v>500</v>
      </c>
      <c r="M391">
        <f>MINUTE(Table25791113[[#This Row],[Corrected time]])</f>
        <v>0</v>
      </c>
      <c r="N391" s="1">
        <v>0.62526346064814808</v>
      </c>
      <c r="O391" s="1">
        <f>Table25791113[[#This Row],[Time]]-TIME(0,0,3)</f>
        <v>0.62522873842592586</v>
      </c>
      <c r="P391" t="s">
        <v>9</v>
      </c>
      <c r="Q391">
        <v>-125</v>
      </c>
      <c r="R391">
        <f>Table25791113[[#This Row],[RSSI]]</f>
        <v>-125</v>
      </c>
      <c r="S391">
        <v>-21</v>
      </c>
    </row>
    <row r="392" spans="2:19" x14ac:dyDescent="0.25">
      <c r="B392">
        <f>480+2*(Table14681012[[#This Row],[min value (corrected)]]-34)</f>
        <v>498</v>
      </c>
      <c r="C392">
        <f>MINUTE(Table14681012[[#This Row],[Corrected time]])</f>
        <v>43</v>
      </c>
      <c r="D392" s="1">
        <v>0.73891822916666672</v>
      </c>
      <c r="E392" s="1">
        <f>Table14681012[[#This Row],[Time]]-TIME(0,0,9)</f>
        <v>0.73881406250000003</v>
      </c>
      <c r="F392" t="s">
        <v>9</v>
      </c>
      <c r="G392" t="s">
        <v>19</v>
      </c>
      <c r="H392">
        <f t="shared" si="11"/>
        <v>-124</v>
      </c>
      <c r="I392">
        <v>-18.8</v>
      </c>
      <c r="L392">
        <f>500+2*(Table25791113[[#This Row],[min value (corrected)]])</f>
        <v>500</v>
      </c>
      <c r="M392">
        <f>MINUTE(Table25791113[[#This Row],[Corrected time]])</f>
        <v>0</v>
      </c>
      <c r="N392" s="1">
        <v>0.62528271990740747</v>
      </c>
      <c r="O392" s="1">
        <f>Table25791113[[#This Row],[Time]]-TIME(0,0,3)</f>
        <v>0.62524799768518524</v>
      </c>
      <c r="P392" t="s">
        <v>9</v>
      </c>
      <c r="Q392">
        <v>-124</v>
      </c>
      <c r="R392">
        <f>Table25791113[[#This Row],[RSSI]]</f>
        <v>-124</v>
      </c>
      <c r="S392">
        <v>-20.3</v>
      </c>
    </row>
    <row r="393" spans="2:19" x14ac:dyDescent="0.25">
      <c r="B393">
        <f>480+2*(Table14681012[[#This Row],[min value (corrected)]]-34)</f>
        <v>498</v>
      </c>
      <c r="C393">
        <f>MINUTE(Table14681012[[#This Row],[Corrected time]])</f>
        <v>43</v>
      </c>
      <c r="D393" s="1">
        <v>0.73893747685185185</v>
      </c>
      <c r="E393" s="1">
        <f>Table14681012[[#This Row],[Time]]-TIME(0,0,9)</f>
        <v>0.73883331018518517</v>
      </c>
      <c r="F393" t="s">
        <v>9</v>
      </c>
      <c r="G393" t="s">
        <v>12</v>
      </c>
      <c r="H393">
        <f t="shared" si="11"/>
        <v>-123</v>
      </c>
      <c r="I393">
        <v>-19.3</v>
      </c>
      <c r="L393">
        <f>500+2*(Table25791113[[#This Row],[min value (corrected)]])</f>
        <v>500</v>
      </c>
      <c r="M393">
        <f>MINUTE(Table25791113[[#This Row],[Corrected time]])</f>
        <v>0</v>
      </c>
      <c r="N393" s="1">
        <v>0.6253019675925926</v>
      </c>
      <c r="O393" s="1">
        <f>Table25791113[[#This Row],[Time]]-TIME(0,0,3)</f>
        <v>0.62526724537037037</v>
      </c>
      <c r="P393" t="s">
        <v>9</v>
      </c>
      <c r="Q393">
        <v>-125</v>
      </c>
      <c r="R393">
        <f>Table25791113[[#This Row],[RSSI]]</f>
        <v>-125</v>
      </c>
      <c r="S393">
        <v>-20.5</v>
      </c>
    </row>
    <row r="394" spans="2:19" x14ac:dyDescent="0.25">
      <c r="B394">
        <f>480+2*(Table14681012[[#This Row],[min value (corrected)]]-34)</f>
        <v>498</v>
      </c>
      <c r="C394">
        <f>MINUTE(Table14681012[[#This Row],[Corrected time]])</f>
        <v>43</v>
      </c>
      <c r="D394" s="1">
        <v>0.73895672453703698</v>
      </c>
      <c r="E394" s="1">
        <f>Table14681012[[#This Row],[Time]]-TIME(0,0,9)</f>
        <v>0.7388525578703703</v>
      </c>
      <c r="F394" t="s">
        <v>9</v>
      </c>
      <c r="G394" t="s">
        <v>19</v>
      </c>
      <c r="H394">
        <f t="shared" si="11"/>
        <v>-124</v>
      </c>
      <c r="I394">
        <v>-19.3</v>
      </c>
      <c r="L394">
        <f>500+2*(Table25791113[[#This Row],[min value (corrected)]])</f>
        <v>500</v>
      </c>
      <c r="M394">
        <f>MINUTE(Table25791113[[#This Row],[Corrected time]])</f>
        <v>0</v>
      </c>
      <c r="N394" s="1">
        <v>0.6253212037037037</v>
      </c>
      <c r="O394" s="1">
        <f>Table25791113[[#This Row],[Time]]-TIME(0,0,3)</f>
        <v>0.62528648148148147</v>
      </c>
      <c r="P394" t="s">
        <v>9</v>
      </c>
      <c r="Q394">
        <v>-125</v>
      </c>
      <c r="R394">
        <f>Table25791113[[#This Row],[RSSI]]</f>
        <v>-125</v>
      </c>
      <c r="S394">
        <v>-20.5</v>
      </c>
    </row>
    <row r="395" spans="2:19" x14ac:dyDescent="0.25">
      <c r="B395">
        <f>480+2*(Table14681012[[#This Row],[min value (corrected)]]-34)</f>
        <v>498</v>
      </c>
      <c r="C395">
        <f>MINUTE(Table14681012[[#This Row],[Corrected time]])</f>
        <v>43</v>
      </c>
      <c r="D395" s="1">
        <v>0.73897596064814819</v>
      </c>
      <c r="E395" s="1">
        <f>Table14681012[[#This Row],[Time]]-TIME(0,0,9)</f>
        <v>0.73887179398148151</v>
      </c>
      <c r="F395" t="s">
        <v>9</v>
      </c>
      <c r="G395" t="s">
        <v>19</v>
      </c>
      <c r="H395">
        <f t="shared" si="11"/>
        <v>-124</v>
      </c>
      <c r="I395">
        <v>-19.3</v>
      </c>
      <c r="L395">
        <f>500+2*(Table25791113[[#This Row],[min value (corrected)]])</f>
        <v>500</v>
      </c>
      <c r="M395">
        <f>MINUTE(Table25791113[[#This Row],[Corrected time]])</f>
        <v>0</v>
      </c>
      <c r="N395" s="1">
        <v>0.62534045138888894</v>
      </c>
      <c r="O395" s="1">
        <f>Table25791113[[#This Row],[Time]]-TIME(0,0,3)</f>
        <v>0.62530572916666671</v>
      </c>
      <c r="P395" t="s">
        <v>9</v>
      </c>
      <c r="Q395">
        <v>-125</v>
      </c>
      <c r="R395">
        <f>Table25791113[[#This Row],[RSSI]]</f>
        <v>-125</v>
      </c>
      <c r="S395">
        <v>-20.3</v>
      </c>
    </row>
    <row r="396" spans="2:19" x14ac:dyDescent="0.25">
      <c r="B396">
        <f>480+2*(Table14681012[[#This Row],[min value (corrected)]]-34)</f>
        <v>500</v>
      </c>
      <c r="C396">
        <f>MINUTE(Table14681012[[#This Row],[Corrected time]])</f>
        <v>44</v>
      </c>
      <c r="D396" s="1">
        <v>0.73899521990740735</v>
      </c>
      <c r="E396" s="1">
        <f>Table14681012[[#This Row],[Time]]-TIME(0,0,9)</f>
        <v>0.73889105324074067</v>
      </c>
      <c r="F396" t="s">
        <v>9</v>
      </c>
      <c r="G396" t="s">
        <v>19</v>
      </c>
      <c r="H396">
        <f t="shared" si="11"/>
        <v>-124</v>
      </c>
      <c r="I396">
        <v>-19</v>
      </c>
      <c r="L396">
        <f>500+2*(Table25791113[[#This Row],[min value (corrected)]])</f>
        <v>500</v>
      </c>
      <c r="M396">
        <f>MINUTE(Table25791113[[#This Row],[Corrected time]])</f>
        <v>0</v>
      </c>
      <c r="N396" s="1">
        <v>0.6253597106481481</v>
      </c>
      <c r="O396" s="1">
        <f>Table25791113[[#This Row],[Time]]-TIME(0,0,3)</f>
        <v>0.62532498842592588</v>
      </c>
      <c r="P396" t="s">
        <v>9</v>
      </c>
      <c r="Q396">
        <v>-125</v>
      </c>
      <c r="R396">
        <f>Table25791113[[#This Row],[RSSI]]</f>
        <v>-125</v>
      </c>
      <c r="S396">
        <v>-20.3</v>
      </c>
    </row>
    <row r="397" spans="2:19" x14ac:dyDescent="0.25">
      <c r="B397">
        <f>480+2*(Table14681012[[#This Row],[min value (corrected)]]-34)</f>
        <v>500</v>
      </c>
      <c r="C397">
        <f>MINUTE(Table14681012[[#This Row],[Corrected time]])</f>
        <v>44</v>
      </c>
      <c r="D397" s="1">
        <v>0.73901446759259259</v>
      </c>
      <c r="E397" s="1">
        <f>Table14681012[[#This Row],[Time]]-TIME(0,0,9)</f>
        <v>0.73891030092592591</v>
      </c>
      <c r="F397" t="s">
        <v>9</v>
      </c>
      <c r="G397" t="s">
        <v>28</v>
      </c>
      <c r="H397">
        <f t="shared" si="11"/>
        <v>-125</v>
      </c>
      <c r="I397">
        <v>-20.5</v>
      </c>
      <c r="L397">
        <f>500+2*(Table25791113[[#This Row],[min value (corrected)]])</f>
        <v>500</v>
      </c>
      <c r="M397">
        <f>MINUTE(Table25791113[[#This Row],[Corrected time]])</f>
        <v>0</v>
      </c>
      <c r="N397" s="1">
        <v>0.62537894675925931</v>
      </c>
      <c r="O397" s="1">
        <f>Table25791113[[#This Row],[Time]]-TIME(0,0,3)</f>
        <v>0.62534422453703709</v>
      </c>
      <c r="P397" t="s">
        <v>13</v>
      </c>
      <c r="Q397">
        <f>Q396</f>
        <v>-125</v>
      </c>
      <c r="R397">
        <f>Table25791113[[#This Row],[RSSI]]</f>
        <v>-125</v>
      </c>
      <c r="S397">
        <f>S396</f>
        <v>-20.3</v>
      </c>
    </row>
    <row r="398" spans="2:19" x14ac:dyDescent="0.25">
      <c r="B398">
        <f>480+2*(Table14681012[[#This Row],[min value (corrected)]]-34)</f>
        <v>500</v>
      </c>
      <c r="C398">
        <f>MINUTE(Table14681012[[#This Row],[Corrected time]])</f>
        <v>44</v>
      </c>
      <c r="D398" s="1">
        <v>0.73903371527777773</v>
      </c>
      <c r="E398" s="1">
        <f>Table14681012[[#This Row],[Time]]-TIME(0,0,9)</f>
        <v>0.73892954861111104</v>
      </c>
      <c r="F398" t="s">
        <v>9</v>
      </c>
      <c r="G398" t="s">
        <v>28</v>
      </c>
      <c r="H398">
        <f t="shared" si="11"/>
        <v>-125</v>
      </c>
      <c r="I398">
        <v>-21</v>
      </c>
      <c r="L398">
        <f>500+2*(Table25791113[[#This Row],[min value (corrected)]])</f>
        <v>500</v>
      </c>
      <c r="M398">
        <f>MINUTE(Table25791113[[#This Row],[Corrected time]])</f>
        <v>0</v>
      </c>
      <c r="N398" s="1">
        <v>0.62539820601851848</v>
      </c>
      <c r="O398" s="1">
        <f>Table25791113[[#This Row],[Time]]-TIME(0,0,3)</f>
        <v>0.62536348379629625</v>
      </c>
      <c r="P398" t="s">
        <v>9</v>
      </c>
      <c r="Q398">
        <v>-125</v>
      </c>
      <c r="R398">
        <f>Table25791113[[#This Row],[RSSI]]</f>
        <v>-125</v>
      </c>
      <c r="S398">
        <v>-20.5</v>
      </c>
    </row>
    <row r="399" spans="2:19" x14ac:dyDescent="0.25">
      <c r="B399">
        <f>480+2*(Table14681012[[#This Row],[min value (corrected)]]-34)</f>
        <v>500</v>
      </c>
      <c r="C399">
        <f>MINUTE(Table14681012[[#This Row],[Corrected time]])</f>
        <v>44</v>
      </c>
      <c r="D399" s="1">
        <v>0.73905293981481479</v>
      </c>
      <c r="E399" s="1">
        <f>Table14681012[[#This Row],[Time]]-TIME(0,0,9)</f>
        <v>0.73894877314814811</v>
      </c>
      <c r="F399" t="s">
        <v>27</v>
      </c>
      <c r="G399" t="str">
        <f>G398</f>
        <v>-125.0,</v>
      </c>
      <c r="H399">
        <f t="shared" si="11"/>
        <v>-125</v>
      </c>
      <c r="I399">
        <f>I398</f>
        <v>-21</v>
      </c>
      <c r="L399">
        <f>500+2*(Table25791113[[#This Row],[min value (corrected)]])</f>
        <v>500</v>
      </c>
      <c r="M399">
        <f>MINUTE(Table25791113[[#This Row],[Corrected time]])</f>
        <v>0</v>
      </c>
      <c r="N399" s="1">
        <v>0.62541745370370372</v>
      </c>
      <c r="O399" s="1">
        <f>Table25791113[[#This Row],[Time]]-TIME(0,0,3)</f>
        <v>0.62538273148148149</v>
      </c>
      <c r="P399" t="s">
        <v>9</v>
      </c>
      <c r="Q399">
        <v>-125</v>
      </c>
      <c r="R399">
        <f>Table25791113[[#This Row],[RSSI]]</f>
        <v>-125</v>
      </c>
      <c r="S399">
        <v>-21.8</v>
      </c>
    </row>
    <row r="400" spans="2:19" x14ac:dyDescent="0.25">
      <c r="B400">
        <f>480+2*(Table14681012[[#This Row],[min value (corrected)]]-34)</f>
        <v>500</v>
      </c>
      <c r="C400">
        <f>MINUTE(Table14681012[[#This Row],[Corrected time]])</f>
        <v>44</v>
      </c>
      <c r="D400" s="1">
        <v>0.73905293981481479</v>
      </c>
      <c r="E400" s="1">
        <f>Table14681012[[#This Row],[Time]]-TIME(0,0,9)</f>
        <v>0.73894877314814811</v>
      </c>
      <c r="F400" t="s">
        <v>9</v>
      </c>
      <c r="G400" t="s">
        <v>28</v>
      </c>
      <c r="H400">
        <f t="shared" si="11"/>
        <v>-125</v>
      </c>
      <c r="I400">
        <v>-20.3</v>
      </c>
      <c r="L400">
        <f>500+2*(Table25791113[[#This Row],[min value (corrected)]])</f>
        <v>500</v>
      </c>
      <c r="M400">
        <f>MINUTE(Table25791113[[#This Row],[Corrected time]])</f>
        <v>0</v>
      </c>
      <c r="N400" s="1">
        <v>0.62543668981481482</v>
      </c>
      <c r="O400" s="1">
        <f>Table25791113[[#This Row],[Time]]-TIME(0,0,3)</f>
        <v>0.62540196759259259</v>
      </c>
      <c r="P400" t="s">
        <v>9</v>
      </c>
      <c r="Q400">
        <v>-126</v>
      </c>
      <c r="R400">
        <f>Table25791113[[#This Row],[RSSI]]</f>
        <v>-126</v>
      </c>
      <c r="S400">
        <v>-21.8</v>
      </c>
    </row>
    <row r="401" spans="2:19" x14ac:dyDescent="0.25">
      <c r="B401">
        <f>480+2*(Table14681012[[#This Row],[min value (corrected)]]-34)</f>
        <v>500</v>
      </c>
      <c r="C401">
        <f>MINUTE(Table14681012[[#This Row],[Corrected time]])</f>
        <v>44</v>
      </c>
      <c r="D401" s="1">
        <v>0.7390914467592592</v>
      </c>
      <c r="E401" s="1">
        <f>Table14681012[[#This Row],[Time]]-TIME(0,0,9)</f>
        <v>0.73898728009259251</v>
      </c>
      <c r="F401" t="s">
        <v>9</v>
      </c>
      <c r="G401" t="s">
        <v>28</v>
      </c>
      <c r="H401">
        <f t="shared" si="11"/>
        <v>-125</v>
      </c>
      <c r="I401">
        <v>-19.8</v>
      </c>
      <c r="L401">
        <f>500+2*(Table25791113[[#This Row],[min value (corrected)]])</f>
        <v>500</v>
      </c>
      <c r="M401">
        <f>MINUTE(Table25791113[[#This Row],[Corrected time]])</f>
        <v>0</v>
      </c>
      <c r="N401" s="1">
        <v>0.62545594907407409</v>
      </c>
      <c r="O401" s="1">
        <f>Table25791113[[#This Row],[Time]]-TIME(0,0,3)</f>
        <v>0.62542122685185186</v>
      </c>
      <c r="P401" t="s">
        <v>9</v>
      </c>
      <c r="Q401">
        <v>-125</v>
      </c>
      <c r="R401">
        <f>Table25791113[[#This Row],[RSSI]]</f>
        <v>-125</v>
      </c>
      <c r="S401">
        <v>-20.5</v>
      </c>
    </row>
    <row r="402" spans="2:19" x14ac:dyDescent="0.25">
      <c r="B402">
        <f>480+2*(Table14681012[[#This Row],[min value (corrected)]]-34)</f>
        <v>500</v>
      </c>
      <c r="C402">
        <f>MINUTE(Table14681012[[#This Row],[Corrected time]])</f>
        <v>44</v>
      </c>
      <c r="D402" s="1">
        <v>0.73911069444444444</v>
      </c>
      <c r="E402" s="1">
        <f>Table14681012[[#This Row],[Time]]-TIME(0,0,9)</f>
        <v>0.73900652777777776</v>
      </c>
      <c r="F402" t="s">
        <v>9</v>
      </c>
      <c r="G402" t="s">
        <v>28</v>
      </c>
      <c r="H402">
        <f t="shared" si="11"/>
        <v>-125</v>
      </c>
      <c r="I402">
        <v>-20.8</v>
      </c>
      <c r="L402">
        <f>500+2*(Table25791113[[#This Row],[min value (corrected)]])</f>
        <v>500</v>
      </c>
      <c r="M402">
        <f>MINUTE(Table25791113[[#This Row],[Corrected time]])</f>
        <v>0</v>
      </c>
      <c r="N402" s="1">
        <v>0.62547518518518519</v>
      </c>
      <c r="O402" s="1">
        <f>Table25791113[[#This Row],[Time]]-TIME(0,0,3)</f>
        <v>0.62544046296296296</v>
      </c>
      <c r="P402" t="s">
        <v>13</v>
      </c>
      <c r="Q402">
        <f>Q401</f>
        <v>-125</v>
      </c>
      <c r="R402">
        <f>Table25791113[[#This Row],[RSSI]]</f>
        <v>-125</v>
      </c>
      <c r="S402">
        <f>S401</f>
        <v>-20.5</v>
      </c>
    </row>
    <row r="403" spans="2:19" x14ac:dyDescent="0.25">
      <c r="B403">
        <f>480+2*(Table14681012[[#This Row],[min value (corrected)]]-34)</f>
        <v>500</v>
      </c>
      <c r="C403">
        <f>MINUTE(Table14681012[[#This Row],[Corrected time]])</f>
        <v>44</v>
      </c>
      <c r="D403" s="1">
        <v>0.73912995370370371</v>
      </c>
      <c r="E403" s="1">
        <f>Table14681012[[#This Row],[Time]]-TIME(0,0,9)</f>
        <v>0.73902578703703703</v>
      </c>
      <c r="F403" t="s">
        <v>9</v>
      </c>
      <c r="G403" t="s">
        <v>28</v>
      </c>
      <c r="H403">
        <f t="shared" si="11"/>
        <v>-125</v>
      </c>
      <c r="I403">
        <v>-20.8</v>
      </c>
      <c r="L403">
        <f>500+2*(Table25791113[[#This Row],[min value (corrected)]])</f>
        <v>500</v>
      </c>
      <c r="M403">
        <f>MINUTE(Table25791113[[#This Row],[Corrected time]])</f>
        <v>0</v>
      </c>
      <c r="N403" s="1">
        <v>0.62549444444444446</v>
      </c>
      <c r="O403" s="1">
        <f>Table25791113[[#This Row],[Time]]-TIME(0,0,3)</f>
        <v>0.62545972222222224</v>
      </c>
      <c r="P403" t="s">
        <v>9</v>
      </c>
      <c r="Q403">
        <v>-125</v>
      </c>
      <c r="R403">
        <f>Table25791113[[#This Row],[RSSI]]</f>
        <v>-125</v>
      </c>
      <c r="S403">
        <v>-20.5</v>
      </c>
    </row>
    <row r="404" spans="2:19" x14ac:dyDescent="0.25">
      <c r="B404">
        <f>480+2*(Table14681012[[#This Row],[min value (corrected)]]-34)</f>
        <v>500</v>
      </c>
      <c r="C404">
        <f>MINUTE(Table14681012[[#This Row],[Corrected time]])</f>
        <v>44</v>
      </c>
      <c r="D404" s="1">
        <v>0.73914920138888895</v>
      </c>
      <c r="E404" s="1">
        <f>Table14681012[[#This Row],[Time]]-TIME(0,0,9)</f>
        <v>0.73904503472222227</v>
      </c>
      <c r="F404" t="s">
        <v>9</v>
      </c>
      <c r="G404" t="s">
        <v>28</v>
      </c>
      <c r="H404">
        <f t="shared" si="11"/>
        <v>-125</v>
      </c>
      <c r="I404">
        <v>-20.5</v>
      </c>
      <c r="L404">
        <f>500+2*(Table25791113[[#This Row],[min value (corrected)]])</f>
        <v>500</v>
      </c>
      <c r="M404">
        <f>MINUTE(Table25791113[[#This Row],[Corrected time]])</f>
        <v>0</v>
      </c>
      <c r="N404" s="1">
        <v>0.62551366898148153</v>
      </c>
      <c r="O404" s="1">
        <f>Table25791113[[#This Row],[Time]]-TIME(0,0,3)</f>
        <v>0.6254789467592593</v>
      </c>
      <c r="P404" t="s">
        <v>9</v>
      </c>
      <c r="Q404">
        <v>-125</v>
      </c>
      <c r="R404">
        <f>Table25791113[[#This Row],[RSSI]]</f>
        <v>-125</v>
      </c>
      <c r="S404">
        <v>-20.3</v>
      </c>
    </row>
    <row r="405" spans="2:19" x14ac:dyDescent="0.25">
      <c r="B405">
        <f>480+2*(Table14681012[[#This Row],[min value (corrected)]]-34)</f>
        <v>500</v>
      </c>
      <c r="C405">
        <f>MINUTE(Table14681012[[#This Row],[Corrected time]])</f>
        <v>44</v>
      </c>
      <c r="D405" s="1">
        <v>0.73916843749999994</v>
      </c>
      <c r="E405" s="1">
        <f>Table14681012[[#This Row],[Time]]-TIME(0,0,9)</f>
        <v>0.73906427083333326</v>
      </c>
      <c r="F405" t="s">
        <v>9</v>
      </c>
      <c r="G405" t="s">
        <v>28</v>
      </c>
      <c r="H405">
        <f t="shared" si="11"/>
        <v>-125</v>
      </c>
      <c r="I405">
        <v>-21</v>
      </c>
      <c r="L405">
        <f>500+2*(Table25791113[[#This Row],[min value (corrected)]])</f>
        <v>500</v>
      </c>
      <c r="M405">
        <f>MINUTE(Table25791113[[#This Row],[Corrected time]])</f>
        <v>0</v>
      </c>
      <c r="N405" s="1">
        <v>0.62553292824074069</v>
      </c>
      <c r="O405" s="1">
        <f>Table25791113[[#This Row],[Time]]-TIME(0,0,3)</f>
        <v>0.62549820601851847</v>
      </c>
      <c r="P405" t="s">
        <v>9</v>
      </c>
      <c r="Q405">
        <v>-125</v>
      </c>
      <c r="R405">
        <f>Table25791113[[#This Row],[RSSI]]</f>
        <v>-125</v>
      </c>
      <c r="S405">
        <v>-21.5</v>
      </c>
    </row>
    <row r="406" spans="2:19" x14ac:dyDescent="0.25">
      <c r="B406">
        <f>480+2*(Table14681012[[#This Row],[min value (corrected)]]-34)</f>
        <v>500</v>
      </c>
      <c r="C406">
        <f>MINUTE(Table14681012[[#This Row],[Corrected time]])</f>
        <v>44</v>
      </c>
      <c r="D406" s="1">
        <v>0.73918769675925933</v>
      </c>
      <c r="E406" s="1">
        <f>Table14681012[[#This Row],[Time]]-TIME(0,0,9)</f>
        <v>0.73908353009259264</v>
      </c>
      <c r="F406" t="s">
        <v>9</v>
      </c>
      <c r="G406" t="s">
        <v>28</v>
      </c>
      <c r="H406">
        <f t="shared" ref="H406:H469" si="14">VALUE(LEFT(G406,LEN(G406)-1))</f>
        <v>-125</v>
      </c>
      <c r="I406">
        <v>-20.3</v>
      </c>
      <c r="L406">
        <f>500+2*(Table25791113[[#This Row],[min value (corrected)]])</f>
        <v>500</v>
      </c>
      <c r="M406">
        <f>MINUTE(Table25791113[[#This Row],[Corrected time]])</f>
        <v>0</v>
      </c>
      <c r="N406" s="1">
        <v>0.62555217592592594</v>
      </c>
      <c r="O406" s="1">
        <f>Table25791113[[#This Row],[Time]]-TIME(0,0,3)</f>
        <v>0.62551745370370371</v>
      </c>
      <c r="P406" t="s">
        <v>9</v>
      </c>
      <c r="Q406">
        <v>-125</v>
      </c>
      <c r="R406">
        <f>Table25791113[[#This Row],[RSSI]]</f>
        <v>-125</v>
      </c>
      <c r="S406">
        <v>-20.3</v>
      </c>
    </row>
    <row r="407" spans="2:19" x14ac:dyDescent="0.25">
      <c r="B407">
        <f>480+2*(Table14681012[[#This Row],[min value (corrected)]]-34)</f>
        <v>500</v>
      </c>
      <c r="C407">
        <f>MINUTE(Table14681012[[#This Row],[Corrected time]])</f>
        <v>44</v>
      </c>
      <c r="D407" s="1">
        <v>0.73920693287037031</v>
      </c>
      <c r="E407" s="1">
        <f>Table14681012[[#This Row],[Time]]-TIME(0,0,9)</f>
        <v>0.73910276620370363</v>
      </c>
      <c r="F407" t="s">
        <v>9</v>
      </c>
      <c r="G407" t="s">
        <v>28</v>
      </c>
      <c r="H407">
        <f t="shared" si="14"/>
        <v>-125</v>
      </c>
      <c r="I407">
        <v>-20.3</v>
      </c>
      <c r="L407">
        <f>500+2*(Table25791113[[#This Row],[min value (corrected)]])</f>
        <v>500</v>
      </c>
      <c r="M407">
        <f>MINUTE(Table25791113[[#This Row],[Corrected time]])</f>
        <v>0</v>
      </c>
      <c r="N407" s="1">
        <v>0.62557143518518521</v>
      </c>
      <c r="O407" s="1">
        <f>Table25791113[[#This Row],[Time]]-TIME(0,0,3)</f>
        <v>0.62553671296296298</v>
      </c>
      <c r="P407" t="s">
        <v>9</v>
      </c>
      <c r="Q407">
        <v>-125</v>
      </c>
      <c r="R407">
        <f>Table25791113[[#This Row],[RSSI]]</f>
        <v>-125</v>
      </c>
      <c r="S407">
        <v>-20</v>
      </c>
    </row>
    <row r="408" spans="2:19" x14ac:dyDescent="0.25">
      <c r="B408">
        <f>480+2*(Table14681012[[#This Row],[min value (corrected)]]-34)</f>
        <v>500</v>
      </c>
      <c r="C408">
        <f>MINUTE(Table14681012[[#This Row],[Corrected time]])</f>
        <v>44</v>
      </c>
      <c r="D408" s="1">
        <v>0.73922619212962959</v>
      </c>
      <c r="E408" s="1">
        <f>Table14681012[[#This Row],[Time]]-TIME(0,0,9)</f>
        <v>0.73912202546296291</v>
      </c>
      <c r="F408" t="s">
        <v>9</v>
      </c>
      <c r="G408" t="s">
        <v>28</v>
      </c>
      <c r="H408">
        <f t="shared" si="14"/>
        <v>-125</v>
      </c>
      <c r="I408">
        <v>-21.8</v>
      </c>
      <c r="L408">
        <f>500+2*(Table25791113[[#This Row],[min value (corrected)]])</f>
        <v>500</v>
      </c>
      <c r="M408">
        <f>MINUTE(Table25791113[[#This Row],[Corrected time]])</f>
        <v>0</v>
      </c>
      <c r="N408" s="1">
        <v>0.62559067129629631</v>
      </c>
      <c r="O408" s="1">
        <f>Table25791113[[#This Row],[Time]]-TIME(0,0,3)</f>
        <v>0.62555594907407408</v>
      </c>
      <c r="P408" t="s">
        <v>9</v>
      </c>
      <c r="Q408">
        <v>-125</v>
      </c>
      <c r="R408">
        <f>Table25791113[[#This Row],[RSSI]]</f>
        <v>-125</v>
      </c>
      <c r="S408">
        <v>-20.3</v>
      </c>
    </row>
    <row r="409" spans="2:19" x14ac:dyDescent="0.25">
      <c r="B409">
        <f>480+2*(Table14681012[[#This Row],[min value (corrected)]]-34)</f>
        <v>500</v>
      </c>
      <c r="C409">
        <f>MINUTE(Table14681012[[#This Row],[Corrected time]])</f>
        <v>44</v>
      </c>
      <c r="D409" s="1">
        <v>0.7392454282407408</v>
      </c>
      <c r="E409" s="1">
        <f>Table14681012[[#This Row],[Time]]-TIME(0,0,9)</f>
        <v>0.73914126157407412</v>
      </c>
      <c r="F409" t="s">
        <v>9</v>
      </c>
      <c r="G409" t="s">
        <v>28</v>
      </c>
      <c r="H409">
        <f t="shared" si="14"/>
        <v>-125</v>
      </c>
      <c r="I409">
        <v>-21.2</v>
      </c>
      <c r="L409">
        <f>500+2*(Table25791113[[#This Row],[min value (corrected)]])</f>
        <v>500</v>
      </c>
      <c r="M409">
        <f>MINUTE(Table25791113[[#This Row],[Corrected time]])</f>
        <v>0</v>
      </c>
      <c r="N409" s="1">
        <v>0.62560991898148144</v>
      </c>
      <c r="O409" s="1">
        <f>Table25791113[[#This Row],[Time]]-TIME(0,0,3)</f>
        <v>0.62557519675925921</v>
      </c>
      <c r="P409" t="s">
        <v>13</v>
      </c>
      <c r="Q409">
        <f>Q408</f>
        <v>-125</v>
      </c>
      <c r="R409">
        <f>Table25791113[[#This Row],[RSSI]]</f>
        <v>-125</v>
      </c>
      <c r="S409">
        <f>S408</f>
        <v>-20.3</v>
      </c>
    </row>
    <row r="410" spans="2:19" x14ac:dyDescent="0.25">
      <c r="B410">
        <f>480+2*(Table14681012[[#This Row],[min value (corrected)]]-34)</f>
        <v>500</v>
      </c>
      <c r="C410">
        <f>MINUTE(Table14681012[[#This Row],[Corrected time]])</f>
        <v>44</v>
      </c>
      <c r="D410" s="1">
        <v>0.73926467592592593</v>
      </c>
      <c r="E410" s="1">
        <f>Table14681012[[#This Row],[Time]]-TIME(0,0,9)</f>
        <v>0.73916050925925925</v>
      </c>
      <c r="F410" t="s">
        <v>9</v>
      </c>
      <c r="G410" t="s">
        <v>28</v>
      </c>
      <c r="H410">
        <f t="shared" si="14"/>
        <v>-125</v>
      </c>
      <c r="I410">
        <v>-21</v>
      </c>
      <c r="L410">
        <f>500+2*(Table25791113[[#This Row],[min value (corrected)]])</f>
        <v>500</v>
      </c>
      <c r="M410">
        <f>MINUTE(Table25791113[[#This Row],[Corrected time]])</f>
        <v>0</v>
      </c>
      <c r="N410" s="1">
        <v>0.62562917824074071</v>
      </c>
      <c r="O410" s="1">
        <f>Table25791113[[#This Row],[Time]]-TIME(0,0,3)</f>
        <v>0.62559445601851849</v>
      </c>
      <c r="P410" t="s">
        <v>9</v>
      </c>
      <c r="Q410">
        <v>-125</v>
      </c>
      <c r="R410">
        <f>Table25791113[[#This Row],[RSSI]]</f>
        <v>-125</v>
      </c>
      <c r="S410">
        <v>-20.3</v>
      </c>
    </row>
    <row r="411" spans="2:19" x14ac:dyDescent="0.25">
      <c r="B411">
        <f>480+2*(Table14681012[[#This Row],[min value (corrected)]]-34)</f>
        <v>500</v>
      </c>
      <c r="C411">
        <f>MINUTE(Table14681012[[#This Row],[Corrected time]])</f>
        <v>44</v>
      </c>
      <c r="D411" s="1">
        <v>0.7392839351851852</v>
      </c>
      <c r="E411" s="1">
        <f>Table14681012[[#This Row],[Time]]-TIME(0,0,9)</f>
        <v>0.73917976851851852</v>
      </c>
      <c r="F411" t="s">
        <v>9</v>
      </c>
      <c r="G411" t="s">
        <v>29</v>
      </c>
      <c r="H411">
        <f t="shared" si="14"/>
        <v>-126</v>
      </c>
      <c r="I411">
        <v>-21.5</v>
      </c>
      <c r="L411">
        <f>500+2*(Table25791113[[#This Row],[min value (corrected)]])</f>
        <v>500</v>
      </c>
      <c r="M411">
        <f>MINUTE(Table25791113[[#This Row],[Corrected time]])</f>
        <v>0</v>
      </c>
      <c r="N411" s="1">
        <v>0.62564841435185181</v>
      </c>
      <c r="O411" s="1">
        <f>Table25791113[[#This Row],[Time]]-TIME(0,0,3)</f>
        <v>0.62561369212962958</v>
      </c>
      <c r="P411" t="s">
        <v>9</v>
      </c>
      <c r="Q411">
        <v>-125</v>
      </c>
      <c r="R411">
        <f>Table25791113[[#This Row],[RSSI]]</f>
        <v>-125</v>
      </c>
      <c r="S411">
        <v>-22.2</v>
      </c>
    </row>
    <row r="412" spans="2:19" x14ac:dyDescent="0.25">
      <c r="B412">
        <f>480+2*(Table14681012[[#This Row],[min value (corrected)]]-34)</f>
        <v>500</v>
      </c>
      <c r="C412">
        <f>MINUTE(Table14681012[[#This Row],[Corrected time]])</f>
        <v>44</v>
      </c>
      <c r="D412" s="1">
        <v>0.73930318287037033</v>
      </c>
      <c r="E412" s="1">
        <f>Table14681012[[#This Row],[Time]]-TIME(0,0,9)</f>
        <v>0.73919901620370365</v>
      </c>
      <c r="F412" t="s">
        <v>9</v>
      </c>
      <c r="G412" t="s">
        <v>28</v>
      </c>
      <c r="H412">
        <f t="shared" si="14"/>
        <v>-125</v>
      </c>
      <c r="I412">
        <v>-20.8</v>
      </c>
      <c r="L412">
        <f>500+2*(Table25791113[[#This Row],[min value (corrected)]])</f>
        <v>500</v>
      </c>
      <c r="M412">
        <f>MINUTE(Table25791113[[#This Row],[Corrected time]])</f>
        <v>0</v>
      </c>
      <c r="N412" s="1">
        <v>0.62566767361111109</v>
      </c>
      <c r="O412" s="1">
        <f>Table25791113[[#This Row],[Time]]-TIME(0,0,3)</f>
        <v>0.62563295138888886</v>
      </c>
      <c r="P412" t="s">
        <v>13</v>
      </c>
      <c r="Q412">
        <f>Q411</f>
        <v>-125</v>
      </c>
      <c r="R412">
        <f>Table25791113[[#This Row],[RSSI]]</f>
        <v>-125</v>
      </c>
      <c r="S412">
        <f>S411</f>
        <v>-22.2</v>
      </c>
    </row>
    <row r="413" spans="2:19" x14ac:dyDescent="0.25">
      <c r="B413">
        <f>480+2*(Table14681012[[#This Row],[min value (corrected)]]-34)</f>
        <v>500</v>
      </c>
      <c r="C413">
        <f>MINUTE(Table14681012[[#This Row],[Corrected time]])</f>
        <v>44</v>
      </c>
      <c r="D413" s="1">
        <v>0.73932243055555558</v>
      </c>
      <c r="E413" s="1">
        <f>Table14681012[[#This Row],[Time]]-TIME(0,0,9)</f>
        <v>0.73921826388888889</v>
      </c>
      <c r="F413" t="s">
        <v>9</v>
      </c>
      <c r="G413" t="s">
        <v>28</v>
      </c>
      <c r="H413">
        <f t="shared" si="14"/>
        <v>-125</v>
      </c>
      <c r="I413">
        <v>-20.5</v>
      </c>
      <c r="L413">
        <f>500+2*(Table25791113[[#This Row],[min value (corrected)]])</f>
        <v>500</v>
      </c>
      <c r="M413">
        <f>MINUTE(Table25791113[[#This Row],[Corrected time]])</f>
        <v>0</v>
      </c>
      <c r="N413" s="1">
        <v>0.6256869097222223</v>
      </c>
      <c r="O413" s="1">
        <f>Table25791113[[#This Row],[Time]]-TIME(0,0,3)</f>
        <v>0.62565218750000007</v>
      </c>
      <c r="P413" t="s">
        <v>9</v>
      </c>
      <c r="Q413">
        <v>-125</v>
      </c>
      <c r="R413">
        <f>Table25791113[[#This Row],[RSSI]]</f>
        <v>-125</v>
      </c>
      <c r="S413">
        <v>-20.5</v>
      </c>
    </row>
    <row r="414" spans="2:19" x14ac:dyDescent="0.25">
      <c r="B414">
        <f>480+2*(Table14681012[[#This Row],[min value (corrected)]]-34)</f>
        <v>500</v>
      </c>
      <c r="C414">
        <f>MINUTE(Table14681012[[#This Row],[Corrected time]])</f>
        <v>44</v>
      </c>
      <c r="D414" s="1">
        <v>0.73934166666666667</v>
      </c>
      <c r="E414" s="1">
        <f>Table14681012[[#This Row],[Time]]-TIME(0,0,9)</f>
        <v>0.73923749999999999</v>
      </c>
      <c r="F414" t="s">
        <v>9</v>
      </c>
      <c r="G414" t="s">
        <v>28</v>
      </c>
      <c r="H414">
        <f t="shared" si="14"/>
        <v>-125</v>
      </c>
      <c r="I414">
        <v>-20.5</v>
      </c>
      <c r="L414">
        <f>500+2*(Table25791113[[#This Row],[min value (corrected)]])</f>
        <v>500</v>
      </c>
      <c r="M414">
        <f>MINUTE(Table25791113[[#This Row],[Corrected time]])</f>
        <v>0</v>
      </c>
      <c r="N414" s="1">
        <v>0.62570615740740743</v>
      </c>
      <c r="O414" s="1">
        <f>Table25791113[[#This Row],[Time]]-TIME(0,0,3)</f>
        <v>0.6256714351851852</v>
      </c>
      <c r="P414" t="s">
        <v>9</v>
      </c>
      <c r="Q414">
        <v>-124</v>
      </c>
      <c r="R414">
        <f>Table25791113[[#This Row],[RSSI]]</f>
        <v>-124</v>
      </c>
      <c r="S414">
        <v>-21</v>
      </c>
    </row>
    <row r="415" spans="2:19" x14ac:dyDescent="0.25">
      <c r="B415">
        <f>480+2*(Table14681012[[#This Row],[min value (corrected)]]-34)</f>
        <v>500</v>
      </c>
      <c r="C415">
        <f>MINUTE(Table14681012[[#This Row],[Corrected time]])</f>
        <v>44</v>
      </c>
      <c r="D415" s="1">
        <v>0.73936091435185192</v>
      </c>
      <c r="E415" s="1">
        <f>Table14681012[[#This Row],[Time]]-TIME(0,0,9)</f>
        <v>0.73925674768518523</v>
      </c>
      <c r="F415" t="s">
        <v>9</v>
      </c>
      <c r="G415" t="s">
        <v>28</v>
      </c>
      <c r="H415">
        <f t="shared" si="14"/>
        <v>-125</v>
      </c>
      <c r="I415">
        <v>-20.5</v>
      </c>
      <c r="L415">
        <f>500+2*(Table25791113[[#This Row],[min value (corrected)]])</f>
        <v>502</v>
      </c>
      <c r="M415">
        <f>MINUTE(Table25791113[[#This Row],[Corrected time]])</f>
        <v>1</v>
      </c>
      <c r="N415" s="1">
        <v>0.62572539351851852</v>
      </c>
      <c r="O415" s="1">
        <f>Table25791113[[#This Row],[Time]]-TIME(0,0,3)</f>
        <v>0.6256906712962963</v>
      </c>
      <c r="P415" t="s">
        <v>9</v>
      </c>
      <c r="Q415">
        <v>-125</v>
      </c>
      <c r="R415">
        <f>Table25791113[[#This Row],[RSSI]]</f>
        <v>-125</v>
      </c>
      <c r="S415">
        <v>-21.2</v>
      </c>
    </row>
    <row r="416" spans="2:19" x14ac:dyDescent="0.25">
      <c r="B416">
        <f>480+2*(Table14681012[[#This Row],[min value (corrected)]]-34)</f>
        <v>500</v>
      </c>
      <c r="C416">
        <f>MINUTE(Table14681012[[#This Row],[Corrected time]])</f>
        <v>44</v>
      </c>
      <c r="D416" s="1">
        <v>0.73938017361111108</v>
      </c>
      <c r="E416" s="1">
        <f>Table14681012[[#This Row],[Time]]-TIME(0,0,9)</f>
        <v>0.7392760069444444</v>
      </c>
      <c r="F416" t="s">
        <v>9</v>
      </c>
      <c r="G416" t="s">
        <v>28</v>
      </c>
      <c r="H416">
        <f t="shared" si="14"/>
        <v>-125</v>
      </c>
      <c r="I416">
        <v>-20.8</v>
      </c>
      <c r="L416">
        <f>500+2*(Table25791113[[#This Row],[min value (corrected)]])</f>
        <v>502</v>
      </c>
      <c r="M416">
        <f>MINUTE(Table25791113[[#This Row],[Corrected time]])</f>
        <v>1</v>
      </c>
      <c r="N416" s="1">
        <v>0.62574466435185183</v>
      </c>
      <c r="O416" s="1">
        <f>Table25791113[[#This Row],[Time]]-TIME(0,0,3)</f>
        <v>0.6257099421296296</v>
      </c>
      <c r="P416" t="s">
        <v>9</v>
      </c>
      <c r="Q416">
        <v>-126</v>
      </c>
      <c r="R416">
        <f>Table25791113[[#This Row],[RSSI]]</f>
        <v>-126</v>
      </c>
      <c r="S416">
        <v>-20.8</v>
      </c>
    </row>
    <row r="417" spans="2:19" x14ac:dyDescent="0.25">
      <c r="B417">
        <f>480+2*(Table14681012[[#This Row],[min value (corrected)]]-34)</f>
        <v>500</v>
      </c>
      <c r="C417">
        <f>MINUTE(Table14681012[[#This Row],[Corrected time]])</f>
        <v>44</v>
      </c>
      <c r="D417" s="1">
        <v>0.73939942129629632</v>
      </c>
      <c r="E417" s="1">
        <f>Table14681012[[#This Row],[Time]]-TIME(0,0,9)</f>
        <v>0.73929525462962964</v>
      </c>
      <c r="F417" t="s">
        <v>9</v>
      </c>
      <c r="G417" t="s">
        <v>28</v>
      </c>
      <c r="H417">
        <f t="shared" si="14"/>
        <v>-125</v>
      </c>
      <c r="I417">
        <v>-20</v>
      </c>
      <c r="L417">
        <f>500+2*(Table25791113[[#This Row],[min value (corrected)]])</f>
        <v>502</v>
      </c>
      <c r="M417">
        <f>MINUTE(Table25791113[[#This Row],[Corrected time]])</f>
        <v>1</v>
      </c>
      <c r="N417" s="1">
        <v>0.62576390046296293</v>
      </c>
      <c r="O417" s="1">
        <f>Table25791113[[#This Row],[Time]]-TIME(0,0,3)</f>
        <v>0.6257291782407407</v>
      </c>
      <c r="P417" t="s">
        <v>13</v>
      </c>
      <c r="Q417">
        <f>Q416</f>
        <v>-126</v>
      </c>
      <c r="R417">
        <f>Table25791113[[#This Row],[RSSI]]</f>
        <v>-126</v>
      </c>
      <c r="S417">
        <f>S416</f>
        <v>-20.8</v>
      </c>
    </row>
    <row r="418" spans="2:19" x14ac:dyDescent="0.25">
      <c r="B418">
        <f>480+2*(Table14681012[[#This Row],[min value (corrected)]]-34)</f>
        <v>500</v>
      </c>
      <c r="C418">
        <f>MINUTE(Table14681012[[#This Row],[Corrected time]])</f>
        <v>44</v>
      </c>
      <c r="D418" s="1">
        <v>0.73941866898148145</v>
      </c>
      <c r="E418" s="1">
        <f>Table14681012[[#This Row],[Time]]-TIME(0,0,9)</f>
        <v>0.73931450231481477</v>
      </c>
      <c r="F418" t="s">
        <v>9</v>
      </c>
      <c r="G418" t="s">
        <v>28</v>
      </c>
      <c r="H418">
        <f t="shared" si="14"/>
        <v>-125</v>
      </c>
      <c r="I418">
        <v>-21</v>
      </c>
      <c r="L418">
        <f>500+2*(Table25791113[[#This Row],[min value (corrected)]])</f>
        <v>502</v>
      </c>
      <c r="M418">
        <f>MINUTE(Table25791113[[#This Row],[Corrected time]])</f>
        <v>1</v>
      </c>
      <c r="N418" s="1">
        <v>0.62578314814814806</v>
      </c>
      <c r="O418" s="1">
        <f>Table25791113[[#This Row],[Time]]-TIME(0,0,3)</f>
        <v>0.62574842592592583</v>
      </c>
      <c r="P418" t="s">
        <v>9</v>
      </c>
      <c r="Q418">
        <v>-126</v>
      </c>
      <c r="R418">
        <f>Table25791113[[#This Row],[RSSI]]</f>
        <v>-126</v>
      </c>
      <c r="S418">
        <v>-22.2</v>
      </c>
    </row>
    <row r="419" spans="2:19" x14ac:dyDescent="0.25">
      <c r="B419">
        <f>480+2*(Table14681012[[#This Row],[min value (corrected)]]-34)</f>
        <v>500</v>
      </c>
      <c r="C419">
        <f>MINUTE(Table14681012[[#This Row],[Corrected time]])</f>
        <v>44</v>
      </c>
      <c r="D419" s="1">
        <v>0.73943790509259255</v>
      </c>
      <c r="E419" s="1">
        <f>Table14681012[[#This Row],[Time]]-TIME(0,0,9)</f>
        <v>0.73933373842592587</v>
      </c>
      <c r="F419" t="s">
        <v>13</v>
      </c>
      <c r="G419" t="str">
        <f>G418</f>
        <v>-125.0,</v>
      </c>
      <c r="H419">
        <f t="shared" si="14"/>
        <v>-125</v>
      </c>
      <c r="I419">
        <f>I418</f>
        <v>-21</v>
      </c>
      <c r="L419">
        <f>500+2*(Table25791113[[#This Row],[min value (corrected)]])</f>
        <v>502</v>
      </c>
      <c r="M419">
        <f>MINUTE(Table25791113[[#This Row],[Corrected time]])</f>
        <v>1</v>
      </c>
      <c r="N419" s="1">
        <v>0.6258023958333333</v>
      </c>
      <c r="O419" s="1">
        <f>Table25791113[[#This Row],[Time]]-TIME(0,0,3)</f>
        <v>0.62576767361111107</v>
      </c>
      <c r="P419" t="s">
        <v>13</v>
      </c>
      <c r="Q419">
        <f t="shared" ref="Q419:Q437" si="15">Q418</f>
        <v>-126</v>
      </c>
      <c r="R419">
        <f>Table25791113[[#This Row],[RSSI]]</f>
        <v>-126</v>
      </c>
      <c r="S419">
        <f t="shared" ref="S419:S437" si="16">S418</f>
        <v>-22.2</v>
      </c>
    </row>
    <row r="420" spans="2:19" x14ac:dyDescent="0.25">
      <c r="B420">
        <f>480+2*(Table14681012[[#This Row],[min value (corrected)]]-34)</f>
        <v>500</v>
      </c>
      <c r="C420">
        <f>MINUTE(Table14681012[[#This Row],[Corrected time]])</f>
        <v>44</v>
      </c>
      <c r="D420" s="1">
        <v>0.73945716435185183</v>
      </c>
      <c r="E420" s="1">
        <f>Table14681012[[#This Row],[Time]]-TIME(0,0,9)</f>
        <v>0.73935299768518514</v>
      </c>
      <c r="F420" t="s">
        <v>9</v>
      </c>
      <c r="G420" t="s">
        <v>28</v>
      </c>
      <c r="H420">
        <f t="shared" si="14"/>
        <v>-125</v>
      </c>
      <c r="I420">
        <v>-20</v>
      </c>
      <c r="L420">
        <f>500+2*(Table25791113[[#This Row],[min value (corrected)]])</f>
        <v>502</v>
      </c>
      <c r="M420">
        <f>MINUTE(Table25791113[[#This Row],[Corrected time]])</f>
        <v>1</v>
      </c>
      <c r="N420" s="1">
        <v>0.62582164351851854</v>
      </c>
      <c r="O420" s="1">
        <f>Table25791113[[#This Row],[Time]]-TIME(0,0,3)</f>
        <v>0.62578692129629632</v>
      </c>
      <c r="P420" t="s">
        <v>13</v>
      </c>
      <c r="Q420">
        <f t="shared" si="15"/>
        <v>-126</v>
      </c>
      <c r="R420">
        <f>Table25791113[[#This Row],[RSSI]]</f>
        <v>-126</v>
      </c>
      <c r="S420">
        <f t="shared" si="16"/>
        <v>-22.2</v>
      </c>
    </row>
    <row r="421" spans="2:19" x14ac:dyDescent="0.25">
      <c r="B421">
        <f>480+2*(Table14681012[[#This Row],[min value (corrected)]]-34)</f>
        <v>500</v>
      </c>
      <c r="C421">
        <f>MINUTE(Table14681012[[#This Row],[Corrected time]])</f>
        <v>44</v>
      </c>
      <c r="D421" s="1">
        <v>0.73947640046296292</v>
      </c>
      <c r="E421" s="1">
        <f>Table14681012[[#This Row],[Time]]-TIME(0,0,9)</f>
        <v>0.73937223379629624</v>
      </c>
      <c r="F421" t="s">
        <v>9</v>
      </c>
      <c r="G421" t="s">
        <v>28</v>
      </c>
      <c r="H421">
        <f t="shared" si="14"/>
        <v>-125</v>
      </c>
      <c r="I421">
        <v>-20</v>
      </c>
      <c r="L421">
        <f>500+2*(Table25791113[[#This Row],[min value (corrected)]])</f>
        <v>502</v>
      </c>
      <c r="M421">
        <f>MINUTE(Table25791113[[#This Row],[Corrected time]])</f>
        <v>1</v>
      </c>
      <c r="N421" s="1">
        <v>0.62584090277777782</v>
      </c>
      <c r="O421" s="1">
        <f>Table25791113[[#This Row],[Time]]-TIME(0,0,3)</f>
        <v>0.62580618055555559</v>
      </c>
      <c r="P421" t="s">
        <v>13</v>
      </c>
      <c r="Q421">
        <f t="shared" si="15"/>
        <v>-126</v>
      </c>
      <c r="R421">
        <f>Table25791113[[#This Row],[RSSI]]</f>
        <v>-126</v>
      </c>
      <c r="S421">
        <f t="shared" si="16"/>
        <v>-22.2</v>
      </c>
    </row>
    <row r="422" spans="2:19" x14ac:dyDescent="0.25">
      <c r="B422">
        <f>480+2*(Table14681012[[#This Row],[min value (corrected)]]-34)</f>
        <v>500</v>
      </c>
      <c r="C422">
        <f>MINUTE(Table14681012[[#This Row],[Corrected time]])</f>
        <v>44</v>
      </c>
      <c r="D422" s="1">
        <v>0.73949565972222231</v>
      </c>
      <c r="E422" s="1">
        <f>Table14681012[[#This Row],[Time]]-TIME(0,0,9)</f>
        <v>0.73939149305555563</v>
      </c>
      <c r="F422" t="s">
        <v>9</v>
      </c>
      <c r="G422" t="s">
        <v>28</v>
      </c>
      <c r="H422">
        <f t="shared" si="14"/>
        <v>-125</v>
      </c>
      <c r="I422">
        <v>-21.2</v>
      </c>
      <c r="L422">
        <f>500+2*(Table25791113[[#This Row],[min value (corrected)]])</f>
        <v>502</v>
      </c>
      <c r="M422">
        <f>MINUTE(Table25791113[[#This Row],[Corrected time]])</f>
        <v>1</v>
      </c>
      <c r="N422" s="1">
        <v>0.62586013888888892</v>
      </c>
      <c r="O422" s="1">
        <f>Table25791113[[#This Row],[Time]]-TIME(0,0,3)</f>
        <v>0.62582541666666669</v>
      </c>
      <c r="P422" t="s">
        <v>13</v>
      </c>
      <c r="Q422">
        <f t="shared" si="15"/>
        <v>-126</v>
      </c>
      <c r="R422">
        <f>Table25791113[[#This Row],[RSSI]]</f>
        <v>-126</v>
      </c>
      <c r="S422">
        <f t="shared" si="16"/>
        <v>-22.2</v>
      </c>
    </row>
    <row r="423" spans="2:19" x14ac:dyDescent="0.25">
      <c r="B423">
        <f>480+2*(Table14681012[[#This Row],[min value (corrected)]]-34)</f>
        <v>500</v>
      </c>
      <c r="C423">
        <f>MINUTE(Table14681012[[#This Row],[Corrected time]])</f>
        <v>44</v>
      </c>
      <c r="D423" s="1">
        <v>0.73951490740740744</v>
      </c>
      <c r="E423" s="1">
        <f>Table14681012[[#This Row],[Time]]-TIME(0,0,9)</f>
        <v>0.73941074074074076</v>
      </c>
      <c r="F423" t="s">
        <v>9</v>
      </c>
      <c r="G423" t="s">
        <v>28</v>
      </c>
      <c r="H423">
        <f t="shared" si="14"/>
        <v>-125</v>
      </c>
      <c r="I423">
        <v>-20.8</v>
      </c>
      <c r="L423">
        <f>500+2*(Table25791113[[#This Row],[min value (corrected)]])</f>
        <v>502</v>
      </c>
      <c r="M423">
        <f>MINUTE(Table25791113[[#This Row],[Corrected time]])</f>
        <v>1</v>
      </c>
      <c r="N423" s="1">
        <v>0.62587939814814819</v>
      </c>
      <c r="O423" s="1">
        <f>Table25791113[[#This Row],[Time]]-TIME(0,0,3)</f>
        <v>0.62584467592592596</v>
      </c>
      <c r="P423" t="s">
        <v>13</v>
      </c>
      <c r="Q423">
        <f t="shared" si="15"/>
        <v>-126</v>
      </c>
      <c r="R423">
        <f>Table25791113[[#This Row],[RSSI]]</f>
        <v>-126</v>
      </c>
      <c r="S423">
        <f t="shared" si="16"/>
        <v>-22.2</v>
      </c>
    </row>
    <row r="424" spans="2:19" x14ac:dyDescent="0.25">
      <c r="B424">
        <f>480+2*(Table14681012[[#This Row],[min value (corrected)]]-34)</f>
        <v>500</v>
      </c>
      <c r="C424">
        <f>MINUTE(Table14681012[[#This Row],[Corrected time]])</f>
        <v>44</v>
      </c>
      <c r="D424" s="1">
        <v>0.73953413194444451</v>
      </c>
      <c r="E424" s="1">
        <f>Table14681012[[#This Row],[Time]]-TIME(0,0,9)</f>
        <v>0.73942996527777782</v>
      </c>
      <c r="F424" t="s">
        <v>9</v>
      </c>
      <c r="G424" t="s">
        <v>28</v>
      </c>
      <c r="H424">
        <f t="shared" si="14"/>
        <v>-125</v>
      </c>
      <c r="I424">
        <v>-20.8</v>
      </c>
      <c r="L424">
        <f>500+2*(Table25791113[[#This Row],[min value (corrected)]])</f>
        <v>502</v>
      </c>
      <c r="M424">
        <f>MINUTE(Table25791113[[#This Row],[Corrected time]])</f>
        <v>1</v>
      </c>
      <c r="N424" s="1">
        <v>0.62589863425925929</v>
      </c>
      <c r="O424" s="1">
        <f>Table25791113[[#This Row],[Time]]-TIME(0,0,3)</f>
        <v>0.62586391203703706</v>
      </c>
      <c r="P424" t="s">
        <v>13</v>
      </c>
      <c r="Q424">
        <f t="shared" si="15"/>
        <v>-126</v>
      </c>
      <c r="R424">
        <f>Table25791113[[#This Row],[RSSI]]</f>
        <v>-126</v>
      </c>
      <c r="S424">
        <f t="shared" si="16"/>
        <v>-22.2</v>
      </c>
    </row>
    <row r="425" spans="2:19" x14ac:dyDescent="0.25">
      <c r="B425">
        <f>480+2*(Table14681012[[#This Row],[min value (corrected)]]-34)</f>
        <v>500</v>
      </c>
      <c r="C425">
        <f>MINUTE(Table14681012[[#This Row],[Corrected time]])</f>
        <v>44</v>
      </c>
      <c r="D425" s="1">
        <v>0.73955339120370367</v>
      </c>
      <c r="E425" s="1">
        <f>Table14681012[[#This Row],[Time]]-TIME(0,0,9)</f>
        <v>0.73944922453703699</v>
      </c>
      <c r="F425" t="s">
        <v>9</v>
      </c>
      <c r="G425" t="s">
        <v>28</v>
      </c>
      <c r="H425">
        <f t="shared" si="14"/>
        <v>-125</v>
      </c>
      <c r="I425">
        <v>-20.8</v>
      </c>
      <c r="L425">
        <f>500+2*(Table25791113[[#This Row],[min value (corrected)]])</f>
        <v>502</v>
      </c>
      <c r="M425">
        <f>MINUTE(Table25791113[[#This Row],[Corrected time]])</f>
        <v>1</v>
      </c>
      <c r="N425" s="1">
        <v>0.62591788194444442</v>
      </c>
      <c r="O425" s="1">
        <f>Table25791113[[#This Row],[Time]]-TIME(0,0,3)</f>
        <v>0.62588315972222219</v>
      </c>
      <c r="P425" t="s">
        <v>13</v>
      </c>
      <c r="Q425">
        <f t="shared" si="15"/>
        <v>-126</v>
      </c>
      <c r="R425">
        <f>Table25791113[[#This Row],[RSSI]]</f>
        <v>-126</v>
      </c>
      <c r="S425">
        <f t="shared" si="16"/>
        <v>-22.2</v>
      </c>
    </row>
    <row r="426" spans="2:19" x14ac:dyDescent="0.25">
      <c r="B426">
        <f>480+2*(Table14681012[[#This Row],[min value (corrected)]]-34)</f>
        <v>500</v>
      </c>
      <c r="C426">
        <f>MINUTE(Table14681012[[#This Row],[Corrected time]])</f>
        <v>44</v>
      </c>
      <c r="D426" s="1">
        <v>0.73957265046296294</v>
      </c>
      <c r="E426" s="1">
        <f>Table14681012[[#This Row],[Time]]-TIME(0,0,9)</f>
        <v>0.73946848379629626</v>
      </c>
      <c r="F426" t="s">
        <v>9</v>
      </c>
      <c r="G426" t="s">
        <v>28</v>
      </c>
      <c r="H426">
        <f t="shared" si="14"/>
        <v>-125</v>
      </c>
      <c r="I426">
        <v>-20</v>
      </c>
      <c r="L426">
        <f>500+2*(Table25791113[[#This Row],[min value (corrected)]])</f>
        <v>502</v>
      </c>
      <c r="M426">
        <f>MINUTE(Table25791113[[#This Row],[Corrected time]])</f>
        <v>1</v>
      </c>
      <c r="N426" s="1">
        <v>0.62593712962962966</v>
      </c>
      <c r="O426" s="1">
        <f>Table25791113[[#This Row],[Time]]-TIME(0,0,3)</f>
        <v>0.62590240740740744</v>
      </c>
      <c r="P426" t="s">
        <v>18</v>
      </c>
      <c r="Q426">
        <f t="shared" si="15"/>
        <v>-126</v>
      </c>
      <c r="R426">
        <f>Table25791113[[#This Row],[RSSI]]</f>
        <v>-126</v>
      </c>
      <c r="S426">
        <f t="shared" si="16"/>
        <v>-22.2</v>
      </c>
    </row>
    <row r="427" spans="2:19" x14ac:dyDescent="0.25">
      <c r="B427">
        <f>480+2*(Table14681012[[#This Row],[min value (corrected)]]-34)</f>
        <v>500</v>
      </c>
      <c r="C427">
        <f>MINUTE(Table14681012[[#This Row],[Corrected time]])</f>
        <v>44</v>
      </c>
      <c r="D427" s="1">
        <v>0.73959189814814807</v>
      </c>
      <c r="E427" s="1">
        <f>Table14681012[[#This Row],[Time]]-TIME(0,0,9)</f>
        <v>0.73948773148148139</v>
      </c>
      <c r="F427" t="s">
        <v>9</v>
      </c>
      <c r="G427" t="s">
        <v>28</v>
      </c>
      <c r="H427">
        <f t="shared" si="14"/>
        <v>-125</v>
      </c>
      <c r="I427">
        <v>-20.5</v>
      </c>
      <c r="L427">
        <f>500+2*(Table25791113[[#This Row],[min value (corrected)]])</f>
        <v>502</v>
      </c>
      <c r="M427">
        <f>MINUTE(Table25791113[[#This Row],[Corrected time]])</f>
        <v>1</v>
      </c>
      <c r="N427" s="1">
        <v>0.62595637731481479</v>
      </c>
      <c r="O427" s="1">
        <f>Table25791113[[#This Row],[Time]]-TIME(0,0,3)</f>
        <v>0.62592165509259257</v>
      </c>
      <c r="P427" t="s">
        <v>13</v>
      </c>
      <c r="Q427">
        <f t="shared" si="15"/>
        <v>-126</v>
      </c>
      <c r="R427">
        <f>Table25791113[[#This Row],[RSSI]]</f>
        <v>-126</v>
      </c>
      <c r="S427">
        <f t="shared" si="16"/>
        <v>-22.2</v>
      </c>
    </row>
    <row r="428" spans="2:19" x14ac:dyDescent="0.25">
      <c r="B428">
        <f>480+2*(Table14681012[[#This Row],[min value (corrected)]]-34)</f>
        <v>500</v>
      </c>
      <c r="C428">
        <f>MINUTE(Table14681012[[#This Row],[Corrected time]])</f>
        <v>44</v>
      </c>
      <c r="D428" s="1">
        <v>0.73961114583333332</v>
      </c>
      <c r="E428" s="1">
        <f>Table14681012[[#This Row],[Time]]-TIME(0,0,9)</f>
        <v>0.73950697916666663</v>
      </c>
      <c r="F428" t="s">
        <v>9</v>
      </c>
      <c r="G428" t="s">
        <v>28</v>
      </c>
      <c r="H428">
        <f t="shared" si="14"/>
        <v>-125</v>
      </c>
      <c r="I428">
        <v>-21</v>
      </c>
      <c r="L428">
        <f>500+2*(Table25791113[[#This Row],[min value (corrected)]])</f>
        <v>502</v>
      </c>
      <c r="M428">
        <f>MINUTE(Table25791113[[#This Row],[Corrected time]])</f>
        <v>1</v>
      </c>
      <c r="N428" s="1">
        <v>0.62597562500000004</v>
      </c>
      <c r="O428" s="1">
        <f>Table25791113[[#This Row],[Time]]-TIME(0,0,3)</f>
        <v>0.62594090277777781</v>
      </c>
      <c r="P428" t="s">
        <v>13</v>
      </c>
      <c r="Q428">
        <f t="shared" si="15"/>
        <v>-126</v>
      </c>
      <c r="R428">
        <f>Table25791113[[#This Row],[RSSI]]</f>
        <v>-126</v>
      </c>
      <c r="S428">
        <f t="shared" si="16"/>
        <v>-22.2</v>
      </c>
    </row>
    <row r="429" spans="2:19" x14ac:dyDescent="0.25">
      <c r="B429">
        <f>480+2*(Table14681012[[#This Row],[min value (corrected)]]-34)</f>
        <v>500</v>
      </c>
      <c r="C429">
        <f>MINUTE(Table14681012[[#This Row],[Corrected time]])</f>
        <v>44</v>
      </c>
      <c r="D429" s="1">
        <v>0.73963038194444453</v>
      </c>
      <c r="E429" s="1">
        <f>Table14681012[[#This Row],[Time]]-TIME(0,0,9)</f>
        <v>0.73952621527777784</v>
      </c>
      <c r="F429" t="s">
        <v>9</v>
      </c>
      <c r="G429" t="s">
        <v>28</v>
      </c>
      <c r="H429">
        <f t="shared" si="14"/>
        <v>-125</v>
      </c>
      <c r="I429">
        <v>-21</v>
      </c>
      <c r="L429">
        <f>500+2*(Table25791113[[#This Row],[min value (corrected)]])</f>
        <v>502</v>
      </c>
      <c r="M429">
        <f>MINUTE(Table25791113[[#This Row],[Corrected time]])</f>
        <v>1</v>
      </c>
      <c r="N429" s="1">
        <v>0.62599487268518517</v>
      </c>
      <c r="O429" s="1">
        <f>Table25791113[[#This Row],[Time]]-TIME(0,0,3)</f>
        <v>0.62596015046296294</v>
      </c>
      <c r="P429" t="s">
        <v>13</v>
      </c>
      <c r="Q429">
        <f t="shared" si="15"/>
        <v>-126</v>
      </c>
      <c r="R429">
        <f>Table25791113[[#This Row],[RSSI]]</f>
        <v>-126</v>
      </c>
      <c r="S429">
        <f t="shared" si="16"/>
        <v>-22.2</v>
      </c>
    </row>
    <row r="430" spans="2:19" x14ac:dyDescent="0.25">
      <c r="B430">
        <f>480+2*(Table14681012[[#This Row],[min value (corrected)]]-34)</f>
        <v>500</v>
      </c>
      <c r="C430">
        <f>MINUTE(Table14681012[[#This Row],[Corrected time]])</f>
        <v>44</v>
      </c>
      <c r="D430" s="1">
        <v>0.73964964120370369</v>
      </c>
      <c r="E430" s="1">
        <f>Table14681012[[#This Row],[Time]]-TIME(0,0,9)</f>
        <v>0.73954547453703701</v>
      </c>
      <c r="F430" t="s">
        <v>9</v>
      </c>
      <c r="G430" t="s">
        <v>29</v>
      </c>
      <c r="H430">
        <f t="shared" si="14"/>
        <v>-126</v>
      </c>
      <c r="I430">
        <v>-21.2</v>
      </c>
      <c r="L430">
        <f>500+2*(Table25791113[[#This Row],[min value (corrected)]])</f>
        <v>502</v>
      </c>
      <c r="M430">
        <f>MINUTE(Table25791113[[#This Row],[Corrected time]])</f>
        <v>1</v>
      </c>
      <c r="N430" s="1">
        <v>0.62601412037037041</v>
      </c>
      <c r="O430" s="1">
        <f>Table25791113[[#This Row],[Time]]-TIME(0,0,3)</f>
        <v>0.62597939814814818</v>
      </c>
      <c r="P430" t="s">
        <v>13</v>
      </c>
      <c r="Q430">
        <f t="shared" si="15"/>
        <v>-126</v>
      </c>
      <c r="R430">
        <f>Table25791113[[#This Row],[RSSI]]</f>
        <v>-126</v>
      </c>
      <c r="S430">
        <f t="shared" si="16"/>
        <v>-22.2</v>
      </c>
    </row>
    <row r="431" spans="2:19" x14ac:dyDescent="0.25">
      <c r="B431">
        <f>480+2*(Table14681012[[#This Row],[min value (corrected)]]-34)</f>
        <v>500</v>
      </c>
      <c r="C431">
        <f>MINUTE(Table14681012[[#This Row],[Corrected time]])</f>
        <v>44</v>
      </c>
      <c r="D431" s="1">
        <v>0.7396688773148149</v>
      </c>
      <c r="E431" s="1">
        <f>Table14681012[[#This Row],[Time]]-TIME(0,0,9)</f>
        <v>0.73956471064814822</v>
      </c>
      <c r="F431" t="s">
        <v>9</v>
      </c>
      <c r="G431" t="s">
        <v>30</v>
      </c>
      <c r="H431">
        <f t="shared" si="14"/>
        <v>-127</v>
      </c>
      <c r="I431">
        <v>-22</v>
      </c>
      <c r="L431">
        <f>500+2*(Table25791113[[#This Row],[min value (corrected)]])</f>
        <v>502</v>
      </c>
      <c r="M431">
        <f>MINUTE(Table25791113[[#This Row],[Corrected time]])</f>
        <v>1</v>
      </c>
      <c r="N431" s="1">
        <v>0.62603336805555554</v>
      </c>
      <c r="O431" s="1">
        <f>Table25791113[[#This Row],[Time]]-TIME(0,0,3)</f>
        <v>0.62599864583333331</v>
      </c>
      <c r="P431" t="s">
        <v>13</v>
      </c>
      <c r="Q431">
        <f t="shared" si="15"/>
        <v>-126</v>
      </c>
      <c r="R431">
        <f>Table25791113[[#This Row],[RSSI]]</f>
        <v>-126</v>
      </c>
      <c r="S431">
        <f t="shared" si="16"/>
        <v>-22.2</v>
      </c>
    </row>
    <row r="432" spans="2:19" x14ac:dyDescent="0.25">
      <c r="B432">
        <f>480+2*(Table14681012[[#This Row],[min value (corrected)]]-34)</f>
        <v>502</v>
      </c>
      <c r="C432">
        <f>MINUTE(Table14681012[[#This Row],[Corrected time]])</f>
        <v>45</v>
      </c>
      <c r="D432" s="1">
        <v>0.73968813657407406</v>
      </c>
      <c r="E432" s="1">
        <f>Table14681012[[#This Row],[Time]]-TIME(0,0,9)</f>
        <v>0.73958396990740738</v>
      </c>
      <c r="F432" t="s">
        <v>13</v>
      </c>
      <c r="G432" t="str">
        <f t="shared" ref="G432:G446" si="17">G431</f>
        <v>-127.0,</v>
      </c>
      <c r="H432">
        <f t="shared" si="14"/>
        <v>-127</v>
      </c>
      <c r="I432">
        <f t="shared" ref="I432:I446" si="18">I431</f>
        <v>-22</v>
      </c>
      <c r="L432">
        <f>500+2*(Table25791113[[#This Row],[min value (corrected)]])</f>
        <v>502</v>
      </c>
      <c r="M432">
        <f>MINUTE(Table25791113[[#This Row],[Corrected time]])</f>
        <v>1</v>
      </c>
      <c r="N432" s="1">
        <v>0.62605261574074078</v>
      </c>
      <c r="O432" s="1">
        <f>Table25791113[[#This Row],[Time]]-TIME(0,0,3)</f>
        <v>0.62601789351851855</v>
      </c>
      <c r="P432" t="s">
        <v>13</v>
      </c>
      <c r="Q432">
        <f t="shared" si="15"/>
        <v>-126</v>
      </c>
      <c r="R432">
        <f>Table25791113[[#This Row],[RSSI]]</f>
        <v>-126</v>
      </c>
      <c r="S432">
        <f t="shared" si="16"/>
        <v>-22.2</v>
      </c>
    </row>
    <row r="433" spans="2:19" x14ac:dyDescent="0.25">
      <c r="B433">
        <f>480+2*(Table14681012[[#This Row],[min value (corrected)]]-34)</f>
        <v>502</v>
      </c>
      <c r="C433">
        <f>MINUTE(Table14681012[[#This Row],[Corrected time]])</f>
        <v>45</v>
      </c>
      <c r="D433" s="1">
        <v>0.7397073842592593</v>
      </c>
      <c r="E433" s="1">
        <f>Table14681012[[#This Row],[Time]]-TIME(0,0,9)</f>
        <v>0.73960321759259262</v>
      </c>
      <c r="F433" t="s">
        <v>27</v>
      </c>
      <c r="G433" t="str">
        <f t="shared" si="17"/>
        <v>-127.0,</v>
      </c>
      <c r="H433">
        <f t="shared" si="14"/>
        <v>-127</v>
      </c>
      <c r="I433">
        <f t="shared" si="18"/>
        <v>-22</v>
      </c>
      <c r="L433">
        <f>500+2*(Table25791113[[#This Row],[min value (corrected)]])</f>
        <v>502</v>
      </c>
      <c r="M433">
        <f>MINUTE(Table25791113[[#This Row],[Corrected time]])</f>
        <v>1</v>
      </c>
      <c r="N433" s="1">
        <v>0.62607186342592591</v>
      </c>
      <c r="O433" s="1">
        <f>Table25791113[[#This Row],[Time]]-TIME(0,0,3)</f>
        <v>0.62603714120370368</v>
      </c>
      <c r="P433" t="s">
        <v>13</v>
      </c>
      <c r="Q433">
        <f t="shared" si="15"/>
        <v>-126</v>
      </c>
      <c r="R433">
        <f>Table25791113[[#This Row],[RSSI]]</f>
        <v>-126</v>
      </c>
      <c r="S433">
        <f t="shared" si="16"/>
        <v>-22.2</v>
      </c>
    </row>
    <row r="434" spans="2:19" x14ac:dyDescent="0.25">
      <c r="B434">
        <f>480+2*(Table14681012[[#This Row],[min value (corrected)]]-34)</f>
        <v>502</v>
      </c>
      <c r="C434">
        <f>MINUTE(Table14681012[[#This Row],[Corrected time]])</f>
        <v>45</v>
      </c>
      <c r="D434" s="1">
        <v>0.7397073842592593</v>
      </c>
      <c r="E434" s="1">
        <f>Table14681012[[#This Row],[Time]]-TIME(0,0,9)</f>
        <v>0.73960321759259262</v>
      </c>
      <c r="F434" t="s">
        <v>13</v>
      </c>
      <c r="G434" t="str">
        <f t="shared" si="17"/>
        <v>-127.0,</v>
      </c>
      <c r="H434">
        <f t="shared" si="14"/>
        <v>-127</v>
      </c>
      <c r="I434">
        <f t="shared" si="18"/>
        <v>-22</v>
      </c>
      <c r="L434">
        <f>500+2*(Table25791113[[#This Row],[min value (corrected)]])</f>
        <v>502</v>
      </c>
      <c r="M434">
        <f>MINUTE(Table25791113[[#This Row],[Corrected time]])</f>
        <v>1</v>
      </c>
      <c r="N434" s="1">
        <v>0.62609111111111104</v>
      </c>
      <c r="O434" s="1">
        <f>Table25791113[[#This Row],[Time]]-TIME(0,0,3)</f>
        <v>0.62605638888888882</v>
      </c>
      <c r="P434" t="s">
        <v>13</v>
      </c>
      <c r="Q434">
        <f t="shared" si="15"/>
        <v>-126</v>
      </c>
      <c r="R434">
        <f>Table25791113[[#This Row],[RSSI]]</f>
        <v>-126</v>
      </c>
      <c r="S434">
        <f t="shared" si="16"/>
        <v>-22.2</v>
      </c>
    </row>
    <row r="435" spans="2:19" x14ac:dyDescent="0.25">
      <c r="B435">
        <f>480+2*(Table14681012[[#This Row],[min value (corrected)]]-34)</f>
        <v>502</v>
      </c>
      <c r="C435">
        <f>MINUTE(Table14681012[[#This Row],[Corrected time]])</f>
        <v>45</v>
      </c>
      <c r="D435" s="1">
        <v>0.73974587962962968</v>
      </c>
      <c r="E435" s="1">
        <f>Table14681012[[#This Row],[Time]]-TIME(0,0,9)</f>
        <v>0.73964171296296299</v>
      </c>
      <c r="F435" t="s">
        <v>13</v>
      </c>
      <c r="G435" t="str">
        <f t="shared" si="17"/>
        <v>-127.0,</v>
      </c>
      <c r="H435">
        <f t="shared" si="14"/>
        <v>-127</v>
      </c>
      <c r="I435">
        <f t="shared" si="18"/>
        <v>-22</v>
      </c>
      <c r="L435">
        <f>500+2*(Table25791113[[#This Row],[min value (corrected)]])</f>
        <v>502</v>
      </c>
      <c r="M435">
        <f>MINUTE(Table25791113[[#This Row],[Corrected time]])</f>
        <v>1</v>
      </c>
      <c r="N435" s="1">
        <v>0.62611035879629628</v>
      </c>
      <c r="O435" s="1">
        <f>Table25791113[[#This Row],[Time]]-TIME(0,0,3)</f>
        <v>0.62607563657407406</v>
      </c>
      <c r="P435" t="s">
        <v>13</v>
      </c>
      <c r="Q435">
        <f t="shared" si="15"/>
        <v>-126</v>
      </c>
      <c r="R435">
        <f>Table25791113[[#This Row],[RSSI]]</f>
        <v>-126</v>
      </c>
      <c r="S435">
        <f t="shared" si="16"/>
        <v>-22.2</v>
      </c>
    </row>
    <row r="436" spans="2:19" x14ac:dyDescent="0.25">
      <c r="B436">
        <f>480+2*(Table14681012[[#This Row],[min value (corrected)]]-34)</f>
        <v>502</v>
      </c>
      <c r="C436">
        <f>MINUTE(Table14681012[[#This Row],[Corrected time]])</f>
        <v>45</v>
      </c>
      <c r="D436" s="1">
        <v>0.73976511574074078</v>
      </c>
      <c r="E436" s="1">
        <f>Table14681012[[#This Row],[Time]]-TIME(0,0,9)</f>
        <v>0.73966094907407409</v>
      </c>
      <c r="F436" t="s">
        <v>13</v>
      </c>
      <c r="G436" t="str">
        <f t="shared" si="17"/>
        <v>-127.0,</v>
      </c>
      <c r="H436">
        <f t="shared" si="14"/>
        <v>-127</v>
      </c>
      <c r="I436">
        <f t="shared" si="18"/>
        <v>-22</v>
      </c>
      <c r="L436">
        <f>500+2*(Table25791113[[#This Row],[min value (corrected)]])</f>
        <v>502</v>
      </c>
      <c r="M436">
        <f>MINUTE(Table25791113[[#This Row],[Corrected time]])</f>
        <v>1</v>
      </c>
      <c r="N436" s="1">
        <v>0.62612960648148142</v>
      </c>
      <c r="O436" s="1">
        <f>Table25791113[[#This Row],[Time]]-TIME(0,0,3)</f>
        <v>0.62609488425925919</v>
      </c>
      <c r="P436" t="s">
        <v>13</v>
      </c>
      <c r="Q436">
        <f t="shared" si="15"/>
        <v>-126</v>
      </c>
      <c r="R436">
        <f>Table25791113[[#This Row],[RSSI]]</f>
        <v>-126</v>
      </c>
      <c r="S436">
        <f t="shared" si="16"/>
        <v>-22.2</v>
      </c>
    </row>
    <row r="437" spans="2:19" x14ac:dyDescent="0.25">
      <c r="B437">
        <f>480+2*(Table14681012[[#This Row],[min value (corrected)]]-34)</f>
        <v>502</v>
      </c>
      <c r="C437">
        <f>MINUTE(Table14681012[[#This Row],[Corrected time]])</f>
        <v>45</v>
      </c>
      <c r="D437" s="1">
        <v>0.73978436342592591</v>
      </c>
      <c r="E437" s="1">
        <f>Table14681012[[#This Row],[Time]]-TIME(0,0,9)</f>
        <v>0.73968019675925922</v>
      </c>
      <c r="F437" t="s">
        <v>13</v>
      </c>
      <c r="G437" t="str">
        <f t="shared" si="17"/>
        <v>-127.0,</v>
      </c>
      <c r="H437">
        <f t="shared" si="14"/>
        <v>-127</v>
      </c>
      <c r="I437">
        <f t="shared" si="18"/>
        <v>-22</v>
      </c>
      <c r="L437">
        <f>500+2*(Table25791113[[#This Row],[min value (corrected)]])</f>
        <v>502</v>
      </c>
      <c r="M437">
        <f>MINUTE(Table25791113[[#This Row],[Corrected time]])</f>
        <v>1</v>
      </c>
      <c r="N437" s="1">
        <v>0.62614885416666666</v>
      </c>
      <c r="O437" s="1">
        <f>Table25791113[[#This Row],[Time]]-TIME(0,0,3)</f>
        <v>0.62611413194444443</v>
      </c>
      <c r="P437" t="s">
        <v>13</v>
      </c>
      <c r="Q437">
        <f t="shared" si="15"/>
        <v>-126</v>
      </c>
      <c r="R437">
        <f>Table25791113[[#This Row],[RSSI]]</f>
        <v>-126</v>
      </c>
      <c r="S437">
        <f t="shared" si="16"/>
        <v>-22.2</v>
      </c>
    </row>
    <row r="438" spans="2:19" x14ac:dyDescent="0.25">
      <c r="B438">
        <f>480+2*(Table14681012[[#This Row],[min value (corrected)]]-34)</f>
        <v>502</v>
      </c>
      <c r="C438">
        <f>MINUTE(Table14681012[[#This Row],[Corrected time]])</f>
        <v>45</v>
      </c>
      <c r="D438" s="1">
        <v>0.73980361111111115</v>
      </c>
      <c r="E438" s="1">
        <f>Table14681012[[#This Row],[Time]]-TIME(0,0,9)</f>
        <v>0.73969944444444446</v>
      </c>
      <c r="F438" t="s">
        <v>13</v>
      </c>
      <c r="G438" t="str">
        <f t="shared" si="17"/>
        <v>-127.0,</v>
      </c>
      <c r="H438">
        <f t="shared" si="14"/>
        <v>-127</v>
      </c>
      <c r="I438">
        <f t="shared" si="18"/>
        <v>-22</v>
      </c>
      <c r="L438" t="e">
        <f>480+2*(Table25791113[[#This Row],[min value (corrected)]]-50)</f>
        <v>#NUM!</v>
      </c>
      <c r="M438" t="e">
        <f>MINUTE(Table25791113[[#This Row],[Corrected time]])</f>
        <v>#NUM!</v>
      </c>
      <c r="N438" s="1"/>
      <c r="O438" s="1">
        <f>Table25791113[[#This Row],[Time]]-TIME(0,0,3)</f>
        <v>-3.4722222222222222E-5</v>
      </c>
      <c r="R438">
        <f>Table25791113[[#This Row],[RSSI]]</f>
        <v>0</v>
      </c>
    </row>
    <row r="439" spans="2:19" x14ac:dyDescent="0.25">
      <c r="B439">
        <f>480+2*(Table14681012[[#This Row],[min value (corrected)]]-34)</f>
        <v>502</v>
      </c>
      <c r="C439">
        <f>MINUTE(Table14681012[[#This Row],[Corrected time]])</f>
        <v>45</v>
      </c>
      <c r="D439" s="1">
        <v>0.73982287037037042</v>
      </c>
      <c r="E439" s="1">
        <f>Table14681012[[#This Row],[Time]]-TIME(0,0,9)</f>
        <v>0.73971870370370374</v>
      </c>
      <c r="F439" t="s">
        <v>13</v>
      </c>
      <c r="G439" t="str">
        <f t="shared" si="17"/>
        <v>-127.0,</v>
      </c>
      <c r="H439">
        <f t="shared" si="14"/>
        <v>-127</v>
      </c>
      <c r="I439">
        <f t="shared" si="18"/>
        <v>-22</v>
      </c>
      <c r="L439" t="e">
        <f>480+2*(Table25791113[[#This Row],[min value (corrected)]]-50)</f>
        <v>#NUM!</v>
      </c>
      <c r="M439" t="e">
        <f>MINUTE(Table25791113[[#This Row],[Corrected time]])</f>
        <v>#NUM!</v>
      </c>
      <c r="N439" s="1"/>
      <c r="O439" s="1">
        <f>Table25791113[[#This Row],[Time]]-TIME(0,0,3)</f>
        <v>-3.4722222222222222E-5</v>
      </c>
      <c r="R439">
        <f>Table25791113[[#This Row],[RSSI]]</f>
        <v>0</v>
      </c>
    </row>
    <row r="440" spans="2:19" x14ac:dyDescent="0.25">
      <c r="B440">
        <f>480+2*(Table14681012[[#This Row],[min value (corrected)]]-34)</f>
        <v>502</v>
      </c>
      <c r="C440">
        <f>MINUTE(Table14681012[[#This Row],[Corrected time]])</f>
        <v>45</v>
      </c>
      <c r="D440" s="1">
        <v>0.73984210648148152</v>
      </c>
      <c r="E440" s="1">
        <f>Table14681012[[#This Row],[Time]]-TIME(0,0,9)</f>
        <v>0.73973793981481484</v>
      </c>
      <c r="F440" t="s">
        <v>13</v>
      </c>
      <c r="G440" t="str">
        <f t="shared" si="17"/>
        <v>-127.0,</v>
      </c>
      <c r="H440">
        <f t="shared" si="14"/>
        <v>-127</v>
      </c>
      <c r="I440">
        <f t="shared" si="18"/>
        <v>-22</v>
      </c>
      <c r="L440" t="e">
        <f>480+2*(Table25791113[[#This Row],[min value (corrected)]]-50)</f>
        <v>#NUM!</v>
      </c>
      <c r="M440" t="e">
        <f>MINUTE(Table25791113[[#This Row],[Corrected time]])</f>
        <v>#NUM!</v>
      </c>
      <c r="N440" s="1"/>
      <c r="O440" s="1">
        <f>Table25791113[[#This Row],[Time]]-TIME(0,0,3)</f>
        <v>-3.4722222222222222E-5</v>
      </c>
      <c r="R440">
        <f>Table25791113[[#This Row],[RSSI]]</f>
        <v>0</v>
      </c>
    </row>
    <row r="441" spans="2:19" x14ac:dyDescent="0.25">
      <c r="B441">
        <f>480+2*(Table14681012[[#This Row],[min value (corrected)]]-34)</f>
        <v>502</v>
      </c>
      <c r="C441">
        <f>MINUTE(Table14681012[[#This Row],[Corrected time]])</f>
        <v>45</v>
      </c>
      <c r="D441" s="1">
        <v>0.73986136574074068</v>
      </c>
      <c r="E441" s="1">
        <f>Table14681012[[#This Row],[Time]]-TIME(0,0,9)</f>
        <v>0.739757199074074</v>
      </c>
      <c r="F441" t="s">
        <v>13</v>
      </c>
      <c r="G441" t="str">
        <f t="shared" si="17"/>
        <v>-127.0,</v>
      </c>
      <c r="H441">
        <f t="shared" si="14"/>
        <v>-127</v>
      </c>
      <c r="I441">
        <f t="shared" si="18"/>
        <v>-22</v>
      </c>
      <c r="L441" t="e">
        <f>480+2*(Table25791113[[#This Row],[min value (corrected)]]-50)</f>
        <v>#NUM!</v>
      </c>
      <c r="M441" t="e">
        <f>MINUTE(Table25791113[[#This Row],[Corrected time]])</f>
        <v>#NUM!</v>
      </c>
      <c r="N441" s="1"/>
      <c r="O441" s="1">
        <f>Table25791113[[#This Row],[Time]]-TIME(0,0,3)</f>
        <v>-3.4722222222222222E-5</v>
      </c>
      <c r="R441">
        <f>Table25791113[[#This Row],[RSSI]]</f>
        <v>0</v>
      </c>
    </row>
    <row r="442" spans="2:19" x14ac:dyDescent="0.25">
      <c r="B442">
        <f>480+2*(Table14681012[[#This Row],[min value (corrected)]]-34)</f>
        <v>502</v>
      </c>
      <c r="C442">
        <f>MINUTE(Table14681012[[#This Row],[Corrected time]])</f>
        <v>45</v>
      </c>
      <c r="D442" s="1">
        <v>0.73988061342592593</v>
      </c>
      <c r="E442" s="1">
        <f>Table14681012[[#This Row],[Time]]-TIME(0,0,9)</f>
        <v>0.73977644675925924</v>
      </c>
      <c r="F442" t="s">
        <v>13</v>
      </c>
      <c r="G442" t="str">
        <f t="shared" si="17"/>
        <v>-127.0,</v>
      </c>
      <c r="H442">
        <f t="shared" si="14"/>
        <v>-127</v>
      </c>
      <c r="I442">
        <f t="shared" si="18"/>
        <v>-22</v>
      </c>
      <c r="L442" t="e">
        <f>480+2*(Table25791113[[#This Row],[min value (corrected)]]-50)</f>
        <v>#NUM!</v>
      </c>
      <c r="M442" t="e">
        <f>MINUTE(Table25791113[[#This Row],[Corrected time]])</f>
        <v>#NUM!</v>
      </c>
      <c r="N442" s="1"/>
      <c r="O442" s="1">
        <f>Table25791113[[#This Row],[Time]]-TIME(0,0,3)</f>
        <v>-3.4722222222222222E-5</v>
      </c>
      <c r="R442">
        <f>Table25791113[[#This Row],[RSSI]]</f>
        <v>0</v>
      </c>
    </row>
    <row r="443" spans="2:19" x14ac:dyDescent="0.25">
      <c r="B443">
        <f>480+2*(Table14681012[[#This Row],[min value (corrected)]]-34)</f>
        <v>502</v>
      </c>
      <c r="C443">
        <f>MINUTE(Table14681012[[#This Row],[Corrected time]])</f>
        <v>45</v>
      </c>
      <c r="D443" s="1">
        <v>0.73989986111111106</v>
      </c>
      <c r="E443" s="1">
        <f>Table14681012[[#This Row],[Time]]-TIME(0,0,9)</f>
        <v>0.73979569444444437</v>
      </c>
      <c r="F443" t="s">
        <v>13</v>
      </c>
      <c r="G443" t="str">
        <f t="shared" si="17"/>
        <v>-127.0,</v>
      </c>
      <c r="H443">
        <f t="shared" si="14"/>
        <v>-127</v>
      </c>
      <c r="I443">
        <f t="shared" si="18"/>
        <v>-22</v>
      </c>
      <c r="L443" t="e">
        <f>480+2*(Table25791113[[#This Row],[min value (corrected)]]-50)</f>
        <v>#NUM!</v>
      </c>
      <c r="M443" t="e">
        <f>MINUTE(Table25791113[[#This Row],[Corrected time]])</f>
        <v>#NUM!</v>
      </c>
      <c r="N443" s="1"/>
      <c r="O443" s="1">
        <f>Table25791113[[#This Row],[Time]]-TIME(0,0,3)</f>
        <v>-3.4722222222222222E-5</v>
      </c>
      <c r="R443">
        <f>Table25791113[[#This Row],[RSSI]]</f>
        <v>0</v>
      </c>
    </row>
    <row r="444" spans="2:19" x14ac:dyDescent="0.25">
      <c r="B444">
        <f>480+2*(Table14681012[[#This Row],[min value (corrected)]]-34)</f>
        <v>502</v>
      </c>
      <c r="C444">
        <f>MINUTE(Table14681012[[#This Row],[Corrected time]])</f>
        <v>45</v>
      </c>
      <c r="D444" s="1">
        <v>0.7399191087962963</v>
      </c>
      <c r="E444" s="1">
        <f>Table14681012[[#This Row],[Time]]-TIME(0,0,9)</f>
        <v>0.73981494212962962</v>
      </c>
      <c r="F444" t="s">
        <v>27</v>
      </c>
      <c r="G444" t="str">
        <f t="shared" si="17"/>
        <v>-127.0,</v>
      </c>
      <c r="H444">
        <f t="shared" si="14"/>
        <v>-127</v>
      </c>
      <c r="I444">
        <f t="shared" si="18"/>
        <v>-22</v>
      </c>
      <c r="L444" t="e">
        <f>480+2*(Table25791113[[#This Row],[min value (corrected)]]-50)</f>
        <v>#NUM!</v>
      </c>
      <c r="M444" t="e">
        <f>MINUTE(Table25791113[[#This Row],[Corrected time]])</f>
        <v>#NUM!</v>
      </c>
      <c r="N444" s="1"/>
      <c r="O444" s="1">
        <f>Table25791113[[#This Row],[Time]]-TIME(0,0,3)</f>
        <v>-3.4722222222222222E-5</v>
      </c>
      <c r="R444">
        <f>Table25791113[[#This Row],[RSSI]]</f>
        <v>0</v>
      </c>
    </row>
    <row r="445" spans="2:19" x14ac:dyDescent="0.25">
      <c r="B445">
        <f>480+2*(Table14681012[[#This Row],[min value (corrected)]]-34)</f>
        <v>502</v>
      </c>
      <c r="C445">
        <f>MINUTE(Table14681012[[#This Row],[Corrected time]])</f>
        <v>45</v>
      </c>
      <c r="D445" s="1">
        <v>0.7399191087962963</v>
      </c>
      <c r="E445" s="1">
        <f>Table14681012[[#This Row],[Time]]-TIME(0,0,9)</f>
        <v>0.73981494212962962</v>
      </c>
      <c r="F445" t="s">
        <v>13</v>
      </c>
      <c r="G445" t="str">
        <f t="shared" si="17"/>
        <v>-127.0,</v>
      </c>
      <c r="H445">
        <f t="shared" si="14"/>
        <v>-127</v>
      </c>
      <c r="I445">
        <f t="shared" si="18"/>
        <v>-22</v>
      </c>
      <c r="L445" t="e">
        <f>480+2*(Table25791113[[#This Row],[min value (corrected)]]-50)</f>
        <v>#NUM!</v>
      </c>
      <c r="M445" t="e">
        <f>MINUTE(Table25791113[[#This Row],[Corrected time]])</f>
        <v>#NUM!</v>
      </c>
      <c r="N445" s="1"/>
      <c r="O445" s="1">
        <f>Table25791113[[#This Row],[Time]]-TIME(0,0,3)</f>
        <v>-3.4722222222222222E-5</v>
      </c>
      <c r="R445">
        <f>Table25791113[[#This Row],[RSSI]]</f>
        <v>0</v>
      </c>
    </row>
    <row r="446" spans="2:19" x14ac:dyDescent="0.25">
      <c r="B446">
        <f>480+2*(Table14681012[[#This Row],[min value (corrected)]]-34)</f>
        <v>502</v>
      </c>
      <c r="C446">
        <f>MINUTE(Table14681012[[#This Row],[Corrected time]])</f>
        <v>45</v>
      </c>
      <c r="D446" s="1">
        <v>0.73995760416666667</v>
      </c>
      <c r="E446" s="1">
        <f>Table14681012[[#This Row],[Time]]-TIME(0,0,9)</f>
        <v>0.73985343749999999</v>
      </c>
      <c r="F446" t="s">
        <v>13</v>
      </c>
      <c r="G446" t="str">
        <f t="shared" si="17"/>
        <v>-127.0,</v>
      </c>
      <c r="H446">
        <f t="shared" si="14"/>
        <v>-127</v>
      </c>
      <c r="I446">
        <f t="shared" si="18"/>
        <v>-22</v>
      </c>
      <c r="L446" t="e">
        <f>480+2*(Table25791113[[#This Row],[min value (corrected)]]-50)</f>
        <v>#NUM!</v>
      </c>
      <c r="M446" t="e">
        <f>MINUTE(Table25791113[[#This Row],[Corrected time]])</f>
        <v>#NUM!</v>
      </c>
      <c r="N446" s="1"/>
      <c r="O446" s="1">
        <f>Table25791113[[#This Row],[Time]]-TIME(0,0,3)</f>
        <v>-3.4722222222222222E-5</v>
      </c>
      <c r="R446">
        <f>Table25791113[[#This Row],[RSSI]]</f>
        <v>0</v>
      </c>
    </row>
    <row r="447" spans="2:19" x14ac:dyDescent="0.25">
      <c r="B447">
        <f>480+2*(Table14681012[[#This Row],[min value (corrected)]]-34)</f>
        <v>502</v>
      </c>
      <c r="C447">
        <f>MINUTE(Table14681012[[#This Row],[Corrected time]])</f>
        <v>45</v>
      </c>
      <c r="D447" s="1">
        <v>0.7399768518518518</v>
      </c>
      <c r="E447" s="1">
        <f>Table14681012[[#This Row],[Time]]-TIME(0,0,9)</f>
        <v>0.73987268518518512</v>
      </c>
      <c r="F447" t="s">
        <v>9</v>
      </c>
      <c r="G447" t="s">
        <v>31</v>
      </c>
      <c r="H447">
        <f t="shared" si="14"/>
        <v>-127.5</v>
      </c>
      <c r="I447">
        <v>-23.3</v>
      </c>
      <c r="L447" t="e">
        <f>480+2*(Table25791113[[#This Row],[min value (corrected)]]-50)</f>
        <v>#NUM!</v>
      </c>
      <c r="M447" t="e">
        <f>MINUTE(Table25791113[[#This Row],[Corrected time]])</f>
        <v>#NUM!</v>
      </c>
      <c r="N447" s="1"/>
      <c r="O447" s="1">
        <f>Table25791113[[#This Row],[Time]]-TIME(0,0,3)</f>
        <v>-3.4722222222222222E-5</v>
      </c>
      <c r="R447">
        <f>Table25791113[[#This Row],[RSSI]]</f>
        <v>0</v>
      </c>
    </row>
    <row r="448" spans="2:19" x14ac:dyDescent="0.25">
      <c r="B448">
        <f>480+2*(Table14681012[[#This Row],[min value (corrected)]]-34)</f>
        <v>502</v>
      </c>
      <c r="C448">
        <f>MINUTE(Table14681012[[#This Row],[Corrected time]])</f>
        <v>45</v>
      </c>
      <c r="D448" s="1">
        <v>0.73999609953703704</v>
      </c>
      <c r="E448" s="1">
        <f>Table14681012[[#This Row],[Time]]-TIME(0,0,9)</f>
        <v>0.73989193287037036</v>
      </c>
      <c r="F448" t="s">
        <v>13</v>
      </c>
      <c r="G448" t="str">
        <f t="shared" ref="G448:G451" si="19">G447</f>
        <v>-127.5,</v>
      </c>
      <c r="H448">
        <f t="shared" si="14"/>
        <v>-127.5</v>
      </c>
      <c r="I448">
        <f t="shared" ref="I448:I451" si="20">I447</f>
        <v>-23.3</v>
      </c>
      <c r="L448" t="e">
        <f>480+2*(Table25791113[[#This Row],[min value (corrected)]]-50)</f>
        <v>#NUM!</v>
      </c>
      <c r="M448" t="e">
        <f>MINUTE(Table25791113[[#This Row],[Corrected time]])</f>
        <v>#NUM!</v>
      </c>
      <c r="N448" s="1"/>
      <c r="O448" s="1">
        <f>Table25791113[[#This Row],[Time]]-TIME(0,0,3)</f>
        <v>-3.4722222222222222E-5</v>
      </c>
      <c r="R448">
        <f>Table25791113[[#This Row],[RSSI]]</f>
        <v>0</v>
      </c>
    </row>
    <row r="449" spans="2:18" x14ac:dyDescent="0.25">
      <c r="B449">
        <f>480+2*(Table14681012[[#This Row],[min value (corrected)]]-34)</f>
        <v>502</v>
      </c>
      <c r="C449">
        <f>MINUTE(Table14681012[[#This Row],[Corrected time]])</f>
        <v>45</v>
      </c>
      <c r="D449" s="1">
        <v>0.74001534722222229</v>
      </c>
      <c r="E449" s="1">
        <f>Table14681012[[#This Row],[Time]]-TIME(0,0,9)</f>
        <v>0.7399111805555556</v>
      </c>
      <c r="F449" t="s">
        <v>13</v>
      </c>
      <c r="G449" t="str">
        <f t="shared" si="19"/>
        <v>-127.5,</v>
      </c>
      <c r="H449">
        <f t="shared" si="14"/>
        <v>-127.5</v>
      </c>
      <c r="I449">
        <f t="shared" si="20"/>
        <v>-23.3</v>
      </c>
      <c r="L449" t="e">
        <f>480+2*(Table25791113[[#This Row],[min value (corrected)]]-50)</f>
        <v>#NUM!</v>
      </c>
      <c r="M449" t="e">
        <f>MINUTE(Table25791113[[#This Row],[Corrected time]])</f>
        <v>#NUM!</v>
      </c>
      <c r="N449" s="1"/>
      <c r="O449" s="1">
        <f>Table25791113[[#This Row],[Time]]-TIME(0,0,3)</f>
        <v>-3.4722222222222222E-5</v>
      </c>
      <c r="R449">
        <f>Table25791113[[#This Row],[RSSI]]</f>
        <v>0</v>
      </c>
    </row>
    <row r="450" spans="2:18" x14ac:dyDescent="0.25">
      <c r="B450">
        <f>480+2*(Table14681012[[#This Row],[min value (corrected)]]-34)</f>
        <v>502</v>
      </c>
      <c r="C450">
        <f>MINUTE(Table14681012[[#This Row],[Corrected time]])</f>
        <v>45</v>
      </c>
      <c r="D450" s="1">
        <v>0.74003458333333327</v>
      </c>
      <c r="E450" s="1">
        <f>Table14681012[[#This Row],[Time]]-TIME(0,0,9)</f>
        <v>0.73993041666666659</v>
      </c>
      <c r="F450" t="s">
        <v>13</v>
      </c>
      <c r="G450" t="str">
        <f t="shared" si="19"/>
        <v>-127.5,</v>
      </c>
      <c r="H450">
        <f t="shared" si="14"/>
        <v>-127.5</v>
      </c>
      <c r="I450">
        <f t="shared" si="20"/>
        <v>-23.3</v>
      </c>
      <c r="L450" t="e">
        <f>480+2*(Table25791113[[#This Row],[min value (corrected)]]-50)</f>
        <v>#NUM!</v>
      </c>
      <c r="M450" t="e">
        <f>MINUTE(Table25791113[[#This Row],[Corrected time]])</f>
        <v>#NUM!</v>
      </c>
      <c r="N450" s="1"/>
      <c r="O450" s="1">
        <f>Table25791113[[#This Row],[Time]]-TIME(0,0,3)</f>
        <v>-3.4722222222222222E-5</v>
      </c>
      <c r="R450">
        <f>Table25791113[[#This Row],[RSSI]]</f>
        <v>0</v>
      </c>
    </row>
    <row r="451" spans="2:18" x14ac:dyDescent="0.25">
      <c r="B451">
        <f>480+2*(Table14681012[[#This Row],[min value (corrected)]]-34)</f>
        <v>502</v>
      </c>
      <c r="C451">
        <f>MINUTE(Table14681012[[#This Row],[Corrected time]])</f>
        <v>45</v>
      </c>
      <c r="D451" s="1">
        <v>0.74005383101851852</v>
      </c>
      <c r="E451" s="1">
        <f>Table14681012[[#This Row],[Time]]-TIME(0,0,9)</f>
        <v>0.73994966435185183</v>
      </c>
      <c r="F451" t="s">
        <v>13</v>
      </c>
      <c r="G451" t="str">
        <f t="shared" si="19"/>
        <v>-127.5,</v>
      </c>
      <c r="H451">
        <f t="shared" si="14"/>
        <v>-127.5</v>
      </c>
      <c r="I451">
        <f t="shared" si="20"/>
        <v>-23.3</v>
      </c>
      <c r="L451" t="e">
        <f>480+2*(Table25791113[[#This Row],[min value (corrected)]]-50)</f>
        <v>#NUM!</v>
      </c>
      <c r="M451" t="e">
        <f>MINUTE(Table25791113[[#This Row],[Corrected time]])</f>
        <v>#NUM!</v>
      </c>
      <c r="N451" s="1"/>
      <c r="O451" s="1">
        <f>Table25791113[[#This Row],[Time]]-TIME(0,0,3)</f>
        <v>-3.4722222222222222E-5</v>
      </c>
      <c r="R451">
        <f>Table25791113[[#This Row],[RSSI]]</f>
        <v>0</v>
      </c>
    </row>
    <row r="452" spans="2:18" x14ac:dyDescent="0.25">
      <c r="B452">
        <f>480+2*(Table14681012[[#This Row],[min value (corrected)]]-34)</f>
        <v>502</v>
      </c>
      <c r="C452">
        <f>MINUTE(Table14681012[[#This Row],[Corrected time]])</f>
        <v>45</v>
      </c>
      <c r="D452" s="1">
        <v>0.74007309027777779</v>
      </c>
      <c r="E452" s="1">
        <f>Table14681012[[#This Row],[Time]]-TIME(0,0,9)</f>
        <v>0.73996892361111111</v>
      </c>
      <c r="F452" t="s">
        <v>9</v>
      </c>
      <c r="G452" t="s">
        <v>30</v>
      </c>
      <c r="H452">
        <f t="shared" si="14"/>
        <v>-127</v>
      </c>
      <c r="I452">
        <v>-22.5</v>
      </c>
      <c r="L452" t="e">
        <f>480+2*(Table25791113[[#This Row],[min value (corrected)]]-50)</f>
        <v>#NUM!</v>
      </c>
      <c r="M452" t="e">
        <f>MINUTE(Table25791113[[#This Row],[Corrected time]])</f>
        <v>#NUM!</v>
      </c>
      <c r="N452" s="1"/>
      <c r="O452" s="1">
        <f>Table25791113[[#This Row],[Time]]-TIME(0,0,3)</f>
        <v>-3.4722222222222222E-5</v>
      </c>
      <c r="R452">
        <f>Table25791113[[#This Row],[RSSI]]</f>
        <v>0</v>
      </c>
    </row>
    <row r="453" spans="2:18" x14ac:dyDescent="0.25">
      <c r="B453">
        <f>480+2*(Table14681012[[#This Row],[min value (corrected)]]-34)</f>
        <v>502</v>
      </c>
      <c r="C453">
        <f>MINUTE(Table14681012[[#This Row],[Corrected time]])</f>
        <v>45</v>
      </c>
      <c r="D453" s="1">
        <v>0.74009232638888889</v>
      </c>
      <c r="E453" s="1">
        <f>Table14681012[[#This Row],[Time]]-TIME(0,0,9)</f>
        <v>0.73998815972222221</v>
      </c>
      <c r="F453" t="s">
        <v>13</v>
      </c>
      <c r="G453" t="str">
        <f t="shared" ref="G453:G513" si="21">G452</f>
        <v>-127.0,</v>
      </c>
      <c r="H453">
        <f t="shared" si="14"/>
        <v>-127</v>
      </c>
      <c r="I453">
        <f t="shared" ref="I453:I513" si="22">I452</f>
        <v>-22.5</v>
      </c>
      <c r="L453" t="e">
        <f>480+2*(Table25791113[[#This Row],[min value (corrected)]]-50)</f>
        <v>#NUM!</v>
      </c>
      <c r="M453" t="e">
        <f>MINUTE(Table25791113[[#This Row],[Corrected time]])</f>
        <v>#NUM!</v>
      </c>
      <c r="N453" s="1"/>
      <c r="O453" s="1">
        <f>Table25791113[[#This Row],[Time]]-TIME(0,0,3)</f>
        <v>-3.4722222222222222E-5</v>
      </c>
      <c r="R453">
        <f>Table25791113[[#This Row],[RSSI]]</f>
        <v>0</v>
      </c>
    </row>
    <row r="454" spans="2:18" x14ac:dyDescent="0.25">
      <c r="B454">
        <f>480+2*(Table14681012[[#This Row],[min value (corrected)]]-34)</f>
        <v>502</v>
      </c>
      <c r="C454">
        <f>MINUTE(Table14681012[[#This Row],[Corrected time]])</f>
        <v>45</v>
      </c>
      <c r="D454" s="1">
        <v>0.74011158564814816</v>
      </c>
      <c r="E454" s="1">
        <f>Table14681012[[#This Row],[Time]]-TIME(0,0,9)</f>
        <v>0.74000741898148148</v>
      </c>
      <c r="F454" t="s">
        <v>13</v>
      </c>
      <c r="G454" t="str">
        <f t="shared" si="21"/>
        <v>-127.0,</v>
      </c>
      <c r="H454">
        <f t="shared" si="14"/>
        <v>-127</v>
      </c>
      <c r="I454">
        <f t="shared" si="22"/>
        <v>-22.5</v>
      </c>
      <c r="L454" t="e">
        <f>480+2*(Table25791113[[#This Row],[min value (corrected)]]-50)</f>
        <v>#NUM!</v>
      </c>
      <c r="M454" t="e">
        <f>MINUTE(Table25791113[[#This Row],[Corrected time]])</f>
        <v>#NUM!</v>
      </c>
      <c r="N454" s="1"/>
      <c r="O454" s="1">
        <f>Table25791113[[#This Row],[Time]]-TIME(0,0,3)</f>
        <v>-3.4722222222222222E-5</v>
      </c>
      <c r="R454">
        <f>Table25791113[[#This Row],[RSSI]]</f>
        <v>0</v>
      </c>
    </row>
    <row r="455" spans="2:18" x14ac:dyDescent="0.25">
      <c r="B455">
        <f>480+2*(Table14681012[[#This Row],[min value (corrected)]]-34)</f>
        <v>502</v>
      </c>
      <c r="C455">
        <f>MINUTE(Table14681012[[#This Row],[Corrected time]])</f>
        <v>45</v>
      </c>
      <c r="D455" s="1">
        <v>0.74013083333333329</v>
      </c>
      <c r="E455" s="1">
        <f>Table14681012[[#This Row],[Time]]-TIME(0,0,9)</f>
        <v>0.74002666666666661</v>
      </c>
      <c r="F455" t="s">
        <v>13</v>
      </c>
      <c r="G455" t="str">
        <f t="shared" si="21"/>
        <v>-127.0,</v>
      </c>
      <c r="H455">
        <f t="shared" si="14"/>
        <v>-127</v>
      </c>
      <c r="I455">
        <f t="shared" si="22"/>
        <v>-22.5</v>
      </c>
      <c r="L455" t="e">
        <f>502+2*(Table25791113[[#This Row],[min value (corrected)]])</f>
        <v>#NUM!</v>
      </c>
      <c r="M455" t="e">
        <f>MINUTE(Table25791113[[#This Row],[Corrected time]])</f>
        <v>#NUM!</v>
      </c>
      <c r="N455" s="1"/>
      <c r="O455" s="1">
        <f>Table25791113[[#This Row],[Time]]-TIME(0,0,3)</f>
        <v>-3.4722222222222222E-5</v>
      </c>
      <c r="R455">
        <f>Table25791113[[#This Row],[RSSI]]</f>
        <v>0</v>
      </c>
    </row>
    <row r="456" spans="2:18" x14ac:dyDescent="0.25">
      <c r="B456">
        <f>480+2*(Table14681012[[#This Row],[min value (corrected)]]-34)</f>
        <v>502</v>
      </c>
      <c r="C456">
        <f>MINUTE(Table14681012[[#This Row],[Corrected time]])</f>
        <v>45</v>
      </c>
      <c r="D456" s="1">
        <v>0.74015008101851854</v>
      </c>
      <c r="E456" s="1">
        <f>Table14681012[[#This Row],[Time]]-TIME(0,0,9)</f>
        <v>0.74004591435185185</v>
      </c>
      <c r="F456" t="s">
        <v>13</v>
      </c>
      <c r="G456" t="str">
        <f t="shared" si="21"/>
        <v>-127.0,</v>
      </c>
      <c r="H456">
        <f t="shared" si="14"/>
        <v>-127</v>
      </c>
      <c r="I456">
        <f t="shared" si="22"/>
        <v>-22.5</v>
      </c>
      <c r="L456" t="e">
        <f>502+2*(Table25791113[[#This Row],[min value (corrected)]])</f>
        <v>#NUM!</v>
      </c>
      <c r="M456" t="e">
        <f>MINUTE(Table25791113[[#This Row],[Corrected time]])</f>
        <v>#NUM!</v>
      </c>
      <c r="N456" s="1"/>
      <c r="O456" s="1">
        <f>Table25791113[[#This Row],[Time]]-TIME(0,0,3)</f>
        <v>-3.4722222222222222E-5</v>
      </c>
      <c r="R456">
        <f>Table25791113[[#This Row],[RSSI]]</f>
        <v>0</v>
      </c>
    </row>
    <row r="457" spans="2:18" x14ac:dyDescent="0.25">
      <c r="B457">
        <f>480+2*(Table14681012[[#This Row],[min value (corrected)]]-34)</f>
        <v>502</v>
      </c>
      <c r="C457">
        <f>MINUTE(Table14681012[[#This Row],[Corrected time]])</f>
        <v>45</v>
      </c>
      <c r="D457" s="1">
        <v>0.74016932870370367</v>
      </c>
      <c r="E457" s="1">
        <f>Table14681012[[#This Row],[Time]]-TIME(0,0,9)</f>
        <v>0.74006516203703698</v>
      </c>
      <c r="F457" t="s">
        <v>13</v>
      </c>
      <c r="G457" t="str">
        <f t="shared" si="21"/>
        <v>-127.0,</v>
      </c>
      <c r="H457">
        <f t="shared" si="14"/>
        <v>-127</v>
      </c>
      <c r="I457">
        <f t="shared" si="22"/>
        <v>-22.5</v>
      </c>
      <c r="L457" t="e">
        <f>502+2*(Table25791113[[#This Row],[min value (corrected)]])</f>
        <v>#NUM!</v>
      </c>
      <c r="M457" t="e">
        <f>MINUTE(Table25791113[[#This Row],[Corrected time]])</f>
        <v>#NUM!</v>
      </c>
      <c r="N457" s="1"/>
      <c r="O457" s="1">
        <f>Table25791113[[#This Row],[Time]]-TIME(0,0,3)</f>
        <v>-3.4722222222222222E-5</v>
      </c>
      <c r="R457">
        <f>Table25791113[[#This Row],[RSSI]]</f>
        <v>0</v>
      </c>
    </row>
    <row r="458" spans="2:18" x14ac:dyDescent="0.25">
      <c r="B458">
        <f>480+2*(Table14681012[[#This Row],[min value (corrected)]]-34)</f>
        <v>502</v>
      </c>
      <c r="C458">
        <f>MINUTE(Table14681012[[#This Row],[Corrected time]])</f>
        <v>45</v>
      </c>
      <c r="D458" s="1">
        <v>0.74018857638888891</v>
      </c>
      <c r="E458" s="1">
        <f>Table14681012[[#This Row],[Time]]-TIME(0,0,9)</f>
        <v>0.74008440972222223</v>
      </c>
      <c r="F458" t="s">
        <v>13</v>
      </c>
      <c r="G458" t="str">
        <f t="shared" si="21"/>
        <v>-127.0,</v>
      </c>
      <c r="H458">
        <f t="shared" si="14"/>
        <v>-127</v>
      </c>
      <c r="I458">
        <f t="shared" si="22"/>
        <v>-22.5</v>
      </c>
      <c r="L458" t="e">
        <f>502+2*(Table25791113[[#This Row],[min value (corrected)]])</f>
        <v>#NUM!</v>
      </c>
      <c r="M458" t="e">
        <f>MINUTE(Table25791113[[#This Row],[Corrected time]])</f>
        <v>#NUM!</v>
      </c>
      <c r="N458" s="1"/>
      <c r="O458" s="1">
        <f>Table25791113[[#This Row],[Time]]-TIME(0,0,3)</f>
        <v>-3.4722222222222222E-5</v>
      </c>
      <c r="R458">
        <f>Table25791113[[#This Row],[RSSI]]</f>
        <v>0</v>
      </c>
    </row>
    <row r="459" spans="2:18" x14ac:dyDescent="0.25">
      <c r="B459">
        <f>480+2*(Table14681012[[#This Row],[min value (corrected)]]-34)</f>
        <v>502</v>
      </c>
      <c r="C459">
        <f>MINUTE(Table14681012[[#This Row],[Corrected time]])</f>
        <v>45</v>
      </c>
      <c r="D459" s="1">
        <v>0.74020782407407404</v>
      </c>
      <c r="E459" s="1">
        <f>Table14681012[[#This Row],[Time]]-TIME(0,0,9)</f>
        <v>0.74010365740740736</v>
      </c>
      <c r="F459" t="s">
        <v>13</v>
      </c>
      <c r="G459" t="str">
        <f t="shared" si="21"/>
        <v>-127.0,</v>
      </c>
      <c r="H459">
        <f t="shared" si="14"/>
        <v>-127</v>
      </c>
      <c r="I459">
        <f t="shared" si="22"/>
        <v>-22.5</v>
      </c>
      <c r="L459" t="e">
        <f>502+2*(Table25791113[[#This Row],[min value (corrected)]])</f>
        <v>#NUM!</v>
      </c>
      <c r="M459" t="e">
        <f>MINUTE(Table25791113[[#This Row],[Corrected time]])</f>
        <v>#NUM!</v>
      </c>
      <c r="N459" s="1"/>
      <c r="O459" s="1">
        <f>Table25791113[[#This Row],[Time]]-TIME(0,0,3)</f>
        <v>-3.4722222222222222E-5</v>
      </c>
      <c r="R459">
        <f>Table25791113[[#This Row],[RSSI]]</f>
        <v>0</v>
      </c>
    </row>
    <row r="460" spans="2:18" x14ac:dyDescent="0.25">
      <c r="B460">
        <f>480+2*(Table14681012[[#This Row],[min value (corrected)]]-34)</f>
        <v>502</v>
      </c>
      <c r="C460">
        <f>MINUTE(Table14681012[[#This Row],[Corrected time]])</f>
        <v>45</v>
      </c>
      <c r="D460" s="1">
        <v>0.74022706018518525</v>
      </c>
      <c r="E460" s="1">
        <f>Table14681012[[#This Row],[Time]]-TIME(0,0,9)</f>
        <v>0.74012289351851857</v>
      </c>
      <c r="F460" t="s">
        <v>13</v>
      </c>
      <c r="G460" t="str">
        <f t="shared" si="21"/>
        <v>-127.0,</v>
      </c>
      <c r="H460">
        <f t="shared" si="14"/>
        <v>-127</v>
      </c>
      <c r="I460">
        <f t="shared" si="22"/>
        <v>-22.5</v>
      </c>
      <c r="L460" t="e">
        <f>502+2*(Table25791113[[#This Row],[min value (corrected)]])</f>
        <v>#NUM!</v>
      </c>
      <c r="M460" t="e">
        <f>MINUTE(Table25791113[[#This Row],[Corrected time]])</f>
        <v>#NUM!</v>
      </c>
      <c r="N460" s="1"/>
      <c r="O460" s="1">
        <f>Table25791113[[#This Row],[Time]]-TIME(0,0,3)</f>
        <v>-3.4722222222222222E-5</v>
      </c>
      <c r="R460">
        <f>Table25791113[[#This Row],[RSSI]]</f>
        <v>0</v>
      </c>
    </row>
    <row r="461" spans="2:18" x14ac:dyDescent="0.25">
      <c r="B461">
        <f>480+2*(Table14681012[[#This Row],[min value (corrected)]]-34)</f>
        <v>502</v>
      </c>
      <c r="C461">
        <f>MINUTE(Table14681012[[#This Row],[Corrected time]])</f>
        <v>45</v>
      </c>
      <c r="D461" s="1">
        <v>0.74024631944444441</v>
      </c>
      <c r="E461" s="1">
        <f>Table14681012[[#This Row],[Time]]-TIME(0,0,9)</f>
        <v>0.74014215277777773</v>
      </c>
      <c r="F461" t="s">
        <v>13</v>
      </c>
      <c r="G461" t="str">
        <f t="shared" si="21"/>
        <v>-127.0,</v>
      </c>
      <c r="H461">
        <f t="shared" si="14"/>
        <v>-127</v>
      </c>
      <c r="I461">
        <f t="shared" si="22"/>
        <v>-22.5</v>
      </c>
      <c r="L461" t="e">
        <f>502+2*(Table25791113[[#This Row],[min value (corrected)]])</f>
        <v>#NUM!</v>
      </c>
      <c r="M461" t="e">
        <f>MINUTE(Table25791113[[#This Row],[Corrected time]])</f>
        <v>#NUM!</v>
      </c>
      <c r="N461" s="1"/>
      <c r="O461" s="1">
        <f>Table25791113[[#This Row],[Time]]-TIME(0,0,3)</f>
        <v>-3.4722222222222222E-5</v>
      </c>
      <c r="R461">
        <f>Table25791113[[#This Row],[RSSI]]</f>
        <v>0</v>
      </c>
    </row>
    <row r="462" spans="2:18" x14ac:dyDescent="0.25">
      <c r="B462">
        <f>480+2*(Table14681012[[#This Row],[min value (corrected)]]-34)</f>
        <v>502</v>
      </c>
      <c r="C462">
        <f>MINUTE(Table14681012[[#This Row],[Corrected time]])</f>
        <v>45</v>
      </c>
      <c r="D462" s="1">
        <v>0.74026556712962965</v>
      </c>
      <c r="E462" s="1">
        <f>Table14681012[[#This Row],[Time]]-TIME(0,0,9)</f>
        <v>0.74016140046296297</v>
      </c>
      <c r="F462" t="s">
        <v>13</v>
      </c>
      <c r="G462" t="str">
        <f t="shared" si="21"/>
        <v>-127.0,</v>
      </c>
      <c r="H462">
        <f t="shared" si="14"/>
        <v>-127</v>
      </c>
      <c r="I462">
        <f t="shared" si="22"/>
        <v>-22.5</v>
      </c>
      <c r="L462" t="e">
        <f>502+2*(Table25791113[[#This Row],[min value (corrected)]])</f>
        <v>#NUM!</v>
      </c>
      <c r="M462" t="e">
        <f>MINUTE(Table25791113[[#This Row],[Corrected time]])</f>
        <v>#NUM!</v>
      </c>
      <c r="N462" s="1"/>
      <c r="O462" s="1">
        <f>Table25791113[[#This Row],[Time]]-TIME(0,0,3)</f>
        <v>-3.4722222222222222E-5</v>
      </c>
      <c r="R462">
        <f>Table25791113[[#This Row],[RSSI]]</f>
        <v>0</v>
      </c>
    </row>
    <row r="463" spans="2:18" x14ac:dyDescent="0.25">
      <c r="B463">
        <f>480+2*(Table14681012[[#This Row],[min value (corrected)]]-34)</f>
        <v>502</v>
      </c>
      <c r="C463">
        <f>MINUTE(Table14681012[[#This Row],[Corrected time]])</f>
        <v>45</v>
      </c>
      <c r="D463" s="1">
        <v>0.74028481481481478</v>
      </c>
      <c r="E463" s="1">
        <f>Table14681012[[#This Row],[Time]]-TIME(0,0,9)</f>
        <v>0.7401806481481481</v>
      </c>
      <c r="F463" t="s">
        <v>13</v>
      </c>
      <c r="G463" t="str">
        <f t="shared" si="21"/>
        <v>-127.0,</v>
      </c>
      <c r="H463">
        <f t="shared" si="14"/>
        <v>-127</v>
      </c>
      <c r="I463">
        <f t="shared" si="22"/>
        <v>-22.5</v>
      </c>
      <c r="L463" t="e">
        <f>502+2*(Table25791113[[#This Row],[min value (corrected)]])</f>
        <v>#NUM!</v>
      </c>
      <c r="M463" t="e">
        <f>MINUTE(Table25791113[[#This Row],[Corrected time]])</f>
        <v>#NUM!</v>
      </c>
      <c r="N463" s="1"/>
      <c r="O463" s="1">
        <f>Table25791113[[#This Row],[Time]]-TIME(0,0,3)</f>
        <v>-3.4722222222222222E-5</v>
      </c>
      <c r="R463">
        <f>Table25791113[[#This Row],[RSSI]]</f>
        <v>0</v>
      </c>
    </row>
    <row r="464" spans="2:18" x14ac:dyDescent="0.25">
      <c r="B464">
        <f>480+2*(Table14681012[[#This Row],[min value (corrected)]]-34)</f>
        <v>502</v>
      </c>
      <c r="C464">
        <f>MINUTE(Table14681012[[#This Row],[Corrected time]])</f>
        <v>45</v>
      </c>
      <c r="D464" s="1">
        <v>0.74030406250000003</v>
      </c>
      <c r="E464" s="1">
        <f>Table14681012[[#This Row],[Time]]-TIME(0,0,9)</f>
        <v>0.74019989583333334</v>
      </c>
      <c r="F464" t="s">
        <v>13</v>
      </c>
      <c r="G464" t="str">
        <f t="shared" si="21"/>
        <v>-127.0,</v>
      </c>
      <c r="H464">
        <f t="shared" si="14"/>
        <v>-127</v>
      </c>
      <c r="I464">
        <f t="shared" si="22"/>
        <v>-22.5</v>
      </c>
      <c r="L464" t="e">
        <f>502+2*(Table25791113[[#This Row],[min value (corrected)]])</f>
        <v>#NUM!</v>
      </c>
      <c r="M464" t="e">
        <f>MINUTE(Table25791113[[#This Row],[Corrected time]])</f>
        <v>#NUM!</v>
      </c>
      <c r="N464" s="1"/>
      <c r="O464" s="1">
        <f>Table25791113[[#This Row],[Time]]-TIME(0,0,3)</f>
        <v>-3.4722222222222222E-5</v>
      </c>
      <c r="R464">
        <f>Table25791113[[#This Row],[RSSI]]</f>
        <v>0</v>
      </c>
    </row>
    <row r="465" spans="2:18" x14ac:dyDescent="0.25">
      <c r="B465">
        <f>480+2*(Table14681012[[#This Row],[min value (corrected)]]-34)</f>
        <v>502</v>
      </c>
      <c r="C465">
        <f>MINUTE(Table14681012[[#This Row],[Corrected time]])</f>
        <v>45</v>
      </c>
      <c r="D465" s="1">
        <v>0.74032331018518516</v>
      </c>
      <c r="E465" s="1">
        <f>Table14681012[[#This Row],[Time]]-TIME(0,0,9)</f>
        <v>0.74021914351851847</v>
      </c>
      <c r="F465" t="s">
        <v>13</v>
      </c>
      <c r="G465" t="str">
        <f t="shared" si="21"/>
        <v>-127.0,</v>
      </c>
      <c r="H465">
        <f t="shared" si="14"/>
        <v>-127</v>
      </c>
      <c r="I465">
        <f t="shared" si="22"/>
        <v>-22.5</v>
      </c>
      <c r="L465" t="e">
        <f>502+2*(Table25791113[[#This Row],[min value (corrected)]])</f>
        <v>#NUM!</v>
      </c>
      <c r="M465" t="e">
        <f>MINUTE(Table25791113[[#This Row],[Corrected time]])</f>
        <v>#NUM!</v>
      </c>
      <c r="N465" s="1"/>
      <c r="O465" s="1">
        <f>Table25791113[[#This Row],[Time]]-TIME(0,0,3)</f>
        <v>-3.4722222222222222E-5</v>
      </c>
      <c r="R465">
        <f>Table25791113[[#This Row],[RSSI]]</f>
        <v>0</v>
      </c>
    </row>
    <row r="466" spans="2:18" x14ac:dyDescent="0.25">
      <c r="B466">
        <f>480+2*(Table14681012[[#This Row],[min value (corrected)]]-34)</f>
        <v>502</v>
      </c>
      <c r="C466">
        <f>MINUTE(Table14681012[[#This Row],[Corrected time]])</f>
        <v>45</v>
      </c>
      <c r="D466" s="1">
        <v>0.7403425578703704</v>
      </c>
      <c r="E466" s="1">
        <f>Table14681012[[#This Row],[Time]]-TIME(0,0,9)</f>
        <v>0.74023839120370372</v>
      </c>
      <c r="F466" t="s">
        <v>13</v>
      </c>
      <c r="G466" t="str">
        <f t="shared" si="21"/>
        <v>-127.0,</v>
      </c>
      <c r="H466">
        <f t="shared" si="14"/>
        <v>-127</v>
      </c>
      <c r="I466">
        <f t="shared" si="22"/>
        <v>-22.5</v>
      </c>
      <c r="L466" t="e">
        <f>502+2*(Table25791113[[#This Row],[min value (corrected)]])</f>
        <v>#NUM!</v>
      </c>
      <c r="M466" t="e">
        <f>MINUTE(Table25791113[[#This Row],[Corrected time]])</f>
        <v>#NUM!</v>
      </c>
      <c r="N466" s="1"/>
      <c r="O466" s="1">
        <f>Table25791113[[#This Row],[Time]]-TIME(0,0,3)</f>
        <v>-3.4722222222222222E-5</v>
      </c>
      <c r="R466">
        <f>Table25791113[[#This Row],[RSSI]]</f>
        <v>0</v>
      </c>
    </row>
    <row r="467" spans="2:18" x14ac:dyDescent="0.25">
      <c r="B467">
        <f>480+2*(Table14681012[[#This Row],[min value (corrected)]]-34)</f>
        <v>502</v>
      </c>
      <c r="C467">
        <f>MINUTE(Table14681012[[#This Row],[Corrected time]])</f>
        <v>45</v>
      </c>
      <c r="D467" s="1">
        <v>0.7403617939814815</v>
      </c>
      <c r="E467" s="1">
        <f>Table14681012[[#This Row],[Time]]-TIME(0,0,9)</f>
        <v>0.74025762731481481</v>
      </c>
      <c r="F467" t="s">
        <v>13</v>
      </c>
      <c r="G467" t="str">
        <f t="shared" si="21"/>
        <v>-127.0,</v>
      </c>
      <c r="H467">
        <f t="shared" si="14"/>
        <v>-127</v>
      </c>
      <c r="I467">
        <f t="shared" si="22"/>
        <v>-22.5</v>
      </c>
      <c r="L467" t="e">
        <f>502+2*(Table25791113[[#This Row],[min value (corrected)]])</f>
        <v>#NUM!</v>
      </c>
      <c r="M467" t="e">
        <f>MINUTE(Table25791113[[#This Row],[Corrected time]])</f>
        <v>#NUM!</v>
      </c>
      <c r="N467" s="1"/>
      <c r="O467" s="1">
        <f>Table25791113[[#This Row],[Time]]-TIME(0,0,3)</f>
        <v>-3.4722222222222222E-5</v>
      </c>
      <c r="R467">
        <f>Table25791113[[#This Row],[RSSI]]</f>
        <v>0</v>
      </c>
    </row>
    <row r="468" spans="2:18" x14ac:dyDescent="0.25">
      <c r="B468">
        <f>480+2*(Table14681012[[#This Row],[min value (corrected)]]-34)</f>
        <v>504</v>
      </c>
      <c r="C468">
        <f>MINUTE(Table14681012[[#This Row],[Corrected time]])</f>
        <v>46</v>
      </c>
      <c r="D468" s="1">
        <v>0.74038104166666663</v>
      </c>
      <c r="E468" s="1">
        <f>Table14681012[[#This Row],[Time]]-TIME(0,0,9)</f>
        <v>0.74027687499999995</v>
      </c>
      <c r="F468" t="s">
        <v>13</v>
      </c>
      <c r="G468" t="str">
        <f t="shared" si="21"/>
        <v>-127.0,</v>
      </c>
      <c r="H468">
        <f t="shared" si="14"/>
        <v>-127</v>
      </c>
      <c r="I468">
        <f t="shared" si="22"/>
        <v>-22.5</v>
      </c>
      <c r="L468" t="e">
        <f>502+2*(Table25791113[[#This Row],[min value (corrected)]])</f>
        <v>#NUM!</v>
      </c>
      <c r="M468" t="e">
        <f>MINUTE(Table25791113[[#This Row],[Corrected time]])</f>
        <v>#NUM!</v>
      </c>
      <c r="N468" s="1"/>
      <c r="O468" s="1">
        <f>Table25791113[[#This Row],[Time]]-TIME(0,0,3)</f>
        <v>-3.4722222222222222E-5</v>
      </c>
      <c r="R468">
        <f>Table25791113[[#This Row],[RSSI]]</f>
        <v>0</v>
      </c>
    </row>
    <row r="469" spans="2:18" x14ac:dyDescent="0.25">
      <c r="B469">
        <f>480+2*(Table14681012[[#This Row],[min value (corrected)]]-34)</f>
        <v>504</v>
      </c>
      <c r="C469">
        <f>MINUTE(Table14681012[[#This Row],[Corrected time]])</f>
        <v>46</v>
      </c>
      <c r="D469" s="1">
        <v>0.74040030092592601</v>
      </c>
      <c r="E469" s="1">
        <f>Table14681012[[#This Row],[Time]]-TIME(0,0,9)</f>
        <v>0.74029613425925933</v>
      </c>
      <c r="F469" t="s">
        <v>13</v>
      </c>
      <c r="G469" t="str">
        <f t="shared" si="21"/>
        <v>-127.0,</v>
      </c>
      <c r="H469">
        <f t="shared" si="14"/>
        <v>-127</v>
      </c>
      <c r="I469">
        <f t="shared" si="22"/>
        <v>-22.5</v>
      </c>
      <c r="L469" t="e">
        <f>502+2*(Table25791113[[#This Row],[min value (corrected)]])</f>
        <v>#NUM!</v>
      </c>
      <c r="M469" t="e">
        <f>MINUTE(Table25791113[[#This Row],[Corrected time]])</f>
        <v>#NUM!</v>
      </c>
      <c r="N469" s="1"/>
      <c r="O469" s="1">
        <f>Table25791113[[#This Row],[Time]]-TIME(0,0,3)</f>
        <v>-3.4722222222222222E-5</v>
      </c>
      <c r="R469">
        <f>Table25791113[[#This Row],[RSSI]]</f>
        <v>0</v>
      </c>
    </row>
    <row r="470" spans="2:18" x14ac:dyDescent="0.25">
      <c r="B470">
        <f>480+2*(Table14681012[[#This Row],[min value (corrected)]]-34)</f>
        <v>504</v>
      </c>
      <c r="C470">
        <f>MINUTE(Table14681012[[#This Row],[Corrected time]])</f>
        <v>46</v>
      </c>
      <c r="D470" s="1">
        <v>0.74041954861111114</v>
      </c>
      <c r="E470" s="1">
        <f>Table14681012[[#This Row],[Time]]-TIME(0,0,9)</f>
        <v>0.74031538194444446</v>
      </c>
      <c r="F470" t="s">
        <v>13</v>
      </c>
      <c r="G470" t="str">
        <f t="shared" si="21"/>
        <v>-127.0,</v>
      </c>
      <c r="H470">
        <f t="shared" ref="H470:H533" si="23">VALUE(LEFT(G470,LEN(G470)-1))</f>
        <v>-127</v>
      </c>
      <c r="I470">
        <f t="shared" si="22"/>
        <v>-22.5</v>
      </c>
      <c r="L470" t="e">
        <f>502+2*(Table25791113[[#This Row],[min value (corrected)]])</f>
        <v>#NUM!</v>
      </c>
      <c r="M470" t="e">
        <f>MINUTE(Table25791113[[#This Row],[Corrected time]])</f>
        <v>#NUM!</v>
      </c>
      <c r="N470" s="1"/>
      <c r="O470" s="1">
        <f>Table25791113[[#This Row],[Time]]-TIME(0,0,3)</f>
        <v>-3.4722222222222222E-5</v>
      </c>
      <c r="R470">
        <f>Table25791113[[#This Row],[RSSI]]</f>
        <v>0</v>
      </c>
    </row>
    <row r="471" spans="2:18" x14ac:dyDescent="0.25">
      <c r="B471">
        <f>480+2*(Table14681012[[#This Row],[min value (corrected)]]-34)</f>
        <v>504</v>
      </c>
      <c r="C471">
        <f>MINUTE(Table14681012[[#This Row],[Corrected time]])</f>
        <v>46</v>
      </c>
      <c r="D471" s="1">
        <v>0.74043879629629628</v>
      </c>
      <c r="E471" s="1">
        <f>Table14681012[[#This Row],[Time]]-TIME(0,0,9)</f>
        <v>0.74033462962962959</v>
      </c>
      <c r="F471" t="s">
        <v>13</v>
      </c>
      <c r="G471" t="str">
        <f t="shared" si="21"/>
        <v>-127.0,</v>
      </c>
      <c r="H471">
        <f t="shared" si="23"/>
        <v>-127</v>
      </c>
      <c r="I471">
        <f t="shared" si="22"/>
        <v>-22.5</v>
      </c>
      <c r="L471" t="e">
        <f>502+2*(Table25791113[[#This Row],[min value (corrected)]])</f>
        <v>#NUM!</v>
      </c>
      <c r="M471" t="e">
        <f>MINUTE(Table25791113[[#This Row],[Corrected time]])</f>
        <v>#NUM!</v>
      </c>
      <c r="N471" s="1"/>
      <c r="O471" s="1">
        <f>Table25791113[[#This Row],[Time]]-TIME(0,0,3)</f>
        <v>-3.4722222222222222E-5</v>
      </c>
      <c r="R471">
        <f>Table25791113[[#This Row],[RSSI]]</f>
        <v>0</v>
      </c>
    </row>
    <row r="472" spans="2:18" x14ac:dyDescent="0.25">
      <c r="B472">
        <f>480+2*(Table14681012[[#This Row],[min value (corrected)]]-34)</f>
        <v>504</v>
      </c>
      <c r="C472">
        <f>MINUTE(Table14681012[[#This Row],[Corrected time]])</f>
        <v>46</v>
      </c>
      <c r="D472" s="1">
        <v>0.74045804398148141</v>
      </c>
      <c r="E472" s="1">
        <f>Table14681012[[#This Row],[Time]]-TIME(0,0,9)</f>
        <v>0.74035387731481472</v>
      </c>
      <c r="F472" t="s">
        <v>13</v>
      </c>
      <c r="G472" t="str">
        <f t="shared" si="21"/>
        <v>-127.0,</v>
      </c>
      <c r="H472">
        <f t="shared" si="23"/>
        <v>-127</v>
      </c>
      <c r="I472">
        <f t="shared" si="22"/>
        <v>-22.5</v>
      </c>
      <c r="N472" s="1"/>
      <c r="O472" s="1">
        <f>Table25791113[[#This Row],[Time]]-TIME(0,0,0)</f>
        <v>0</v>
      </c>
      <c r="R472">
        <f>Table25791113[[#This Row],[RSSI]]</f>
        <v>0</v>
      </c>
    </row>
    <row r="473" spans="2:18" x14ac:dyDescent="0.25">
      <c r="B473">
        <f>480+2*(Table14681012[[#This Row],[min value (corrected)]]-34)</f>
        <v>504</v>
      </c>
      <c r="C473">
        <f>MINUTE(Table14681012[[#This Row],[Corrected time]])</f>
        <v>46</v>
      </c>
      <c r="D473" s="1">
        <v>0.74047729166666665</v>
      </c>
      <c r="E473" s="1">
        <f>Table14681012[[#This Row],[Time]]-TIME(0,0,9)</f>
        <v>0.74037312499999997</v>
      </c>
      <c r="F473" t="s">
        <v>13</v>
      </c>
      <c r="G473" t="str">
        <f t="shared" si="21"/>
        <v>-127.0,</v>
      </c>
      <c r="H473">
        <f t="shared" si="23"/>
        <v>-127</v>
      </c>
      <c r="I473">
        <f t="shared" si="22"/>
        <v>-22.5</v>
      </c>
      <c r="N473" s="1"/>
      <c r="O473" s="1">
        <f>Table25791113[[#This Row],[Time]]-TIME(0,0,0)</f>
        <v>0</v>
      </c>
      <c r="R473">
        <f>Table25791113[[#This Row],[RSSI]]</f>
        <v>0</v>
      </c>
    </row>
    <row r="474" spans="2:18" x14ac:dyDescent="0.25">
      <c r="B474">
        <f>480+2*(Table14681012[[#This Row],[min value (corrected)]]-34)</f>
        <v>504</v>
      </c>
      <c r="C474">
        <f>MINUTE(Table14681012[[#This Row],[Corrected time]])</f>
        <v>46</v>
      </c>
      <c r="D474" s="1">
        <v>0.74049653935185178</v>
      </c>
      <c r="E474" s="1">
        <f>Table14681012[[#This Row],[Time]]-TIME(0,0,9)</f>
        <v>0.7403923726851851</v>
      </c>
      <c r="F474" t="s">
        <v>13</v>
      </c>
      <c r="G474" t="str">
        <f t="shared" si="21"/>
        <v>-127.0,</v>
      </c>
      <c r="H474">
        <f t="shared" si="23"/>
        <v>-127</v>
      </c>
      <c r="I474">
        <f t="shared" si="22"/>
        <v>-22.5</v>
      </c>
      <c r="N474" s="1"/>
      <c r="O474" s="1">
        <f>Table25791113[[#This Row],[Time]]-TIME(0,0,0)</f>
        <v>0</v>
      </c>
      <c r="R474">
        <f>Table25791113[[#This Row],[RSSI]]</f>
        <v>0</v>
      </c>
    </row>
    <row r="475" spans="2:18" x14ac:dyDescent="0.25">
      <c r="B475">
        <f>480+2*(Table14681012[[#This Row],[min value (corrected)]]-34)</f>
        <v>504</v>
      </c>
      <c r="C475">
        <f>MINUTE(Table14681012[[#This Row],[Corrected time]])</f>
        <v>46</v>
      </c>
      <c r="D475" s="1">
        <v>0.74051576388888884</v>
      </c>
      <c r="E475" s="1">
        <f>Table14681012[[#This Row],[Time]]-TIME(0,0,9)</f>
        <v>0.74041159722222216</v>
      </c>
      <c r="F475" t="s">
        <v>13</v>
      </c>
      <c r="G475" t="str">
        <f t="shared" si="21"/>
        <v>-127.0,</v>
      </c>
      <c r="H475">
        <f t="shared" si="23"/>
        <v>-127</v>
      </c>
      <c r="I475">
        <f t="shared" si="22"/>
        <v>-22.5</v>
      </c>
      <c r="N475" s="1"/>
      <c r="O475" s="1">
        <f>Table25791113[[#This Row],[Time]]-TIME(0,0,0)</f>
        <v>0</v>
      </c>
      <c r="R475">
        <f>Table25791113[[#This Row],[RSSI]]</f>
        <v>0</v>
      </c>
    </row>
    <row r="476" spans="2:18" x14ac:dyDescent="0.25">
      <c r="B476">
        <f>480+2*(Table14681012[[#This Row],[min value (corrected)]]-34)</f>
        <v>504</v>
      </c>
      <c r="C476">
        <f>MINUTE(Table14681012[[#This Row],[Corrected time]])</f>
        <v>46</v>
      </c>
      <c r="D476" s="1">
        <v>0.74053502314814823</v>
      </c>
      <c r="E476" s="1">
        <f>Table14681012[[#This Row],[Time]]-TIME(0,0,9)</f>
        <v>0.74043085648148155</v>
      </c>
      <c r="F476" t="s">
        <v>13</v>
      </c>
      <c r="G476" t="str">
        <f t="shared" si="21"/>
        <v>-127.0,</v>
      </c>
      <c r="H476">
        <f t="shared" si="23"/>
        <v>-127</v>
      </c>
      <c r="I476">
        <f t="shared" si="22"/>
        <v>-22.5</v>
      </c>
      <c r="N476" s="1"/>
      <c r="O476" s="1">
        <f>Table25791113[[#This Row],[Time]]-TIME(0,0,0)</f>
        <v>0</v>
      </c>
      <c r="R476">
        <f>Table25791113[[#This Row],[RSSI]]</f>
        <v>0</v>
      </c>
    </row>
    <row r="477" spans="2:18" x14ac:dyDescent="0.25">
      <c r="B477">
        <f>480+2*(Table14681012[[#This Row],[min value (corrected)]]-34)</f>
        <v>504</v>
      </c>
      <c r="C477">
        <f>MINUTE(Table14681012[[#This Row],[Corrected time]])</f>
        <v>46</v>
      </c>
      <c r="D477" s="1">
        <v>0.74055428240740739</v>
      </c>
      <c r="E477" s="1">
        <f>Table14681012[[#This Row],[Time]]-TIME(0,0,9)</f>
        <v>0.74045011574074071</v>
      </c>
      <c r="F477" t="s">
        <v>13</v>
      </c>
      <c r="G477" t="str">
        <f t="shared" si="21"/>
        <v>-127.0,</v>
      </c>
      <c r="H477">
        <f t="shared" si="23"/>
        <v>-127</v>
      </c>
      <c r="I477">
        <f t="shared" si="22"/>
        <v>-22.5</v>
      </c>
      <c r="N477" s="1"/>
      <c r="O477" s="1">
        <f>Table25791113[[#This Row],[Time]]</f>
        <v>0</v>
      </c>
      <c r="R477">
        <f>Table25791113[[#This Row],[RSSI]]</f>
        <v>0</v>
      </c>
    </row>
    <row r="478" spans="2:18" x14ac:dyDescent="0.25">
      <c r="B478">
        <f>480+2*(Table14681012[[#This Row],[min value (corrected)]]-34)</f>
        <v>504</v>
      </c>
      <c r="C478">
        <f>MINUTE(Table14681012[[#This Row],[Corrected time]])</f>
        <v>46</v>
      </c>
      <c r="D478" s="1">
        <v>0.7405735185185186</v>
      </c>
      <c r="E478" s="1">
        <f>Table14681012[[#This Row],[Time]]-TIME(0,0,9)</f>
        <v>0.74046935185185192</v>
      </c>
      <c r="F478" t="s">
        <v>13</v>
      </c>
      <c r="G478" t="str">
        <f t="shared" si="21"/>
        <v>-127.0,</v>
      </c>
      <c r="H478">
        <f t="shared" si="23"/>
        <v>-127</v>
      </c>
      <c r="I478">
        <f t="shared" si="22"/>
        <v>-22.5</v>
      </c>
      <c r="N478" s="1"/>
      <c r="O478" s="1">
        <f>Table25791113[[#This Row],[Time]]</f>
        <v>0</v>
      </c>
      <c r="R478">
        <f>Table25791113[[#This Row],[RSSI]]</f>
        <v>0</v>
      </c>
    </row>
    <row r="479" spans="2:18" x14ac:dyDescent="0.25">
      <c r="B479">
        <f>480+2*(Table14681012[[#This Row],[min value (corrected)]]-34)</f>
        <v>504</v>
      </c>
      <c r="C479">
        <f>MINUTE(Table14681012[[#This Row],[Corrected time]])</f>
        <v>46</v>
      </c>
      <c r="D479" s="1">
        <v>0.74059277777777777</v>
      </c>
      <c r="E479" s="1">
        <f>Table14681012[[#This Row],[Time]]-TIME(0,0,9)</f>
        <v>0.74048861111111108</v>
      </c>
      <c r="F479" t="s">
        <v>13</v>
      </c>
      <c r="G479" t="str">
        <f t="shared" si="21"/>
        <v>-127.0,</v>
      </c>
      <c r="H479">
        <f t="shared" si="23"/>
        <v>-127</v>
      </c>
      <c r="I479">
        <f t="shared" si="22"/>
        <v>-22.5</v>
      </c>
      <c r="N479" s="1"/>
      <c r="O479" s="1">
        <f>Table25791113[[#This Row],[Time]]</f>
        <v>0</v>
      </c>
      <c r="R479">
        <f>Table25791113[[#This Row],[RSSI]]</f>
        <v>0</v>
      </c>
    </row>
    <row r="480" spans="2:18" x14ac:dyDescent="0.25">
      <c r="B480">
        <f>480+2*(Table14681012[[#This Row],[min value (corrected)]]-34)</f>
        <v>504</v>
      </c>
      <c r="C480">
        <f>MINUTE(Table14681012[[#This Row],[Corrected time]])</f>
        <v>46</v>
      </c>
      <c r="D480" s="1">
        <v>0.74061202546296301</v>
      </c>
      <c r="E480" s="1">
        <f>Table14681012[[#This Row],[Time]]-TIME(0,0,9)</f>
        <v>0.74050785879629633</v>
      </c>
      <c r="F480" t="s">
        <v>13</v>
      </c>
      <c r="G480" t="str">
        <f t="shared" si="21"/>
        <v>-127.0,</v>
      </c>
      <c r="H480">
        <f t="shared" si="23"/>
        <v>-127</v>
      </c>
      <c r="I480">
        <f t="shared" si="22"/>
        <v>-22.5</v>
      </c>
      <c r="N480" s="1"/>
      <c r="O480" s="1">
        <f>Table25791113[[#This Row],[Time]]</f>
        <v>0</v>
      </c>
      <c r="R480">
        <f>Table25791113[[#This Row],[RSSI]]</f>
        <v>0</v>
      </c>
    </row>
    <row r="481" spans="2:18" x14ac:dyDescent="0.25">
      <c r="B481">
        <f>480+2*(Table14681012[[#This Row],[min value (corrected)]]-34)</f>
        <v>504</v>
      </c>
      <c r="C481">
        <f>MINUTE(Table14681012[[#This Row],[Corrected time]])</f>
        <v>46</v>
      </c>
      <c r="D481" s="1">
        <v>0.74063127314814814</v>
      </c>
      <c r="E481" s="1">
        <f>Table14681012[[#This Row],[Time]]-TIME(0,0,9)</f>
        <v>0.74052710648148146</v>
      </c>
      <c r="F481" t="s">
        <v>13</v>
      </c>
      <c r="G481" t="str">
        <f t="shared" si="21"/>
        <v>-127.0,</v>
      </c>
      <c r="H481">
        <f t="shared" si="23"/>
        <v>-127</v>
      </c>
      <c r="I481">
        <f t="shared" si="22"/>
        <v>-22.5</v>
      </c>
      <c r="N481" s="1"/>
      <c r="O481" s="1">
        <f>Table25791113[[#This Row],[Time]]</f>
        <v>0</v>
      </c>
      <c r="R481">
        <f>Table25791113[[#This Row],[RSSI]]</f>
        <v>0</v>
      </c>
    </row>
    <row r="482" spans="2:18" x14ac:dyDescent="0.25">
      <c r="B482">
        <f>480+2*(Table14681012[[#This Row],[min value (corrected)]]-34)</f>
        <v>504</v>
      </c>
      <c r="C482">
        <f>MINUTE(Table14681012[[#This Row],[Corrected time]])</f>
        <v>46</v>
      </c>
      <c r="D482" s="1">
        <v>0.74065050925925924</v>
      </c>
      <c r="E482" s="1">
        <f>Table14681012[[#This Row],[Time]]-TIME(0,0,9)</f>
        <v>0.74054634259259255</v>
      </c>
      <c r="F482" t="s">
        <v>13</v>
      </c>
      <c r="G482" t="str">
        <f t="shared" si="21"/>
        <v>-127.0,</v>
      </c>
      <c r="H482">
        <f t="shared" si="23"/>
        <v>-127</v>
      </c>
      <c r="I482">
        <f t="shared" si="22"/>
        <v>-22.5</v>
      </c>
      <c r="N482" s="1"/>
      <c r="O482" s="1">
        <f>Table25791113[[#This Row],[Time]]</f>
        <v>0</v>
      </c>
      <c r="R482">
        <f>Table25791113[[#This Row],[RSSI]]</f>
        <v>0</v>
      </c>
    </row>
    <row r="483" spans="2:18" x14ac:dyDescent="0.25">
      <c r="B483">
        <f>480+2*(Table14681012[[#This Row],[min value (corrected)]]-34)</f>
        <v>504</v>
      </c>
      <c r="C483">
        <f>MINUTE(Table14681012[[#This Row],[Corrected time]])</f>
        <v>46</v>
      </c>
      <c r="D483" s="1">
        <v>0.74066975694444448</v>
      </c>
      <c r="E483" s="1">
        <f>Table14681012[[#This Row],[Time]]-TIME(0,0,9)</f>
        <v>0.7405655902777778</v>
      </c>
      <c r="F483" t="s">
        <v>13</v>
      </c>
      <c r="G483" t="str">
        <f t="shared" si="21"/>
        <v>-127.0,</v>
      </c>
      <c r="H483">
        <f t="shared" si="23"/>
        <v>-127</v>
      </c>
      <c r="I483">
        <f t="shared" si="22"/>
        <v>-22.5</v>
      </c>
      <c r="N483" s="1"/>
      <c r="O483" s="1">
        <f>Table25791113[[#This Row],[Time]]</f>
        <v>0</v>
      </c>
      <c r="R483">
        <f>Table25791113[[#This Row],[RSSI]]</f>
        <v>0</v>
      </c>
    </row>
    <row r="484" spans="2:18" x14ac:dyDescent="0.25">
      <c r="B484">
        <f>480+2*(Table14681012[[#This Row],[min value (corrected)]]-34)</f>
        <v>504</v>
      </c>
      <c r="C484">
        <f>MINUTE(Table14681012[[#This Row],[Corrected time]])</f>
        <v>46</v>
      </c>
      <c r="D484" s="1">
        <v>0.74068900462962961</v>
      </c>
      <c r="E484" s="1">
        <f>Table14681012[[#This Row],[Time]]-TIME(0,0,9)</f>
        <v>0.74058483796296293</v>
      </c>
      <c r="F484" t="s">
        <v>13</v>
      </c>
      <c r="G484" t="str">
        <f t="shared" si="21"/>
        <v>-127.0,</v>
      </c>
      <c r="H484">
        <f t="shared" si="23"/>
        <v>-127</v>
      </c>
      <c r="I484">
        <f t="shared" si="22"/>
        <v>-22.5</v>
      </c>
      <c r="N484" s="1"/>
      <c r="O484" s="1">
        <f>Table25791113[[#This Row],[Time]]</f>
        <v>0</v>
      </c>
      <c r="R484">
        <f>Table25791113[[#This Row],[RSSI]]</f>
        <v>0</v>
      </c>
    </row>
    <row r="485" spans="2:18" x14ac:dyDescent="0.25">
      <c r="B485">
        <f>480+2*(Table14681012[[#This Row],[min value (corrected)]]-34)</f>
        <v>504</v>
      </c>
      <c r="C485">
        <f>MINUTE(Table14681012[[#This Row],[Corrected time]])</f>
        <v>46</v>
      </c>
      <c r="D485" s="1">
        <v>0.74070826388888888</v>
      </c>
      <c r="E485" s="1">
        <f>Table14681012[[#This Row],[Time]]-TIME(0,0,9)</f>
        <v>0.7406040972222222</v>
      </c>
      <c r="F485" t="s">
        <v>13</v>
      </c>
      <c r="G485" t="str">
        <f t="shared" si="21"/>
        <v>-127.0,</v>
      </c>
      <c r="H485">
        <f t="shared" si="23"/>
        <v>-127</v>
      </c>
      <c r="I485">
        <f t="shared" si="22"/>
        <v>-22.5</v>
      </c>
      <c r="N485" s="1"/>
      <c r="O485" s="1">
        <f>Table25791113[[#This Row],[Time]]</f>
        <v>0</v>
      </c>
      <c r="R485">
        <f>Table25791113[[#This Row],[RSSI]]</f>
        <v>0</v>
      </c>
    </row>
    <row r="486" spans="2:18" x14ac:dyDescent="0.25">
      <c r="B486">
        <f>480+2*(Table14681012[[#This Row],[min value (corrected)]]-34)</f>
        <v>504</v>
      </c>
      <c r="C486">
        <f>MINUTE(Table14681012[[#This Row],[Corrected time]])</f>
        <v>46</v>
      </c>
      <c r="D486" s="1">
        <v>0.74072751157407413</v>
      </c>
      <c r="E486" s="1">
        <f>Table14681012[[#This Row],[Time]]-TIME(0,0,9)</f>
        <v>0.74062334490740744</v>
      </c>
      <c r="F486" t="s">
        <v>13</v>
      </c>
      <c r="G486" t="str">
        <f t="shared" si="21"/>
        <v>-127.0,</v>
      </c>
      <c r="H486">
        <f t="shared" si="23"/>
        <v>-127</v>
      </c>
      <c r="I486">
        <f t="shared" si="22"/>
        <v>-22.5</v>
      </c>
      <c r="N486" s="1"/>
      <c r="O486" s="1">
        <f>Table25791113[[#This Row],[Time]]</f>
        <v>0</v>
      </c>
      <c r="R486">
        <f>Table25791113[[#This Row],[RSSI]]</f>
        <v>0</v>
      </c>
    </row>
    <row r="487" spans="2:18" x14ac:dyDescent="0.25">
      <c r="B487">
        <f>480+2*(Table14681012[[#This Row],[min value (corrected)]]-34)</f>
        <v>504</v>
      </c>
      <c r="C487">
        <f>MINUTE(Table14681012[[#This Row],[Corrected time]])</f>
        <v>46</v>
      </c>
      <c r="D487" s="1">
        <v>0.74074674768518523</v>
      </c>
      <c r="E487" s="1">
        <f>Table14681012[[#This Row],[Time]]-TIME(0,0,9)</f>
        <v>0.74064258101851854</v>
      </c>
      <c r="F487" t="s">
        <v>13</v>
      </c>
      <c r="G487" t="str">
        <f t="shared" si="21"/>
        <v>-127.0,</v>
      </c>
      <c r="H487">
        <f t="shared" si="23"/>
        <v>-127</v>
      </c>
      <c r="I487">
        <f t="shared" si="22"/>
        <v>-22.5</v>
      </c>
      <c r="N487" s="1"/>
      <c r="O487" s="1">
        <f>Table25791113[[#This Row],[Time]]</f>
        <v>0</v>
      </c>
      <c r="R487">
        <f>Table25791113[[#This Row],[RSSI]]</f>
        <v>0</v>
      </c>
    </row>
    <row r="488" spans="2:18" x14ac:dyDescent="0.25">
      <c r="B488">
        <f>480+2*(Table14681012[[#This Row],[min value (corrected)]]-34)</f>
        <v>504</v>
      </c>
      <c r="C488">
        <f>MINUTE(Table14681012[[#This Row],[Corrected time]])</f>
        <v>46</v>
      </c>
      <c r="D488" s="1">
        <v>0.74076599537037036</v>
      </c>
      <c r="E488" s="1">
        <f>Table14681012[[#This Row],[Time]]-TIME(0,0,9)</f>
        <v>0.74066182870370367</v>
      </c>
      <c r="F488" t="s">
        <v>13</v>
      </c>
      <c r="G488" t="str">
        <f t="shared" si="21"/>
        <v>-127.0,</v>
      </c>
      <c r="H488">
        <f t="shared" si="23"/>
        <v>-127</v>
      </c>
      <c r="I488">
        <f t="shared" si="22"/>
        <v>-22.5</v>
      </c>
      <c r="N488" s="1"/>
      <c r="O488" s="1">
        <f>Table25791113[[#This Row],[Time]]</f>
        <v>0</v>
      </c>
      <c r="R488">
        <f>Table25791113[[#This Row],[RSSI]]</f>
        <v>0</v>
      </c>
    </row>
    <row r="489" spans="2:18" x14ac:dyDescent="0.25">
      <c r="B489">
        <f>480+2*(Table14681012[[#This Row],[min value (corrected)]]-34)</f>
        <v>504</v>
      </c>
      <c r="C489">
        <f>MINUTE(Table14681012[[#This Row],[Corrected time]])</f>
        <v>46</v>
      </c>
      <c r="D489" s="1">
        <v>0.7407852430555556</v>
      </c>
      <c r="E489" s="1">
        <f>Table14681012[[#This Row],[Time]]-TIME(0,0,9)</f>
        <v>0.74068107638888891</v>
      </c>
      <c r="F489" t="s">
        <v>13</v>
      </c>
      <c r="G489" t="str">
        <f t="shared" si="21"/>
        <v>-127.0,</v>
      </c>
      <c r="H489">
        <f t="shared" si="23"/>
        <v>-127</v>
      </c>
      <c r="I489">
        <f t="shared" si="22"/>
        <v>-22.5</v>
      </c>
      <c r="N489" s="1"/>
      <c r="O489" s="1">
        <f>Table25791113[[#This Row],[Time]]</f>
        <v>0</v>
      </c>
      <c r="R489">
        <f>Table25791113[[#This Row],[RSSI]]</f>
        <v>0</v>
      </c>
    </row>
    <row r="490" spans="2:18" x14ac:dyDescent="0.25">
      <c r="B490">
        <f>480+2*(Table14681012[[#This Row],[min value (corrected)]]-34)</f>
        <v>504</v>
      </c>
      <c r="C490">
        <f>MINUTE(Table14681012[[#This Row],[Corrected time]])</f>
        <v>46</v>
      </c>
      <c r="D490" s="1">
        <v>0.74080450231481476</v>
      </c>
      <c r="E490" s="1">
        <f>Table14681012[[#This Row],[Time]]-TIME(0,0,9)</f>
        <v>0.74070033564814808</v>
      </c>
      <c r="F490" t="s">
        <v>13</v>
      </c>
      <c r="G490" t="str">
        <f t="shared" si="21"/>
        <v>-127.0,</v>
      </c>
      <c r="H490">
        <f t="shared" si="23"/>
        <v>-127</v>
      </c>
      <c r="I490">
        <f t="shared" si="22"/>
        <v>-22.5</v>
      </c>
      <c r="N490" s="1"/>
      <c r="O490" s="1">
        <f>Table25791113[[#This Row],[Time]]</f>
        <v>0</v>
      </c>
      <c r="R490">
        <f>Table25791113[[#This Row],[RSSI]]</f>
        <v>0</v>
      </c>
    </row>
    <row r="491" spans="2:18" x14ac:dyDescent="0.25">
      <c r="B491">
        <f>480+2*(Table14681012[[#This Row],[min value (corrected)]]-34)</f>
        <v>504</v>
      </c>
      <c r="C491">
        <f>MINUTE(Table14681012[[#This Row],[Corrected time]])</f>
        <v>46</v>
      </c>
      <c r="D491" s="1">
        <v>0.74082375</v>
      </c>
      <c r="E491" s="1">
        <f>Table14681012[[#This Row],[Time]]-TIME(0,0,9)</f>
        <v>0.74071958333333332</v>
      </c>
      <c r="F491" t="s">
        <v>13</v>
      </c>
      <c r="G491" t="str">
        <f t="shared" si="21"/>
        <v>-127.0,</v>
      </c>
      <c r="H491">
        <f t="shared" si="23"/>
        <v>-127</v>
      </c>
      <c r="I491">
        <f t="shared" si="22"/>
        <v>-22.5</v>
      </c>
      <c r="N491" s="1"/>
      <c r="O491" s="1">
        <f>Table25791113[[#This Row],[Time]]</f>
        <v>0</v>
      </c>
      <c r="R491">
        <f>Table25791113[[#This Row],[RSSI]]</f>
        <v>0</v>
      </c>
    </row>
    <row r="492" spans="2:18" x14ac:dyDescent="0.25">
      <c r="B492">
        <f>480+2*(Table14681012[[#This Row],[min value (corrected)]]-34)</f>
        <v>504</v>
      </c>
      <c r="C492">
        <f>MINUTE(Table14681012[[#This Row],[Corrected time]])</f>
        <v>46</v>
      </c>
      <c r="D492" s="1">
        <v>0.7408429861111111</v>
      </c>
      <c r="E492" s="1">
        <f>Table14681012[[#This Row],[Time]]-TIME(0,0,9)</f>
        <v>0.74073881944444442</v>
      </c>
      <c r="F492" t="s">
        <v>13</v>
      </c>
      <c r="G492" t="str">
        <f t="shared" si="21"/>
        <v>-127.0,</v>
      </c>
      <c r="H492">
        <f t="shared" si="23"/>
        <v>-127</v>
      </c>
      <c r="I492">
        <f t="shared" si="22"/>
        <v>-22.5</v>
      </c>
      <c r="N492" s="1"/>
      <c r="O492" s="1">
        <f>Table25791113[[#This Row],[Time]]</f>
        <v>0</v>
      </c>
      <c r="R492">
        <f>Table25791113[[#This Row],[RSSI]]</f>
        <v>0</v>
      </c>
    </row>
    <row r="493" spans="2:18" x14ac:dyDescent="0.25">
      <c r="B493">
        <f>480+2*(Table14681012[[#This Row],[min value (corrected)]]-34)</f>
        <v>504</v>
      </c>
      <c r="C493">
        <f>MINUTE(Table14681012[[#This Row],[Corrected time]])</f>
        <v>46</v>
      </c>
      <c r="D493" s="1">
        <v>0.74086223379629634</v>
      </c>
      <c r="E493" s="1">
        <f>Table14681012[[#This Row],[Time]]-TIME(0,0,9)</f>
        <v>0.74075806712962966</v>
      </c>
      <c r="F493" t="s">
        <v>13</v>
      </c>
      <c r="G493" t="str">
        <f t="shared" si="21"/>
        <v>-127.0,</v>
      </c>
      <c r="H493">
        <f t="shared" si="23"/>
        <v>-127</v>
      </c>
      <c r="I493">
        <f t="shared" si="22"/>
        <v>-22.5</v>
      </c>
      <c r="N493" s="1"/>
      <c r="O493" s="1">
        <f>Table25791113[[#This Row],[Time]]</f>
        <v>0</v>
      </c>
      <c r="R493">
        <f>Table25791113[[#This Row],[RSSI]]</f>
        <v>0</v>
      </c>
    </row>
    <row r="494" spans="2:18" x14ac:dyDescent="0.25">
      <c r="B494">
        <f>480+2*(Table14681012[[#This Row],[min value (corrected)]]-34)</f>
        <v>504</v>
      </c>
      <c r="C494">
        <f>MINUTE(Table14681012[[#This Row],[Corrected time]])</f>
        <v>46</v>
      </c>
      <c r="D494" s="1">
        <v>0.74088149305555551</v>
      </c>
      <c r="E494" s="1">
        <f>Table14681012[[#This Row],[Time]]-TIME(0,0,9)</f>
        <v>0.74077732638888882</v>
      </c>
      <c r="F494" t="s">
        <v>13</v>
      </c>
      <c r="G494" t="str">
        <f t="shared" si="21"/>
        <v>-127.0,</v>
      </c>
      <c r="H494">
        <f t="shared" si="23"/>
        <v>-127</v>
      </c>
      <c r="I494">
        <f t="shared" si="22"/>
        <v>-22.5</v>
      </c>
      <c r="N494" s="1"/>
      <c r="O494" s="1">
        <f>Table25791113[[#This Row],[Time]]</f>
        <v>0</v>
      </c>
      <c r="R494">
        <f>Table25791113[[#This Row],[RSSI]]</f>
        <v>0</v>
      </c>
    </row>
    <row r="495" spans="2:18" x14ac:dyDescent="0.25">
      <c r="B495">
        <f>480+2*(Table14681012[[#This Row],[min value (corrected)]]-34)</f>
        <v>504</v>
      </c>
      <c r="C495">
        <f>MINUTE(Table14681012[[#This Row],[Corrected time]])</f>
        <v>46</v>
      </c>
      <c r="D495" s="1">
        <v>0.74090072916666661</v>
      </c>
      <c r="E495" s="1">
        <f>Table14681012[[#This Row],[Time]]-TIME(0,0,9)</f>
        <v>0.74079656249999992</v>
      </c>
      <c r="F495" t="s">
        <v>13</v>
      </c>
      <c r="G495" t="str">
        <f t="shared" si="21"/>
        <v>-127.0,</v>
      </c>
      <c r="H495">
        <f t="shared" si="23"/>
        <v>-127</v>
      </c>
      <c r="I495">
        <f t="shared" si="22"/>
        <v>-22.5</v>
      </c>
      <c r="N495" s="1"/>
      <c r="O495" s="1">
        <f>Table25791113[[#This Row],[Time]]</f>
        <v>0</v>
      </c>
      <c r="R495">
        <f>Table25791113[[#This Row],[RSSI]]</f>
        <v>0</v>
      </c>
    </row>
    <row r="496" spans="2:18" x14ac:dyDescent="0.25">
      <c r="B496">
        <f>480+2*(Table14681012[[#This Row],[min value (corrected)]]-34)</f>
        <v>504</v>
      </c>
      <c r="C496">
        <f>MINUTE(Table14681012[[#This Row],[Corrected time]])</f>
        <v>46</v>
      </c>
      <c r="D496" s="1">
        <v>0.74091997685185185</v>
      </c>
      <c r="E496" s="1">
        <f>Table14681012[[#This Row],[Time]]-TIME(0,0,9)</f>
        <v>0.74081581018518516</v>
      </c>
      <c r="F496" t="s">
        <v>13</v>
      </c>
      <c r="G496" t="str">
        <f t="shared" si="21"/>
        <v>-127.0,</v>
      </c>
      <c r="H496">
        <f t="shared" si="23"/>
        <v>-127</v>
      </c>
      <c r="I496">
        <f t="shared" si="22"/>
        <v>-22.5</v>
      </c>
      <c r="N496" s="1"/>
      <c r="O496" s="1">
        <f>Table25791113[[#This Row],[Time]]</f>
        <v>0</v>
      </c>
      <c r="R496">
        <f>Table25791113[[#This Row],[RSSI]]</f>
        <v>0</v>
      </c>
    </row>
    <row r="497" spans="2:18" x14ac:dyDescent="0.25">
      <c r="B497">
        <f>480+2*(Table14681012[[#This Row],[min value (corrected)]]-34)</f>
        <v>504</v>
      </c>
      <c r="C497">
        <f>MINUTE(Table14681012[[#This Row],[Corrected time]])</f>
        <v>46</v>
      </c>
      <c r="D497" s="1">
        <v>0.74093921296296295</v>
      </c>
      <c r="E497" s="1">
        <f>Table14681012[[#This Row],[Time]]-TIME(0,0,9)</f>
        <v>0.74083504629629626</v>
      </c>
      <c r="F497" t="s">
        <v>13</v>
      </c>
      <c r="G497" t="str">
        <f t="shared" si="21"/>
        <v>-127.0,</v>
      </c>
      <c r="H497">
        <f t="shared" si="23"/>
        <v>-127</v>
      </c>
      <c r="I497">
        <f t="shared" si="22"/>
        <v>-22.5</v>
      </c>
      <c r="N497" s="1"/>
      <c r="O497" s="1">
        <f>Table25791113[[#This Row],[Time]]</f>
        <v>0</v>
      </c>
      <c r="R497">
        <f>Table25791113[[#This Row],[RSSI]]</f>
        <v>0</v>
      </c>
    </row>
    <row r="498" spans="2:18" x14ac:dyDescent="0.25">
      <c r="B498">
        <f>480+2*(Table14681012[[#This Row],[min value (corrected)]]-34)</f>
        <v>504</v>
      </c>
      <c r="C498">
        <f>MINUTE(Table14681012[[#This Row],[Corrected time]])</f>
        <v>46</v>
      </c>
      <c r="D498" s="1">
        <v>0.74095848379629636</v>
      </c>
      <c r="E498" s="1">
        <f>Table14681012[[#This Row],[Time]]-TIME(0,0,9)</f>
        <v>0.74085431712962968</v>
      </c>
      <c r="F498" t="s">
        <v>13</v>
      </c>
      <c r="G498" t="str">
        <f t="shared" si="21"/>
        <v>-127.0,</v>
      </c>
      <c r="H498">
        <f t="shared" si="23"/>
        <v>-127</v>
      </c>
      <c r="I498">
        <f t="shared" si="22"/>
        <v>-22.5</v>
      </c>
      <c r="N498" s="1"/>
      <c r="O498" s="1">
        <f>Table25791113[[#This Row],[Time]]</f>
        <v>0</v>
      </c>
      <c r="R498">
        <f>Table25791113[[#This Row],[RSSI]]</f>
        <v>0</v>
      </c>
    </row>
    <row r="499" spans="2:18" x14ac:dyDescent="0.25">
      <c r="B499">
        <f>480+2*(Table14681012[[#This Row],[min value (corrected)]]-34)</f>
        <v>504</v>
      </c>
      <c r="C499">
        <f>MINUTE(Table14681012[[#This Row],[Corrected time]])</f>
        <v>46</v>
      </c>
      <c r="D499" s="1">
        <v>0.74097773148148149</v>
      </c>
      <c r="E499" s="1">
        <f>Table14681012[[#This Row],[Time]]-TIME(0,0,9)</f>
        <v>0.74087356481481481</v>
      </c>
      <c r="F499" t="s">
        <v>13</v>
      </c>
      <c r="G499" t="str">
        <f t="shared" si="21"/>
        <v>-127.0,</v>
      </c>
      <c r="H499">
        <f t="shared" si="23"/>
        <v>-127</v>
      </c>
      <c r="I499">
        <f t="shared" si="22"/>
        <v>-22.5</v>
      </c>
      <c r="N499" s="1"/>
      <c r="O499" s="1">
        <f>Table25791113[[#This Row],[Time]]</f>
        <v>0</v>
      </c>
      <c r="R499">
        <f>Table25791113[[#This Row],[RSSI]]</f>
        <v>0</v>
      </c>
    </row>
    <row r="500" spans="2:18" x14ac:dyDescent="0.25">
      <c r="B500">
        <f>480+2*(Table14681012[[#This Row],[min value (corrected)]]-34)</f>
        <v>504</v>
      </c>
      <c r="C500">
        <f>MINUTE(Table14681012[[#This Row],[Corrected time]])</f>
        <v>46</v>
      </c>
      <c r="D500" s="1">
        <v>0.74099695601851856</v>
      </c>
      <c r="E500" s="1">
        <f>Table14681012[[#This Row],[Time]]-TIME(0,0,9)</f>
        <v>0.74089278935185188</v>
      </c>
      <c r="F500" t="s">
        <v>13</v>
      </c>
      <c r="G500" t="str">
        <f t="shared" si="21"/>
        <v>-127.0,</v>
      </c>
      <c r="H500">
        <f t="shared" si="23"/>
        <v>-127</v>
      </c>
      <c r="I500">
        <f t="shared" si="22"/>
        <v>-22.5</v>
      </c>
      <c r="N500" s="1"/>
      <c r="O500" s="1">
        <f>Table25791113[[#This Row],[Time]]</f>
        <v>0</v>
      </c>
      <c r="R500">
        <f>Table25791113[[#This Row],[RSSI]]</f>
        <v>0</v>
      </c>
    </row>
    <row r="501" spans="2:18" x14ac:dyDescent="0.25">
      <c r="B501">
        <f>480+2*(Table14681012[[#This Row],[min value (corrected)]]-34)</f>
        <v>504</v>
      </c>
      <c r="C501">
        <f>MINUTE(Table14681012[[#This Row],[Corrected time]])</f>
        <v>46</v>
      </c>
      <c r="D501" s="1">
        <v>0.74101620370370369</v>
      </c>
      <c r="E501" s="1">
        <f>Table14681012[[#This Row],[Time]]-TIME(0,0,9)</f>
        <v>0.74091203703703701</v>
      </c>
      <c r="F501" t="s">
        <v>13</v>
      </c>
      <c r="G501" t="str">
        <f t="shared" si="21"/>
        <v>-127.0,</v>
      </c>
      <c r="H501">
        <f t="shared" si="23"/>
        <v>-127</v>
      </c>
      <c r="I501">
        <f t="shared" si="22"/>
        <v>-22.5</v>
      </c>
      <c r="N501" s="1"/>
      <c r="O501" s="1">
        <f>Table25791113[[#This Row],[Time]]</f>
        <v>0</v>
      </c>
      <c r="R501">
        <f>Table25791113[[#This Row],[RSSI]]</f>
        <v>0</v>
      </c>
    </row>
    <row r="502" spans="2:18" x14ac:dyDescent="0.25">
      <c r="B502">
        <f>480+2*(Table14681012[[#This Row],[min value (corrected)]]-34)</f>
        <v>504</v>
      </c>
      <c r="C502">
        <f>MINUTE(Table14681012[[#This Row],[Corrected time]])</f>
        <v>46</v>
      </c>
      <c r="D502" s="1">
        <v>0.741035474537037</v>
      </c>
      <c r="E502" s="1">
        <f>Table14681012[[#This Row],[Time]]-TIME(0,0,9)</f>
        <v>0.74093130787037031</v>
      </c>
      <c r="F502" t="s">
        <v>13</v>
      </c>
      <c r="G502" t="str">
        <f t="shared" si="21"/>
        <v>-127.0,</v>
      </c>
      <c r="H502">
        <f t="shared" si="23"/>
        <v>-127</v>
      </c>
      <c r="I502">
        <f t="shared" si="22"/>
        <v>-22.5</v>
      </c>
      <c r="N502" s="1"/>
      <c r="O502" s="1">
        <f>Table25791113[[#This Row],[Time]]</f>
        <v>0</v>
      </c>
      <c r="R502">
        <f>Table25791113[[#This Row],[RSSI]]</f>
        <v>0</v>
      </c>
    </row>
    <row r="503" spans="2:18" x14ac:dyDescent="0.25">
      <c r="B503">
        <f>480+2*(Table14681012[[#This Row],[min value (corrected)]]-34)</f>
        <v>504</v>
      </c>
      <c r="C503">
        <f>MINUTE(Table14681012[[#This Row],[Corrected time]])</f>
        <v>46</v>
      </c>
      <c r="D503" s="1">
        <v>0.74105471064814821</v>
      </c>
      <c r="E503" s="1">
        <f>Table14681012[[#This Row],[Time]]-TIME(0,0,9)</f>
        <v>0.74095054398148152</v>
      </c>
      <c r="F503" t="s">
        <v>13</v>
      </c>
      <c r="G503" t="str">
        <f t="shared" si="21"/>
        <v>-127.0,</v>
      </c>
      <c r="H503">
        <f t="shared" si="23"/>
        <v>-127</v>
      </c>
      <c r="I503">
        <f t="shared" si="22"/>
        <v>-22.5</v>
      </c>
      <c r="N503" s="1"/>
      <c r="O503" s="1">
        <f>Table25791113[[#This Row],[Time]]</f>
        <v>0</v>
      </c>
      <c r="R503">
        <f>Table25791113[[#This Row],[RSSI]]</f>
        <v>0</v>
      </c>
    </row>
    <row r="504" spans="2:18" x14ac:dyDescent="0.25">
      <c r="B504">
        <f>480+2*(Table14681012[[#This Row],[min value (corrected)]]-34)</f>
        <v>506</v>
      </c>
      <c r="C504">
        <f>MINUTE(Table14681012[[#This Row],[Corrected time]])</f>
        <v>47</v>
      </c>
      <c r="D504" s="1">
        <v>0.74107395833333334</v>
      </c>
      <c r="E504" s="1">
        <f>Table14681012[[#This Row],[Time]]-TIME(0,0,9)</f>
        <v>0.74096979166666666</v>
      </c>
      <c r="F504" t="s">
        <v>13</v>
      </c>
      <c r="G504" t="str">
        <f t="shared" si="21"/>
        <v>-127.0,</v>
      </c>
      <c r="H504">
        <f t="shared" si="23"/>
        <v>-127</v>
      </c>
      <c r="I504">
        <f t="shared" si="22"/>
        <v>-22.5</v>
      </c>
      <c r="N504" s="1"/>
      <c r="O504" s="1">
        <f>Table25791113[[#This Row],[Time]]</f>
        <v>0</v>
      </c>
      <c r="R504">
        <f>Table25791113[[#This Row],[RSSI]]</f>
        <v>0</v>
      </c>
    </row>
    <row r="505" spans="2:18" x14ac:dyDescent="0.25">
      <c r="B505">
        <f>480+2*(Table14681012[[#This Row],[min value (corrected)]]-34)</f>
        <v>506</v>
      </c>
      <c r="C505">
        <f>MINUTE(Table14681012[[#This Row],[Corrected time]])</f>
        <v>47</v>
      </c>
      <c r="D505" s="1">
        <v>0.74109321759259261</v>
      </c>
      <c r="E505" s="1">
        <f>Table14681012[[#This Row],[Time]]-TIME(0,0,9)</f>
        <v>0.74098905092592593</v>
      </c>
      <c r="F505" t="s">
        <v>13</v>
      </c>
      <c r="G505" t="str">
        <f t="shared" si="21"/>
        <v>-127.0,</v>
      </c>
      <c r="H505">
        <f t="shared" si="23"/>
        <v>-127</v>
      </c>
      <c r="I505">
        <f t="shared" si="22"/>
        <v>-22.5</v>
      </c>
      <c r="N505" s="1"/>
      <c r="O505" s="1">
        <f>Table25791113[[#This Row],[Time]]</f>
        <v>0</v>
      </c>
      <c r="R505">
        <f>Table25791113[[#This Row],[RSSI]]</f>
        <v>0</v>
      </c>
    </row>
    <row r="506" spans="2:18" x14ac:dyDescent="0.25">
      <c r="B506">
        <f>480+2*(Table14681012[[#This Row],[min value (corrected)]]-34)</f>
        <v>506</v>
      </c>
      <c r="C506">
        <f>MINUTE(Table14681012[[#This Row],[Corrected time]])</f>
        <v>47</v>
      </c>
      <c r="D506" s="1">
        <v>0.74111245370370371</v>
      </c>
      <c r="E506" s="1">
        <f>Table14681012[[#This Row],[Time]]-TIME(0,0,9)</f>
        <v>0.74100828703703703</v>
      </c>
      <c r="F506" t="s">
        <v>13</v>
      </c>
      <c r="G506" t="str">
        <f t="shared" si="21"/>
        <v>-127.0,</v>
      </c>
      <c r="H506">
        <f t="shared" si="23"/>
        <v>-127</v>
      </c>
      <c r="I506">
        <f t="shared" si="22"/>
        <v>-22.5</v>
      </c>
      <c r="N506" s="1"/>
      <c r="O506" s="1">
        <f>Table25791113[[#This Row],[Time]]</f>
        <v>0</v>
      </c>
      <c r="R506">
        <f>Table25791113[[#This Row],[RSSI]]</f>
        <v>0</v>
      </c>
    </row>
    <row r="507" spans="2:18" x14ac:dyDescent="0.25">
      <c r="B507">
        <f>480+2*(Table14681012[[#This Row],[min value (corrected)]]-34)</f>
        <v>506</v>
      </c>
      <c r="C507">
        <f>MINUTE(Table14681012[[#This Row],[Corrected time]])</f>
        <v>47</v>
      </c>
      <c r="D507" s="1">
        <v>0.74113170138888895</v>
      </c>
      <c r="E507" s="1">
        <f>Table14681012[[#This Row],[Time]]-TIME(0,0,9)</f>
        <v>0.74102753472222227</v>
      </c>
      <c r="F507" t="s">
        <v>13</v>
      </c>
      <c r="G507" t="str">
        <f t="shared" si="21"/>
        <v>-127.0,</v>
      </c>
      <c r="H507">
        <f t="shared" si="23"/>
        <v>-127</v>
      </c>
      <c r="I507">
        <f t="shared" si="22"/>
        <v>-22.5</v>
      </c>
      <c r="N507" s="1"/>
      <c r="O507" s="1">
        <f>Table25791113[[#This Row],[Time]]</f>
        <v>0</v>
      </c>
      <c r="R507">
        <f>Table25791113[[#This Row],[RSSI]]</f>
        <v>0</v>
      </c>
    </row>
    <row r="508" spans="2:18" x14ac:dyDescent="0.25">
      <c r="B508">
        <f>480+2*(Table14681012[[#This Row],[min value (corrected)]]-34)</f>
        <v>506</v>
      </c>
      <c r="C508">
        <f>MINUTE(Table14681012[[#This Row],[Corrected time]])</f>
        <v>47</v>
      </c>
      <c r="D508" s="1">
        <v>0.74115094907407408</v>
      </c>
      <c r="E508" s="1">
        <f>Table14681012[[#This Row],[Time]]-TIME(0,0,9)</f>
        <v>0.7410467824074074</v>
      </c>
      <c r="F508" t="s">
        <v>13</v>
      </c>
      <c r="G508" t="str">
        <f t="shared" si="21"/>
        <v>-127.0,</v>
      </c>
      <c r="H508">
        <f t="shared" si="23"/>
        <v>-127</v>
      </c>
      <c r="I508">
        <f t="shared" si="22"/>
        <v>-22.5</v>
      </c>
      <c r="N508" s="1"/>
      <c r="O508" s="1">
        <f>Table25791113[[#This Row],[Time]]</f>
        <v>0</v>
      </c>
      <c r="R508">
        <f>Table25791113[[#This Row],[RSSI]]</f>
        <v>0</v>
      </c>
    </row>
    <row r="509" spans="2:18" x14ac:dyDescent="0.25">
      <c r="B509">
        <f>480+2*(Table14681012[[#This Row],[min value (corrected)]]-34)</f>
        <v>506</v>
      </c>
      <c r="C509">
        <f>MINUTE(Table14681012[[#This Row],[Corrected time]])</f>
        <v>47</v>
      </c>
      <c r="D509" s="1">
        <v>0.74117020833333336</v>
      </c>
      <c r="E509" s="1">
        <f>Table14681012[[#This Row],[Time]]-TIME(0,0,9)</f>
        <v>0.74106604166666667</v>
      </c>
      <c r="F509" t="s">
        <v>13</v>
      </c>
      <c r="G509" t="str">
        <f t="shared" si="21"/>
        <v>-127.0,</v>
      </c>
      <c r="H509">
        <f t="shared" si="23"/>
        <v>-127</v>
      </c>
      <c r="I509">
        <f t="shared" si="22"/>
        <v>-22.5</v>
      </c>
      <c r="N509" s="1"/>
      <c r="O509" s="1">
        <f>Table25791113[[#This Row],[Time]]</f>
        <v>0</v>
      </c>
      <c r="R509">
        <f>Table25791113[[#This Row],[RSSI]]</f>
        <v>0</v>
      </c>
    </row>
    <row r="510" spans="2:18" x14ac:dyDescent="0.25">
      <c r="B510">
        <f>480+2*(Table14681012[[#This Row],[min value (corrected)]]-34)</f>
        <v>506</v>
      </c>
      <c r="C510">
        <f>MINUTE(Table14681012[[#This Row],[Corrected time]])</f>
        <v>47</v>
      </c>
      <c r="D510" s="1">
        <v>0.74118944444444446</v>
      </c>
      <c r="E510" s="1">
        <f>Table14681012[[#This Row],[Time]]-TIME(0,0,9)</f>
        <v>0.74108527777777777</v>
      </c>
      <c r="F510" t="s">
        <v>13</v>
      </c>
      <c r="G510" t="str">
        <f t="shared" si="21"/>
        <v>-127.0,</v>
      </c>
      <c r="H510">
        <f t="shared" si="23"/>
        <v>-127</v>
      </c>
      <c r="I510">
        <f t="shared" si="22"/>
        <v>-22.5</v>
      </c>
      <c r="N510" s="1"/>
      <c r="O510" s="1">
        <f>Table25791113[[#This Row],[Time]]</f>
        <v>0</v>
      </c>
      <c r="R510">
        <f>Table25791113[[#This Row],[RSSI]]</f>
        <v>0</v>
      </c>
    </row>
    <row r="511" spans="2:18" x14ac:dyDescent="0.25">
      <c r="B511">
        <f>480+2*(Table14681012[[#This Row],[min value (corrected)]]-34)</f>
        <v>506</v>
      </c>
      <c r="C511">
        <f>MINUTE(Table14681012[[#This Row],[Corrected time]])</f>
        <v>47</v>
      </c>
      <c r="D511" s="1">
        <v>0.74120869212962959</v>
      </c>
      <c r="E511" s="1">
        <f>Table14681012[[#This Row],[Time]]-TIME(0,0,9)</f>
        <v>0.7411045254629629</v>
      </c>
      <c r="F511" t="s">
        <v>13</v>
      </c>
      <c r="G511" t="str">
        <f t="shared" si="21"/>
        <v>-127.0,</v>
      </c>
      <c r="H511">
        <f t="shared" si="23"/>
        <v>-127</v>
      </c>
      <c r="I511">
        <f t="shared" si="22"/>
        <v>-22.5</v>
      </c>
      <c r="N511" s="1"/>
      <c r="O511" s="1">
        <f>Table25791113[[#This Row],[Time]]</f>
        <v>0</v>
      </c>
      <c r="R511">
        <f>Table25791113[[#This Row],[RSSI]]</f>
        <v>0</v>
      </c>
    </row>
    <row r="512" spans="2:18" x14ac:dyDescent="0.25">
      <c r="B512">
        <f>480+2*(Table14681012[[#This Row],[min value (corrected)]]-34)</f>
        <v>506</v>
      </c>
      <c r="C512">
        <f>MINUTE(Table14681012[[#This Row],[Corrected time]])</f>
        <v>47</v>
      </c>
      <c r="D512" s="1">
        <v>0.74122793981481483</v>
      </c>
      <c r="E512" s="1">
        <f>Table14681012[[#This Row],[Time]]-TIME(0,0,9)</f>
        <v>0.74112377314814815</v>
      </c>
      <c r="F512" t="s">
        <v>13</v>
      </c>
      <c r="G512" t="str">
        <f t="shared" si="21"/>
        <v>-127.0,</v>
      </c>
      <c r="H512">
        <f t="shared" si="23"/>
        <v>-127</v>
      </c>
      <c r="I512">
        <f t="shared" si="22"/>
        <v>-22.5</v>
      </c>
      <c r="N512" s="1"/>
      <c r="O512" s="1">
        <f>Table25791113[[#This Row],[Time]]</f>
        <v>0</v>
      </c>
      <c r="R512">
        <f>Table25791113[[#This Row],[RSSI]]</f>
        <v>0</v>
      </c>
    </row>
    <row r="513" spans="2:18" x14ac:dyDescent="0.25">
      <c r="B513">
        <f>480+2*(Table14681012[[#This Row],[min value (corrected)]]-34)</f>
        <v>506</v>
      </c>
      <c r="C513">
        <f>MINUTE(Table14681012[[#This Row],[Corrected time]])</f>
        <v>47</v>
      </c>
      <c r="D513" s="1">
        <v>0.74124718749999996</v>
      </c>
      <c r="E513" s="1">
        <f>Table14681012[[#This Row],[Time]]-TIME(0,0,9)</f>
        <v>0.74114302083333328</v>
      </c>
      <c r="F513" t="s">
        <v>13</v>
      </c>
      <c r="G513" t="str">
        <f t="shared" si="21"/>
        <v>-127.0,</v>
      </c>
      <c r="H513">
        <f t="shared" si="23"/>
        <v>-127</v>
      </c>
      <c r="I513">
        <f t="shared" si="22"/>
        <v>-22.5</v>
      </c>
      <c r="N513" s="1"/>
      <c r="O513" s="1">
        <f>Table25791113[[#This Row],[Time]]</f>
        <v>0</v>
      </c>
      <c r="R513">
        <f>Table25791113[[#This Row],[RSSI]]</f>
        <v>0</v>
      </c>
    </row>
    <row r="514" spans="2:18" x14ac:dyDescent="0.25">
      <c r="D514" s="1"/>
      <c r="E514" s="1">
        <f>Table14681012[[#This Row],[Time]]-TIME(0,0,9)</f>
        <v>-1.0416666666666667E-4</v>
      </c>
      <c r="H514" t="e">
        <f t="shared" si="23"/>
        <v>#VALUE!</v>
      </c>
      <c r="N514" s="1"/>
      <c r="O514" s="1">
        <f>Table25791113[[#This Row],[Time]]</f>
        <v>0</v>
      </c>
      <c r="R514">
        <f>Table25791113[[#This Row],[RSSI]]</f>
        <v>0</v>
      </c>
    </row>
    <row r="515" spans="2:18" x14ac:dyDescent="0.25">
      <c r="D515" s="1"/>
      <c r="E515" s="1">
        <f>Table14681012[[#This Row],[Time]]-TIME(0,0,9)</f>
        <v>-1.0416666666666667E-4</v>
      </c>
      <c r="H515" t="e">
        <f t="shared" si="23"/>
        <v>#VALUE!</v>
      </c>
      <c r="N515" s="1"/>
      <c r="O515" s="1">
        <f>Table25791113[[#This Row],[Time]]</f>
        <v>0</v>
      </c>
      <c r="R515">
        <f>Table25791113[[#This Row],[RSSI]]</f>
        <v>0</v>
      </c>
    </row>
    <row r="516" spans="2:18" x14ac:dyDescent="0.25">
      <c r="D516" s="1"/>
      <c r="E516" s="1">
        <f>Table14681012[[#This Row],[Time]]-TIME(0,0,9)</f>
        <v>-1.0416666666666667E-4</v>
      </c>
      <c r="H516" t="e">
        <f t="shared" si="23"/>
        <v>#VALUE!</v>
      </c>
      <c r="N516" s="1"/>
      <c r="O516" s="1">
        <f>Table25791113[[#This Row],[Time]]</f>
        <v>0</v>
      </c>
      <c r="R516">
        <f>Table25791113[[#This Row],[RSSI]]</f>
        <v>0</v>
      </c>
    </row>
    <row r="517" spans="2:18" x14ac:dyDescent="0.25">
      <c r="D517" s="1"/>
      <c r="E517" s="1">
        <f>Table14681012[[#This Row],[Time]]-TIME(0,0,9)</f>
        <v>-1.0416666666666667E-4</v>
      </c>
      <c r="H517" t="e">
        <f t="shared" si="23"/>
        <v>#VALUE!</v>
      </c>
      <c r="N517" s="1"/>
      <c r="O517" s="1">
        <f>Table25791113[[#This Row],[Time]]</f>
        <v>0</v>
      </c>
      <c r="R517">
        <f>Table25791113[[#This Row],[RSSI]]</f>
        <v>0</v>
      </c>
    </row>
    <row r="518" spans="2:18" x14ac:dyDescent="0.25">
      <c r="D518" s="1"/>
      <c r="E518" s="1">
        <f>Table14681012[[#This Row],[Time]]-TIME(0,0,9)</f>
        <v>-1.0416666666666667E-4</v>
      </c>
      <c r="H518" t="e">
        <f t="shared" si="23"/>
        <v>#VALUE!</v>
      </c>
      <c r="N518" s="1"/>
      <c r="O518" s="1">
        <f>Table25791113[[#This Row],[Time]]</f>
        <v>0</v>
      </c>
      <c r="R518">
        <f>Table25791113[[#This Row],[RSSI]]</f>
        <v>0</v>
      </c>
    </row>
    <row r="519" spans="2:18" x14ac:dyDescent="0.25">
      <c r="D519" s="1"/>
      <c r="E519" s="1">
        <f>Table14681012[[#This Row],[Time]]-TIME(0,0,9)</f>
        <v>-1.0416666666666667E-4</v>
      </c>
      <c r="H519" t="e">
        <f t="shared" si="23"/>
        <v>#VALUE!</v>
      </c>
      <c r="N519" s="1"/>
      <c r="O519" s="1">
        <f>Table25791113[[#This Row],[Time]]</f>
        <v>0</v>
      </c>
      <c r="R519">
        <f>Table25791113[[#This Row],[RSSI]]</f>
        <v>0</v>
      </c>
    </row>
    <row r="520" spans="2:18" x14ac:dyDescent="0.25">
      <c r="D520" s="1"/>
      <c r="E520" s="1">
        <f>Table14681012[[#This Row],[Time]]-TIME(0,0,9)</f>
        <v>-1.0416666666666667E-4</v>
      </c>
      <c r="H520" t="e">
        <f t="shared" si="23"/>
        <v>#VALUE!</v>
      </c>
      <c r="N520" s="1"/>
      <c r="O520" s="1">
        <f>Table25791113[[#This Row],[Time]]</f>
        <v>0</v>
      </c>
      <c r="R520">
        <f>Table25791113[[#This Row],[RSSI]]</f>
        <v>0</v>
      </c>
    </row>
    <row r="521" spans="2:18" x14ac:dyDescent="0.25">
      <c r="D521" s="1"/>
      <c r="E521" s="1">
        <f>Table14681012[[#This Row],[Time]]-TIME(0,0,9)</f>
        <v>-1.0416666666666667E-4</v>
      </c>
      <c r="H521" t="e">
        <f t="shared" si="23"/>
        <v>#VALUE!</v>
      </c>
      <c r="N521" s="1"/>
      <c r="O521" s="1">
        <f>Table25791113[[#This Row],[Time]]</f>
        <v>0</v>
      </c>
      <c r="R521">
        <f>Table25791113[[#This Row],[RSSI]]</f>
        <v>0</v>
      </c>
    </row>
    <row r="522" spans="2:18" x14ac:dyDescent="0.25">
      <c r="D522" s="1"/>
      <c r="E522" s="1">
        <f>Table14681012[[#This Row],[Time]]-TIME(0,0,9)</f>
        <v>-1.0416666666666667E-4</v>
      </c>
      <c r="H522" t="e">
        <f t="shared" si="23"/>
        <v>#VALUE!</v>
      </c>
      <c r="N522" s="1"/>
      <c r="O522" s="1">
        <f>Table25791113[[#This Row],[Time]]</f>
        <v>0</v>
      </c>
      <c r="R522">
        <f>Table25791113[[#This Row],[RSSI]]</f>
        <v>0</v>
      </c>
    </row>
    <row r="523" spans="2:18" x14ac:dyDescent="0.25">
      <c r="D523" s="1"/>
      <c r="E523" s="1">
        <f>Table14681012[[#This Row],[Time]]-TIME(0,0,9)</f>
        <v>-1.0416666666666667E-4</v>
      </c>
      <c r="H523" t="e">
        <f t="shared" si="23"/>
        <v>#VALUE!</v>
      </c>
      <c r="N523" s="1"/>
      <c r="O523" s="1">
        <f>Table25791113[[#This Row],[Time]]</f>
        <v>0</v>
      </c>
      <c r="R523">
        <f>Table25791113[[#This Row],[RSSI]]</f>
        <v>0</v>
      </c>
    </row>
    <row r="524" spans="2:18" x14ac:dyDescent="0.25">
      <c r="D524" s="1"/>
      <c r="E524" s="1">
        <f>Table14681012[[#This Row],[Time]]-TIME(0,0,9)</f>
        <v>-1.0416666666666667E-4</v>
      </c>
      <c r="H524" t="e">
        <f t="shared" si="23"/>
        <v>#VALUE!</v>
      </c>
      <c r="N524" s="1"/>
      <c r="O524" s="1">
        <f>Table25791113[[#This Row],[Time]]</f>
        <v>0</v>
      </c>
      <c r="R524">
        <f>Table25791113[[#This Row],[RSSI]]</f>
        <v>0</v>
      </c>
    </row>
    <row r="525" spans="2:18" x14ac:dyDescent="0.25">
      <c r="D525" s="1"/>
      <c r="E525" s="1">
        <f>Table14681012[[#This Row],[Time]]-TIME(0,0,9)</f>
        <v>-1.0416666666666667E-4</v>
      </c>
      <c r="H525" t="e">
        <f t="shared" si="23"/>
        <v>#VALUE!</v>
      </c>
      <c r="N525" s="1"/>
      <c r="O525" s="1">
        <f>Table25791113[[#This Row],[Time]]</f>
        <v>0</v>
      </c>
      <c r="R525">
        <f>Table25791113[[#This Row],[RSSI]]</f>
        <v>0</v>
      </c>
    </row>
    <row r="526" spans="2:18" x14ac:dyDescent="0.25">
      <c r="D526" s="1"/>
      <c r="E526" s="1">
        <f>Table14681012[[#This Row],[Time]]-TIME(0,0,9)</f>
        <v>-1.0416666666666667E-4</v>
      </c>
      <c r="H526" t="e">
        <f t="shared" si="23"/>
        <v>#VALUE!</v>
      </c>
      <c r="N526" s="1"/>
      <c r="O526" s="1">
        <f>Table25791113[[#This Row],[Time]]</f>
        <v>0</v>
      </c>
      <c r="R526">
        <f>Table25791113[[#This Row],[RSSI]]</f>
        <v>0</v>
      </c>
    </row>
    <row r="527" spans="2:18" x14ac:dyDescent="0.25">
      <c r="D527" s="1"/>
      <c r="E527" s="1">
        <f>Table14681012[[#This Row],[Time]]-TIME(0,0,9)</f>
        <v>-1.0416666666666667E-4</v>
      </c>
      <c r="H527" t="e">
        <f t="shared" si="23"/>
        <v>#VALUE!</v>
      </c>
      <c r="N527" s="1"/>
      <c r="O527" s="1">
        <f>Table25791113[[#This Row],[Time]]</f>
        <v>0</v>
      </c>
      <c r="R527">
        <f>Table25791113[[#This Row],[RSSI]]</f>
        <v>0</v>
      </c>
    </row>
    <row r="528" spans="2:18" x14ac:dyDescent="0.25">
      <c r="D528" s="1"/>
      <c r="E528" s="1">
        <f>Table14681012[[#This Row],[Time]]-TIME(0,0,9)</f>
        <v>-1.0416666666666667E-4</v>
      </c>
      <c r="H528" t="e">
        <f t="shared" si="23"/>
        <v>#VALUE!</v>
      </c>
      <c r="N528" s="1"/>
      <c r="O528" s="1">
        <f>Table25791113[[#This Row],[Time]]</f>
        <v>0</v>
      </c>
      <c r="R528">
        <f>Table25791113[[#This Row],[RSSI]]</f>
        <v>0</v>
      </c>
    </row>
    <row r="529" spans="4:18" x14ac:dyDescent="0.25">
      <c r="D529" s="1"/>
      <c r="E529" s="1">
        <f>Table14681012[[#This Row],[Time]]-TIME(0,0,9)</f>
        <v>-1.0416666666666667E-4</v>
      </c>
      <c r="H529" t="e">
        <f t="shared" si="23"/>
        <v>#VALUE!</v>
      </c>
      <c r="N529" s="1"/>
      <c r="O529" s="1">
        <f>Table25791113[[#This Row],[Time]]</f>
        <v>0</v>
      </c>
      <c r="R529">
        <f>Table25791113[[#This Row],[RSSI]]</f>
        <v>0</v>
      </c>
    </row>
    <row r="530" spans="4:18" x14ac:dyDescent="0.25">
      <c r="D530" s="1"/>
      <c r="E530" s="1">
        <f>Table14681012[[#This Row],[Time]]-TIME(0,0,9)</f>
        <v>-1.0416666666666667E-4</v>
      </c>
      <c r="H530" t="e">
        <f t="shared" si="23"/>
        <v>#VALUE!</v>
      </c>
      <c r="N530" s="1"/>
      <c r="O530" s="1">
        <f>Table25791113[[#This Row],[Time]]</f>
        <v>0</v>
      </c>
      <c r="R530">
        <f>Table25791113[[#This Row],[RSSI]]</f>
        <v>0</v>
      </c>
    </row>
    <row r="531" spans="4:18" x14ac:dyDescent="0.25">
      <c r="D531" s="1"/>
      <c r="E531" s="1">
        <f>Table14681012[[#This Row],[Time]]-TIME(0,0,9)</f>
        <v>-1.0416666666666667E-4</v>
      </c>
      <c r="H531" t="e">
        <f t="shared" si="23"/>
        <v>#VALUE!</v>
      </c>
      <c r="N531" s="1"/>
      <c r="O531" s="1">
        <f>Table25791113[[#This Row],[Time]]</f>
        <v>0</v>
      </c>
      <c r="R531">
        <f>Table25791113[[#This Row],[RSSI]]</f>
        <v>0</v>
      </c>
    </row>
    <row r="532" spans="4:18" x14ac:dyDescent="0.25">
      <c r="D532" s="1"/>
      <c r="E532" s="1">
        <f>Table14681012[[#This Row],[Time]]-TIME(0,0,9)</f>
        <v>-1.0416666666666667E-4</v>
      </c>
      <c r="H532" t="e">
        <f t="shared" si="23"/>
        <v>#VALUE!</v>
      </c>
      <c r="N532" s="1"/>
      <c r="O532" s="1">
        <f>Table25791113[[#This Row],[Time]]</f>
        <v>0</v>
      </c>
      <c r="R532">
        <f>Table25791113[[#This Row],[RSSI]]</f>
        <v>0</v>
      </c>
    </row>
    <row r="533" spans="4:18" x14ac:dyDescent="0.25">
      <c r="D533" s="1"/>
      <c r="E533" s="1">
        <f>Table14681012[[#This Row],[Time]]-TIME(0,0,9)</f>
        <v>-1.0416666666666667E-4</v>
      </c>
      <c r="H533" t="e">
        <f t="shared" si="23"/>
        <v>#VALUE!</v>
      </c>
      <c r="N533" s="1"/>
      <c r="O533" s="1">
        <f>Table25791113[[#This Row],[Time]]</f>
        <v>0</v>
      </c>
      <c r="R533">
        <f>Table25791113[[#This Row],[RSSI]]</f>
        <v>0</v>
      </c>
    </row>
    <row r="534" spans="4:18" x14ac:dyDescent="0.25">
      <c r="D534" s="1"/>
      <c r="E534" s="1">
        <f>Table14681012[[#This Row],[Time]]-TIME(0,0,9)</f>
        <v>-1.0416666666666667E-4</v>
      </c>
      <c r="H534" t="e">
        <f t="shared" ref="H534:H597" si="24">VALUE(LEFT(G534,LEN(G534)-1))</f>
        <v>#VALUE!</v>
      </c>
      <c r="N534" s="1"/>
      <c r="O534" s="1">
        <f>Table25791113[[#This Row],[Time]]</f>
        <v>0</v>
      </c>
      <c r="R534">
        <f>Table25791113[[#This Row],[RSSI]]</f>
        <v>0</v>
      </c>
    </row>
    <row r="535" spans="4:18" x14ac:dyDescent="0.25">
      <c r="D535" s="1"/>
      <c r="E535" s="1">
        <f>Table14681012[[#This Row],[Time]]-TIME(0,0,9)</f>
        <v>-1.0416666666666667E-4</v>
      </c>
      <c r="H535" t="e">
        <f t="shared" si="24"/>
        <v>#VALUE!</v>
      </c>
      <c r="N535" s="1"/>
      <c r="O535" s="1">
        <f>Table25791113[[#This Row],[Time]]</f>
        <v>0</v>
      </c>
      <c r="R535">
        <f>Table25791113[[#This Row],[RSSI]]</f>
        <v>0</v>
      </c>
    </row>
    <row r="536" spans="4:18" x14ac:dyDescent="0.25">
      <c r="D536" s="1"/>
      <c r="E536" s="1">
        <f>Table14681012[[#This Row],[Time]]-TIME(0,0,9)</f>
        <v>-1.0416666666666667E-4</v>
      </c>
      <c r="H536" t="e">
        <f t="shared" si="24"/>
        <v>#VALUE!</v>
      </c>
      <c r="N536" s="1"/>
      <c r="O536" s="1">
        <f>Table25791113[[#This Row],[Time]]</f>
        <v>0</v>
      </c>
      <c r="R536">
        <f>Table25791113[[#This Row],[RSSI]]</f>
        <v>0</v>
      </c>
    </row>
    <row r="537" spans="4:18" x14ac:dyDescent="0.25">
      <c r="D537" s="1"/>
      <c r="E537" s="1">
        <f>Table14681012[[#This Row],[Time]]-TIME(0,0,9)</f>
        <v>-1.0416666666666667E-4</v>
      </c>
      <c r="H537" t="e">
        <f t="shared" si="24"/>
        <v>#VALUE!</v>
      </c>
      <c r="N537" s="1"/>
      <c r="O537" s="1">
        <f>Table25791113[[#This Row],[Time]]</f>
        <v>0</v>
      </c>
      <c r="R537">
        <f>Table25791113[[#This Row],[RSSI]]</f>
        <v>0</v>
      </c>
    </row>
    <row r="538" spans="4:18" x14ac:dyDescent="0.25">
      <c r="D538" s="1"/>
      <c r="E538" s="1">
        <f>Table14681012[[#This Row],[Time]]-TIME(0,0,9)</f>
        <v>-1.0416666666666667E-4</v>
      </c>
      <c r="H538" t="e">
        <f t="shared" si="24"/>
        <v>#VALUE!</v>
      </c>
      <c r="N538" s="1"/>
      <c r="O538" s="1">
        <f>Table25791113[[#This Row],[Time]]</f>
        <v>0</v>
      </c>
      <c r="R538">
        <f>Table25791113[[#This Row],[RSSI]]</f>
        <v>0</v>
      </c>
    </row>
    <row r="539" spans="4:18" x14ac:dyDescent="0.25">
      <c r="D539" s="1"/>
      <c r="E539" s="1">
        <f>Table14681012[[#This Row],[Time]]-TIME(0,0,9)</f>
        <v>-1.0416666666666667E-4</v>
      </c>
      <c r="H539" t="e">
        <f t="shared" si="24"/>
        <v>#VALUE!</v>
      </c>
      <c r="N539" s="1"/>
      <c r="O539" s="1">
        <f>Table25791113[[#This Row],[Time]]</f>
        <v>0</v>
      </c>
      <c r="R539">
        <f>Table25791113[[#This Row],[RSSI]]</f>
        <v>0</v>
      </c>
    </row>
    <row r="540" spans="4:18" x14ac:dyDescent="0.25">
      <c r="D540" s="1"/>
      <c r="E540" s="1">
        <f>Table14681012[[#This Row],[Time]]-TIME(0,0,9)</f>
        <v>-1.0416666666666667E-4</v>
      </c>
      <c r="H540" t="e">
        <f t="shared" si="24"/>
        <v>#VALUE!</v>
      </c>
      <c r="N540" s="1"/>
      <c r="O540" s="1">
        <f>Table25791113[[#This Row],[Time]]</f>
        <v>0</v>
      </c>
      <c r="R540">
        <f>Table25791113[[#This Row],[RSSI]]</f>
        <v>0</v>
      </c>
    </row>
    <row r="541" spans="4:18" x14ac:dyDescent="0.25">
      <c r="D541" s="1"/>
      <c r="E541" s="1">
        <f>Table14681012[[#This Row],[Time]]-TIME(0,0,9)</f>
        <v>-1.0416666666666667E-4</v>
      </c>
      <c r="H541" t="e">
        <f t="shared" si="24"/>
        <v>#VALUE!</v>
      </c>
      <c r="N541" s="1"/>
      <c r="O541" s="1">
        <f>Table25791113[[#This Row],[Time]]</f>
        <v>0</v>
      </c>
      <c r="R541">
        <f>Table25791113[[#This Row],[RSSI]]</f>
        <v>0</v>
      </c>
    </row>
    <row r="542" spans="4:18" x14ac:dyDescent="0.25">
      <c r="D542" s="1"/>
      <c r="E542" s="1">
        <f>Table14681012[[#This Row],[Time]]-TIME(0,0,9)</f>
        <v>-1.0416666666666667E-4</v>
      </c>
      <c r="H542" t="e">
        <f t="shared" si="24"/>
        <v>#VALUE!</v>
      </c>
      <c r="N542" s="1"/>
      <c r="O542" s="1">
        <f>Table25791113[[#This Row],[Time]]</f>
        <v>0</v>
      </c>
      <c r="R542">
        <f>Table25791113[[#This Row],[RSSI]]</f>
        <v>0</v>
      </c>
    </row>
    <row r="543" spans="4:18" x14ac:dyDescent="0.25">
      <c r="D543" s="1"/>
      <c r="E543" s="1">
        <f>Table14681012[[#This Row],[Time]]-TIME(0,0,9)</f>
        <v>-1.0416666666666667E-4</v>
      </c>
      <c r="H543" t="e">
        <f t="shared" si="24"/>
        <v>#VALUE!</v>
      </c>
      <c r="N543" s="1"/>
      <c r="O543" s="1">
        <f>Table25791113[[#This Row],[Time]]</f>
        <v>0</v>
      </c>
      <c r="R543">
        <f>Table25791113[[#This Row],[RSSI]]</f>
        <v>0</v>
      </c>
    </row>
    <row r="544" spans="4:18" x14ac:dyDescent="0.25">
      <c r="D544" s="1"/>
      <c r="E544" s="1">
        <f>Table14681012[[#This Row],[Time]]-TIME(0,0,9)</f>
        <v>-1.0416666666666667E-4</v>
      </c>
      <c r="H544" t="e">
        <f t="shared" si="24"/>
        <v>#VALUE!</v>
      </c>
      <c r="N544" s="1"/>
      <c r="O544" s="1">
        <f>Table25791113[[#This Row],[Time]]</f>
        <v>0</v>
      </c>
      <c r="R544">
        <f>Table25791113[[#This Row],[RSSI]]</f>
        <v>0</v>
      </c>
    </row>
    <row r="545" spans="4:18" x14ac:dyDescent="0.25">
      <c r="D545" s="1"/>
      <c r="E545" s="1">
        <f>Table14681012[[#This Row],[Time]]-TIME(0,0,9)</f>
        <v>-1.0416666666666667E-4</v>
      </c>
      <c r="H545" t="e">
        <f t="shared" si="24"/>
        <v>#VALUE!</v>
      </c>
      <c r="N545" s="1"/>
      <c r="O545" s="1">
        <f>Table25791113[[#This Row],[Time]]</f>
        <v>0</v>
      </c>
      <c r="R545">
        <f>Table25791113[[#This Row],[RSSI]]</f>
        <v>0</v>
      </c>
    </row>
    <row r="546" spans="4:18" x14ac:dyDescent="0.25">
      <c r="D546" s="1"/>
      <c r="E546" s="1">
        <f>Table14681012[[#This Row],[Time]]-TIME(0,0,9)</f>
        <v>-1.0416666666666667E-4</v>
      </c>
      <c r="H546" t="e">
        <f t="shared" si="24"/>
        <v>#VALUE!</v>
      </c>
      <c r="N546" s="1"/>
      <c r="O546" s="1">
        <f>Table25791113[[#This Row],[Time]]</f>
        <v>0</v>
      </c>
      <c r="R546">
        <f>Table25791113[[#This Row],[RSSI]]</f>
        <v>0</v>
      </c>
    </row>
    <row r="547" spans="4:18" x14ac:dyDescent="0.25">
      <c r="D547" s="1"/>
      <c r="E547" s="1">
        <f>Table14681012[[#This Row],[Time]]-TIME(0,0,9)</f>
        <v>-1.0416666666666667E-4</v>
      </c>
      <c r="H547" t="e">
        <f t="shared" si="24"/>
        <v>#VALUE!</v>
      </c>
      <c r="N547" s="1"/>
      <c r="O547" s="1">
        <f>Table25791113[[#This Row],[Time]]</f>
        <v>0</v>
      </c>
      <c r="R547">
        <f>Table25791113[[#This Row],[RSSI]]</f>
        <v>0</v>
      </c>
    </row>
    <row r="548" spans="4:18" x14ac:dyDescent="0.25">
      <c r="D548" s="1"/>
      <c r="E548" s="1">
        <f>Table14681012[[#This Row],[Time]]-TIME(0,0,9)</f>
        <v>-1.0416666666666667E-4</v>
      </c>
      <c r="H548" t="e">
        <f t="shared" si="24"/>
        <v>#VALUE!</v>
      </c>
      <c r="N548" s="1"/>
      <c r="O548" s="1">
        <f>Table25791113[[#This Row],[Time]]</f>
        <v>0</v>
      </c>
      <c r="R548">
        <f>Table25791113[[#This Row],[RSSI]]</f>
        <v>0</v>
      </c>
    </row>
    <row r="549" spans="4:18" x14ac:dyDescent="0.25">
      <c r="D549" s="1"/>
      <c r="E549" s="1">
        <f>Table14681012[[#This Row],[Time]]-TIME(0,0,9)</f>
        <v>-1.0416666666666667E-4</v>
      </c>
      <c r="H549" t="e">
        <f t="shared" si="24"/>
        <v>#VALUE!</v>
      </c>
      <c r="N549" s="1"/>
      <c r="O549" s="1">
        <f>Table25791113[[#This Row],[Time]]</f>
        <v>0</v>
      </c>
      <c r="R549">
        <f>Table25791113[[#This Row],[RSSI]]</f>
        <v>0</v>
      </c>
    </row>
    <row r="550" spans="4:18" x14ac:dyDescent="0.25">
      <c r="D550" s="1"/>
      <c r="E550" s="1">
        <f>Table14681012[[#This Row],[Time]]-TIME(0,0,9)</f>
        <v>-1.0416666666666667E-4</v>
      </c>
      <c r="H550" t="e">
        <f t="shared" si="24"/>
        <v>#VALUE!</v>
      </c>
      <c r="N550" s="1"/>
      <c r="O550" s="1">
        <f>Table25791113[[#This Row],[Time]]</f>
        <v>0</v>
      </c>
      <c r="R550">
        <f>Table25791113[[#This Row],[RSSI]]</f>
        <v>0</v>
      </c>
    </row>
    <row r="551" spans="4:18" x14ac:dyDescent="0.25">
      <c r="D551" s="1"/>
      <c r="E551" s="1">
        <f>Table14681012[[#This Row],[Time]]-TIME(0,0,9)</f>
        <v>-1.0416666666666667E-4</v>
      </c>
      <c r="H551" t="e">
        <f t="shared" si="24"/>
        <v>#VALUE!</v>
      </c>
      <c r="N551" s="1"/>
      <c r="O551" s="1">
        <f>Table25791113[[#This Row],[Time]]</f>
        <v>0</v>
      </c>
      <c r="R551">
        <f>Table25791113[[#This Row],[RSSI]]</f>
        <v>0</v>
      </c>
    </row>
    <row r="552" spans="4:18" x14ac:dyDescent="0.25">
      <c r="D552" s="1"/>
      <c r="E552" s="1">
        <f>Table14681012[[#This Row],[Time]]-TIME(0,0,9)</f>
        <v>-1.0416666666666667E-4</v>
      </c>
      <c r="H552" t="e">
        <f t="shared" si="24"/>
        <v>#VALUE!</v>
      </c>
      <c r="N552" s="1"/>
      <c r="O552" s="1">
        <f>Table25791113[[#This Row],[Time]]</f>
        <v>0</v>
      </c>
      <c r="R552">
        <f>Table25791113[[#This Row],[RSSI]]</f>
        <v>0</v>
      </c>
    </row>
    <row r="553" spans="4:18" x14ac:dyDescent="0.25">
      <c r="D553" s="1"/>
      <c r="E553" s="1">
        <f>Table14681012[[#This Row],[Time]]-TIME(0,0,9)</f>
        <v>-1.0416666666666667E-4</v>
      </c>
      <c r="H553" t="e">
        <f t="shared" si="24"/>
        <v>#VALUE!</v>
      </c>
      <c r="N553" s="1"/>
      <c r="O553" s="1">
        <f>Table25791113[[#This Row],[Time]]</f>
        <v>0</v>
      </c>
      <c r="R553">
        <f>Table25791113[[#This Row],[RSSI]]</f>
        <v>0</v>
      </c>
    </row>
    <row r="554" spans="4:18" x14ac:dyDescent="0.25">
      <c r="D554" s="1"/>
      <c r="E554" s="1">
        <f>Table14681012[[#This Row],[Time]]-TIME(0,0,9)</f>
        <v>-1.0416666666666667E-4</v>
      </c>
      <c r="H554" t="e">
        <f t="shared" si="24"/>
        <v>#VALUE!</v>
      </c>
      <c r="N554" s="1"/>
      <c r="O554" s="1">
        <f>Table25791113[[#This Row],[Time]]</f>
        <v>0</v>
      </c>
      <c r="R554">
        <f>Table25791113[[#This Row],[RSSI]]</f>
        <v>0</v>
      </c>
    </row>
    <row r="555" spans="4:18" x14ac:dyDescent="0.25">
      <c r="D555" s="1"/>
      <c r="E555" s="1">
        <f>Table14681012[[#This Row],[Time]]-TIME(0,0,9)</f>
        <v>-1.0416666666666667E-4</v>
      </c>
      <c r="H555" t="e">
        <f t="shared" si="24"/>
        <v>#VALUE!</v>
      </c>
      <c r="N555" s="1"/>
      <c r="O555" s="1">
        <f>Table25791113[[#This Row],[Time]]</f>
        <v>0</v>
      </c>
      <c r="R555">
        <f>Table25791113[[#This Row],[RSSI]]</f>
        <v>0</v>
      </c>
    </row>
    <row r="556" spans="4:18" x14ac:dyDescent="0.25">
      <c r="D556" s="1"/>
      <c r="E556" s="1">
        <f>Table14681012[[#This Row],[Time]]-TIME(0,0,9)</f>
        <v>-1.0416666666666667E-4</v>
      </c>
      <c r="H556" t="e">
        <f t="shared" si="24"/>
        <v>#VALUE!</v>
      </c>
      <c r="N556" s="1"/>
      <c r="O556" s="1">
        <f>Table25791113[[#This Row],[Time]]</f>
        <v>0</v>
      </c>
      <c r="R556">
        <f>Table25791113[[#This Row],[RSSI]]</f>
        <v>0</v>
      </c>
    </row>
    <row r="557" spans="4:18" x14ac:dyDescent="0.25">
      <c r="D557" s="1"/>
      <c r="E557" s="1">
        <f>Table14681012[[#This Row],[Time]]-TIME(0,0,9)</f>
        <v>-1.0416666666666667E-4</v>
      </c>
      <c r="H557" t="e">
        <f t="shared" si="24"/>
        <v>#VALUE!</v>
      </c>
      <c r="N557" s="1"/>
      <c r="O557" s="1">
        <f>Table25791113[[#This Row],[Time]]</f>
        <v>0</v>
      </c>
      <c r="R557">
        <f>Table25791113[[#This Row],[RSSI]]</f>
        <v>0</v>
      </c>
    </row>
    <row r="558" spans="4:18" x14ac:dyDescent="0.25">
      <c r="D558" s="1"/>
      <c r="E558" s="1">
        <f>Table14681012[[#This Row],[Time]]-TIME(0,0,9)</f>
        <v>-1.0416666666666667E-4</v>
      </c>
      <c r="H558" t="e">
        <f t="shared" si="24"/>
        <v>#VALUE!</v>
      </c>
      <c r="N558" s="1"/>
      <c r="O558" s="1">
        <f>Table25791113[[#This Row],[Time]]</f>
        <v>0</v>
      </c>
      <c r="R558">
        <f>Table25791113[[#This Row],[RSSI]]</f>
        <v>0</v>
      </c>
    </row>
    <row r="559" spans="4:18" x14ac:dyDescent="0.25">
      <c r="D559" s="1"/>
      <c r="E559" s="1">
        <f>Table14681012[[#This Row],[Time]]-TIME(0,0,9)</f>
        <v>-1.0416666666666667E-4</v>
      </c>
      <c r="H559" t="e">
        <f t="shared" si="24"/>
        <v>#VALUE!</v>
      </c>
      <c r="N559" s="1"/>
      <c r="O559" s="1">
        <f>Table25791113[[#This Row],[Time]]</f>
        <v>0</v>
      </c>
      <c r="R559">
        <f>Table25791113[[#This Row],[RSSI]]</f>
        <v>0</v>
      </c>
    </row>
    <row r="560" spans="4:18" x14ac:dyDescent="0.25">
      <c r="D560" s="1"/>
      <c r="E560" s="1">
        <f>Table14681012[[#This Row],[Time]]-TIME(0,0,9)</f>
        <v>-1.0416666666666667E-4</v>
      </c>
      <c r="H560" t="e">
        <f t="shared" si="24"/>
        <v>#VALUE!</v>
      </c>
      <c r="N560" s="1"/>
      <c r="O560" s="1">
        <f>Table25791113[[#This Row],[Time]]</f>
        <v>0</v>
      </c>
      <c r="R560">
        <f>Table25791113[[#This Row],[RSSI]]</f>
        <v>0</v>
      </c>
    </row>
    <row r="561" spans="4:18" x14ac:dyDescent="0.25">
      <c r="D561" s="1"/>
      <c r="E561" s="1">
        <f>Table14681012[[#This Row],[Time]]-TIME(0,0,9)</f>
        <v>-1.0416666666666667E-4</v>
      </c>
      <c r="H561" t="e">
        <f t="shared" si="24"/>
        <v>#VALUE!</v>
      </c>
      <c r="N561" s="1"/>
      <c r="O561" s="1">
        <f>Table25791113[[#This Row],[Time]]</f>
        <v>0</v>
      </c>
      <c r="R561">
        <f>Table25791113[[#This Row],[RSSI]]</f>
        <v>0</v>
      </c>
    </row>
    <row r="562" spans="4:18" x14ac:dyDescent="0.25">
      <c r="D562" s="1"/>
      <c r="E562" s="1">
        <f>Table14681012[[#This Row],[Time]]-TIME(0,0,9)</f>
        <v>-1.0416666666666667E-4</v>
      </c>
      <c r="H562" t="e">
        <f t="shared" si="24"/>
        <v>#VALUE!</v>
      </c>
      <c r="N562" s="1"/>
      <c r="O562" s="1">
        <f>Table25791113[[#This Row],[Time]]</f>
        <v>0</v>
      </c>
      <c r="R562">
        <f>Table25791113[[#This Row],[RSSI]]</f>
        <v>0</v>
      </c>
    </row>
    <row r="563" spans="4:18" x14ac:dyDescent="0.25">
      <c r="D563" s="1"/>
      <c r="E563" s="1">
        <f>Table14681012[[#This Row],[Time]]-TIME(0,0,9)</f>
        <v>-1.0416666666666667E-4</v>
      </c>
      <c r="H563" t="e">
        <f t="shared" si="24"/>
        <v>#VALUE!</v>
      </c>
      <c r="N563" s="1"/>
      <c r="O563" s="1">
        <f>Table25791113[[#This Row],[Time]]</f>
        <v>0</v>
      </c>
      <c r="R563">
        <f>Table25791113[[#This Row],[RSSI]]</f>
        <v>0</v>
      </c>
    </row>
    <row r="564" spans="4:18" x14ac:dyDescent="0.25">
      <c r="D564" s="1"/>
      <c r="E564" s="1">
        <f>Table14681012[[#This Row],[Time]]-TIME(0,0,9)</f>
        <v>-1.0416666666666667E-4</v>
      </c>
      <c r="H564" t="e">
        <f t="shared" si="24"/>
        <v>#VALUE!</v>
      </c>
      <c r="N564" s="1"/>
      <c r="O564" s="1">
        <f>Table25791113[[#This Row],[Time]]</f>
        <v>0</v>
      </c>
      <c r="R564">
        <f>Table25791113[[#This Row],[RSSI]]</f>
        <v>0</v>
      </c>
    </row>
    <row r="565" spans="4:18" x14ac:dyDescent="0.25">
      <c r="D565" s="1"/>
      <c r="E565" s="1">
        <f>Table14681012[[#This Row],[Time]]-TIME(0,0,9)</f>
        <v>-1.0416666666666667E-4</v>
      </c>
      <c r="H565" t="e">
        <f t="shared" si="24"/>
        <v>#VALUE!</v>
      </c>
      <c r="N565" s="1"/>
      <c r="O565" s="1">
        <f>Table25791113[[#This Row],[Time]]</f>
        <v>0</v>
      </c>
      <c r="R565">
        <f>Table25791113[[#This Row],[RSSI]]</f>
        <v>0</v>
      </c>
    </row>
    <row r="566" spans="4:18" x14ac:dyDescent="0.25">
      <c r="D566" s="1"/>
      <c r="E566" s="1">
        <f>Table14681012[[#This Row],[Time]]-TIME(0,0,9)</f>
        <v>-1.0416666666666667E-4</v>
      </c>
      <c r="H566" t="e">
        <f t="shared" si="24"/>
        <v>#VALUE!</v>
      </c>
      <c r="N566" s="1"/>
      <c r="O566" s="1">
        <f>Table25791113[[#This Row],[Time]]</f>
        <v>0</v>
      </c>
      <c r="R566">
        <f>Table25791113[[#This Row],[RSSI]]</f>
        <v>0</v>
      </c>
    </row>
    <row r="567" spans="4:18" x14ac:dyDescent="0.25">
      <c r="D567" s="1"/>
      <c r="E567" s="1">
        <f>Table14681012[[#This Row],[Time]]-TIME(0,0,9)</f>
        <v>-1.0416666666666667E-4</v>
      </c>
      <c r="H567" t="e">
        <f t="shared" si="24"/>
        <v>#VALUE!</v>
      </c>
      <c r="N567" s="1"/>
      <c r="O567" s="1">
        <f>Table25791113[[#This Row],[Time]]</f>
        <v>0</v>
      </c>
      <c r="R567">
        <f>Table25791113[[#This Row],[RSSI]]</f>
        <v>0</v>
      </c>
    </row>
    <row r="568" spans="4:18" x14ac:dyDescent="0.25">
      <c r="D568" s="1"/>
      <c r="E568" s="1">
        <f>Table14681012[[#This Row],[Time]]-TIME(0,0,9)</f>
        <v>-1.0416666666666667E-4</v>
      </c>
      <c r="H568" t="e">
        <f t="shared" si="24"/>
        <v>#VALUE!</v>
      </c>
      <c r="N568" s="1"/>
      <c r="O568" s="1">
        <f>Table25791113[[#This Row],[Time]]</f>
        <v>0</v>
      </c>
      <c r="R568">
        <f>Table25791113[[#This Row],[RSSI]]</f>
        <v>0</v>
      </c>
    </row>
    <row r="569" spans="4:18" x14ac:dyDescent="0.25">
      <c r="D569" s="1"/>
      <c r="E569" s="1">
        <f>Table14681012[[#This Row],[Time]]-TIME(0,0,9)</f>
        <v>-1.0416666666666667E-4</v>
      </c>
      <c r="H569" t="e">
        <f t="shared" si="24"/>
        <v>#VALUE!</v>
      </c>
      <c r="N569" s="1"/>
      <c r="O569" s="1">
        <f>Table25791113[[#This Row],[Time]]</f>
        <v>0</v>
      </c>
      <c r="R569">
        <f>Table25791113[[#This Row],[RSSI]]</f>
        <v>0</v>
      </c>
    </row>
    <row r="570" spans="4:18" x14ac:dyDescent="0.25">
      <c r="D570" s="1"/>
      <c r="E570" s="1">
        <f>Table14681012[[#This Row],[Time]]-TIME(0,0,9)</f>
        <v>-1.0416666666666667E-4</v>
      </c>
      <c r="H570" t="e">
        <f t="shared" si="24"/>
        <v>#VALUE!</v>
      </c>
      <c r="N570" s="1"/>
      <c r="O570" s="1">
        <f>Table25791113[[#This Row],[Time]]</f>
        <v>0</v>
      </c>
      <c r="R570">
        <f>Table25791113[[#This Row],[RSSI]]</f>
        <v>0</v>
      </c>
    </row>
    <row r="571" spans="4:18" x14ac:dyDescent="0.25">
      <c r="D571" s="1"/>
      <c r="E571" s="1">
        <f>Table14681012[[#This Row],[Time]]-TIME(0,0,9)</f>
        <v>-1.0416666666666667E-4</v>
      </c>
      <c r="H571" t="e">
        <f t="shared" si="24"/>
        <v>#VALUE!</v>
      </c>
      <c r="N571" s="1"/>
      <c r="O571" s="1">
        <f>Table25791113[[#This Row],[Time]]</f>
        <v>0</v>
      </c>
      <c r="R571">
        <f>Table25791113[[#This Row],[RSSI]]</f>
        <v>0</v>
      </c>
    </row>
    <row r="572" spans="4:18" x14ac:dyDescent="0.25">
      <c r="D572" s="1"/>
      <c r="E572" s="1">
        <f>Table14681012[[#This Row],[Time]]-TIME(0,0,9)</f>
        <v>-1.0416666666666667E-4</v>
      </c>
      <c r="H572" t="e">
        <f t="shared" si="24"/>
        <v>#VALUE!</v>
      </c>
      <c r="N572" s="1"/>
      <c r="O572" s="1">
        <f>Table25791113[[#This Row],[Time]]</f>
        <v>0</v>
      </c>
      <c r="R572">
        <f>Table25791113[[#This Row],[RSSI]]</f>
        <v>0</v>
      </c>
    </row>
    <row r="573" spans="4:18" x14ac:dyDescent="0.25">
      <c r="D573" s="1"/>
      <c r="E573" s="1">
        <f>Table14681012[[#This Row],[Time]]-TIME(0,0,9)</f>
        <v>-1.0416666666666667E-4</v>
      </c>
      <c r="H573" t="e">
        <f t="shared" si="24"/>
        <v>#VALUE!</v>
      </c>
      <c r="N573" s="1"/>
      <c r="O573" s="1">
        <f>Table25791113[[#This Row],[Time]]</f>
        <v>0</v>
      </c>
      <c r="R573">
        <f>Table25791113[[#This Row],[RSSI]]</f>
        <v>0</v>
      </c>
    </row>
    <row r="574" spans="4:18" x14ac:dyDescent="0.25">
      <c r="D574" s="1"/>
      <c r="E574" s="1">
        <f>Table14681012[[#This Row],[Time]]-TIME(0,0,9)</f>
        <v>-1.0416666666666667E-4</v>
      </c>
      <c r="H574" t="e">
        <f t="shared" si="24"/>
        <v>#VALUE!</v>
      </c>
      <c r="N574" s="1"/>
      <c r="O574" s="1">
        <f>Table25791113[[#This Row],[Time]]</f>
        <v>0</v>
      </c>
      <c r="R574">
        <f>Table25791113[[#This Row],[RSSI]]</f>
        <v>0</v>
      </c>
    </row>
    <row r="575" spans="4:18" x14ac:dyDescent="0.25">
      <c r="D575" s="1"/>
      <c r="E575" s="1">
        <f>Table14681012[[#This Row],[Time]]-TIME(0,0,9)</f>
        <v>-1.0416666666666667E-4</v>
      </c>
      <c r="H575" t="e">
        <f t="shared" si="24"/>
        <v>#VALUE!</v>
      </c>
      <c r="N575" s="1"/>
      <c r="O575" s="1">
        <f>Table25791113[[#This Row],[Time]]</f>
        <v>0</v>
      </c>
      <c r="R575">
        <f>Table25791113[[#This Row],[RSSI]]</f>
        <v>0</v>
      </c>
    </row>
    <row r="576" spans="4:18" x14ac:dyDescent="0.25">
      <c r="D576" s="1"/>
      <c r="E576" s="1">
        <f>Table14681012[[#This Row],[Time]]-TIME(0,0,9)</f>
        <v>-1.0416666666666667E-4</v>
      </c>
      <c r="H576" t="e">
        <f t="shared" si="24"/>
        <v>#VALUE!</v>
      </c>
      <c r="N576" s="1"/>
      <c r="O576" s="1">
        <f>Table25791113[[#This Row],[Time]]</f>
        <v>0</v>
      </c>
      <c r="R576">
        <f>Table25791113[[#This Row],[RSSI]]</f>
        <v>0</v>
      </c>
    </row>
    <row r="577" spans="4:18" x14ac:dyDescent="0.25">
      <c r="D577" s="1"/>
      <c r="E577" s="1">
        <f>Table14681012[[#This Row],[Time]]-TIME(0,0,9)</f>
        <v>-1.0416666666666667E-4</v>
      </c>
      <c r="H577" t="e">
        <f t="shared" si="24"/>
        <v>#VALUE!</v>
      </c>
      <c r="N577" s="1"/>
      <c r="O577" s="1">
        <f>Table25791113[[#This Row],[Time]]</f>
        <v>0</v>
      </c>
      <c r="R577">
        <f>Table25791113[[#This Row],[RSSI]]</f>
        <v>0</v>
      </c>
    </row>
    <row r="578" spans="4:18" x14ac:dyDescent="0.25">
      <c r="D578" s="1"/>
      <c r="E578" s="1">
        <f>Table14681012[[#This Row],[Time]]-TIME(0,0,9)</f>
        <v>-1.0416666666666667E-4</v>
      </c>
      <c r="H578" t="e">
        <f t="shared" si="24"/>
        <v>#VALUE!</v>
      </c>
      <c r="N578" s="1"/>
      <c r="O578" s="1">
        <f>Table25791113[[#This Row],[Time]]</f>
        <v>0</v>
      </c>
      <c r="R578">
        <f>Table25791113[[#This Row],[RSSI]]</f>
        <v>0</v>
      </c>
    </row>
    <row r="579" spans="4:18" x14ac:dyDescent="0.25">
      <c r="D579" s="1"/>
      <c r="E579" s="1">
        <f>Table14681012[[#This Row],[Time]]-TIME(0,0,9)</f>
        <v>-1.0416666666666667E-4</v>
      </c>
      <c r="H579" t="e">
        <f t="shared" si="24"/>
        <v>#VALUE!</v>
      </c>
      <c r="N579" s="1"/>
      <c r="O579" s="1">
        <f>Table25791113[[#This Row],[Time]]</f>
        <v>0</v>
      </c>
      <c r="R579">
        <f>Table25791113[[#This Row],[RSSI]]</f>
        <v>0</v>
      </c>
    </row>
    <row r="580" spans="4:18" x14ac:dyDescent="0.25">
      <c r="D580" s="1"/>
      <c r="E580" s="1">
        <f>Table14681012[[#This Row],[Time]]-TIME(0,0,9)</f>
        <v>-1.0416666666666667E-4</v>
      </c>
      <c r="H580" t="e">
        <f t="shared" si="24"/>
        <v>#VALUE!</v>
      </c>
      <c r="N580" s="1"/>
      <c r="O580" s="1">
        <f>Table25791113[[#This Row],[Time]]</f>
        <v>0</v>
      </c>
      <c r="R580">
        <f>Table25791113[[#This Row],[RSSI]]</f>
        <v>0</v>
      </c>
    </row>
    <row r="581" spans="4:18" x14ac:dyDescent="0.25">
      <c r="D581" s="1"/>
      <c r="E581" s="1">
        <f>Table14681012[[#This Row],[Time]]-TIME(0,0,9)</f>
        <v>-1.0416666666666667E-4</v>
      </c>
      <c r="H581" t="e">
        <f t="shared" si="24"/>
        <v>#VALUE!</v>
      </c>
      <c r="N581" s="1"/>
      <c r="O581" s="1">
        <f>Table25791113[[#This Row],[Time]]</f>
        <v>0</v>
      </c>
      <c r="R581">
        <f>Table25791113[[#This Row],[RSSI]]</f>
        <v>0</v>
      </c>
    </row>
    <row r="582" spans="4:18" x14ac:dyDescent="0.25">
      <c r="D582" s="1"/>
      <c r="E582" s="1">
        <f>Table14681012[[#This Row],[Time]]-TIME(0,0,9)</f>
        <v>-1.0416666666666667E-4</v>
      </c>
      <c r="H582" t="e">
        <f t="shared" si="24"/>
        <v>#VALUE!</v>
      </c>
      <c r="N582" s="1"/>
      <c r="O582" s="1">
        <f>Table25791113[[#This Row],[Time]]</f>
        <v>0</v>
      </c>
      <c r="R582">
        <f>Table25791113[[#This Row],[RSSI]]</f>
        <v>0</v>
      </c>
    </row>
    <row r="583" spans="4:18" x14ac:dyDescent="0.25">
      <c r="D583" s="1"/>
      <c r="E583" s="1">
        <f>Table14681012[[#This Row],[Time]]-TIME(0,0,9)</f>
        <v>-1.0416666666666667E-4</v>
      </c>
      <c r="H583" t="e">
        <f t="shared" si="24"/>
        <v>#VALUE!</v>
      </c>
      <c r="N583" s="1"/>
      <c r="O583" s="1">
        <f>Table25791113[[#This Row],[Time]]</f>
        <v>0</v>
      </c>
      <c r="R583">
        <f>Table25791113[[#This Row],[RSSI]]</f>
        <v>0</v>
      </c>
    </row>
    <row r="584" spans="4:18" x14ac:dyDescent="0.25">
      <c r="D584" s="1"/>
      <c r="E584" s="1">
        <f>Table14681012[[#This Row],[Time]]-TIME(0,0,9)</f>
        <v>-1.0416666666666667E-4</v>
      </c>
      <c r="H584" t="e">
        <f t="shared" si="24"/>
        <v>#VALUE!</v>
      </c>
      <c r="N584" s="1"/>
      <c r="O584" s="1">
        <f>Table25791113[[#This Row],[Time]]</f>
        <v>0</v>
      </c>
      <c r="R584">
        <f>Table25791113[[#This Row],[RSSI]]</f>
        <v>0</v>
      </c>
    </row>
    <row r="585" spans="4:18" x14ac:dyDescent="0.25">
      <c r="D585" s="1"/>
      <c r="E585" s="1">
        <f>Table14681012[[#This Row],[Time]]-TIME(0,0,9)</f>
        <v>-1.0416666666666667E-4</v>
      </c>
      <c r="H585" t="e">
        <f t="shared" si="24"/>
        <v>#VALUE!</v>
      </c>
      <c r="N585" s="1"/>
      <c r="O585" s="1">
        <f>Table25791113[[#This Row],[Time]]</f>
        <v>0</v>
      </c>
      <c r="R585">
        <f>Table25791113[[#This Row],[RSSI]]</f>
        <v>0</v>
      </c>
    </row>
    <row r="586" spans="4:18" x14ac:dyDescent="0.25">
      <c r="D586" s="1"/>
      <c r="E586" s="1">
        <f>Table14681012[[#This Row],[Time]]-TIME(0,0,9)</f>
        <v>-1.0416666666666667E-4</v>
      </c>
      <c r="H586" t="e">
        <f t="shared" si="24"/>
        <v>#VALUE!</v>
      </c>
      <c r="N586" s="1"/>
      <c r="O586" s="1">
        <f>Table25791113[[#This Row],[Time]]</f>
        <v>0</v>
      </c>
      <c r="R586">
        <f>Table25791113[[#This Row],[RSSI]]</f>
        <v>0</v>
      </c>
    </row>
    <row r="587" spans="4:18" x14ac:dyDescent="0.25">
      <c r="D587" s="1"/>
      <c r="E587" s="1">
        <f>Table14681012[[#This Row],[Time]]-TIME(0,0,9)</f>
        <v>-1.0416666666666667E-4</v>
      </c>
      <c r="H587" t="e">
        <f t="shared" si="24"/>
        <v>#VALUE!</v>
      </c>
      <c r="N587" s="1"/>
      <c r="O587" s="1">
        <f>Table25791113[[#This Row],[Time]]</f>
        <v>0</v>
      </c>
      <c r="R587">
        <f>Table25791113[[#This Row],[RSSI]]</f>
        <v>0</v>
      </c>
    </row>
    <row r="588" spans="4:18" x14ac:dyDescent="0.25">
      <c r="D588" s="1"/>
      <c r="E588" s="1">
        <f>Table14681012[[#This Row],[Time]]-TIME(0,0,9)</f>
        <v>-1.0416666666666667E-4</v>
      </c>
      <c r="H588" t="e">
        <f t="shared" si="24"/>
        <v>#VALUE!</v>
      </c>
      <c r="N588" s="1"/>
      <c r="O588" s="1">
        <f>Table25791113[[#This Row],[Time]]</f>
        <v>0</v>
      </c>
      <c r="R588">
        <f>Table25791113[[#This Row],[RSSI]]</f>
        <v>0</v>
      </c>
    </row>
    <row r="589" spans="4:18" x14ac:dyDescent="0.25">
      <c r="D589" s="1"/>
      <c r="E589" s="1">
        <f>Table14681012[[#This Row],[Time]]-TIME(0,0,9)</f>
        <v>-1.0416666666666667E-4</v>
      </c>
      <c r="H589" t="e">
        <f t="shared" si="24"/>
        <v>#VALUE!</v>
      </c>
      <c r="N589" s="1"/>
      <c r="O589" s="1">
        <f>Table25791113[[#This Row],[Time]]</f>
        <v>0</v>
      </c>
      <c r="R589">
        <f>Table25791113[[#This Row],[RSSI]]</f>
        <v>0</v>
      </c>
    </row>
    <row r="590" spans="4:18" x14ac:dyDescent="0.25">
      <c r="D590" s="1"/>
      <c r="E590" s="1">
        <f>Table14681012[[#This Row],[Time]]-TIME(0,0,9)</f>
        <v>-1.0416666666666667E-4</v>
      </c>
      <c r="H590" t="e">
        <f t="shared" si="24"/>
        <v>#VALUE!</v>
      </c>
      <c r="N590" s="1"/>
      <c r="O590" s="1">
        <f>Table25791113[[#This Row],[Time]]</f>
        <v>0</v>
      </c>
      <c r="R590">
        <f>Table25791113[[#This Row],[RSSI]]</f>
        <v>0</v>
      </c>
    </row>
    <row r="591" spans="4:18" x14ac:dyDescent="0.25">
      <c r="D591" s="1"/>
      <c r="E591" s="1">
        <f>Table14681012[[#This Row],[Time]]-TIME(0,0,9)</f>
        <v>-1.0416666666666667E-4</v>
      </c>
      <c r="H591" t="e">
        <f t="shared" si="24"/>
        <v>#VALUE!</v>
      </c>
      <c r="N591" s="1"/>
      <c r="O591" s="1">
        <f>Table25791113[[#This Row],[Time]]</f>
        <v>0</v>
      </c>
      <c r="R591">
        <f>Table25791113[[#This Row],[RSSI]]</f>
        <v>0</v>
      </c>
    </row>
    <row r="592" spans="4:18" x14ac:dyDescent="0.25">
      <c r="D592" s="1"/>
      <c r="E592" s="1">
        <f>Table14681012[[#This Row],[Time]]-TIME(0,0,9)</f>
        <v>-1.0416666666666667E-4</v>
      </c>
      <c r="H592" t="e">
        <f t="shared" si="24"/>
        <v>#VALUE!</v>
      </c>
      <c r="N592" s="1"/>
      <c r="O592" s="1">
        <f>Table25791113[[#This Row],[Time]]</f>
        <v>0</v>
      </c>
      <c r="R592">
        <f>Table25791113[[#This Row],[RSSI]]</f>
        <v>0</v>
      </c>
    </row>
    <row r="593" spans="4:18" x14ac:dyDescent="0.25">
      <c r="D593" s="1"/>
      <c r="E593" s="1">
        <f>Table14681012[[#This Row],[Time]]-TIME(0,0,9)</f>
        <v>-1.0416666666666667E-4</v>
      </c>
      <c r="H593" t="e">
        <f t="shared" si="24"/>
        <v>#VALUE!</v>
      </c>
      <c r="N593" s="1"/>
      <c r="O593" s="1">
        <f>Table25791113[[#This Row],[Time]]</f>
        <v>0</v>
      </c>
      <c r="R593">
        <f>Table25791113[[#This Row],[RSSI]]</f>
        <v>0</v>
      </c>
    </row>
    <row r="594" spans="4:18" x14ac:dyDescent="0.25">
      <c r="D594" s="1"/>
      <c r="E594" s="1">
        <f>Table14681012[[#This Row],[Time]]-TIME(0,0,9)</f>
        <v>-1.0416666666666667E-4</v>
      </c>
      <c r="H594" t="e">
        <f t="shared" si="24"/>
        <v>#VALUE!</v>
      </c>
      <c r="N594" s="1"/>
      <c r="O594" s="1">
        <f>Table25791113[[#This Row],[Time]]</f>
        <v>0</v>
      </c>
      <c r="R594">
        <f>Table25791113[[#This Row],[RSSI]]</f>
        <v>0</v>
      </c>
    </row>
    <row r="595" spans="4:18" x14ac:dyDescent="0.25">
      <c r="D595" s="1"/>
      <c r="E595" s="1">
        <f>Table14681012[[#This Row],[Time]]-TIME(0,0,9)</f>
        <v>-1.0416666666666667E-4</v>
      </c>
      <c r="H595" t="e">
        <f t="shared" si="24"/>
        <v>#VALUE!</v>
      </c>
      <c r="N595" s="1"/>
      <c r="O595" s="1">
        <f>Table25791113[[#This Row],[Time]]</f>
        <v>0</v>
      </c>
      <c r="R595">
        <f>Table25791113[[#This Row],[RSSI]]</f>
        <v>0</v>
      </c>
    </row>
    <row r="596" spans="4:18" x14ac:dyDescent="0.25">
      <c r="D596" s="1"/>
      <c r="E596" s="1">
        <f>Table14681012[[#This Row],[Time]]-TIME(0,0,9)</f>
        <v>-1.0416666666666667E-4</v>
      </c>
      <c r="H596" t="e">
        <f t="shared" si="24"/>
        <v>#VALUE!</v>
      </c>
      <c r="N596" s="1"/>
      <c r="O596" s="1">
        <f>Table25791113[[#This Row],[Time]]</f>
        <v>0</v>
      </c>
      <c r="R596">
        <f>Table25791113[[#This Row],[RSSI]]</f>
        <v>0</v>
      </c>
    </row>
    <row r="597" spans="4:18" x14ac:dyDescent="0.25">
      <c r="D597" s="1"/>
      <c r="E597" s="1">
        <f>Table14681012[[#This Row],[Time]]-TIME(0,0,9)</f>
        <v>-1.0416666666666667E-4</v>
      </c>
      <c r="H597" t="e">
        <f t="shared" si="24"/>
        <v>#VALUE!</v>
      </c>
      <c r="N597" s="1"/>
      <c r="O597" s="1">
        <f>Table25791113[[#This Row],[Time]]</f>
        <v>0</v>
      </c>
      <c r="R597">
        <f>Table25791113[[#This Row],[RSSI]]</f>
        <v>0</v>
      </c>
    </row>
    <row r="598" spans="4:18" x14ac:dyDescent="0.25">
      <c r="D598" s="1"/>
      <c r="E598" s="1">
        <f>Table14681012[[#This Row],[Time]]-TIME(0,0,9)</f>
        <v>-1.0416666666666667E-4</v>
      </c>
      <c r="H598" t="e">
        <f t="shared" ref="H598:H661" si="25">VALUE(LEFT(G598,LEN(G598)-1))</f>
        <v>#VALUE!</v>
      </c>
      <c r="N598" s="1"/>
      <c r="O598" s="1">
        <f>Table25791113[[#This Row],[Time]]</f>
        <v>0</v>
      </c>
      <c r="R598">
        <f>Table25791113[[#This Row],[RSSI]]</f>
        <v>0</v>
      </c>
    </row>
    <row r="599" spans="4:18" x14ac:dyDescent="0.25">
      <c r="D599" s="1"/>
      <c r="E599" s="1">
        <f>Table14681012[[#This Row],[Time]]-TIME(0,0,9)</f>
        <v>-1.0416666666666667E-4</v>
      </c>
      <c r="H599" t="e">
        <f t="shared" si="25"/>
        <v>#VALUE!</v>
      </c>
      <c r="N599" s="1"/>
      <c r="O599" s="1">
        <f>Table25791113[[#This Row],[Time]]</f>
        <v>0</v>
      </c>
      <c r="R599">
        <f>Table25791113[[#This Row],[RSSI]]</f>
        <v>0</v>
      </c>
    </row>
    <row r="600" spans="4:18" x14ac:dyDescent="0.25">
      <c r="D600" s="1"/>
      <c r="E600" s="1">
        <f>Table14681012[[#This Row],[Time]]-TIME(0,0,9)</f>
        <v>-1.0416666666666667E-4</v>
      </c>
      <c r="H600" t="e">
        <f t="shared" si="25"/>
        <v>#VALUE!</v>
      </c>
      <c r="N600" s="1"/>
      <c r="O600" s="1">
        <f>Table25791113[[#This Row],[Time]]</f>
        <v>0</v>
      </c>
      <c r="R600">
        <f>Table25791113[[#This Row],[RSSI]]</f>
        <v>0</v>
      </c>
    </row>
    <row r="601" spans="4:18" x14ac:dyDescent="0.25">
      <c r="D601" s="1"/>
      <c r="E601" s="1">
        <f>Table14681012[[#This Row],[Time]]-TIME(0,0,9)</f>
        <v>-1.0416666666666667E-4</v>
      </c>
      <c r="H601" t="e">
        <f t="shared" si="25"/>
        <v>#VALUE!</v>
      </c>
      <c r="N601" s="1"/>
      <c r="O601" s="1">
        <f>Table25791113[[#This Row],[Time]]</f>
        <v>0</v>
      </c>
      <c r="R601">
        <f>Table25791113[[#This Row],[RSSI]]</f>
        <v>0</v>
      </c>
    </row>
    <row r="602" spans="4:18" x14ac:dyDescent="0.25">
      <c r="D602" s="1"/>
      <c r="E602" s="1">
        <f>Table14681012[[#This Row],[Time]]-TIME(0,0,9)</f>
        <v>-1.0416666666666667E-4</v>
      </c>
      <c r="H602" t="e">
        <f t="shared" si="25"/>
        <v>#VALUE!</v>
      </c>
      <c r="N602" s="1"/>
      <c r="O602" s="1">
        <f>Table25791113[[#This Row],[Time]]</f>
        <v>0</v>
      </c>
      <c r="R602">
        <f>Table25791113[[#This Row],[RSSI]]</f>
        <v>0</v>
      </c>
    </row>
    <row r="603" spans="4:18" x14ac:dyDescent="0.25">
      <c r="D603" s="1"/>
      <c r="E603" s="1">
        <f>Table14681012[[#This Row],[Time]]-TIME(0,0,9)</f>
        <v>-1.0416666666666667E-4</v>
      </c>
      <c r="H603" t="e">
        <f t="shared" si="25"/>
        <v>#VALUE!</v>
      </c>
      <c r="N603" s="1"/>
      <c r="O603" s="1">
        <f>Table25791113[[#This Row],[Time]]</f>
        <v>0</v>
      </c>
      <c r="R603">
        <f>Table25791113[[#This Row],[RSSI]]</f>
        <v>0</v>
      </c>
    </row>
    <row r="604" spans="4:18" x14ac:dyDescent="0.25">
      <c r="D604" s="1"/>
      <c r="E604" s="1">
        <f>Table14681012[[#This Row],[Time]]-TIME(0,0,9)</f>
        <v>-1.0416666666666667E-4</v>
      </c>
      <c r="H604" t="e">
        <f t="shared" si="25"/>
        <v>#VALUE!</v>
      </c>
      <c r="N604" s="1"/>
      <c r="O604" s="1">
        <f>Table25791113[[#This Row],[Time]]</f>
        <v>0</v>
      </c>
      <c r="R604">
        <f>Table25791113[[#This Row],[RSSI]]</f>
        <v>0</v>
      </c>
    </row>
    <row r="605" spans="4:18" x14ac:dyDescent="0.25">
      <c r="D605" s="1"/>
      <c r="E605" s="1">
        <f>Table14681012[[#This Row],[Time]]-TIME(0,0,9)</f>
        <v>-1.0416666666666667E-4</v>
      </c>
      <c r="H605" t="e">
        <f t="shared" si="25"/>
        <v>#VALUE!</v>
      </c>
      <c r="N605" s="1"/>
      <c r="O605" s="1">
        <f>Table25791113[[#This Row],[Time]]</f>
        <v>0</v>
      </c>
      <c r="R605">
        <f>Table25791113[[#This Row],[RSSI]]</f>
        <v>0</v>
      </c>
    </row>
    <row r="606" spans="4:18" x14ac:dyDescent="0.25">
      <c r="D606" s="1"/>
      <c r="E606" s="1">
        <f>Table14681012[[#This Row],[Time]]-TIME(0,0,9)</f>
        <v>-1.0416666666666667E-4</v>
      </c>
      <c r="H606" t="e">
        <f t="shared" si="25"/>
        <v>#VALUE!</v>
      </c>
      <c r="N606" s="1"/>
      <c r="O606" s="1">
        <f>Table25791113[[#This Row],[Time]]</f>
        <v>0</v>
      </c>
      <c r="R606">
        <f>Table25791113[[#This Row],[RSSI]]</f>
        <v>0</v>
      </c>
    </row>
    <row r="607" spans="4:18" x14ac:dyDescent="0.25">
      <c r="D607" s="1"/>
      <c r="E607" s="1">
        <f>Table14681012[[#This Row],[Time]]-TIME(0,0,9)</f>
        <v>-1.0416666666666667E-4</v>
      </c>
      <c r="H607" t="e">
        <f t="shared" si="25"/>
        <v>#VALUE!</v>
      </c>
      <c r="N607" s="1"/>
      <c r="O607" s="1">
        <f>Table25791113[[#This Row],[Time]]</f>
        <v>0</v>
      </c>
      <c r="R607">
        <f>Table25791113[[#This Row],[RSSI]]</f>
        <v>0</v>
      </c>
    </row>
    <row r="608" spans="4:18" x14ac:dyDescent="0.25">
      <c r="D608" s="1"/>
      <c r="E608" s="1">
        <f>Table14681012[[#This Row],[Time]]-TIME(0,0,9)</f>
        <v>-1.0416666666666667E-4</v>
      </c>
      <c r="H608" t="e">
        <f t="shared" si="25"/>
        <v>#VALUE!</v>
      </c>
      <c r="N608" s="1"/>
      <c r="O608" s="1">
        <f>Table25791113[[#This Row],[Time]]</f>
        <v>0</v>
      </c>
      <c r="R608">
        <f>Table25791113[[#This Row],[RSSI]]</f>
        <v>0</v>
      </c>
    </row>
    <row r="609" spans="4:18" x14ac:dyDescent="0.25">
      <c r="D609" s="1"/>
      <c r="E609" s="1">
        <f>Table14681012[[#This Row],[Time]]-TIME(0,0,9)</f>
        <v>-1.0416666666666667E-4</v>
      </c>
      <c r="H609" t="e">
        <f t="shared" si="25"/>
        <v>#VALUE!</v>
      </c>
      <c r="N609" s="1"/>
      <c r="O609" s="1">
        <f>Table25791113[[#This Row],[Time]]</f>
        <v>0</v>
      </c>
      <c r="R609">
        <f>Table25791113[[#This Row],[RSSI]]</f>
        <v>0</v>
      </c>
    </row>
    <row r="610" spans="4:18" x14ac:dyDescent="0.25">
      <c r="D610" s="1"/>
      <c r="E610" s="1">
        <f>Table14681012[[#This Row],[Time]]-TIME(0,0,9)</f>
        <v>-1.0416666666666667E-4</v>
      </c>
      <c r="H610" t="e">
        <f t="shared" si="25"/>
        <v>#VALUE!</v>
      </c>
      <c r="N610" s="1"/>
      <c r="O610" s="1">
        <f>Table25791113[[#This Row],[Time]]</f>
        <v>0</v>
      </c>
      <c r="R610">
        <f>Table25791113[[#This Row],[RSSI]]</f>
        <v>0</v>
      </c>
    </row>
    <row r="611" spans="4:18" x14ac:dyDescent="0.25">
      <c r="D611" s="1"/>
      <c r="E611" s="1">
        <f>Table14681012[[#This Row],[Time]]-TIME(0,0,9)</f>
        <v>-1.0416666666666667E-4</v>
      </c>
      <c r="H611" t="e">
        <f t="shared" si="25"/>
        <v>#VALUE!</v>
      </c>
      <c r="N611" s="1"/>
      <c r="O611" s="1">
        <f>Table25791113[[#This Row],[Time]]</f>
        <v>0</v>
      </c>
      <c r="R611">
        <f>Table25791113[[#This Row],[RSSI]]</f>
        <v>0</v>
      </c>
    </row>
    <row r="612" spans="4:18" x14ac:dyDescent="0.25">
      <c r="D612" s="1"/>
      <c r="E612" s="1">
        <f>Table14681012[[#This Row],[Time]]-TIME(0,0,9)</f>
        <v>-1.0416666666666667E-4</v>
      </c>
      <c r="H612" t="e">
        <f t="shared" si="25"/>
        <v>#VALUE!</v>
      </c>
      <c r="N612" s="1"/>
      <c r="O612" s="1">
        <f>Table25791113[[#This Row],[Time]]</f>
        <v>0</v>
      </c>
      <c r="R612">
        <f>Table25791113[[#This Row],[RSSI]]</f>
        <v>0</v>
      </c>
    </row>
    <row r="613" spans="4:18" x14ac:dyDescent="0.25">
      <c r="D613" s="1"/>
      <c r="E613" s="1">
        <f>Table14681012[[#This Row],[Time]]-TIME(0,0,9)</f>
        <v>-1.0416666666666667E-4</v>
      </c>
      <c r="H613" t="e">
        <f t="shared" si="25"/>
        <v>#VALUE!</v>
      </c>
      <c r="N613" s="1"/>
      <c r="O613" s="1">
        <f>Table25791113[[#This Row],[Time]]</f>
        <v>0</v>
      </c>
      <c r="R613">
        <f>Table25791113[[#This Row],[RSSI]]</f>
        <v>0</v>
      </c>
    </row>
    <row r="614" spans="4:18" x14ac:dyDescent="0.25">
      <c r="D614" s="1"/>
      <c r="E614" s="1">
        <f>Table14681012[[#This Row],[Time]]-TIME(0,0,9)</f>
        <v>-1.0416666666666667E-4</v>
      </c>
      <c r="H614" t="e">
        <f t="shared" si="25"/>
        <v>#VALUE!</v>
      </c>
      <c r="N614" s="1"/>
      <c r="O614" s="1">
        <f>Table25791113[[#This Row],[Time]]</f>
        <v>0</v>
      </c>
      <c r="R614">
        <f>Table25791113[[#This Row],[RSSI]]</f>
        <v>0</v>
      </c>
    </row>
    <row r="615" spans="4:18" x14ac:dyDescent="0.25">
      <c r="D615" s="1"/>
      <c r="E615" s="1">
        <f>Table14681012[[#This Row],[Time]]-TIME(0,0,9)</f>
        <v>-1.0416666666666667E-4</v>
      </c>
      <c r="H615" t="e">
        <f t="shared" si="25"/>
        <v>#VALUE!</v>
      </c>
      <c r="N615" s="1"/>
      <c r="O615" s="1">
        <f>Table25791113[[#This Row],[Time]]</f>
        <v>0</v>
      </c>
      <c r="R615">
        <f>Table25791113[[#This Row],[RSSI]]</f>
        <v>0</v>
      </c>
    </row>
    <row r="616" spans="4:18" x14ac:dyDescent="0.25">
      <c r="D616" s="1"/>
      <c r="E616" s="1">
        <f>Table14681012[[#This Row],[Time]]-TIME(0,0,9)</f>
        <v>-1.0416666666666667E-4</v>
      </c>
      <c r="H616" t="e">
        <f t="shared" si="25"/>
        <v>#VALUE!</v>
      </c>
      <c r="N616" s="1"/>
      <c r="O616" s="1">
        <f>Table25791113[[#This Row],[Time]]</f>
        <v>0</v>
      </c>
      <c r="R616">
        <f>Table25791113[[#This Row],[RSSI]]</f>
        <v>0</v>
      </c>
    </row>
    <row r="617" spans="4:18" x14ac:dyDescent="0.25">
      <c r="D617" s="1"/>
      <c r="E617" s="1">
        <f>Table14681012[[#This Row],[Time]]-TIME(0,0,9)</f>
        <v>-1.0416666666666667E-4</v>
      </c>
      <c r="H617" t="e">
        <f t="shared" si="25"/>
        <v>#VALUE!</v>
      </c>
      <c r="N617" s="1"/>
      <c r="O617" s="1">
        <f>Table25791113[[#This Row],[Time]]</f>
        <v>0</v>
      </c>
      <c r="R617">
        <f>Table25791113[[#This Row],[RSSI]]</f>
        <v>0</v>
      </c>
    </row>
    <row r="618" spans="4:18" x14ac:dyDescent="0.25">
      <c r="D618" s="1"/>
      <c r="E618" s="1">
        <f>Table14681012[[#This Row],[Time]]-TIME(0,0,9)</f>
        <v>-1.0416666666666667E-4</v>
      </c>
      <c r="H618" t="e">
        <f t="shared" si="25"/>
        <v>#VALUE!</v>
      </c>
      <c r="N618" s="1"/>
      <c r="O618" s="1">
        <f>Table25791113[[#This Row],[Time]]</f>
        <v>0</v>
      </c>
      <c r="R618">
        <f>Table25791113[[#This Row],[RSSI]]</f>
        <v>0</v>
      </c>
    </row>
    <row r="619" spans="4:18" x14ac:dyDescent="0.25">
      <c r="D619" s="1"/>
      <c r="E619" s="1">
        <f>Table14681012[[#This Row],[Time]]-TIME(0,0,9)</f>
        <v>-1.0416666666666667E-4</v>
      </c>
      <c r="H619" t="e">
        <f t="shared" si="25"/>
        <v>#VALUE!</v>
      </c>
      <c r="N619" s="1"/>
      <c r="O619" s="1">
        <f>Table25791113[[#This Row],[Time]]</f>
        <v>0</v>
      </c>
      <c r="R619">
        <f>Table25791113[[#This Row],[RSSI]]</f>
        <v>0</v>
      </c>
    </row>
    <row r="620" spans="4:18" x14ac:dyDescent="0.25">
      <c r="D620" s="1"/>
      <c r="E620" s="1">
        <f>Table14681012[[#This Row],[Time]]-TIME(0,0,9)</f>
        <v>-1.0416666666666667E-4</v>
      </c>
      <c r="H620" t="e">
        <f t="shared" si="25"/>
        <v>#VALUE!</v>
      </c>
      <c r="N620" s="1"/>
      <c r="O620" s="1">
        <f>Table25791113[[#This Row],[Time]]</f>
        <v>0</v>
      </c>
      <c r="R620">
        <f>Table25791113[[#This Row],[RSSI]]</f>
        <v>0</v>
      </c>
    </row>
    <row r="621" spans="4:18" x14ac:dyDescent="0.25">
      <c r="D621" s="1"/>
      <c r="E621" s="1">
        <f>Table14681012[[#This Row],[Time]]-TIME(0,0,9)</f>
        <v>-1.0416666666666667E-4</v>
      </c>
      <c r="H621" t="e">
        <f t="shared" si="25"/>
        <v>#VALUE!</v>
      </c>
      <c r="N621" s="1"/>
      <c r="O621" s="1">
        <f>Table25791113[[#This Row],[Time]]</f>
        <v>0</v>
      </c>
      <c r="R621">
        <f>Table25791113[[#This Row],[RSSI]]</f>
        <v>0</v>
      </c>
    </row>
    <row r="622" spans="4:18" x14ac:dyDescent="0.25">
      <c r="D622" s="1"/>
      <c r="E622" s="1">
        <f>Table14681012[[#This Row],[Time]]-TIME(0,0,9)</f>
        <v>-1.0416666666666667E-4</v>
      </c>
      <c r="H622" t="e">
        <f t="shared" si="25"/>
        <v>#VALUE!</v>
      </c>
      <c r="N622" s="1"/>
      <c r="O622" s="1">
        <f>Table25791113[[#This Row],[Time]]</f>
        <v>0</v>
      </c>
      <c r="R622">
        <f>Table25791113[[#This Row],[RSSI]]</f>
        <v>0</v>
      </c>
    </row>
    <row r="623" spans="4:18" x14ac:dyDescent="0.25">
      <c r="D623" s="1"/>
      <c r="E623" s="1">
        <f>Table14681012[[#This Row],[Time]]-TIME(0,0,9)</f>
        <v>-1.0416666666666667E-4</v>
      </c>
      <c r="H623" t="e">
        <f t="shared" si="25"/>
        <v>#VALUE!</v>
      </c>
      <c r="N623" s="1"/>
      <c r="O623" s="1">
        <f>Table25791113[[#This Row],[Time]]</f>
        <v>0</v>
      </c>
      <c r="R623">
        <f>Table25791113[[#This Row],[RSSI]]</f>
        <v>0</v>
      </c>
    </row>
    <row r="624" spans="4:18" x14ac:dyDescent="0.25">
      <c r="D624" s="1"/>
      <c r="E624" s="1">
        <f>Table14681012[[#This Row],[Time]]-TIME(0,0,9)</f>
        <v>-1.0416666666666667E-4</v>
      </c>
      <c r="H624" t="e">
        <f t="shared" si="25"/>
        <v>#VALUE!</v>
      </c>
      <c r="N624" s="1"/>
      <c r="O624" s="1">
        <f>Table25791113[[#This Row],[Time]]</f>
        <v>0</v>
      </c>
      <c r="R624">
        <f>Table25791113[[#This Row],[RSSI]]</f>
        <v>0</v>
      </c>
    </row>
    <row r="625" spans="4:18" x14ac:dyDescent="0.25">
      <c r="D625" s="1"/>
      <c r="E625" s="1">
        <f>Table14681012[[#This Row],[Time]]-TIME(0,0,9)</f>
        <v>-1.0416666666666667E-4</v>
      </c>
      <c r="H625" t="e">
        <f t="shared" si="25"/>
        <v>#VALUE!</v>
      </c>
      <c r="N625" s="1"/>
      <c r="O625" s="1">
        <f>Table25791113[[#This Row],[Time]]</f>
        <v>0</v>
      </c>
      <c r="R625">
        <f>Table25791113[[#This Row],[RSSI]]</f>
        <v>0</v>
      </c>
    </row>
    <row r="626" spans="4:18" x14ac:dyDescent="0.25">
      <c r="D626" s="1"/>
      <c r="E626" s="1">
        <f>Table14681012[[#This Row],[Time]]-TIME(0,0,9)</f>
        <v>-1.0416666666666667E-4</v>
      </c>
      <c r="H626" t="e">
        <f t="shared" si="25"/>
        <v>#VALUE!</v>
      </c>
      <c r="N626" s="1"/>
      <c r="O626" s="1">
        <f>Table25791113[[#This Row],[Time]]</f>
        <v>0</v>
      </c>
      <c r="R626">
        <f>Table25791113[[#This Row],[RSSI]]</f>
        <v>0</v>
      </c>
    </row>
    <row r="627" spans="4:18" x14ac:dyDescent="0.25">
      <c r="D627" s="1"/>
      <c r="E627" s="1">
        <f>Table14681012[[#This Row],[Time]]-TIME(0,0,9)</f>
        <v>-1.0416666666666667E-4</v>
      </c>
      <c r="H627" t="e">
        <f t="shared" si="25"/>
        <v>#VALUE!</v>
      </c>
      <c r="N627" s="1"/>
      <c r="O627" s="1">
        <f>Table25791113[[#This Row],[Time]]</f>
        <v>0</v>
      </c>
      <c r="R627">
        <f>Table25791113[[#This Row],[RSSI]]</f>
        <v>0</v>
      </c>
    </row>
    <row r="628" spans="4:18" x14ac:dyDescent="0.25">
      <c r="D628" s="1"/>
      <c r="E628" s="1">
        <f>Table14681012[[#This Row],[Time]]-TIME(0,0,9)</f>
        <v>-1.0416666666666667E-4</v>
      </c>
      <c r="H628" t="e">
        <f t="shared" si="25"/>
        <v>#VALUE!</v>
      </c>
      <c r="N628" s="1"/>
      <c r="O628" s="1">
        <f>Table25791113[[#This Row],[Time]]</f>
        <v>0</v>
      </c>
      <c r="R628">
        <f>Table25791113[[#This Row],[RSSI]]</f>
        <v>0</v>
      </c>
    </row>
    <row r="629" spans="4:18" x14ac:dyDescent="0.25">
      <c r="D629" s="1"/>
      <c r="E629" s="1">
        <f>Table14681012[[#This Row],[Time]]-TIME(0,0,9)</f>
        <v>-1.0416666666666667E-4</v>
      </c>
      <c r="H629" t="e">
        <f t="shared" si="25"/>
        <v>#VALUE!</v>
      </c>
      <c r="N629" s="1"/>
      <c r="O629" s="1">
        <f>Table25791113[[#This Row],[Time]]</f>
        <v>0</v>
      </c>
      <c r="R629">
        <f>Table25791113[[#This Row],[RSSI]]</f>
        <v>0</v>
      </c>
    </row>
    <row r="630" spans="4:18" x14ac:dyDescent="0.25">
      <c r="D630" s="1"/>
      <c r="E630" s="1">
        <f>Table14681012[[#This Row],[Time]]-TIME(0,0,9)</f>
        <v>-1.0416666666666667E-4</v>
      </c>
      <c r="H630" t="e">
        <f t="shared" si="25"/>
        <v>#VALUE!</v>
      </c>
      <c r="N630" s="1"/>
      <c r="O630" s="1">
        <f>Table25791113[[#This Row],[Time]]</f>
        <v>0</v>
      </c>
      <c r="R630">
        <f>Table25791113[[#This Row],[RSSI]]</f>
        <v>0</v>
      </c>
    </row>
    <row r="631" spans="4:18" x14ac:dyDescent="0.25">
      <c r="D631" s="1"/>
      <c r="E631" s="1">
        <f>Table14681012[[#This Row],[Time]]-TIME(0,0,9)</f>
        <v>-1.0416666666666667E-4</v>
      </c>
      <c r="H631" t="e">
        <f t="shared" si="25"/>
        <v>#VALUE!</v>
      </c>
      <c r="N631" s="1"/>
      <c r="O631" s="1">
        <f>Table25791113[[#This Row],[Time]]</f>
        <v>0</v>
      </c>
      <c r="R631">
        <f>Table25791113[[#This Row],[RSSI]]</f>
        <v>0</v>
      </c>
    </row>
    <row r="632" spans="4:18" x14ac:dyDescent="0.25">
      <c r="D632" s="1"/>
      <c r="E632" s="1">
        <f>Table14681012[[#This Row],[Time]]-TIME(0,0,9)</f>
        <v>-1.0416666666666667E-4</v>
      </c>
      <c r="H632" t="e">
        <f t="shared" si="25"/>
        <v>#VALUE!</v>
      </c>
      <c r="N632" s="1"/>
      <c r="O632" s="1">
        <f>Table25791113[[#This Row],[Time]]</f>
        <v>0</v>
      </c>
      <c r="R632">
        <f>Table25791113[[#This Row],[RSSI]]</f>
        <v>0</v>
      </c>
    </row>
    <row r="633" spans="4:18" x14ac:dyDescent="0.25">
      <c r="D633" s="1"/>
      <c r="E633" s="1">
        <f>Table14681012[[#This Row],[Time]]-TIME(0,0,9)</f>
        <v>-1.0416666666666667E-4</v>
      </c>
      <c r="H633" t="e">
        <f t="shared" si="25"/>
        <v>#VALUE!</v>
      </c>
      <c r="N633" s="1"/>
      <c r="O633" s="1">
        <f>Table25791113[[#This Row],[Time]]</f>
        <v>0</v>
      </c>
      <c r="R633">
        <f>Table25791113[[#This Row],[RSSI]]</f>
        <v>0</v>
      </c>
    </row>
    <row r="634" spans="4:18" x14ac:dyDescent="0.25">
      <c r="D634" s="1"/>
      <c r="E634" s="1">
        <f>Table14681012[[#This Row],[Time]]-TIME(0,0,9)</f>
        <v>-1.0416666666666667E-4</v>
      </c>
      <c r="H634" t="e">
        <f t="shared" si="25"/>
        <v>#VALUE!</v>
      </c>
      <c r="N634" s="1"/>
      <c r="O634" s="1">
        <f>Table25791113[[#This Row],[Time]]</f>
        <v>0</v>
      </c>
      <c r="R634">
        <f>Table25791113[[#This Row],[RSSI]]</f>
        <v>0</v>
      </c>
    </row>
    <row r="635" spans="4:18" x14ac:dyDescent="0.25">
      <c r="D635" s="1"/>
      <c r="E635" s="1">
        <f>Table14681012[[#This Row],[Time]]-TIME(0,0,9)</f>
        <v>-1.0416666666666667E-4</v>
      </c>
      <c r="H635" t="e">
        <f t="shared" si="25"/>
        <v>#VALUE!</v>
      </c>
      <c r="N635" s="1"/>
      <c r="O635" s="1">
        <f>Table25791113[[#This Row],[Time]]</f>
        <v>0</v>
      </c>
      <c r="R635">
        <f>Table25791113[[#This Row],[RSSI]]</f>
        <v>0</v>
      </c>
    </row>
    <row r="636" spans="4:18" x14ac:dyDescent="0.25">
      <c r="D636" s="1"/>
      <c r="E636" s="1">
        <f>Table14681012[[#This Row],[Time]]-TIME(0,0,9)</f>
        <v>-1.0416666666666667E-4</v>
      </c>
      <c r="H636" t="e">
        <f t="shared" si="25"/>
        <v>#VALUE!</v>
      </c>
      <c r="N636" s="1"/>
      <c r="O636" s="1">
        <f>Table25791113[[#This Row],[Time]]</f>
        <v>0</v>
      </c>
      <c r="R636">
        <f>Table25791113[[#This Row],[RSSI]]</f>
        <v>0</v>
      </c>
    </row>
    <row r="637" spans="4:18" x14ac:dyDescent="0.25">
      <c r="D637" s="1"/>
      <c r="E637" s="1">
        <f>Table14681012[[#This Row],[Time]]-TIME(0,0,9)</f>
        <v>-1.0416666666666667E-4</v>
      </c>
      <c r="H637" t="e">
        <f t="shared" si="25"/>
        <v>#VALUE!</v>
      </c>
      <c r="N637" s="1"/>
      <c r="O637" s="1">
        <f>Table25791113[[#This Row],[Time]]</f>
        <v>0</v>
      </c>
      <c r="R637">
        <f>Table25791113[[#This Row],[RSSI]]</f>
        <v>0</v>
      </c>
    </row>
    <row r="638" spans="4:18" x14ac:dyDescent="0.25">
      <c r="D638" s="1"/>
      <c r="E638" s="1">
        <f>Table14681012[[#This Row],[Time]]-TIME(0,0,9)</f>
        <v>-1.0416666666666667E-4</v>
      </c>
      <c r="H638" t="e">
        <f t="shared" si="25"/>
        <v>#VALUE!</v>
      </c>
      <c r="N638" s="1"/>
      <c r="O638" s="1">
        <f>Table25791113[[#This Row],[Time]]</f>
        <v>0</v>
      </c>
      <c r="R638">
        <f>Table25791113[[#This Row],[RSSI]]</f>
        <v>0</v>
      </c>
    </row>
    <row r="639" spans="4:18" x14ac:dyDescent="0.25">
      <c r="D639" s="1"/>
      <c r="E639" s="1">
        <f>Table14681012[[#This Row],[Time]]-TIME(0,0,9)</f>
        <v>-1.0416666666666667E-4</v>
      </c>
      <c r="H639" t="e">
        <f t="shared" si="25"/>
        <v>#VALUE!</v>
      </c>
      <c r="N639" s="1"/>
      <c r="O639" s="1">
        <f>Table25791113[[#This Row],[Time]]</f>
        <v>0</v>
      </c>
      <c r="R639">
        <f>Table25791113[[#This Row],[RSSI]]</f>
        <v>0</v>
      </c>
    </row>
    <row r="640" spans="4:18" x14ac:dyDescent="0.25">
      <c r="D640" s="1"/>
      <c r="E640" s="1">
        <f>Table14681012[[#This Row],[Time]]-TIME(0,0,9)</f>
        <v>-1.0416666666666667E-4</v>
      </c>
      <c r="H640" t="e">
        <f t="shared" si="25"/>
        <v>#VALUE!</v>
      </c>
      <c r="N640" s="1"/>
      <c r="O640" s="1">
        <f>Table25791113[[#This Row],[Time]]</f>
        <v>0</v>
      </c>
      <c r="R640">
        <f>Table25791113[[#This Row],[RSSI]]</f>
        <v>0</v>
      </c>
    </row>
    <row r="641" spans="4:18" x14ac:dyDescent="0.25">
      <c r="D641" s="1"/>
      <c r="E641" s="1">
        <f>Table14681012[[#This Row],[Time]]-TIME(0,0,9)</f>
        <v>-1.0416666666666667E-4</v>
      </c>
      <c r="H641" t="e">
        <f t="shared" si="25"/>
        <v>#VALUE!</v>
      </c>
      <c r="N641" s="1"/>
      <c r="O641" s="1">
        <f>Table25791113[[#This Row],[Time]]</f>
        <v>0</v>
      </c>
      <c r="R641">
        <f>Table25791113[[#This Row],[RSSI]]</f>
        <v>0</v>
      </c>
    </row>
    <row r="642" spans="4:18" x14ac:dyDescent="0.25">
      <c r="D642" s="1"/>
      <c r="E642" s="1">
        <f>Table14681012[[#This Row],[Time]]-TIME(0,0,9)</f>
        <v>-1.0416666666666667E-4</v>
      </c>
      <c r="H642" t="e">
        <f t="shared" si="25"/>
        <v>#VALUE!</v>
      </c>
      <c r="N642" s="1"/>
      <c r="O642" s="1">
        <f>Table25791113[[#This Row],[Time]]</f>
        <v>0</v>
      </c>
      <c r="R642">
        <f>Table25791113[[#This Row],[RSSI]]</f>
        <v>0</v>
      </c>
    </row>
    <row r="643" spans="4:18" x14ac:dyDescent="0.25">
      <c r="D643" s="1"/>
      <c r="E643" s="1">
        <f>Table14681012[[#This Row],[Time]]-TIME(0,0,9)</f>
        <v>-1.0416666666666667E-4</v>
      </c>
      <c r="H643" t="e">
        <f t="shared" si="25"/>
        <v>#VALUE!</v>
      </c>
      <c r="N643" s="1"/>
      <c r="O643" s="1">
        <f>Table25791113[[#This Row],[Time]]</f>
        <v>0</v>
      </c>
      <c r="R643">
        <f>Table25791113[[#This Row],[RSSI]]</f>
        <v>0</v>
      </c>
    </row>
    <row r="644" spans="4:18" x14ac:dyDescent="0.25">
      <c r="D644" s="1"/>
      <c r="E644" s="1">
        <f>Table14681012[[#This Row],[Time]]-TIME(0,0,9)</f>
        <v>-1.0416666666666667E-4</v>
      </c>
      <c r="H644" t="e">
        <f t="shared" si="25"/>
        <v>#VALUE!</v>
      </c>
      <c r="N644" s="1"/>
      <c r="O644" s="1">
        <f>Table25791113[[#This Row],[Time]]</f>
        <v>0</v>
      </c>
      <c r="R644">
        <f>Table25791113[[#This Row],[RSSI]]</f>
        <v>0</v>
      </c>
    </row>
    <row r="645" spans="4:18" x14ac:dyDescent="0.25">
      <c r="D645" s="1"/>
      <c r="E645" s="1">
        <f>Table14681012[[#This Row],[Time]]-TIME(0,0,9)</f>
        <v>-1.0416666666666667E-4</v>
      </c>
      <c r="H645" t="e">
        <f t="shared" si="25"/>
        <v>#VALUE!</v>
      </c>
      <c r="N645" s="1"/>
      <c r="O645" s="1">
        <f>Table25791113[[#This Row],[Time]]</f>
        <v>0</v>
      </c>
      <c r="R645">
        <f>Table25791113[[#This Row],[RSSI]]</f>
        <v>0</v>
      </c>
    </row>
    <row r="646" spans="4:18" x14ac:dyDescent="0.25">
      <c r="D646" s="1"/>
      <c r="E646" s="1">
        <f>Table14681012[[#This Row],[Time]]-TIME(0,0,9)</f>
        <v>-1.0416666666666667E-4</v>
      </c>
      <c r="H646" t="e">
        <f t="shared" si="25"/>
        <v>#VALUE!</v>
      </c>
      <c r="N646" s="1"/>
      <c r="O646" s="1">
        <f>Table25791113[[#This Row],[Time]]</f>
        <v>0</v>
      </c>
      <c r="R646">
        <f>Table25791113[[#This Row],[RSSI]]</f>
        <v>0</v>
      </c>
    </row>
    <row r="647" spans="4:18" x14ac:dyDescent="0.25">
      <c r="D647" s="1"/>
      <c r="E647" s="1">
        <f>Table14681012[[#This Row],[Time]]-TIME(0,0,9)</f>
        <v>-1.0416666666666667E-4</v>
      </c>
      <c r="H647" t="e">
        <f t="shared" si="25"/>
        <v>#VALUE!</v>
      </c>
      <c r="N647" s="1"/>
      <c r="O647" s="1">
        <f>Table25791113[[#This Row],[Time]]</f>
        <v>0</v>
      </c>
      <c r="R647">
        <f>Table25791113[[#This Row],[RSSI]]</f>
        <v>0</v>
      </c>
    </row>
    <row r="648" spans="4:18" x14ac:dyDescent="0.25">
      <c r="D648" s="1"/>
      <c r="E648" s="1">
        <f>Table14681012[[#This Row],[Time]]-TIME(0,0,9)</f>
        <v>-1.0416666666666667E-4</v>
      </c>
      <c r="H648" t="e">
        <f t="shared" si="25"/>
        <v>#VALUE!</v>
      </c>
      <c r="N648" s="1"/>
      <c r="O648" s="1">
        <f>Table25791113[[#This Row],[Time]]</f>
        <v>0</v>
      </c>
      <c r="R648">
        <f>Table25791113[[#This Row],[RSSI]]</f>
        <v>0</v>
      </c>
    </row>
    <row r="649" spans="4:18" x14ac:dyDescent="0.25">
      <c r="D649" s="1"/>
      <c r="E649" s="1">
        <f>Table14681012[[#This Row],[Time]]-TIME(0,0,9)</f>
        <v>-1.0416666666666667E-4</v>
      </c>
      <c r="H649" t="e">
        <f t="shared" si="25"/>
        <v>#VALUE!</v>
      </c>
      <c r="N649" s="1"/>
      <c r="O649" s="1">
        <f>Table25791113[[#This Row],[Time]]</f>
        <v>0</v>
      </c>
      <c r="R649">
        <f>Table25791113[[#This Row],[RSSI]]</f>
        <v>0</v>
      </c>
    </row>
    <row r="650" spans="4:18" x14ac:dyDescent="0.25">
      <c r="D650" s="1"/>
      <c r="E650" s="1">
        <f>Table14681012[[#This Row],[Time]]-TIME(0,0,9)</f>
        <v>-1.0416666666666667E-4</v>
      </c>
      <c r="H650" t="e">
        <f t="shared" si="25"/>
        <v>#VALUE!</v>
      </c>
      <c r="N650" s="1"/>
      <c r="O650" s="1">
        <f>Table25791113[[#This Row],[Time]]</f>
        <v>0</v>
      </c>
      <c r="R650">
        <f>Table25791113[[#This Row],[RSSI]]</f>
        <v>0</v>
      </c>
    </row>
    <row r="651" spans="4:18" x14ac:dyDescent="0.25">
      <c r="D651" s="1"/>
      <c r="E651" s="1">
        <f>Table14681012[[#This Row],[Time]]-TIME(0,0,9)</f>
        <v>-1.0416666666666667E-4</v>
      </c>
      <c r="H651" t="e">
        <f t="shared" si="25"/>
        <v>#VALUE!</v>
      </c>
      <c r="N651" s="1"/>
      <c r="O651" s="1">
        <f>Table25791113[[#This Row],[Time]]</f>
        <v>0</v>
      </c>
      <c r="R651">
        <f>Table25791113[[#This Row],[RSSI]]</f>
        <v>0</v>
      </c>
    </row>
    <row r="652" spans="4:18" x14ac:dyDescent="0.25">
      <c r="D652" s="1"/>
      <c r="E652" s="1">
        <f>Table14681012[[#This Row],[Time]]-TIME(0,0,9)</f>
        <v>-1.0416666666666667E-4</v>
      </c>
      <c r="H652" t="e">
        <f t="shared" si="25"/>
        <v>#VALUE!</v>
      </c>
      <c r="N652" s="1"/>
      <c r="O652" s="1">
        <f>Table25791113[[#This Row],[Time]]</f>
        <v>0</v>
      </c>
      <c r="R652">
        <f>Table25791113[[#This Row],[RSSI]]</f>
        <v>0</v>
      </c>
    </row>
    <row r="653" spans="4:18" x14ac:dyDescent="0.25">
      <c r="D653" s="1"/>
      <c r="E653" s="1">
        <f>Table14681012[[#This Row],[Time]]-TIME(0,0,9)</f>
        <v>-1.0416666666666667E-4</v>
      </c>
      <c r="H653" t="e">
        <f t="shared" si="25"/>
        <v>#VALUE!</v>
      </c>
      <c r="N653" s="1"/>
      <c r="O653" s="1">
        <f>Table25791113[[#This Row],[Time]]</f>
        <v>0</v>
      </c>
      <c r="R653">
        <f>Table25791113[[#This Row],[RSSI]]</f>
        <v>0</v>
      </c>
    </row>
    <row r="654" spans="4:18" x14ac:dyDescent="0.25">
      <c r="D654" s="1"/>
      <c r="E654" s="1">
        <f>Table14681012[[#This Row],[Time]]-TIME(0,0,9)</f>
        <v>-1.0416666666666667E-4</v>
      </c>
      <c r="H654" t="e">
        <f t="shared" si="25"/>
        <v>#VALUE!</v>
      </c>
      <c r="N654" s="1"/>
      <c r="O654" s="1">
        <f>Table25791113[[#This Row],[Time]]</f>
        <v>0</v>
      </c>
      <c r="R654">
        <f>Table25791113[[#This Row],[RSSI]]</f>
        <v>0</v>
      </c>
    </row>
    <row r="655" spans="4:18" x14ac:dyDescent="0.25">
      <c r="D655" s="1"/>
      <c r="E655" s="1">
        <f>Table14681012[[#This Row],[Time]]-TIME(0,0,9)</f>
        <v>-1.0416666666666667E-4</v>
      </c>
      <c r="H655" t="e">
        <f t="shared" si="25"/>
        <v>#VALUE!</v>
      </c>
      <c r="N655" s="1"/>
      <c r="O655" s="1">
        <f>Table25791113[[#This Row],[Time]]</f>
        <v>0</v>
      </c>
      <c r="R655">
        <f>Table25791113[[#This Row],[RSSI]]</f>
        <v>0</v>
      </c>
    </row>
    <row r="656" spans="4:18" x14ac:dyDescent="0.25">
      <c r="D656" s="1"/>
      <c r="E656" s="1">
        <f>Table14681012[[#This Row],[Time]]-TIME(0,0,9)</f>
        <v>-1.0416666666666667E-4</v>
      </c>
      <c r="H656" t="e">
        <f t="shared" si="25"/>
        <v>#VALUE!</v>
      </c>
      <c r="N656" s="1"/>
      <c r="O656" s="1">
        <f>Table25791113[[#This Row],[Time]]</f>
        <v>0</v>
      </c>
      <c r="R656">
        <f>Table25791113[[#This Row],[RSSI]]</f>
        <v>0</v>
      </c>
    </row>
    <row r="657" spans="4:18" x14ac:dyDescent="0.25">
      <c r="D657" s="1"/>
      <c r="E657" s="1">
        <f>Table14681012[[#This Row],[Time]]-TIME(0,0,9)</f>
        <v>-1.0416666666666667E-4</v>
      </c>
      <c r="H657" t="e">
        <f t="shared" si="25"/>
        <v>#VALUE!</v>
      </c>
      <c r="N657" s="1"/>
      <c r="O657" s="1">
        <f>Table25791113[[#This Row],[Time]]</f>
        <v>0</v>
      </c>
      <c r="R657">
        <f>Table25791113[[#This Row],[RSSI]]</f>
        <v>0</v>
      </c>
    </row>
    <row r="658" spans="4:18" x14ac:dyDescent="0.25">
      <c r="D658" s="1"/>
      <c r="E658" s="1">
        <f>Table14681012[[#This Row],[Time]]-TIME(0,0,9)</f>
        <v>-1.0416666666666667E-4</v>
      </c>
      <c r="H658" t="e">
        <f t="shared" si="25"/>
        <v>#VALUE!</v>
      </c>
      <c r="N658" s="1"/>
      <c r="O658" s="1">
        <f>Table25791113[[#This Row],[Time]]</f>
        <v>0</v>
      </c>
      <c r="R658">
        <f>Table25791113[[#This Row],[RSSI]]</f>
        <v>0</v>
      </c>
    </row>
    <row r="659" spans="4:18" x14ac:dyDescent="0.25">
      <c r="D659" s="1"/>
      <c r="E659" s="1">
        <f>Table14681012[[#This Row],[Time]]-TIME(0,0,9)</f>
        <v>-1.0416666666666667E-4</v>
      </c>
      <c r="H659" t="e">
        <f t="shared" si="25"/>
        <v>#VALUE!</v>
      </c>
      <c r="N659" s="1"/>
      <c r="O659" s="1">
        <f>Table25791113[[#This Row],[Time]]</f>
        <v>0</v>
      </c>
      <c r="R659">
        <f>Table25791113[[#This Row],[RSSI]]</f>
        <v>0</v>
      </c>
    </row>
    <row r="660" spans="4:18" x14ac:dyDescent="0.25">
      <c r="D660" s="1"/>
      <c r="E660" s="1">
        <f>Table14681012[[#This Row],[Time]]-TIME(0,0,9)</f>
        <v>-1.0416666666666667E-4</v>
      </c>
      <c r="H660" t="e">
        <f t="shared" si="25"/>
        <v>#VALUE!</v>
      </c>
      <c r="N660" s="1"/>
      <c r="O660" s="1">
        <f>Table25791113[[#This Row],[Time]]</f>
        <v>0</v>
      </c>
      <c r="R660">
        <f>Table25791113[[#This Row],[RSSI]]</f>
        <v>0</v>
      </c>
    </row>
    <row r="661" spans="4:18" x14ac:dyDescent="0.25">
      <c r="D661" s="1"/>
      <c r="E661" s="1">
        <f>Table14681012[[#This Row],[Time]]-TIME(0,0,9)</f>
        <v>-1.0416666666666667E-4</v>
      </c>
      <c r="H661" t="e">
        <f t="shared" si="25"/>
        <v>#VALUE!</v>
      </c>
      <c r="N661" s="1"/>
      <c r="O661" s="1">
        <f>Table25791113[[#This Row],[Time]]</f>
        <v>0</v>
      </c>
      <c r="R661">
        <f>Table25791113[[#This Row],[RSSI]]</f>
        <v>0</v>
      </c>
    </row>
    <row r="662" spans="4:18" x14ac:dyDescent="0.25">
      <c r="D662" s="1"/>
      <c r="E662" s="1">
        <f>Table14681012[[#This Row],[Time]]-TIME(0,0,9)</f>
        <v>-1.0416666666666667E-4</v>
      </c>
      <c r="H662" t="e">
        <f t="shared" ref="H662:H667" si="26">VALUE(LEFT(G662,LEN(G662)-1))</f>
        <v>#VALUE!</v>
      </c>
      <c r="N662" s="1"/>
      <c r="O662" s="1">
        <f>Table25791113[[#This Row],[Time]]</f>
        <v>0</v>
      </c>
      <c r="R662">
        <f>Table25791113[[#This Row],[RSSI]]</f>
        <v>0</v>
      </c>
    </row>
    <row r="663" spans="4:18" x14ac:dyDescent="0.25">
      <c r="D663" s="1"/>
      <c r="E663" s="1">
        <f>Table14681012[[#This Row],[Time]]-TIME(0,0,9)</f>
        <v>-1.0416666666666667E-4</v>
      </c>
      <c r="H663" t="e">
        <f t="shared" si="26"/>
        <v>#VALUE!</v>
      </c>
      <c r="N663" s="1"/>
      <c r="O663" s="1">
        <f>Table25791113[[#This Row],[Time]]</f>
        <v>0</v>
      </c>
      <c r="R663">
        <f>Table25791113[[#This Row],[RSSI]]</f>
        <v>0</v>
      </c>
    </row>
    <row r="664" spans="4:18" x14ac:dyDescent="0.25">
      <c r="D664" s="1"/>
      <c r="E664" s="1">
        <f>Table14681012[[#This Row],[Time]]-TIME(0,0,9)</f>
        <v>-1.0416666666666667E-4</v>
      </c>
      <c r="H664" t="e">
        <f t="shared" si="26"/>
        <v>#VALUE!</v>
      </c>
      <c r="N664" s="1"/>
      <c r="O664" s="1">
        <f>Table25791113[[#This Row],[Time]]</f>
        <v>0</v>
      </c>
      <c r="R664">
        <f>Table25791113[[#This Row],[RSSI]]</f>
        <v>0</v>
      </c>
    </row>
    <row r="665" spans="4:18" x14ac:dyDescent="0.25">
      <c r="D665" s="1"/>
      <c r="E665" s="1">
        <f>Table14681012[[#This Row],[Time]]-TIME(0,0,9)</f>
        <v>-1.0416666666666667E-4</v>
      </c>
      <c r="H665" t="e">
        <f t="shared" si="26"/>
        <v>#VALUE!</v>
      </c>
      <c r="N665" s="1"/>
      <c r="O665" s="1">
        <f>Table25791113[[#This Row],[Time]]</f>
        <v>0</v>
      </c>
      <c r="R665">
        <f>Table25791113[[#This Row],[RSSI]]</f>
        <v>0</v>
      </c>
    </row>
    <row r="666" spans="4:18" x14ac:dyDescent="0.25">
      <c r="D666" s="1"/>
      <c r="E666" s="1">
        <f>Table14681012[[#This Row],[Time]]-TIME(0,0,9)</f>
        <v>-1.0416666666666667E-4</v>
      </c>
      <c r="H666" t="e">
        <f t="shared" si="26"/>
        <v>#VALUE!</v>
      </c>
      <c r="N666" s="1"/>
      <c r="O666" s="1">
        <f>Table25791113[[#This Row],[Time]]</f>
        <v>0</v>
      </c>
      <c r="R666">
        <f>Table25791113[[#This Row],[RSSI]]</f>
        <v>0</v>
      </c>
    </row>
    <row r="667" spans="4:18" x14ac:dyDescent="0.25">
      <c r="D667" s="1"/>
      <c r="E667" s="1">
        <f>Table14681012[[#This Row],[Time]]-TIME(0,0,9)</f>
        <v>-1.0416666666666667E-4</v>
      </c>
      <c r="H667" t="e">
        <f t="shared" si="26"/>
        <v>#VALUE!</v>
      </c>
      <c r="N667" s="1"/>
      <c r="O667" s="1">
        <f>Table25791113[[#This Row],[Time]]</f>
        <v>0</v>
      </c>
      <c r="R667">
        <f>Table25791113[[#This Row],[RSSI]]</f>
        <v>0</v>
      </c>
    </row>
  </sheetData>
  <mergeCells count="2">
    <mergeCell ref="W2:Z2"/>
    <mergeCell ref="AA2:AD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SF7 10</vt:lpstr>
      <vt:lpstr>SF7 20</vt:lpstr>
      <vt:lpstr>SF7 125</vt:lpstr>
      <vt:lpstr>SF7 500</vt:lpstr>
      <vt:lpstr>SF12 125</vt:lpstr>
      <vt:lpstr>SF12 500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Rooney</dc:creator>
  <cp:lastModifiedBy>Bryce Rooney</cp:lastModifiedBy>
  <dcterms:created xsi:type="dcterms:W3CDTF">2026-05-24T18:37:50Z</dcterms:created>
  <dcterms:modified xsi:type="dcterms:W3CDTF">2026-05-25T21:23:08Z</dcterms:modified>
</cp:coreProperties>
</file>